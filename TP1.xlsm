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Faculdade\SA\"/>
    </mc:Choice>
  </mc:AlternateContent>
  <xr:revisionPtr revIDLastSave="0" documentId="13_ncr:1_{5530AC43-F700-4235-A38A-09934516286B}" xr6:coauthVersionLast="45" xr6:coauthVersionMax="45" xr10:uidLastSave="{00000000-0000-0000-0000-000000000000}"/>
  <bookViews>
    <workbookView xWindow="-108" yWindow="-108" windowWidth="23256" windowHeight="12576" activeTab="5" xr2:uid="{C5B5C72F-8080-4377-ACBE-2EFD018A0851}"/>
  </bookViews>
  <sheets>
    <sheet name="Start" sheetId="1" r:id="rId1"/>
    <sheet name="Alunos" sheetId="30" r:id="rId2"/>
    <sheet name="SDASD" sheetId="29" r:id="rId3"/>
    <sheet name="FDGDF" sheetId="28" r:id="rId4"/>
    <sheet name="Recurso" sheetId="27" r:id="rId5"/>
    <sheet name="Exame" sheetId="26" r:id="rId6"/>
    <sheet name="Agrupamentos" sheetId="25" r:id="rId7"/>
    <sheet name="Auxiliar" sheetId="24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50" i="30" l="1"/>
  <c r="J250" i="30" s="1"/>
  <c r="K250" i="30" s="1"/>
  <c r="I249" i="30"/>
  <c r="J249" i="30" s="1"/>
  <c r="K249" i="30" s="1"/>
  <c r="I248" i="30"/>
  <c r="J248" i="30" s="1"/>
  <c r="K248" i="30" s="1"/>
  <c r="I247" i="30"/>
  <c r="J247" i="30" s="1"/>
  <c r="K247" i="30" s="1"/>
  <c r="I246" i="30"/>
  <c r="J246" i="30" s="1"/>
  <c r="K246" i="30" s="1"/>
  <c r="I245" i="30"/>
  <c r="J245" i="30" s="1"/>
  <c r="K245" i="30" s="1"/>
  <c r="I244" i="30"/>
  <c r="J244" i="30" s="1"/>
  <c r="K244" i="30" s="1"/>
  <c r="I243" i="30"/>
  <c r="J243" i="30" s="1"/>
  <c r="K243" i="30" s="1"/>
  <c r="I242" i="30"/>
  <c r="J242" i="30" s="1"/>
  <c r="K242" i="30" s="1"/>
  <c r="I241" i="30"/>
  <c r="J241" i="30" s="1"/>
  <c r="K241" i="30" s="1"/>
  <c r="I240" i="30"/>
  <c r="J240" i="30" s="1"/>
  <c r="K240" i="30" s="1"/>
  <c r="I239" i="30"/>
  <c r="J239" i="30" s="1"/>
  <c r="K239" i="30" s="1"/>
  <c r="I238" i="30"/>
  <c r="J238" i="30" s="1"/>
  <c r="K238" i="30" s="1"/>
  <c r="I237" i="30"/>
  <c r="J237" i="30" s="1"/>
  <c r="K237" i="30" s="1"/>
  <c r="I236" i="30"/>
  <c r="J236" i="30" s="1"/>
  <c r="K236" i="30" s="1"/>
  <c r="I235" i="30"/>
  <c r="J235" i="30" s="1"/>
  <c r="K235" i="30" s="1"/>
  <c r="I234" i="30"/>
  <c r="J234" i="30" s="1"/>
  <c r="K234" i="30" s="1"/>
  <c r="I233" i="30"/>
  <c r="J233" i="30" s="1"/>
  <c r="K233" i="30" s="1"/>
  <c r="I232" i="30"/>
  <c r="J232" i="30" s="1"/>
  <c r="K232" i="30" s="1"/>
  <c r="I231" i="30"/>
  <c r="J231" i="30" s="1"/>
  <c r="K231" i="30" s="1"/>
  <c r="I230" i="30"/>
  <c r="J230" i="30" s="1"/>
  <c r="K230" i="30" s="1"/>
  <c r="I229" i="30"/>
  <c r="J229" i="30" s="1"/>
  <c r="K229" i="30" s="1"/>
  <c r="I228" i="30"/>
  <c r="J228" i="30" s="1"/>
  <c r="K228" i="30" s="1"/>
  <c r="I227" i="30"/>
  <c r="J227" i="30" s="1"/>
  <c r="K227" i="30" s="1"/>
  <c r="I226" i="30"/>
  <c r="J226" i="30" s="1"/>
  <c r="K226" i="30" s="1"/>
  <c r="I225" i="30"/>
  <c r="J225" i="30" s="1"/>
  <c r="K225" i="30" s="1"/>
  <c r="I224" i="30"/>
  <c r="J224" i="30" s="1"/>
  <c r="K224" i="30" s="1"/>
  <c r="I223" i="30"/>
  <c r="J223" i="30" s="1"/>
  <c r="K223" i="30" s="1"/>
  <c r="I222" i="30"/>
  <c r="J222" i="30" s="1"/>
  <c r="K222" i="30" s="1"/>
  <c r="I221" i="30"/>
  <c r="J221" i="30" s="1"/>
  <c r="K221" i="30" s="1"/>
  <c r="I220" i="30"/>
  <c r="J220" i="30" s="1"/>
  <c r="K220" i="30" s="1"/>
  <c r="I219" i="30"/>
  <c r="J219" i="30" s="1"/>
  <c r="K219" i="30" s="1"/>
  <c r="I218" i="30"/>
  <c r="J218" i="30" s="1"/>
  <c r="K218" i="30" s="1"/>
  <c r="I217" i="30"/>
  <c r="J217" i="30" s="1"/>
  <c r="K217" i="30" s="1"/>
  <c r="I216" i="30"/>
  <c r="J216" i="30" s="1"/>
  <c r="K216" i="30" s="1"/>
  <c r="I215" i="30"/>
  <c r="J215" i="30" s="1"/>
  <c r="K215" i="30" s="1"/>
  <c r="I214" i="30"/>
  <c r="J214" i="30" s="1"/>
  <c r="K214" i="30" s="1"/>
  <c r="I213" i="30"/>
  <c r="J213" i="30" s="1"/>
  <c r="K213" i="30" s="1"/>
  <c r="I212" i="30"/>
  <c r="J212" i="30" s="1"/>
  <c r="K212" i="30" s="1"/>
  <c r="I211" i="30"/>
  <c r="J211" i="30" s="1"/>
  <c r="K211" i="30" s="1"/>
  <c r="I210" i="30"/>
  <c r="J210" i="30" s="1"/>
  <c r="K210" i="30" s="1"/>
  <c r="I209" i="30"/>
  <c r="J209" i="30" s="1"/>
  <c r="K209" i="30" s="1"/>
  <c r="I208" i="30"/>
  <c r="J208" i="30" s="1"/>
  <c r="K208" i="30" s="1"/>
  <c r="I207" i="30"/>
  <c r="J207" i="30" s="1"/>
  <c r="K207" i="30" s="1"/>
  <c r="I206" i="30"/>
  <c r="J206" i="30" s="1"/>
  <c r="K206" i="30" s="1"/>
  <c r="I205" i="30"/>
  <c r="J205" i="30" s="1"/>
  <c r="K205" i="30" s="1"/>
  <c r="I204" i="30"/>
  <c r="J204" i="30" s="1"/>
  <c r="K204" i="30" s="1"/>
  <c r="I203" i="30"/>
  <c r="J203" i="30" s="1"/>
  <c r="K203" i="30" s="1"/>
  <c r="I202" i="30"/>
  <c r="J202" i="30" s="1"/>
  <c r="K202" i="30" s="1"/>
  <c r="I201" i="30"/>
  <c r="J201" i="30" s="1"/>
  <c r="K201" i="30" s="1"/>
  <c r="I200" i="30"/>
  <c r="J200" i="30" s="1"/>
  <c r="K200" i="30" s="1"/>
  <c r="I199" i="30"/>
  <c r="J199" i="30" s="1"/>
  <c r="K199" i="30" s="1"/>
  <c r="I198" i="30"/>
  <c r="J198" i="30" s="1"/>
  <c r="K198" i="30" s="1"/>
  <c r="I197" i="30"/>
  <c r="J197" i="30" s="1"/>
  <c r="K197" i="30" s="1"/>
  <c r="I196" i="30"/>
  <c r="J196" i="30" s="1"/>
  <c r="K196" i="30" s="1"/>
  <c r="I195" i="30"/>
  <c r="J195" i="30" s="1"/>
  <c r="K195" i="30" s="1"/>
  <c r="I194" i="30"/>
  <c r="J194" i="30" s="1"/>
  <c r="K194" i="30" s="1"/>
  <c r="I193" i="30"/>
  <c r="J193" i="30" s="1"/>
  <c r="K193" i="30" s="1"/>
  <c r="I192" i="30"/>
  <c r="J192" i="30" s="1"/>
  <c r="K192" i="30" s="1"/>
  <c r="I191" i="30"/>
  <c r="J191" i="30" s="1"/>
  <c r="K191" i="30" s="1"/>
  <c r="I190" i="30"/>
  <c r="J190" i="30" s="1"/>
  <c r="K190" i="30" s="1"/>
  <c r="I189" i="30"/>
  <c r="J189" i="30" s="1"/>
  <c r="K189" i="30" s="1"/>
  <c r="I188" i="30"/>
  <c r="J188" i="30" s="1"/>
  <c r="K188" i="30" s="1"/>
  <c r="I187" i="30"/>
  <c r="J187" i="30" s="1"/>
  <c r="K187" i="30" s="1"/>
  <c r="I186" i="30"/>
  <c r="J186" i="30" s="1"/>
  <c r="K186" i="30" s="1"/>
  <c r="I185" i="30"/>
  <c r="J185" i="30" s="1"/>
  <c r="K185" i="30" s="1"/>
  <c r="I184" i="30"/>
  <c r="J184" i="30" s="1"/>
  <c r="K184" i="30" s="1"/>
  <c r="I183" i="30"/>
  <c r="J183" i="30" s="1"/>
  <c r="K183" i="30" s="1"/>
  <c r="I182" i="30"/>
  <c r="J182" i="30" s="1"/>
  <c r="K182" i="30" s="1"/>
  <c r="I181" i="30"/>
  <c r="J181" i="30" s="1"/>
  <c r="K181" i="30" s="1"/>
  <c r="I180" i="30"/>
  <c r="J180" i="30" s="1"/>
  <c r="K180" i="30" s="1"/>
  <c r="I179" i="30"/>
  <c r="J179" i="30" s="1"/>
  <c r="K179" i="30" s="1"/>
  <c r="I178" i="30"/>
  <c r="J178" i="30" s="1"/>
  <c r="K178" i="30" s="1"/>
  <c r="I177" i="30"/>
  <c r="J177" i="30" s="1"/>
  <c r="K177" i="30" s="1"/>
  <c r="I176" i="30"/>
  <c r="J176" i="30" s="1"/>
  <c r="K176" i="30" s="1"/>
  <c r="I175" i="30"/>
  <c r="J175" i="30" s="1"/>
  <c r="K175" i="30" s="1"/>
  <c r="I174" i="30"/>
  <c r="J174" i="30" s="1"/>
  <c r="K174" i="30" s="1"/>
  <c r="I173" i="30"/>
  <c r="J173" i="30" s="1"/>
  <c r="K173" i="30" s="1"/>
  <c r="I172" i="30"/>
  <c r="J172" i="30" s="1"/>
  <c r="K172" i="30" s="1"/>
  <c r="I171" i="30"/>
  <c r="J171" i="30" s="1"/>
  <c r="K171" i="30" s="1"/>
  <c r="I170" i="30"/>
  <c r="J170" i="30" s="1"/>
  <c r="K170" i="30" s="1"/>
  <c r="I169" i="30"/>
  <c r="J169" i="30" s="1"/>
  <c r="K169" i="30" s="1"/>
  <c r="I168" i="30"/>
  <c r="J168" i="30" s="1"/>
  <c r="K168" i="30" s="1"/>
  <c r="I167" i="30"/>
  <c r="J167" i="30" s="1"/>
  <c r="K167" i="30" s="1"/>
  <c r="I166" i="30"/>
  <c r="J166" i="30" s="1"/>
  <c r="K166" i="30" s="1"/>
  <c r="I165" i="30"/>
  <c r="J165" i="30" s="1"/>
  <c r="K165" i="30" s="1"/>
  <c r="I164" i="30"/>
  <c r="J164" i="30" s="1"/>
  <c r="K164" i="30" s="1"/>
  <c r="I163" i="30"/>
  <c r="J163" i="30" s="1"/>
  <c r="K163" i="30" s="1"/>
  <c r="I162" i="30"/>
  <c r="J162" i="30" s="1"/>
  <c r="K162" i="30" s="1"/>
  <c r="I161" i="30"/>
  <c r="J161" i="30" s="1"/>
  <c r="K161" i="30" s="1"/>
  <c r="I160" i="30"/>
  <c r="J160" i="30" s="1"/>
  <c r="K160" i="30" s="1"/>
  <c r="I159" i="30"/>
  <c r="J159" i="30" s="1"/>
  <c r="K159" i="30" s="1"/>
  <c r="I158" i="30"/>
  <c r="J158" i="30" s="1"/>
  <c r="K158" i="30" s="1"/>
  <c r="I157" i="30"/>
  <c r="J157" i="30" s="1"/>
  <c r="K157" i="30" s="1"/>
  <c r="I156" i="30"/>
  <c r="J156" i="30" s="1"/>
  <c r="K156" i="30" s="1"/>
  <c r="I155" i="30"/>
  <c r="J155" i="30" s="1"/>
  <c r="K155" i="30" s="1"/>
  <c r="I154" i="30"/>
  <c r="J154" i="30" s="1"/>
  <c r="K154" i="30" s="1"/>
  <c r="I153" i="30"/>
  <c r="J153" i="30" s="1"/>
  <c r="K153" i="30" s="1"/>
  <c r="I152" i="30"/>
  <c r="J152" i="30" s="1"/>
  <c r="K152" i="30" s="1"/>
  <c r="I151" i="30"/>
  <c r="J151" i="30" s="1"/>
  <c r="K151" i="30" s="1"/>
  <c r="I150" i="30"/>
  <c r="J150" i="30" s="1"/>
  <c r="K150" i="30" s="1"/>
  <c r="I149" i="30"/>
  <c r="J149" i="30" s="1"/>
  <c r="K149" i="30" s="1"/>
  <c r="I148" i="30"/>
  <c r="J148" i="30" s="1"/>
  <c r="K148" i="30" s="1"/>
  <c r="I147" i="30"/>
  <c r="J147" i="30" s="1"/>
  <c r="K147" i="30" s="1"/>
  <c r="I146" i="30"/>
  <c r="J146" i="30" s="1"/>
  <c r="K146" i="30" s="1"/>
  <c r="I145" i="30"/>
  <c r="J145" i="30" s="1"/>
  <c r="K145" i="30" s="1"/>
  <c r="I144" i="30"/>
  <c r="J144" i="30" s="1"/>
  <c r="K144" i="30" s="1"/>
  <c r="I143" i="30"/>
  <c r="J143" i="30" s="1"/>
  <c r="K143" i="30" s="1"/>
  <c r="I142" i="30"/>
  <c r="J142" i="30" s="1"/>
  <c r="K142" i="30" s="1"/>
  <c r="I141" i="30"/>
  <c r="J141" i="30" s="1"/>
  <c r="K141" i="30" s="1"/>
  <c r="I140" i="30"/>
  <c r="J140" i="30" s="1"/>
  <c r="K140" i="30" s="1"/>
  <c r="I139" i="30"/>
  <c r="J139" i="30" s="1"/>
  <c r="K139" i="30" s="1"/>
  <c r="I138" i="30"/>
  <c r="J138" i="30" s="1"/>
  <c r="K138" i="30" s="1"/>
  <c r="I137" i="30"/>
  <c r="J137" i="30" s="1"/>
  <c r="K137" i="30" s="1"/>
  <c r="I136" i="30"/>
  <c r="J136" i="30" s="1"/>
  <c r="K136" i="30" s="1"/>
  <c r="I135" i="30"/>
  <c r="J135" i="30" s="1"/>
  <c r="K135" i="30" s="1"/>
  <c r="I134" i="30"/>
  <c r="J134" i="30" s="1"/>
  <c r="K134" i="30" s="1"/>
  <c r="I133" i="30"/>
  <c r="J133" i="30" s="1"/>
  <c r="K133" i="30" s="1"/>
  <c r="I132" i="30"/>
  <c r="J132" i="30" s="1"/>
  <c r="K132" i="30" s="1"/>
  <c r="I131" i="30"/>
  <c r="J131" i="30" s="1"/>
  <c r="K131" i="30" s="1"/>
  <c r="I130" i="30"/>
  <c r="J130" i="30" s="1"/>
  <c r="K130" i="30" s="1"/>
  <c r="I129" i="30"/>
  <c r="J129" i="30" s="1"/>
  <c r="K129" i="30" s="1"/>
  <c r="I128" i="30"/>
  <c r="J128" i="30" s="1"/>
  <c r="K128" i="30" s="1"/>
  <c r="I127" i="30"/>
  <c r="J127" i="30" s="1"/>
  <c r="K127" i="30" s="1"/>
  <c r="I126" i="30"/>
  <c r="J126" i="30" s="1"/>
  <c r="K126" i="30" s="1"/>
  <c r="I125" i="30"/>
  <c r="J125" i="30" s="1"/>
  <c r="K125" i="30" s="1"/>
  <c r="I124" i="30"/>
  <c r="J124" i="30" s="1"/>
  <c r="K124" i="30" s="1"/>
  <c r="I123" i="30"/>
  <c r="J123" i="30" s="1"/>
  <c r="K123" i="30" s="1"/>
  <c r="I122" i="30"/>
  <c r="J122" i="30" s="1"/>
  <c r="K122" i="30" s="1"/>
  <c r="I121" i="30"/>
  <c r="J121" i="30" s="1"/>
  <c r="K121" i="30" s="1"/>
  <c r="I120" i="30"/>
  <c r="J120" i="30" s="1"/>
  <c r="K120" i="30" s="1"/>
  <c r="I119" i="30"/>
  <c r="J119" i="30" s="1"/>
  <c r="K119" i="30" s="1"/>
  <c r="I118" i="30"/>
  <c r="J118" i="30" s="1"/>
  <c r="K118" i="30" s="1"/>
  <c r="I117" i="30"/>
  <c r="J117" i="30" s="1"/>
  <c r="K117" i="30" s="1"/>
  <c r="I116" i="30"/>
  <c r="J116" i="30" s="1"/>
  <c r="K116" i="30" s="1"/>
  <c r="I115" i="30"/>
  <c r="J115" i="30" s="1"/>
  <c r="K115" i="30" s="1"/>
  <c r="I114" i="30"/>
  <c r="J114" i="30" s="1"/>
  <c r="K114" i="30" s="1"/>
  <c r="I113" i="30"/>
  <c r="J113" i="30" s="1"/>
  <c r="K113" i="30" s="1"/>
  <c r="I112" i="30"/>
  <c r="J112" i="30" s="1"/>
  <c r="K112" i="30" s="1"/>
  <c r="I111" i="30"/>
  <c r="J111" i="30" s="1"/>
  <c r="K111" i="30" s="1"/>
  <c r="I110" i="30"/>
  <c r="J110" i="30" s="1"/>
  <c r="K110" i="30" s="1"/>
  <c r="I109" i="30"/>
  <c r="J109" i="30" s="1"/>
  <c r="K109" i="30" s="1"/>
  <c r="I108" i="30"/>
  <c r="J108" i="30" s="1"/>
  <c r="K108" i="30" s="1"/>
  <c r="I107" i="30"/>
  <c r="J107" i="30" s="1"/>
  <c r="K107" i="30" s="1"/>
  <c r="I106" i="30"/>
  <c r="J106" i="30" s="1"/>
  <c r="K106" i="30" s="1"/>
  <c r="I105" i="30"/>
  <c r="J105" i="30" s="1"/>
  <c r="K105" i="30" s="1"/>
  <c r="I104" i="30"/>
  <c r="J104" i="30" s="1"/>
  <c r="K104" i="30" s="1"/>
  <c r="I103" i="30"/>
  <c r="J103" i="30" s="1"/>
  <c r="K103" i="30" s="1"/>
  <c r="I102" i="30"/>
  <c r="J102" i="30" s="1"/>
  <c r="K102" i="30" s="1"/>
  <c r="I101" i="30"/>
  <c r="J101" i="30" s="1"/>
  <c r="K101" i="30" s="1"/>
  <c r="I100" i="30"/>
  <c r="J100" i="30" s="1"/>
  <c r="K100" i="30" s="1"/>
  <c r="I99" i="30"/>
  <c r="J99" i="30" s="1"/>
  <c r="K99" i="30" s="1"/>
  <c r="I98" i="30"/>
  <c r="J98" i="30" s="1"/>
  <c r="K98" i="30" s="1"/>
  <c r="I97" i="30"/>
  <c r="J97" i="30" s="1"/>
  <c r="K97" i="30" s="1"/>
  <c r="I96" i="30"/>
  <c r="J96" i="30" s="1"/>
  <c r="K96" i="30" s="1"/>
  <c r="I95" i="30"/>
  <c r="J95" i="30" s="1"/>
  <c r="K95" i="30" s="1"/>
  <c r="I94" i="30"/>
  <c r="J94" i="30" s="1"/>
  <c r="K94" i="30" s="1"/>
  <c r="I93" i="30"/>
  <c r="J93" i="30" s="1"/>
  <c r="K93" i="30" s="1"/>
  <c r="I92" i="30"/>
  <c r="J92" i="30" s="1"/>
  <c r="K92" i="30" s="1"/>
  <c r="I91" i="30"/>
  <c r="J91" i="30" s="1"/>
  <c r="K91" i="30" s="1"/>
  <c r="I90" i="30"/>
  <c r="J90" i="30" s="1"/>
  <c r="K90" i="30" s="1"/>
  <c r="I89" i="30"/>
  <c r="J89" i="30" s="1"/>
  <c r="K89" i="30" s="1"/>
  <c r="I88" i="30"/>
  <c r="J88" i="30" s="1"/>
  <c r="K88" i="30" s="1"/>
  <c r="I87" i="30"/>
  <c r="J87" i="30" s="1"/>
  <c r="K87" i="30" s="1"/>
  <c r="I86" i="30"/>
  <c r="J86" i="30" s="1"/>
  <c r="K86" i="30" s="1"/>
  <c r="I85" i="30"/>
  <c r="J85" i="30" s="1"/>
  <c r="K85" i="30" s="1"/>
  <c r="I84" i="30"/>
  <c r="J84" i="30" s="1"/>
  <c r="K84" i="30" s="1"/>
  <c r="I83" i="30"/>
  <c r="J83" i="30" s="1"/>
  <c r="K83" i="30" s="1"/>
  <c r="I82" i="30"/>
  <c r="J82" i="30" s="1"/>
  <c r="K82" i="30" s="1"/>
  <c r="I81" i="30"/>
  <c r="J81" i="30" s="1"/>
  <c r="K81" i="30" s="1"/>
  <c r="I80" i="30"/>
  <c r="J80" i="30" s="1"/>
  <c r="K80" i="30" s="1"/>
  <c r="I79" i="30"/>
  <c r="J79" i="30" s="1"/>
  <c r="K79" i="30" s="1"/>
  <c r="I78" i="30"/>
  <c r="J78" i="30" s="1"/>
  <c r="K78" i="30" s="1"/>
  <c r="I77" i="30"/>
  <c r="J77" i="30" s="1"/>
  <c r="K77" i="30" s="1"/>
  <c r="I76" i="30"/>
  <c r="J76" i="30" s="1"/>
  <c r="K76" i="30" s="1"/>
  <c r="I75" i="30"/>
  <c r="J75" i="30" s="1"/>
  <c r="K75" i="30" s="1"/>
  <c r="I74" i="30"/>
  <c r="J74" i="30" s="1"/>
  <c r="K74" i="30" s="1"/>
  <c r="I73" i="30"/>
  <c r="J73" i="30" s="1"/>
  <c r="K73" i="30" s="1"/>
  <c r="I72" i="30"/>
  <c r="J72" i="30" s="1"/>
  <c r="K72" i="30" s="1"/>
  <c r="I71" i="30"/>
  <c r="J71" i="30" s="1"/>
  <c r="K71" i="30" s="1"/>
  <c r="I70" i="30"/>
  <c r="J70" i="30" s="1"/>
  <c r="K70" i="30" s="1"/>
  <c r="I69" i="30"/>
  <c r="J69" i="30" s="1"/>
  <c r="K69" i="30" s="1"/>
  <c r="I68" i="30"/>
  <c r="J68" i="30" s="1"/>
  <c r="K68" i="30" s="1"/>
  <c r="I67" i="30"/>
  <c r="J67" i="30" s="1"/>
  <c r="K67" i="30" s="1"/>
  <c r="I66" i="30"/>
  <c r="J66" i="30" s="1"/>
  <c r="K66" i="30" s="1"/>
  <c r="I65" i="30"/>
  <c r="J65" i="30" s="1"/>
  <c r="K65" i="30" s="1"/>
  <c r="I64" i="30"/>
  <c r="J64" i="30" s="1"/>
  <c r="K64" i="30" s="1"/>
  <c r="I63" i="30"/>
  <c r="J63" i="30" s="1"/>
  <c r="K63" i="30" s="1"/>
  <c r="I62" i="30"/>
  <c r="J62" i="30" s="1"/>
  <c r="K62" i="30" s="1"/>
  <c r="I61" i="30"/>
  <c r="J61" i="30" s="1"/>
  <c r="K61" i="30" s="1"/>
  <c r="I60" i="30"/>
  <c r="J60" i="30" s="1"/>
  <c r="K60" i="30" s="1"/>
  <c r="I59" i="30"/>
  <c r="J59" i="30" s="1"/>
  <c r="K59" i="30" s="1"/>
  <c r="I58" i="30"/>
  <c r="J58" i="30" s="1"/>
  <c r="K58" i="30" s="1"/>
  <c r="I57" i="30"/>
  <c r="J57" i="30" s="1"/>
  <c r="K57" i="30" s="1"/>
  <c r="I56" i="30"/>
  <c r="J56" i="30" s="1"/>
  <c r="K56" i="30" s="1"/>
  <c r="I55" i="30"/>
  <c r="J55" i="30" s="1"/>
  <c r="K55" i="30" s="1"/>
  <c r="I54" i="30"/>
  <c r="J54" i="30" s="1"/>
  <c r="K54" i="30" s="1"/>
  <c r="I53" i="30"/>
  <c r="J53" i="30" s="1"/>
  <c r="K53" i="30" s="1"/>
  <c r="I52" i="30"/>
  <c r="J52" i="30" s="1"/>
  <c r="K52" i="30" s="1"/>
  <c r="I51" i="30"/>
  <c r="J51" i="30" s="1"/>
  <c r="K51" i="30" s="1"/>
  <c r="I50" i="30"/>
  <c r="J50" i="30" s="1"/>
  <c r="K50" i="30" s="1"/>
  <c r="I49" i="30"/>
  <c r="J49" i="30" s="1"/>
  <c r="K49" i="30" s="1"/>
  <c r="I48" i="30"/>
  <c r="J48" i="30" s="1"/>
  <c r="K48" i="30" s="1"/>
  <c r="I47" i="30"/>
  <c r="J47" i="30" s="1"/>
  <c r="K47" i="30" s="1"/>
  <c r="I46" i="30"/>
  <c r="J46" i="30" s="1"/>
  <c r="K46" i="30" s="1"/>
  <c r="I45" i="30"/>
  <c r="J45" i="30" s="1"/>
  <c r="K45" i="30" s="1"/>
  <c r="I44" i="30"/>
  <c r="J44" i="30" s="1"/>
  <c r="K44" i="30" s="1"/>
  <c r="I43" i="30"/>
  <c r="J43" i="30" s="1"/>
  <c r="K43" i="30" s="1"/>
  <c r="I42" i="30"/>
  <c r="J42" i="30" s="1"/>
  <c r="K42" i="30" s="1"/>
  <c r="I41" i="30"/>
  <c r="J41" i="30" s="1"/>
  <c r="K41" i="30" s="1"/>
  <c r="I40" i="30"/>
  <c r="J40" i="30" s="1"/>
  <c r="K40" i="30" s="1"/>
  <c r="I39" i="30"/>
  <c r="J39" i="30" s="1"/>
  <c r="K39" i="30" s="1"/>
  <c r="I38" i="30"/>
  <c r="J38" i="30" s="1"/>
  <c r="K38" i="30" s="1"/>
  <c r="I37" i="30"/>
  <c r="J37" i="30" s="1"/>
  <c r="K37" i="30" s="1"/>
  <c r="I36" i="30"/>
  <c r="J36" i="30" s="1"/>
  <c r="K36" i="30" s="1"/>
  <c r="I35" i="30"/>
  <c r="J35" i="30" s="1"/>
  <c r="K35" i="30" s="1"/>
  <c r="I34" i="30"/>
  <c r="J34" i="30" s="1"/>
  <c r="K34" i="30" s="1"/>
  <c r="I33" i="30"/>
  <c r="J33" i="30" s="1"/>
  <c r="K33" i="30" s="1"/>
  <c r="I32" i="30"/>
  <c r="J32" i="30" s="1"/>
  <c r="K32" i="30" s="1"/>
  <c r="I31" i="30"/>
  <c r="J31" i="30" s="1"/>
  <c r="K31" i="30" s="1"/>
  <c r="I30" i="30"/>
  <c r="J30" i="30" s="1"/>
  <c r="K30" i="30" s="1"/>
  <c r="I29" i="30"/>
  <c r="J29" i="30" s="1"/>
  <c r="K29" i="30" s="1"/>
  <c r="I28" i="30"/>
  <c r="J28" i="30" s="1"/>
  <c r="K28" i="30" s="1"/>
  <c r="I27" i="30"/>
  <c r="J27" i="30" s="1"/>
  <c r="K27" i="30" s="1"/>
  <c r="I26" i="30"/>
  <c r="J26" i="30" s="1"/>
  <c r="K26" i="30" s="1"/>
  <c r="I25" i="30"/>
  <c r="J25" i="30" s="1"/>
  <c r="K25" i="30" s="1"/>
  <c r="I24" i="30"/>
  <c r="J24" i="30" s="1"/>
  <c r="K24" i="30" s="1"/>
  <c r="I23" i="30"/>
  <c r="J23" i="30" s="1"/>
  <c r="K23" i="30" s="1"/>
  <c r="I22" i="30"/>
  <c r="J22" i="30" s="1"/>
  <c r="K22" i="30" s="1"/>
  <c r="I21" i="30"/>
  <c r="J21" i="30" s="1"/>
  <c r="K21" i="30" s="1"/>
  <c r="I20" i="30"/>
  <c r="J20" i="30" s="1"/>
  <c r="K20" i="30" s="1"/>
  <c r="I19" i="30"/>
  <c r="J19" i="30" s="1"/>
  <c r="K19" i="30" s="1"/>
  <c r="I18" i="30"/>
  <c r="J18" i="30" s="1"/>
  <c r="K18" i="30" s="1"/>
  <c r="I17" i="30"/>
  <c r="J17" i="30" s="1"/>
  <c r="K17" i="30" s="1"/>
  <c r="I16" i="30"/>
  <c r="J16" i="30" s="1"/>
  <c r="K16" i="30" s="1"/>
  <c r="I15" i="30"/>
  <c r="J15" i="30" s="1"/>
  <c r="K15" i="30" s="1"/>
  <c r="I14" i="30"/>
  <c r="J14" i="30" s="1"/>
  <c r="K14" i="30" s="1"/>
  <c r="I13" i="30"/>
  <c r="J13" i="30" s="1"/>
  <c r="K13" i="30" s="1"/>
  <c r="I12" i="30"/>
  <c r="J12" i="30" s="1"/>
  <c r="K12" i="30" s="1"/>
  <c r="I11" i="30"/>
  <c r="J11" i="30" s="1"/>
  <c r="K11" i="30" s="1"/>
  <c r="I10" i="30"/>
  <c r="J10" i="30" s="1"/>
  <c r="K10" i="30" s="1"/>
  <c r="I9" i="30"/>
  <c r="J9" i="30" s="1"/>
  <c r="K9" i="30" s="1"/>
  <c r="I8" i="30"/>
  <c r="J8" i="30" s="1"/>
  <c r="K8" i="30" s="1"/>
  <c r="I6" i="30"/>
  <c r="J6" i="30" s="1"/>
  <c r="K6" i="30" s="1"/>
  <c r="I5" i="30"/>
  <c r="J5" i="30" s="1"/>
  <c r="K5" i="30" s="1"/>
  <c r="I4" i="30"/>
  <c r="J4" i="30" s="1"/>
  <c r="K4" i="30" s="1"/>
  <c r="H249" i="30"/>
  <c r="H245" i="30"/>
  <c r="H237" i="30"/>
  <c r="H233" i="30"/>
  <c r="H229" i="30"/>
  <c r="H221" i="30"/>
  <c r="H217" i="30"/>
  <c r="H213" i="30"/>
  <c r="H205" i="30"/>
  <c r="H201" i="30"/>
  <c r="H197" i="30"/>
  <c r="H189" i="30"/>
  <c r="H186" i="30"/>
  <c r="H185" i="30"/>
  <c r="H178" i="30"/>
  <c r="H175" i="30"/>
  <c r="H173" i="30"/>
  <c r="H167" i="30"/>
  <c r="H165" i="30"/>
  <c r="H157" i="30"/>
  <c r="H154" i="30"/>
  <c r="H153" i="30"/>
  <c r="H146" i="30"/>
  <c r="H143" i="30"/>
  <c r="H141" i="30"/>
  <c r="H135" i="30"/>
  <c r="H133" i="30"/>
  <c r="H125" i="30"/>
  <c r="H122" i="30"/>
  <c r="H121" i="30"/>
  <c r="H114" i="30"/>
  <c r="H111" i="30"/>
  <c r="H109" i="30"/>
  <c r="H103" i="30"/>
  <c r="H101" i="30"/>
  <c r="H93" i="30"/>
  <c r="H90" i="30"/>
  <c r="H89" i="30"/>
  <c r="H82" i="30"/>
  <c r="H79" i="30"/>
  <c r="H77" i="30"/>
  <c r="H71" i="30"/>
  <c r="H69" i="30"/>
  <c r="G250" i="30"/>
  <c r="H250" i="30" s="1"/>
  <c r="G249" i="30"/>
  <c r="G248" i="30"/>
  <c r="H248" i="30" s="1"/>
  <c r="G247" i="30"/>
  <c r="H247" i="30" s="1"/>
  <c r="G246" i="30"/>
  <c r="H246" i="30" s="1"/>
  <c r="G245" i="30"/>
  <c r="G244" i="30"/>
  <c r="H244" i="30" s="1"/>
  <c r="G243" i="30"/>
  <c r="H243" i="30" s="1"/>
  <c r="G242" i="30"/>
  <c r="H242" i="30" s="1"/>
  <c r="G241" i="30"/>
  <c r="H241" i="30" s="1"/>
  <c r="G240" i="30"/>
  <c r="H240" i="30" s="1"/>
  <c r="G239" i="30"/>
  <c r="H239" i="30" s="1"/>
  <c r="G238" i="30"/>
  <c r="H238" i="30" s="1"/>
  <c r="G237" i="30"/>
  <c r="G236" i="30"/>
  <c r="H236" i="30" s="1"/>
  <c r="G235" i="30"/>
  <c r="H235" i="30" s="1"/>
  <c r="G234" i="30"/>
  <c r="H234" i="30" s="1"/>
  <c r="G233" i="30"/>
  <c r="G232" i="30"/>
  <c r="H232" i="30" s="1"/>
  <c r="G231" i="30"/>
  <c r="H231" i="30" s="1"/>
  <c r="G230" i="30"/>
  <c r="H230" i="30" s="1"/>
  <c r="G229" i="30"/>
  <c r="G228" i="30"/>
  <c r="H228" i="30" s="1"/>
  <c r="G227" i="30"/>
  <c r="H227" i="30" s="1"/>
  <c r="G226" i="30"/>
  <c r="H226" i="30" s="1"/>
  <c r="G225" i="30"/>
  <c r="H225" i="30" s="1"/>
  <c r="G224" i="30"/>
  <c r="H224" i="30" s="1"/>
  <c r="G223" i="30"/>
  <c r="H223" i="30" s="1"/>
  <c r="G222" i="30"/>
  <c r="H222" i="30" s="1"/>
  <c r="G221" i="30"/>
  <c r="G220" i="30"/>
  <c r="H220" i="30" s="1"/>
  <c r="G219" i="30"/>
  <c r="H219" i="30" s="1"/>
  <c r="G218" i="30"/>
  <c r="H218" i="30" s="1"/>
  <c r="G217" i="30"/>
  <c r="G216" i="30"/>
  <c r="H216" i="30" s="1"/>
  <c r="G215" i="30"/>
  <c r="H215" i="30" s="1"/>
  <c r="G214" i="30"/>
  <c r="H214" i="30" s="1"/>
  <c r="G213" i="30"/>
  <c r="G212" i="30"/>
  <c r="H212" i="30" s="1"/>
  <c r="G211" i="30"/>
  <c r="H211" i="30" s="1"/>
  <c r="G210" i="30"/>
  <c r="H210" i="30" s="1"/>
  <c r="G209" i="30"/>
  <c r="H209" i="30" s="1"/>
  <c r="G208" i="30"/>
  <c r="H208" i="30" s="1"/>
  <c r="G207" i="30"/>
  <c r="H207" i="30" s="1"/>
  <c r="G206" i="30"/>
  <c r="H206" i="30" s="1"/>
  <c r="G205" i="30"/>
  <c r="G204" i="30"/>
  <c r="H204" i="30" s="1"/>
  <c r="G203" i="30"/>
  <c r="H203" i="30" s="1"/>
  <c r="G202" i="30"/>
  <c r="H202" i="30" s="1"/>
  <c r="G201" i="30"/>
  <c r="G200" i="30"/>
  <c r="H200" i="30" s="1"/>
  <c r="G199" i="30"/>
  <c r="H199" i="30" s="1"/>
  <c r="G198" i="30"/>
  <c r="H198" i="30" s="1"/>
  <c r="G197" i="30"/>
  <c r="G196" i="30"/>
  <c r="H196" i="30" s="1"/>
  <c r="G195" i="30"/>
  <c r="H195" i="30" s="1"/>
  <c r="G194" i="30"/>
  <c r="H194" i="30" s="1"/>
  <c r="G193" i="30"/>
  <c r="H193" i="30" s="1"/>
  <c r="G192" i="30"/>
  <c r="H192" i="30" s="1"/>
  <c r="G191" i="30"/>
  <c r="H191" i="30" s="1"/>
  <c r="G190" i="30"/>
  <c r="H190" i="30" s="1"/>
  <c r="G189" i="30"/>
  <c r="G188" i="30"/>
  <c r="H188" i="30" s="1"/>
  <c r="G187" i="30"/>
  <c r="H187" i="30" s="1"/>
  <c r="G186" i="30"/>
  <c r="G185" i="30"/>
  <c r="G184" i="30"/>
  <c r="H184" i="30" s="1"/>
  <c r="G183" i="30"/>
  <c r="H183" i="30" s="1"/>
  <c r="G182" i="30"/>
  <c r="H182" i="30" s="1"/>
  <c r="G181" i="30"/>
  <c r="H181" i="30" s="1"/>
  <c r="G180" i="30"/>
  <c r="H180" i="30" s="1"/>
  <c r="G179" i="30"/>
  <c r="H179" i="30" s="1"/>
  <c r="G178" i="30"/>
  <c r="G177" i="30"/>
  <c r="H177" i="30" s="1"/>
  <c r="G176" i="30"/>
  <c r="H176" i="30" s="1"/>
  <c r="G175" i="30"/>
  <c r="G174" i="30"/>
  <c r="H174" i="30" s="1"/>
  <c r="G173" i="30"/>
  <c r="G172" i="30"/>
  <c r="H172" i="30" s="1"/>
  <c r="G171" i="30"/>
  <c r="H171" i="30" s="1"/>
  <c r="G170" i="30"/>
  <c r="H170" i="30" s="1"/>
  <c r="G169" i="30"/>
  <c r="H169" i="30" s="1"/>
  <c r="G168" i="30"/>
  <c r="H168" i="30" s="1"/>
  <c r="G167" i="30"/>
  <c r="G166" i="30"/>
  <c r="H166" i="30" s="1"/>
  <c r="G165" i="30"/>
  <c r="G164" i="30"/>
  <c r="H164" i="30" s="1"/>
  <c r="G163" i="30"/>
  <c r="H163" i="30" s="1"/>
  <c r="G162" i="30"/>
  <c r="H162" i="30" s="1"/>
  <c r="G161" i="30"/>
  <c r="H161" i="30" s="1"/>
  <c r="G160" i="30"/>
  <c r="H160" i="30" s="1"/>
  <c r="G159" i="30"/>
  <c r="H159" i="30" s="1"/>
  <c r="G158" i="30"/>
  <c r="H158" i="30" s="1"/>
  <c r="G157" i="30"/>
  <c r="G156" i="30"/>
  <c r="H156" i="30" s="1"/>
  <c r="G155" i="30"/>
  <c r="H155" i="30" s="1"/>
  <c r="G154" i="30"/>
  <c r="G153" i="30"/>
  <c r="G152" i="30"/>
  <c r="H152" i="30" s="1"/>
  <c r="G151" i="30"/>
  <c r="H151" i="30" s="1"/>
  <c r="G150" i="30"/>
  <c r="H150" i="30" s="1"/>
  <c r="G149" i="30"/>
  <c r="H149" i="30" s="1"/>
  <c r="G148" i="30"/>
  <c r="H148" i="30" s="1"/>
  <c r="G147" i="30"/>
  <c r="H147" i="30" s="1"/>
  <c r="G146" i="30"/>
  <c r="G145" i="30"/>
  <c r="H145" i="30" s="1"/>
  <c r="G144" i="30"/>
  <c r="H144" i="30" s="1"/>
  <c r="G143" i="30"/>
  <c r="G142" i="30"/>
  <c r="H142" i="30" s="1"/>
  <c r="G141" i="30"/>
  <c r="G140" i="30"/>
  <c r="H140" i="30" s="1"/>
  <c r="G139" i="30"/>
  <c r="H139" i="30" s="1"/>
  <c r="G138" i="30"/>
  <c r="H138" i="30" s="1"/>
  <c r="G137" i="30"/>
  <c r="H137" i="30" s="1"/>
  <c r="G136" i="30"/>
  <c r="H136" i="30" s="1"/>
  <c r="G135" i="30"/>
  <c r="G134" i="30"/>
  <c r="H134" i="30" s="1"/>
  <c r="G133" i="30"/>
  <c r="G132" i="30"/>
  <c r="H132" i="30" s="1"/>
  <c r="G131" i="30"/>
  <c r="H131" i="30" s="1"/>
  <c r="G130" i="30"/>
  <c r="H130" i="30" s="1"/>
  <c r="G129" i="30"/>
  <c r="H129" i="30" s="1"/>
  <c r="G128" i="30"/>
  <c r="H128" i="30" s="1"/>
  <c r="G127" i="30"/>
  <c r="H127" i="30" s="1"/>
  <c r="G126" i="30"/>
  <c r="H126" i="30" s="1"/>
  <c r="G125" i="30"/>
  <c r="G124" i="30"/>
  <c r="H124" i="30" s="1"/>
  <c r="G123" i="30"/>
  <c r="H123" i="30" s="1"/>
  <c r="G122" i="30"/>
  <c r="G121" i="30"/>
  <c r="G120" i="30"/>
  <c r="H120" i="30" s="1"/>
  <c r="G119" i="30"/>
  <c r="H119" i="30" s="1"/>
  <c r="G118" i="30"/>
  <c r="H118" i="30" s="1"/>
  <c r="G117" i="30"/>
  <c r="H117" i="30" s="1"/>
  <c r="G116" i="30"/>
  <c r="H116" i="30" s="1"/>
  <c r="G115" i="30"/>
  <c r="H115" i="30" s="1"/>
  <c r="G114" i="30"/>
  <c r="G113" i="30"/>
  <c r="H113" i="30" s="1"/>
  <c r="G112" i="30"/>
  <c r="H112" i="30" s="1"/>
  <c r="G111" i="30"/>
  <c r="G110" i="30"/>
  <c r="H110" i="30" s="1"/>
  <c r="G109" i="30"/>
  <c r="G108" i="30"/>
  <c r="H108" i="30" s="1"/>
  <c r="G107" i="30"/>
  <c r="H107" i="30" s="1"/>
  <c r="G106" i="30"/>
  <c r="H106" i="30" s="1"/>
  <c r="G105" i="30"/>
  <c r="H105" i="30" s="1"/>
  <c r="G104" i="30"/>
  <c r="H104" i="30" s="1"/>
  <c r="G103" i="30"/>
  <c r="G102" i="30"/>
  <c r="H102" i="30" s="1"/>
  <c r="G101" i="30"/>
  <c r="G100" i="30"/>
  <c r="H100" i="30" s="1"/>
  <c r="G99" i="30"/>
  <c r="H99" i="30" s="1"/>
  <c r="G98" i="30"/>
  <c r="H98" i="30" s="1"/>
  <c r="G97" i="30"/>
  <c r="H97" i="30" s="1"/>
  <c r="G96" i="30"/>
  <c r="H96" i="30" s="1"/>
  <c r="G95" i="30"/>
  <c r="H95" i="30" s="1"/>
  <c r="G94" i="30"/>
  <c r="H94" i="30" s="1"/>
  <c r="G93" i="30"/>
  <c r="G92" i="30"/>
  <c r="H92" i="30" s="1"/>
  <c r="G91" i="30"/>
  <c r="H91" i="30" s="1"/>
  <c r="G90" i="30"/>
  <c r="G89" i="30"/>
  <c r="G88" i="30"/>
  <c r="H88" i="30" s="1"/>
  <c r="G87" i="30"/>
  <c r="H87" i="30" s="1"/>
  <c r="G86" i="30"/>
  <c r="H86" i="30" s="1"/>
  <c r="G85" i="30"/>
  <c r="H85" i="30" s="1"/>
  <c r="G84" i="30"/>
  <c r="H84" i="30" s="1"/>
  <c r="G83" i="30"/>
  <c r="H83" i="30" s="1"/>
  <c r="G82" i="30"/>
  <c r="G81" i="30"/>
  <c r="H81" i="30" s="1"/>
  <c r="G80" i="30"/>
  <c r="H80" i="30" s="1"/>
  <c r="G79" i="30"/>
  <c r="G78" i="30"/>
  <c r="H78" i="30" s="1"/>
  <c r="G77" i="30"/>
  <c r="G76" i="30"/>
  <c r="H76" i="30" s="1"/>
  <c r="G75" i="30"/>
  <c r="H75" i="30" s="1"/>
  <c r="G74" i="30"/>
  <c r="H74" i="30" s="1"/>
  <c r="G73" i="30"/>
  <c r="H73" i="30" s="1"/>
  <c r="G72" i="30"/>
  <c r="H72" i="30" s="1"/>
  <c r="G71" i="30"/>
  <c r="G70" i="30"/>
  <c r="H70" i="30" s="1"/>
  <c r="G69" i="30"/>
  <c r="G68" i="30"/>
  <c r="H68" i="30" s="1"/>
  <c r="G67" i="30"/>
  <c r="H67" i="30" s="1"/>
  <c r="G66" i="30"/>
  <c r="H66" i="30" s="1"/>
  <c r="G65" i="30"/>
  <c r="H65" i="30" s="1"/>
  <c r="G64" i="30"/>
  <c r="H64" i="30" s="1"/>
  <c r="G63" i="30"/>
  <c r="H63" i="30" s="1"/>
  <c r="G62" i="30"/>
  <c r="H62" i="30" s="1"/>
  <c r="G61" i="30"/>
  <c r="H61" i="30" s="1"/>
  <c r="G60" i="30"/>
  <c r="H60" i="30" s="1"/>
  <c r="G59" i="30"/>
  <c r="H59" i="30" s="1"/>
  <c r="G58" i="30"/>
  <c r="H58" i="30" s="1"/>
  <c r="G57" i="30"/>
  <c r="H57" i="30" s="1"/>
  <c r="G56" i="30"/>
  <c r="H56" i="30" s="1"/>
  <c r="G55" i="30"/>
  <c r="H55" i="30" s="1"/>
  <c r="G54" i="30"/>
  <c r="H54" i="30" s="1"/>
  <c r="G53" i="30"/>
  <c r="H53" i="30" s="1"/>
  <c r="G52" i="30"/>
  <c r="H52" i="30" s="1"/>
  <c r="G51" i="30"/>
  <c r="H51" i="30" s="1"/>
  <c r="G50" i="30"/>
  <c r="H50" i="30" s="1"/>
  <c r="G49" i="30"/>
  <c r="H49" i="30" s="1"/>
  <c r="G48" i="30"/>
  <c r="H48" i="30" s="1"/>
  <c r="G47" i="30"/>
  <c r="H47" i="30" s="1"/>
  <c r="G46" i="30"/>
  <c r="H46" i="30" s="1"/>
  <c r="G45" i="30"/>
  <c r="H45" i="30" s="1"/>
  <c r="G44" i="30"/>
  <c r="H44" i="30" s="1"/>
  <c r="G43" i="30"/>
  <c r="H43" i="30" s="1"/>
  <c r="G42" i="30"/>
  <c r="H42" i="30" s="1"/>
  <c r="G41" i="30"/>
  <c r="H41" i="30" s="1"/>
  <c r="G40" i="30"/>
  <c r="H40" i="30" s="1"/>
  <c r="G39" i="30"/>
  <c r="H39" i="30" s="1"/>
  <c r="G38" i="30"/>
  <c r="H38" i="30" s="1"/>
  <c r="G37" i="30"/>
  <c r="H37" i="30" s="1"/>
  <c r="G36" i="30"/>
  <c r="H36" i="30" s="1"/>
  <c r="G35" i="30"/>
  <c r="H35" i="30" s="1"/>
  <c r="G34" i="30"/>
  <c r="H34" i="30" s="1"/>
  <c r="G33" i="30"/>
  <c r="H33" i="30" s="1"/>
  <c r="G32" i="30"/>
  <c r="H32" i="30" s="1"/>
  <c r="G31" i="30"/>
  <c r="H31" i="30" s="1"/>
  <c r="G30" i="30"/>
  <c r="H30" i="30" s="1"/>
  <c r="G29" i="30"/>
  <c r="H29" i="30" s="1"/>
  <c r="G28" i="30"/>
  <c r="H28" i="30" s="1"/>
  <c r="G27" i="30"/>
  <c r="H27" i="30" s="1"/>
  <c r="G26" i="30"/>
  <c r="H26" i="30" s="1"/>
  <c r="G25" i="30"/>
  <c r="H25" i="30" s="1"/>
  <c r="G24" i="30"/>
  <c r="H24" i="30" s="1"/>
  <c r="G23" i="30"/>
  <c r="H23" i="30" s="1"/>
  <c r="G22" i="30"/>
  <c r="H22" i="30" s="1"/>
  <c r="G21" i="30"/>
  <c r="H21" i="30" s="1"/>
  <c r="G20" i="30"/>
  <c r="H20" i="30" s="1"/>
  <c r="G19" i="30"/>
  <c r="H19" i="30" s="1"/>
  <c r="G18" i="30"/>
  <c r="H18" i="30" s="1"/>
  <c r="G17" i="30"/>
  <c r="H17" i="30" s="1"/>
  <c r="G16" i="30"/>
  <c r="H16" i="30" s="1"/>
  <c r="G15" i="30"/>
  <c r="H15" i="30" s="1"/>
  <c r="G14" i="30"/>
  <c r="H14" i="30" s="1"/>
  <c r="G13" i="30"/>
  <c r="H13" i="30" s="1"/>
  <c r="G12" i="30"/>
  <c r="H12" i="30" s="1"/>
  <c r="G11" i="30"/>
  <c r="H11" i="30" s="1"/>
  <c r="G10" i="30"/>
  <c r="H10" i="30" s="1"/>
  <c r="G9" i="30"/>
  <c r="H9" i="30" s="1"/>
  <c r="G8" i="30"/>
  <c r="H8" i="30" s="1"/>
  <c r="G6" i="30"/>
  <c r="H6" i="30" s="1"/>
  <c r="G5" i="30"/>
  <c r="H5" i="30" s="1"/>
  <c r="G4" i="30"/>
  <c r="H4" i="30" s="1"/>
  <c r="F250" i="30"/>
  <c r="F249" i="30"/>
  <c r="F248" i="30"/>
  <c r="F247" i="30"/>
  <c r="F246" i="30"/>
  <c r="F245" i="30"/>
  <c r="F244" i="30"/>
  <c r="F243" i="30"/>
  <c r="F242" i="30"/>
  <c r="F241" i="30"/>
  <c r="F240" i="30"/>
  <c r="F239" i="30"/>
  <c r="F238" i="30"/>
  <c r="F237" i="30"/>
  <c r="F236" i="30"/>
  <c r="F235" i="30"/>
  <c r="F234" i="30"/>
  <c r="F233" i="30"/>
  <c r="F232" i="30"/>
  <c r="F231" i="30"/>
  <c r="F230" i="30"/>
  <c r="F229" i="30"/>
  <c r="F228" i="30"/>
  <c r="F227" i="30"/>
  <c r="F226" i="30"/>
  <c r="F225" i="30"/>
  <c r="F224" i="30"/>
  <c r="F223" i="30"/>
  <c r="F222" i="30"/>
  <c r="F221" i="30"/>
  <c r="F220" i="30"/>
  <c r="F219" i="30"/>
  <c r="F218" i="30"/>
  <c r="F217" i="30"/>
  <c r="F216" i="30"/>
  <c r="F215" i="30"/>
  <c r="F214" i="30"/>
  <c r="F213" i="30"/>
  <c r="F212" i="30"/>
  <c r="F211" i="30"/>
  <c r="F210" i="30"/>
  <c r="F209" i="30"/>
  <c r="F208" i="30"/>
  <c r="F207" i="30"/>
  <c r="F206" i="30"/>
  <c r="F205" i="30"/>
  <c r="F204" i="30"/>
  <c r="F203" i="30"/>
  <c r="F202" i="30"/>
  <c r="F201" i="30"/>
  <c r="F200" i="30"/>
  <c r="F199" i="30"/>
  <c r="F198" i="30"/>
  <c r="F197" i="30"/>
  <c r="F196" i="30"/>
  <c r="F195" i="30"/>
  <c r="F194" i="30"/>
  <c r="F193" i="30"/>
  <c r="F192" i="30"/>
  <c r="F191" i="30"/>
  <c r="F190" i="30"/>
  <c r="F189" i="30"/>
  <c r="F188" i="30"/>
  <c r="F187" i="30"/>
  <c r="F186" i="30"/>
  <c r="F185" i="30"/>
  <c r="F184" i="30"/>
  <c r="F183" i="30"/>
  <c r="F182" i="30"/>
  <c r="F181" i="30"/>
  <c r="F180" i="30"/>
  <c r="F179" i="30"/>
  <c r="F178" i="30"/>
  <c r="F177" i="30"/>
  <c r="F176" i="30"/>
  <c r="F175" i="30"/>
  <c r="F174" i="30"/>
  <c r="F173" i="30"/>
  <c r="F172" i="30"/>
  <c r="F171" i="30"/>
  <c r="F170" i="30"/>
  <c r="F169" i="30"/>
  <c r="F168" i="30"/>
  <c r="F167" i="30"/>
  <c r="F166" i="30"/>
  <c r="F165" i="30"/>
  <c r="F164" i="30"/>
  <c r="F163" i="30"/>
  <c r="F162" i="30"/>
  <c r="F161" i="30"/>
  <c r="F160" i="30"/>
  <c r="F159" i="30"/>
  <c r="F158" i="30"/>
  <c r="F157" i="30"/>
  <c r="F156" i="30"/>
  <c r="F155" i="30"/>
  <c r="F154" i="30"/>
  <c r="F153" i="30"/>
  <c r="F152" i="30"/>
  <c r="F151" i="30"/>
  <c r="F150" i="30"/>
  <c r="F149" i="30"/>
  <c r="F148" i="30"/>
  <c r="F147" i="30"/>
  <c r="F146" i="30"/>
  <c r="F145" i="30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F106" i="30"/>
  <c r="F105" i="30"/>
  <c r="F104" i="30"/>
  <c r="F103" i="30"/>
  <c r="F102" i="30"/>
  <c r="F101" i="30"/>
  <c r="F100" i="30"/>
  <c r="F99" i="30"/>
  <c r="F98" i="30"/>
  <c r="F97" i="30"/>
  <c r="F96" i="30"/>
  <c r="F95" i="30"/>
  <c r="F94" i="30"/>
  <c r="F93" i="30"/>
  <c r="F92" i="30"/>
  <c r="F91" i="30"/>
  <c r="F90" i="30"/>
  <c r="F89" i="30"/>
  <c r="F88" i="30"/>
  <c r="F87" i="30"/>
  <c r="F86" i="30"/>
  <c r="F85" i="30"/>
  <c r="F84" i="30"/>
  <c r="F83" i="30"/>
  <c r="F82" i="30"/>
  <c r="F81" i="30"/>
  <c r="F80" i="30"/>
  <c r="F79" i="30"/>
  <c r="F78" i="30"/>
  <c r="F77" i="30"/>
  <c r="F76" i="30"/>
  <c r="F75" i="30"/>
  <c r="F74" i="30"/>
  <c r="F73" i="30"/>
  <c r="F72" i="30"/>
  <c r="F71" i="30"/>
  <c r="F70" i="30"/>
  <c r="F69" i="30"/>
  <c r="F68" i="30"/>
  <c r="F67" i="30"/>
  <c r="F66" i="30"/>
  <c r="F65" i="30"/>
  <c r="F64" i="30"/>
  <c r="F63" i="30"/>
  <c r="F62" i="30"/>
  <c r="F61" i="30"/>
  <c r="F60" i="30"/>
  <c r="F59" i="30"/>
  <c r="F58" i="30"/>
  <c r="F57" i="30"/>
  <c r="F56" i="30"/>
  <c r="F55" i="30"/>
  <c r="F54" i="30"/>
  <c r="F53" i="30"/>
  <c r="F52" i="30"/>
  <c r="F51" i="30"/>
  <c r="F50" i="30"/>
  <c r="F49" i="30"/>
  <c r="F48" i="30"/>
  <c r="F47" i="30"/>
  <c r="F46" i="30"/>
  <c r="F45" i="30"/>
  <c r="F44" i="30"/>
  <c r="F43" i="30"/>
  <c r="F42" i="30"/>
  <c r="F41" i="30"/>
  <c r="F40" i="30"/>
  <c r="F39" i="30"/>
  <c r="F38" i="30"/>
  <c r="F37" i="30"/>
  <c r="F36" i="30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6" i="30"/>
  <c r="F5" i="30"/>
  <c r="F4" i="30"/>
  <c r="E250" i="30"/>
  <c r="E249" i="30"/>
  <c r="E248" i="30"/>
  <c r="E247" i="30"/>
  <c r="E246" i="30"/>
  <c r="E245" i="30"/>
  <c r="E244" i="30"/>
  <c r="E243" i="30"/>
  <c r="E242" i="30"/>
  <c r="E241" i="30"/>
  <c r="E240" i="30"/>
  <c r="E239" i="30"/>
  <c r="E238" i="30"/>
  <c r="E237" i="30"/>
  <c r="E236" i="30"/>
  <c r="E235" i="30"/>
  <c r="E234" i="30"/>
  <c r="E233" i="30"/>
  <c r="E232" i="30"/>
  <c r="E231" i="30"/>
  <c r="E230" i="30"/>
  <c r="E229" i="30"/>
  <c r="E228" i="30"/>
  <c r="E227" i="30"/>
  <c r="E226" i="30"/>
  <c r="E225" i="30"/>
  <c r="E224" i="30"/>
  <c r="E223" i="30"/>
  <c r="E222" i="30"/>
  <c r="E221" i="30"/>
  <c r="E220" i="30"/>
  <c r="E219" i="30"/>
  <c r="E218" i="30"/>
  <c r="E217" i="30"/>
  <c r="E216" i="30"/>
  <c r="E215" i="30"/>
  <c r="E214" i="30"/>
  <c r="E213" i="30"/>
  <c r="E212" i="30"/>
  <c r="E211" i="30"/>
  <c r="E210" i="30"/>
  <c r="E209" i="30"/>
  <c r="E208" i="30"/>
  <c r="E207" i="30"/>
  <c r="E206" i="30"/>
  <c r="E205" i="30"/>
  <c r="E204" i="30"/>
  <c r="E203" i="30"/>
  <c r="E202" i="30"/>
  <c r="E201" i="30"/>
  <c r="E200" i="30"/>
  <c r="E199" i="30"/>
  <c r="E198" i="30"/>
  <c r="E197" i="30"/>
  <c r="E196" i="30"/>
  <c r="E195" i="30"/>
  <c r="E194" i="30"/>
  <c r="E193" i="30"/>
  <c r="E192" i="30"/>
  <c r="E191" i="30"/>
  <c r="E190" i="30"/>
  <c r="E189" i="30"/>
  <c r="E188" i="30"/>
  <c r="E187" i="30"/>
  <c r="E186" i="30"/>
  <c r="E185" i="30"/>
  <c r="E184" i="30"/>
  <c r="E183" i="30"/>
  <c r="E182" i="30"/>
  <c r="E181" i="30"/>
  <c r="E180" i="30"/>
  <c r="E179" i="30"/>
  <c r="E178" i="30"/>
  <c r="E177" i="30"/>
  <c r="E176" i="30"/>
  <c r="E175" i="30"/>
  <c r="E174" i="30"/>
  <c r="E173" i="30"/>
  <c r="E172" i="30"/>
  <c r="E171" i="30"/>
  <c r="E170" i="30"/>
  <c r="E169" i="30"/>
  <c r="E168" i="30"/>
  <c r="E167" i="30"/>
  <c r="E166" i="30"/>
  <c r="E165" i="30"/>
  <c r="E164" i="30"/>
  <c r="E163" i="30"/>
  <c r="E162" i="30"/>
  <c r="E161" i="30"/>
  <c r="E160" i="30"/>
  <c r="E159" i="30"/>
  <c r="E158" i="30"/>
  <c r="E157" i="30"/>
  <c r="E156" i="30"/>
  <c r="E155" i="30"/>
  <c r="E154" i="30"/>
  <c r="E153" i="30"/>
  <c r="E152" i="30"/>
  <c r="E151" i="30"/>
  <c r="E150" i="30"/>
  <c r="E149" i="30"/>
  <c r="E148" i="30"/>
  <c r="E147" i="30"/>
  <c r="E146" i="30"/>
  <c r="E145" i="30"/>
  <c r="E144" i="30"/>
  <c r="E143" i="30"/>
  <c r="E142" i="30"/>
  <c r="E141" i="30"/>
  <c r="E140" i="30"/>
  <c r="E139" i="30"/>
  <c r="E138" i="30"/>
  <c r="E137" i="30"/>
  <c r="E136" i="30"/>
  <c r="E135" i="30"/>
  <c r="E134" i="30"/>
  <c r="E133" i="30"/>
  <c r="E132" i="30"/>
  <c r="E131" i="30"/>
  <c r="E130" i="30"/>
  <c r="E129" i="30"/>
  <c r="E128" i="30"/>
  <c r="E127" i="30"/>
  <c r="E126" i="30"/>
  <c r="E125" i="30"/>
  <c r="E124" i="30"/>
  <c r="E123" i="30"/>
  <c r="E122" i="30"/>
  <c r="E121" i="30"/>
  <c r="E120" i="30"/>
  <c r="E119" i="30"/>
  <c r="E118" i="30"/>
  <c r="E117" i="30"/>
  <c r="E116" i="30"/>
  <c r="E115" i="30"/>
  <c r="E114" i="30"/>
  <c r="E113" i="30"/>
  <c r="E112" i="30"/>
  <c r="E111" i="30"/>
  <c r="E110" i="30"/>
  <c r="E109" i="30"/>
  <c r="E108" i="30"/>
  <c r="E107" i="30"/>
  <c r="E106" i="30"/>
  <c r="E105" i="30"/>
  <c r="E104" i="30"/>
  <c r="E103" i="30"/>
  <c r="E102" i="30"/>
  <c r="E101" i="30"/>
  <c r="E100" i="30"/>
  <c r="E99" i="30"/>
  <c r="E98" i="30"/>
  <c r="E97" i="30"/>
  <c r="E96" i="30"/>
  <c r="E95" i="30"/>
  <c r="E94" i="30"/>
  <c r="E93" i="30"/>
  <c r="E92" i="30"/>
  <c r="E91" i="30"/>
  <c r="E90" i="30"/>
  <c r="E89" i="30"/>
  <c r="E88" i="30"/>
  <c r="E87" i="30"/>
  <c r="E86" i="30"/>
  <c r="E85" i="30"/>
  <c r="E84" i="30"/>
  <c r="E83" i="30"/>
  <c r="E82" i="30"/>
  <c r="E81" i="30"/>
  <c r="E80" i="30"/>
  <c r="E79" i="30"/>
  <c r="E78" i="30"/>
  <c r="E77" i="30"/>
  <c r="E76" i="30"/>
  <c r="E75" i="30"/>
  <c r="E74" i="30"/>
  <c r="E73" i="30"/>
  <c r="E72" i="30"/>
  <c r="E71" i="30"/>
  <c r="E70" i="30"/>
  <c r="E69" i="30"/>
  <c r="E68" i="30"/>
  <c r="E67" i="30"/>
  <c r="E66" i="30"/>
  <c r="E65" i="30"/>
  <c r="E64" i="30"/>
  <c r="E63" i="30"/>
  <c r="E62" i="30"/>
  <c r="E61" i="30"/>
  <c r="E60" i="30"/>
  <c r="E59" i="30"/>
  <c r="E58" i="30"/>
  <c r="E57" i="30"/>
  <c r="E56" i="30"/>
  <c r="E55" i="30"/>
  <c r="E54" i="30"/>
  <c r="E53" i="30"/>
  <c r="E52" i="30"/>
  <c r="E51" i="30"/>
  <c r="E50" i="30"/>
  <c r="E49" i="30"/>
  <c r="E48" i="30"/>
  <c r="E47" i="30"/>
  <c r="E46" i="30"/>
  <c r="E45" i="30"/>
  <c r="E44" i="30"/>
  <c r="E43" i="30"/>
  <c r="E42" i="30"/>
  <c r="E41" i="30"/>
  <c r="E40" i="30"/>
  <c r="E39" i="30"/>
  <c r="E38" i="30"/>
  <c r="E37" i="30"/>
  <c r="E36" i="30"/>
  <c r="E35" i="30"/>
  <c r="E34" i="30"/>
  <c r="E33" i="30"/>
  <c r="E32" i="30"/>
  <c r="E31" i="30"/>
  <c r="E30" i="30"/>
  <c r="E29" i="30"/>
  <c r="E28" i="30"/>
  <c r="E27" i="30"/>
  <c r="E26" i="30"/>
  <c r="E25" i="30"/>
  <c r="E24" i="30"/>
  <c r="E23" i="30"/>
  <c r="E22" i="30"/>
  <c r="E21" i="30"/>
  <c r="E20" i="30"/>
  <c r="E19" i="30"/>
  <c r="E18" i="30"/>
  <c r="E17" i="30"/>
  <c r="E16" i="30"/>
  <c r="E15" i="30"/>
  <c r="E14" i="30"/>
  <c r="E13" i="30"/>
  <c r="E12" i="30"/>
  <c r="E11" i="30"/>
  <c r="E10" i="30"/>
  <c r="E9" i="30"/>
  <c r="E8" i="30"/>
  <c r="E7" i="30"/>
  <c r="F7" i="30" s="1"/>
  <c r="E6" i="30"/>
  <c r="E5" i="30"/>
  <c r="E4" i="30"/>
  <c r="E3" i="30"/>
  <c r="F3" i="30" s="1"/>
  <c r="D250" i="30"/>
  <c r="D249" i="30"/>
  <c r="D248" i="30"/>
  <c r="D247" i="30"/>
  <c r="D246" i="30"/>
  <c r="D245" i="30"/>
  <c r="D244" i="30"/>
  <c r="D243" i="30"/>
  <c r="D242" i="30"/>
  <c r="D241" i="30"/>
  <c r="D240" i="30"/>
  <c r="D239" i="30"/>
  <c r="D238" i="30"/>
  <c r="D237" i="30"/>
  <c r="D236" i="30"/>
  <c r="D235" i="30"/>
  <c r="D234" i="30"/>
  <c r="D233" i="30"/>
  <c r="D232" i="30"/>
  <c r="D231" i="30"/>
  <c r="D230" i="30"/>
  <c r="D229" i="30"/>
  <c r="D228" i="30"/>
  <c r="D227" i="30"/>
  <c r="D226" i="30"/>
  <c r="D225" i="30"/>
  <c r="D224" i="30"/>
  <c r="D223" i="30"/>
  <c r="D222" i="30"/>
  <c r="D221" i="30"/>
  <c r="D220" i="30"/>
  <c r="D219" i="30"/>
  <c r="D218" i="30"/>
  <c r="D217" i="30"/>
  <c r="D216" i="30"/>
  <c r="D215" i="30"/>
  <c r="D214" i="30"/>
  <c r="D213" i="30"/>
  <c r="D212" i="30"/>
  <c r="D211" i="30"/>
  <c r="D210" i="30"/>
  <c r="D209" i="30"/>
  <c r="D208" i="30"/>
  <c r="D207" i="30"/>
  <c r="D206" i="30"/>
  <c r="D205" i="30"/>
  <c r="D204" i="30"/>
  <c r="D203" i="30"/>
  <c r="D202" i="30"/>
  <c r="D201" i="30"/>
  <c r="D200" i="30"/>
  <c r="D199" i="30"/>
  <c r="D198" i="30"/>
  <c r="D197" i="30"/>
  <c r="D196" i="30"/>
  <c r="D195" i="30"/>
  <c r="D194" i="30"/>
  <c r="D193" i="30"/>
  <c r="D192" i="30"/>
  <c r="D191" i="30"/>
  <c r="D190" i="30"/>
  <c r="D189" i="30"/>
  <c r="D188" i="30"/>
  <c r="D187" i="30"/>
  <c r="D186" i="30"/>
  <c r="D185" i="30"/>
  <c r="D184" i="30"/>
  <c r="D183" i="30"/>
  <c r="D182" i="30"/>
  <c r="D181" i="30"/>
  <c r="D180" i="30"/>
  <c r="D179" i="30"/>
  <c r="D178" i="30"/>
  <c r="D177" i="30"/>
  <c r="D176" i="30"/>
  <c r="D175" i="30"/>
  <c r="D174" i="30"/>
  <c r="D173" i="30"/>
  <c r="D172" i="30"/>
  <c r="D171" i="30"/>
  <c r="D170" i="30"/>
  <c r="D169" i="30"/>
  <c r="D168" i="30"/>
  <c r="D167" i="30"/>
  <c r="D166" i="30"/>
  <c r="D165" i="30"/>
  <c r="D164" i="30"/>
  <c r="D163" i="30"/>
  <c r="D162" i="30"/>
  <c r="D161" i="30"/>
  <c r="D160" i="30"/>
  <c r="D159" i="30"/>
  <c r="D158" i="30"/>
  <c r="D157" i="30"/>
  <c r="D156" i="30"/>
  <c r="D155" i="30"/>
  <c r="D154" i="30"/>
  <c r="D153" i="30"/>
  <c r="D152" i="30"/>
  <c r="D151" i="30"/>
  <c r="D150" i="30"/>
  <c r="D149" i="30"/>
  <c r="D148" i="30"/>
  <c r="D147" i="30"/>
  <c r="D146" i="30"/>
  <c r="D145" i="30"/>
  <c r="D144" i="30"/>
  <c r="D143" i="30"/>
  <c r="D142" i="30"/>
  <c r="D141" i="30"/>
  <c r="D140" i="30"/>
  <c r="D139" i="30"/>
  <c r="D138" i="30"/>
  <c r="D137" i="30"/>
  <c r="D136" i="30"/>
  <c r="D135" i="30"/>
  <c r="D134" i="30"/>
  <c r="D133" i="30"/>
  <c r="D132" i="30"/>
  <c r="D131" i="30"/>
  <c r="D130" i="30"/>
  <c r="D129" i="30"/>
  <c r="D128" i="30"/>
  <c r="D127" i="30"/>
  <c r="D126" i="30"/>
  <c r="D125" i="30"/>
  <c r="D124" i="30"/>
  <c r="D123" i="30"/>
  <c r="D122" i="30"/>
  <c r="D121" i="30"/>
  <c r="D120" i="30"/>
  <c r="D119" i="30"/>
  <c r="D118" i="30"/>
  <c r="D117" i="30"/>
  <c r="D116" i="30"/>
  <c r="D115" i="30"/>
  <c r="D114" i="30"/>
  <c r="D113" i="30"/>
  <c r="D112" i="30"/>
  <c r="D111" i="30"/>
  <c r="D110" i="30"/>
  <c r="D109" i="30"/>
  <c r="D108" i="30"/>
  <c r="D107" i="30"/>
  <c r="D106" i="30"/>
  <c r="D105" i="30"/>
  <c r="D104" i="30"/>
  <c r="D103" i="30"/>
  <c r="D102" i="30"/>
  <c r="D101" i="30"/>
  <c r="D100" i="30"/>
  <c r="D99" i="30"/>
  <c r="D98" i="30"/>
  <c r="D97" i="30"/>
  <c r="D96" i="30"/>
  <c r="D95" i="30"/>
  <c r="D94" i="30"/>
  <c r="D93" i="30"/>
  <c r="D92" i="30"/>
  <c r="D91" i="30"/>
  <c r="D90" i="30"/>
  <c r="D89" i="30"/>
  <c r="D88" i="30"/>
  <c r="D87" i="30"/>
  <c r="D86" i="30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6" i="30"/>
  <c r="D5" i="30"/>
  <c r="D4" i="30"/>
  <c r="C250" i="30"/>
  <c r="C249" i="30"/>
  <c r="C248" i="30"/>
  <c r="C247" i="30"/>
  <c r="C246" i="30"/>
  <c r="C245" i="30"/>
  <c r="C244" i="30"/>
  <c r="C243" i="30"/>
  <c r="C242" i="30"/>
  <c r="C241" i="30"/>
  <c r="C240" i="30"/>
  <c r="C239" i="30"/>
  <c r="C238" i="30"/>
  <c r="C237" i="30"/>
  <c r="C236" i="30"/>
  <c r="C235" i="30"/>
  <c r="C234" i="30"/>
  <c r="C233" i="30"/>
  <c r="C232" i="30"/>
  <c r="C231" i="30"/>
  <c r="C230" i="30"/>
  <c r="C229" i="30"/>
  <c r="C228" i="30"/>
  <c r="C227" i="30"/>
  <c r="C226" i="30"/>
  <c r="C225" i="30"/>
  <c r="C224" i="30"/>
  <c r="C223" i="30"/>
  <c r="C222" i="30"/>
  <c r="C221" i="30"/>
  <c r="C220" i="30"/>
  <c r="C219" i="30"/>
  <c r="C218" i="30"/>
  <c r="C217" i="30"/>
  <c r="C216" i="30"/>
  <c r="C215" i="30"/>
  <c r="C214" i="30"/>
  <c r="C213" i="30"/>
  <c r="C212" i="30"/>
  <c r="C211" i="30"/>
  <c r="C210" i="30"/>
  <c r="C209" i="30"/>
  <c r="C208" i="30"/>
  <c r="C207" i="30"/>
  <c r="C206" i="30"/>
  <c r="C205" i="30"/>
  <c r="C204" i="30"/>
  <c r="C203" i="30"/>
  <c r="C202" i="30"/>
  <c r="C201" i="30"/>
  <c r="C200" i="30"/>
  <c r="C199" i="30"/>
  <c r="C198" i="30"/>
  <c r="C197" i="30"/>
  <c r="C196" i="30"/>
  <c r="C195" i="30"/>
  <c r="C194" i="30"/>
  <c r="C193" i="30"/>
  <c r="C192" i="30"/>
  <c r="C191" i="30"/>
  <c r="C190" i="30"/>
  <c r="C189" i="30"/>
  <c r="C188" i="30"/>
  <c r="C187" i="30"/>
  <c r="C186" i="30"/>
  <c r="C185" i="30"/>
  <c r="C184" i="30"/>
  <c r="C183" i="30"/>
  <c r="C182" i="30"/>
  <c r="C181" i="30"/>
  <c r="C180" i="30"/>
  <c r="C179" i="30"/>
  <c r="C178" i="30"/>
  <c r="C177" i="30"/>
  <c r="C176" i="30"/>
  <c r="C175" i="30"/>
  <c r="C174" i="30"/>
  <c r="C173" i="30"/>
  <c r="C172" i="30"/>
  <c r="C171" i="30"/>
  <c r="C170" i="30"/>
  <c r="C169" i="30"/>
  <c r="C168" i="30"/>
  <c r="C167" i="30"/>
  <c r="C166" i="30"/>
  <c r="C165" i="30"/>
  <c r="C164" i="30"/>
  <c r="C163" i="30"/>
  <c r="C162" i="30"/>
  <c r="C161" i="30"/>
  <c r="C160" i="30"/>
  <c r="C159" i="30"/>
  <c r="C158" i="30"/>
  <c r="C157" i="30"/>
  <c r="C156" i="30"/>
  <c r="C155" i="30"/>
  <c r="C154" i="30"/>
  <c r="C153" i="30"/>
  <c r="C152" i="30"/>
  <c r="C151" i="30"/>
  <c r="C150" i="30"/>
  <c r="C149" i="30"/>
  <c r="C148" i="30"/>
  <c r="C147" i="30"/>
  <c r="C146" i="30"/>
  <c r="C145" i="30"/>
  <c r="C144" i="30"/>
  <c r="C143" i="30"/>
  <c r="C142" i="30"/>
  <c r="C141" i="30"/>
  <c r="C140" i="30"/>
  <c r="C139" i="30"/>
  <c r="C138" i="30"/>
  <c r="C137" i="30"/>
  <c r="C136" i="30"/>
  <c r="C135" i="30"/>
  <c r="C134" i="30"/>
  <c r="C133" i="30"/>
  <c r="C132" i="30"/>
  <c r="C131" i="30"/>
  <c r="C130" i="30"/>
  <c r="C129" i="30"/>
  <c r="C128" i="30"/>
  <c r="C127" i="30"/>
  <c r="C126" i="30"/>
  <c r="C125" i="30"/>
  <c r="C124" i="30"/>
  <c r="C123" i="30"/>
  <c r="C122" i="30"/>
  <c r="C121" i="30"/>
  <c r="C120" i="30"/>
  <c r="C119" i="30"/>
  <c r="C118" i="30"/>
  <c r="C117" i="30"/>
  <c r="C116" i="30"/>
  <c r="C115" i="30"/>
  <c r="C114" i="30"/>
  <c r="C113" i="30"/>
  <c r="C112" i="30"/>
  <c r="C111" i="30"/>
  <c r="C110" i="30"/>
  <c r="C109" i="30"/>
  <c r="C108" i="30"/>
  <c r="C107" i="30"/>
  <c r="C106" i="30"/>
  <c r="C105" i="30"/>
  <c r="C104" i="30"/>
  <c r="C103" i="30"/>
  <c r="C102" i="30"/>
  <c r="C101" i="30"/>
  <c r="C100" i="30"/>
  <c r="C99" i="30"/>
  <c r="C98" i="30"/>
  <c r="C97" i="30"/>
  <c r="C96" i="30"/>
  <c r="C95" i="30"/>
  <c r="C94" i="30"/>
  <c r="C93" i="30"/>
  <c r="C92" i="30"/>
  <c r="C91" i="30"/>
  <c r="C90" i="30"/>
  <c r="C89" i="30"/>
  <c r="C88" i="30"/>
  <c r="C87" i="30"/>
  <c r="C86" i="30"/>
  <c r="C85" i="30"/>
  <c r="C84" i="30"/>
  <c r="C83" i="30"/>
  <c r="C82" i="30"/>
  <c r="C81" i="30"/>
  <c r="C80" i="30"/>
  <c r="C79" i="30"/>
  <c r="C78" i="30"/>
  <c r="C77" i="30"/>
  <c r="C76" i="30"/>
  <c r="C75" i="30"/>
  <c r="C74" i="30"/>
  <c r="C73" i="30"/>
  <c r="C72" i="30"/>
  <c r="C71" i="30"/>
  <c r="C70" i="30"/>
  <c r="C69" i="30"/>
  <c r="C68" i="30"/>
  <c r="C67" i="30"/>
  <c r="C66" i="30"/>
  <c r="C65" i="30"/>
  <c r="C64" i="30"/>
  <c r="C63" i="30"/>
  <c r="C62" i="30"/>
  <c r="C61" i="30"/>
  <c r="C60" i="30"/>
  <c r="C59" i="30"/>
  <c r="C58" i="30"/>
  <c r="C57" i="30"/>
  <c r="C56" i="30"/>
  <c r="C55" i="30"/>
  <c r="C54" i="30"/>
  <c r="C53" i="30"/>
  <c r="C52" i="30"/>
  <c r="C51" i="30"/>
  <c r="C50" i="30"/>
  <c r="C49" i="30"/>
  <c r="C48" i="30"/>
  <c r="C47" i="30"/>
  <c r="C46" i="30"/>
  <c r="C45" i="30"/>
  <c r="C44" i="30"/>
  <c r="C43" i="30"/>
  <c r="C42" i="30"/>
  <c r="C41" i="30"/>
  <c r="C40" i="30"/>
  <c r="C39" i="30"/>
  <c r="C38" i="30"/>
  <c r="C37" i="30"/>
  <c r="C36" i="30"/>
  <c r="C35" i="30"/>
  <c r="C34" i="30"/>
  <c r="C33" i="30"/>
  <c r="C32" i="30"/>
  <c r="C31" i="30"/>
  <c r="C30" i="30"/>
  <c r="C29" i="30"/>
  <c r="C28" i="30"/>
  <c r="C27" i="30"/>
  <c r="C26" i="30"/>
  <c r="C25" i="30"/>
  <c r="C24" i="30"/>
  <c r="C23" i="30"/>
  <c r="C22" i="30"/>
  <c r="C21" i="30"/>
  <c r="C20" i="30"/>
  <c r="C19" i="30"/>
  <c r="C18" i="30"/>
  <c r="C17" i="30"/>
  <c r="C16" i="30"/>
  <c r="C15" i="30"/>
  <c r="C14" i="30"/>
  <c r="C13" i="30"/>
  <c r="C12" i="30"/>
  <c r="C11" i="30"/>
  <c r="C10" i="30"/>
  <c r="C9" i="30"/>
  <c r="C8" i="30"/>
  <c r="C7" i="30"/>
  <c r="D7" i="30" s="1"/>
  <c r="C6" i="30"/>
  <c r="C5" i="30"/>
  <c r="C4" i="30"/>
  <c r="C3" i="30"/>
  <c r="D3" i="30" s="1"/>
  <c r="B250" i="30"/>
  <c r="B249" i="30"/>
  <c r="B248" i="30"/>
  <c r="B247" i="30"/>
  <c r="B246" i="30"/>
  <c r="B245" i="30"/>
  <c r="B244" i="30"/>
  <c r="B243" i="30"/>
  <c r="B242" i="30"/>
  <c r="B241" i="30"/>
  <c r="B240" i="30"/>
  <c r="B239" i="30"/>
  <c r="B238" i="30"/>
  <c r="B237" i="30"/>
  <c r="B236" i="30"/>
  <c r="B235" i="30"/>
  <c r="B234" i="30"/>
  <c r="B233" i="30"/>
  <c r="B232" i="30"/>
  <c r="B231" i="30"/>
  <c r="B230" i="30"/>
  <c r="B229" i="30"/>
  <c r="B228" i="30"/>
  <c r="B227" i="30"/>
  <c r="B226" i="30"/>
  <c r="B225" i="30"/>
  <c r="B224" i="30"/>
  <c r="B223" i="30"/>
  <c r="B222" i="30"/>
  <c r="B221" i="30"/>
  <c r="B220" i="30"/>
  <c r="B219" i="30"/>
  <c r="B218" i="30"/>
  <c r="B217" i="30"/>
  <c r="B216" i="30"/>
  <c r="B215" i="30"/>
  <c r="B214" i="30"/>
  <c r="B213" i="30"/>
  <c r="B212" i="30"/>
  <c r="B211" i="30"/>
  <c r="B210" i="30"/>
  <c r="B209" i="30"/>
  <c r="B208" i="30"/>
  <c r="B207" i="30"/>
  <c r="B206" i="30"/>
  <c r="B205" i="30"/>
  <c r="B204" i="30"/>
  <c r="B203" i="30"/>
  <c r="B202" i="30"/>
  <c r="B201" i="30"/>
  <c r="B200" i="30"/>
  <c r="B199" i="30"/>
  <c r="B198" i="30"/>
  <c r="B197" i="30"/>
  <c r="B196" i="30"/>
  <c r="B195" i="30"/>
  <c r="B194" i="30"/>
  <c r="B193" i="30"/>
  <c r="B192" i="30"/>
  <c r="B191" i="30"/>
  <c r="B190" i="30"/>
  <c r="B189" i="30"/>
  <c r="B188" i="30"/>
  <c r="B187" i="30"/>
  <c r="B186" i="30"/>
  <c r="B185" i="30"/>
  <c r="B184" i="30"/>
  <c r="B183" i="30"/>
  <c r="B182" i="30"/>
  <c r="B181" i="30"/>
  <c r="B180" i="30"/>
  <c r="B179" i="30"/>
  <c r="B178" i="30"/>
  <c r="B177" i="30"/>
  <c r="B176" i="30"/>
  <c r="B175" i="30"/>
  <c r="B174" i="30"/>
  <c r="B173" i="30"/>
  <c r="B172" i="30"/>
  <c r="B171" i="30"/>
  <c r="B170" i="30"/>
  <c r="B169" i="30"/>
  <c r="B168" i="30"/>
  <c r="B167" i="30"/>
  <c r="B166" i="30"/>
  <c r="B165" i="30"/>
  <c r="B164" i="30"/>
  <c r="B163" i="30"/>
  <c r="B162" i="30"/>
  <c r="B161" i="30"/>
  <c r="B160" i="30"/>
  <c r="B159" i="30"/>
  <c r="B158" i="30"/>
  <c r="B157" i="30"/>
  <c r="B156" i="30"/>
  <c r="B155" i="30"/>
  <c r="B154" i="30"/>
  <c r="B153" i="30"/>
  <c r="B152" i="30"/>
  <c r="B151" i="30"/>
  <c r="B150" i="30"/>
  <c r="B149" i="30"/>
  <c r="B148" i="30"/>
  <c r="B147" i="30"/>
  <c r="B146" i="30"/>
  <c r="B145" i="30"/>
  <c r="B144" i="30"/>
  <c r="B143" i="30"/>
  <c r="B142" i="30"/>
  <c r="B141" i="30"/>
  <c r="B140" i="30"/>
  <c r="B139" i="30"/>
  <c r="B138" i="30"/>
  <c r="B137" i="30"/>
  <c r="B136" i="30"/>
  <c r="B135" i="30"/>
  <c r="B134" i="30"/>
  <c r="B133" i="30"/>
  <c r="B132" i="30"/>
  <c r="B131" i="30"/>
  <c r="B130" i="30"/>
  <c r="B129" i="30"/>
  <c r="B128" i="30"/>
  <c r="B127" i="30"/>
  <c r="B126" i="30"/>
  <c r="B125" i="30"/>
  <c r="B124" i="30"/>
  <c r="B123" i="30"/>
  <c r="B122" i="30"/>
  <c r="B121" i="30"/>
  <c r="B120" i="30"/>
  <c r="B119" i="30"/>
  <c r="B118" i="30"/>
  <c r="B117" i="30"/>
  <c r="B116" i="30"/>
  <c r="B115" i="30"/>
  <c r="B114" i="30"/>
  <c r="B113" i="30"/>
  <c r="B112" i="30"/>
  <c r="B111" i="30"/>
  <c r="B110" i="30"/>
  <c r="B109" i="30"/>
  <c r="B108" i="30"/>
  <c r="B107" i="30"/>
  <c r="B106" i="30"/>
  <c r="B105" i="30"/>
  <c r="B104" i="30"/>
  <c r="B103" i="30"/>
  <c r="B102" i="30"/>
  <c r="B101" i="30"/>
  <c r="B100" i="30"/>
  <c r="B99" i="30"/>
  <c r="B98" i="30"/>
  <c r="B97" i="30"/>
  <c r="B96" i="30"/>
  <c r="B95" i="30"/>
  <c r="B94" i="30"/>
  <c r="B93" i="30"/>
  <c r="B92" i="30"/>
  <c r="B91" i="30"/>
  <c r="B90" i="30"/>
  <c r="B89" i="30"/>
  <c r="B88" i="30"/>
  <c r="B87" i="30"/>
  <c r="B86" i="30"/>
  <c r="B85" i="30"/>
  <c r="B84" i="30"/>
  <c r="B83" i="30"/>
  <c r="B82" i="30"/>
  <c r="B81" i="30"/>
  <c r="B80" i="30"/>
  <c r="B79" i="30"/>
  <c r="B78" i="30"/>
  <c r="B77" i="30"/>
  <c r="B76" i="30"/>
  <c r="B75" i="30"/>
  <c r="B74" i="30"/>
  <c r="B73" i="30"/>
  <c r="B72" i="30"/>
  <c r="B71" i="30"/>
  <c r="B70" i="30"/>
  <c r="B69" i="30"/>
  <c r="B68" i="30"/>
  <c r="B67" i="30"/>
  <c r="B66" i="30"/>
  <c r="B65" i="30"/>
  <c r="B64" i="30"/>
  <c r="B63" i="30"/>
  <c r="B62" i="30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21" i="30"/>
  <c r="B20" i="30"/>
  <c r="B19" i="30"/>
  <c r="B18" i="30"/>
  <c r="B17" i="30"/>
  <c r="B16" i="30"/>
  <c r="B15" i="30"/>
  <c r="B14" i="30"/>
  <c r="B13" i="30"/>
  <c r="B12" i="30"/>
  <c r="B11" i="30"/>
  <c r="B10" i="30"/>
  <c r="B9" i="30"/>
  <c r="B8" i="30"/>
  <c r="B6" i="30"/>
  <c r="B5" i="30"/>
  <c r="B4" i="30"/>
  <c r="D250" i="29"/>
  <c r="C250" i="29"/>
  <c r="D249" i="29"/>
  <c r="C249" i="29"/>
  <c r="D248" i="29"/>
  <c r="C248" i="29"/>
  <c r="D247" i="29"/>
  <c r="C247" i="29"/>
  <c r="D246" i="29"/>
  <c r="C246" i="29"/>
  <c r="D245" i="29"/>
  <c r="C245" i="29"/>
  <c r="D244" i="29"/>
  <c r="C244" i="29"/>
  <c r="D243" i="29"/>
  <c r="C243" i="29"/>
  <c r="D242" i="29"/>
  <c r="C242" i="29"/>
  <c r="D241" i="29"/>
  <c r="C241" i="29"/>
  <c r="D240" i="29"/>
  <c r="C240" i="29"/>
  <c r="D239" i="29"/>
  <c r="C239" i="29"/>
  <c r="D238" i="29"/>
  <c r="C238" i="29"/>
  <c r="D237" i="29"/>
  <c r="C237" i="29"/>
  <c r="D236" i="29"/>
  <c r="C236" i="29"/>
  <c r="D235" i="29"/>
  <c r="C235" i="29"/>
  <c r="D234" i="29"/>
  <c r="C234" i="29"/>
  <c r="D233" i="29"/>
  <c r="C233" i="29"/>
  <c r="D232" i="29"/>
  <c r="C232" i="29"/>
  <c r="D231" i="29"/>
  <c r="C231" i="29"/>
  <c r="D230" i="29"/>
  <c r="C230" i="29"/>
  <c r="D229" i="29"/>
  <c r="C229" i="29"/>
  <c r="D228" i="29"/>
  <c r="C228" i="29"/>
  <c r="D227" i="29"/>
  <c r="C227" i="29"/>
  <c r="D226" i="29"/>
  <c r="C226" i="29"/>
  <c r="D225" i="29"/>
  <c r="C225" i="29"/>
  <c r="D224" i="29"/>
  <c r="C224" i="29"/>
  <c r="D223" i="29"/>
  <c r="C223" i="29"/>
  <c r="D222" i="29"/>
  <c r="C222" i="29"/>
  <c r="D221" i="29"/>
  <c r="C221" i="29"/>
  <c r="D220" i="29"/>
  <c r="C220" i="29"/>
  <c r="D219" i="29"/>
  <c r="C219" i="29"/>
  <c r="D218" i="29"/>
  <c r="C218" i="29"/>
  <c r="D217" i="29"/>
  <c r="C217" i="29"/>
  <c r="D216" i="29"/>
  <c r="C216" i="29"/>
  <c r="D215" i="29"/>
  <c r="C215" i="29"/>
  <c r="D214" i="29"/>
  <c r="C214" i="29"/>
  <c r="D213" i="29"/>
  <c r="C213" i="29"/>
  <c r="D212" i="29"/>
  <c r="C212" i="29"/>
  <c r="D211" i="29"/>
  <c r="C211" i="29"/>
  <c r="D210" i="29"/>
  <c r="C210" i="29"/>
  <c r="D209" i="29"/>
  <c r="C209" i="29"/>
  <c r="D208" i="29"/>
  <c r="C208" i="29"/>
  <c r="D207" i="29"/>
  <c r="C207" i="29"/>
  <c r="D206" i="29"/>
  <c r="C206" i="29"/>
  <c r="D205" i="29"/>
  <c r="C205" i="29"/>
  <c r="D204" i="29"/>
  <c r="C204" i="29"/>
  <c r="D203" i="29"/>
  <c r="C203" i="29"/>
  <c r="D202" i="29"/>
  <c r="C202" i="29"/>
  <c r="D201" i="29"/>
  <c r="C201" i="29"/>
  <c r="D200" i="29"/>
  <c r="C200" i="29"/>
  <c r="D199" i="29"/>
  <c r="C199" i="29"/>
  <c r="D198" i="29"/>
  <c r="C198" i="29"/>
  <c r="D197" i="29"/>
  <c r="C197" i="29"/>
  <c r="D196" i="29"/>
  <c r="C196" i="29"/>
  <c r="D195" i="29"/>
  <c r="C195" i="29"/>
  <c r="D194" i="29"/>
  <c r="C194" i="29"/>
  <c r="D193" i="29"/>
  <c r="C193" i="29"/>
  <c r="D192" i="29"/>
  <c r="C192" i="29"/>
  <c r="D191" i="29"/>
  <c r="C191" i="29"/>
  <c r="D190" i="29"/>
  <c r="C190" i="29"/>
  <c r="D189" i="29"/>
  <c r="C189" i="29"/>
  <c r="D188" i="29"/>
  <c r="C188" i="29"/>
  <c r="D187" i="29"/>
  <c r="C187" i="29"/>
  <c r="D186" i="29"/>
  <c r="C186" i="29"/>
  <c r="D185" i="29"/>
  <c r="C185" i="29"/>
  <c r="D184" i="29"/>
  <c r="C184" i="29"/>
  <c r="D183" i="29"/>
  <c r="C183" i="29"/>
  <c r="D182" i="29"/>
  <c r="C182" i="29"/>
  <c r="D181" i="29"/>
  <c r="C181" i="29"/>
  <c r="D180" i="29"/>
  <c r="C180" i="29"/>
  <c r="D179" i="29"/>
  <c r="C179" i="29"/>
  <c r="D178" i="29"/>
  <c r="C178" i="29"/>
  <c r="D177" i="29"/>
  <c r="C177" i="29"/>
  <c r="D176" i="29"/>
  <c r="C176" i="29"/>
  <c r="D175" i="29"/>
  <c r="C175" i="29"/>
  <c r="D174" i="29"/>
  <c r="C174" i="29"/>
  <c r="D173" i="29"/>
  <c r="C173" i="29"/>
  <c r="D172" i="29"/>
  <c r="C172" i="29"/>
  <c r="D171" i="29"/>
  <c r="C171" i="29"/>
  <c r="D170" i="29"/>
  <c r="C170" i="29"/>
  <c r="D169" i="29"/>
  <c r="C169" i="29"/>
  <c r="D168" i="29"/>
  <c r="C168" i="29"/>
  <c r="D167" i="29"/>
  <c r="C167" i="29"/>
  <c r="D166" i="29"/>
  <c r="C166" i="29"/>
  <c r="D165" i="29"/>
  <c r="C165" i="29"/>
  <c r="D164" i="29"/>
  <c r="C164" i="29"/>
  <c r="D163" i="29"/>
  <c r="C163" i="29"/>
  <c r="D162" i="29"/>
  <c r="C162" i="29"/>
  <c r="D161" i="29"/>
  <c r="C161" i="29"/>
  <c r="D160" i="29"/>
  <c r="C160" i="29"/>
  <c r="D159" i="29"/>
  <c r="C159" i="29"/>
  <c r="D158" i="29"/>
  <c r="C158" i="29"/>
  <c r="D157" i="29"/>
  <c r="C157" i="29"/>
  <c r="D156" i="29"/>
  <c r="C156" i="29"/>
  <c r="D155" i="29"/>
  <c r="C155" i="29"/>
  <c r="D154" i="29"/>
  <c r="C154" i="29"/>
  <c r="D153" i="29"/>
  <c r="C153" i="29"/>
  <c r="D152" i="29"/>
  <c r="C152" i="29"/>
  <c r="D151" i="29"/>
  <c r="C151" i="29"/>
  <c r="D150" i="29"/>
  <c r="C150" i="29"/>
  <c r="D149" i="29"/>
  <c r="C149" i="29"/>
  <c r="D148" i="29"/>
  <c r="C148" i="29"/>
  <c r="D147" i="29"/>
  <c r="C147" i="29"/>
  <c r="D146" i="29"/>
  <c r="C146" i="29"/>
  <c r="D145" i="29"/>
  <c r="C145" i="29"/>
  <c r="D144" i="29"/>
  <c r="C144" i="29"/>
  <c r="D143" i="29"/>
  <c r="C143" i="29"/>
  <c r="D142" i="29"/>
  <c r="C142" i="29"/>
  <c r="D141" i="29"/>
  <c r="C141" i="29"/>
  <c r="D140" i="29"/>
  <c r="C140" i="29"/>
  <c r="D139" i="29"/>
  <c r="C139" i="29"/>
  <c r="D138" i="29"/>
  <c r="C138" i="29"/>
  <c r="D137" i="29"/>
  <c r="C137" i="29"/>
  <c r="D136" i="29"/>
  <c r="C136" i="29"/>
  <c r="D135" i="29"/>
  <c r="C135" i="29"/>
  <c r="D134" i="29"/>
  <c r="C134" i="29"/>
  <c r="D133" i="29"/>
  <c r="C133" i="29"/>
  <c r="D132" i="29"/>
  <c r="C132" i="29"/>
  <c r="D131" i="29"/>
  <c r="C131" i="29"/>
  <c r="D130" i="29"/>
  <c r="C130" i="29"/>
  <c r="D129" i="29"/>
  <c r="C129" i="29"/>
  <c r="D128" i="29"/>
  <c r="C128" i="29"/>
  <c r="D127" i="29"/>
  <c r="C127" i="29"/>
  <c r="D126" i="29"/>
  <c r="C126" i="29"/>
  <c r="D125" i="29"/>
  <c r="C125" i="29"/>
  <c r="D124" i="29"/>
  <c r="C124" i="29"/>
  <c r="D123" i="29"/>
  <c r="C123" i="29"/>
  <c r="D122" i="29"/>
  <c r="C122" i="29"/>
  <c r="D121" i="29"/>
  <c r="C121" i="29"/>
  <c r="D120" i="29"/>
  <c r="C120" i="29"/>
  <c r="D119" i="29"/>
  <c r="C119" i="29"/>
  <c r="D118" i="29"/>
  <c r="C118" i="29"/>
  <c r="D117" i="29"/>
  <c r="C117" i="29"/>
  <c r="D116" i="29"/>
  <c r="C116" i="29"/>
  <c r="D115" i="29"/>
  <c r="C115" i="29"/>
  <c r="D114" i="29"/>
  <c r="C114" i="29"/>
  <c r="D113" i="29"/>
  <c r="C113" i="29"/>
  <c r="D112" i="29"/>
  <c r="C112" i="29"/>
  <c r="D111" i="29"/>
  <c r="C111" i="29"/>
  <c r="D110" i="29"/>
  <c r="C110" i="29"/>
  <c r="D109" i="29"/>
  <c r="C109" i="29"/>
  <c r="D108" i="29"/>
  <c r="C108" i="29"/>
  <c r="D107" i="29"/>
  <c r="C107" i="29"/>
  <c r="D106" i="29"/>
  <c r="C106" i="29"/>
  <c r="D105" i="29"/>
  <c r="C105" i="29"/>
  <c r="D104" i="29"/>
  <c r="C104" i="29"/>
  <c r="D103" i="29"/>
  <c r="C103" i="29"/>
  <c r="D102" i="29"/>
  <c r="C102" i="29"/>
  <c r="D101" i="29"/>
  <c r="C101" i="29"/>
  <c r="D100" i="29"/>
  <c r="C100" i="29"/>
  <c r="D99" i="29"/>
  <c r="C99" i="29"/>
  <c r="D98" i="29"/>
  <c r="C98" i="29"/>
  <c r="D97" i="29"/>
  <c r="C97" i="29"/>
  <c r="D96" i="29"/>
  <c r="C96" i="29"/>
  <c r="D95" i="29"/>
  <c r="C95" i="29"/>
  <c r="D94" i="29"/>
  <c r="C94" i="29"/>
  <c r="D93" i="29"/>
  <c r="C93" i="29"/>
  <c r="D92" i="29"/>
  <c r="C92" i="29"/>
  <c r="D91" i="29"/>
  <c r="C91" i="29"/>
  <c r="D90" i="29"/>
  <c r="C90" i="29"/>
  <c r="D89" i="29"/>
  <c r="C89" i="29"/>
  <c r="D88" i="29"/>
  <c r="C88" i="29"/>
  <c r="D87" i="29"/>
  <c r="C87" i="29"/>
  <c r="D86" i="29"/>
  <c r="C86" i="29"/>
  <c r="D85" i="29"/>
  <c r="C85" i="29"/>
  <c r="D84" i="29"/>
  <c r="C84" i="29"/>
  <c r="D83" i="29"/>
  <c r="C83" i="29"/>
  <c r="D82" i="29"/>
  <c r="C82" i="29"/>
  <c r="D81" i="29"/>
  <c r="C81" i="29"/>
  <c r="D80" i="29"/>
  <c r="C80" i="29"/>
  <c r="D79" i="29"/>
  <c r="C79" i="29"/>
  <c r="D78" i="29"/>
  <c r="C78" i="29"/>
  <c r="D77" i="29"/>
  <c r="C77" i="29"/>
  <c r="D76" i="29"/>
  <c r="C76" i="29"/>
  <c r="D75" i="29"/>
  <c r="C75" i="29"/>
  <c r="D74" i="29"/>
  <c r="C74" i="29"/>
  <c r="D73" i="29"/>
  <c r="C73" i="29"/>
  <c r="D72" i="29"/>
  <c r="C72" i="29"/>
  <c r="D71" i="29"/>
  <c r="C71" i="29"/>
  <c r="D70" i="29"/>
  <c r="C70" i="29"/>
  <c r="D69" i="29"/>
  <c r="C69" i="29"/>
  <c r="D68" i="29"/>
  <c r="C68" i="29"/>
  <c r="D67" i="29"/>
  <c r="C67" i="29"/>
  <c r="D66" i="29"/>
  <c r="C66" i="29"/>
  <c r="D65" i="29"/>
  <c r="C65" i="29"/>
  <c r="D64" i="29"/>
  <c r="C64" i="29"/>
  <c r="D63" i="29"/>
  <c r="C63" i="29"/>
  <c r="D62" i="29"/>
  <c r="C62" i="29"/>
  <c r="D61" i="29"/>
  <c r="C61" i="29"/>
  <c r="D60" i="29"/>
  <c r="C60" i="29"/>
  <c r="D59" i="29"/>
  <c r="C59" i="29"/>
  <c r="D58" i="29"/>
  <c r="C58" i="29"/>
  <c r="D57" i="29"/>
  <c r="C57" i="29"/>
  <c r="D56" i="29"/>
  <c r="C56" i="29"/>
  <c r="D55" i="29"/>
  <c r="C55" i="29"/>
  <c r="D54" i="29"/>
  <c r="C54" i="29"/>
  <c r="D53" i="29"/>
  <c r="C53" i="29"/>
  <c r="D52" i="29"/>
  <c r="C52" i="29"/>
  <c r="D51" i="29"/>
  <c r="C51" i="29"/>
  <c r="D50" i="29"/>
  <c r="C50" i="29"/>
  <c r="D49" i="29"/>
  <c r="C49" i="29"/>
  <c r="D48" i="29"/>
  <c r="C48" i="29"/>
  <c r="D47" i="29"/>
  <c r="C47" i="29"/>
  <c r="D46" i="29"/>
  <c r="C46" i="29"/>
  <c r="D45" i="29"/>
  <c r="C45" i="29"/>
  <c r="D44" i="29"/>
  <c r="C44" i="29"/>
  <c r="D43" i="29"/>
  <c r="C43" i="29"/>
  <c r="D42" i="29"/>
  <c r="C42" i="29"/>
  <c r="D41" i="29"/>
  <c r="C41" i="29"/>
  <c r="D40" i="29"/>
  <c r="C40" i="29"/>
  <c r="D39" i="29"/>
  <c r="C39" i="29"/>
  <c r="D38" i="29"/>
  <c r="C38" i="29"/>
  <c r="D37" i="29"/>
  <c r="C37" i="29"/>
  <c r="D36" i="29"/>
  <c r="C36" i="29"/>
  <c r="D35" i="29"/>
  <c r="C35" i="29"/>
  <c r="D34" i="29"/>
  <c r="C34" i="29"/>
  <c r="D33" i="29"/>
  <c r="C33" i="29"/>
  <c r="D32" i="29"/>
  <c r="C32" i="29"/>
  <c r="D31" i="29"/>
  <c r="C31" i="29"/>
  <c r="D30" i="29"/>
  <c r="C30" i="29"/>
  <c r="D29" i="29"/>
  <c r="C29" i="29"/>
  <c r="D28" i="29"/>
  <c r="C28" i="29"/>
  <c r="D27" i="29"/>
  <c r="C27" i="29"/>
  <c r="D26" i="29"/>
  <c r="C26" i="29"/>
  <c r="D25" i="29"/>
  <c r="C25" i="29"/>
  <c r="D24" i="29"/>
  <c r="C24" i="29"/>
  <c r="D23" i="29"/>
  <c r="C23" i="29"/>
  <c r="D22" i="29"/>
  <c r="C22" i="29"/>
  <c r="D21" i="29"/>
  <c r="C21" i="29"/>
  <c r="D20" i="29"/>
  <c r="C20" i="29"/>
  <c r="D19" i="29"/>
  <c r="C19" i="29"/>
  <c r="D18" i="29"/>
  <c r="C18" i="29"/>
  <c r="D17" i="29"/>
  <c r="C17" i="29"/>
  <c r="D16" i="29"/>
  <c r="C16" i="29"/>
  <c r="D15" i="29"/>
  <c r="C15" i="29"/>
  <c r="D14" i="29"/>
  <c r="C14" i="29"/>
  <c r="D13" i="29"/>
  <c r="C13" i="29"/>
  <c r="D12" i="29"/>
  <c r="C12" i="29"/>
  <c r="D11" i="29"/>
  <c r="C11" i="29"/>
  <c r="D10" i="29"/>
  <c r="C10" i="29"/>
  <c r="D9" i="29"/>
  <c r="C9" i="29"/>
  <c r="D8" i="29"/>
  <c r="C8" i="29"/>
  <c r="D7" i="29"/>
  <c r="C7" i="29"/>
  <c r="D6" i="29"/>
  <c r="C6" i="29"/>
  <c r="D5" i="29"/>
  <c r="C5" i="29"/>
  <c r="D4" i="29"/>
  <c r="C4" i="29"/>
  <c r="D3" i="29"/>
  <c r="C3" i="29"/>
  <c r="D250" i="28"/>
  <c r="C250" i="28"/>
  <c r="D249" i="28"/>
  <c r="C249" i="28"/>
  <c r="D248" i="28"/>
  <c r="C248" i="28"/>
  <c r="D247" i="28"/>
  <c r="C247" i="28"/>
  <c r="D246" i="28"/>
  <c r="C246" i="28"/>
  <c r="D245" i="28"/>
  <c r="C245" i="28"/>
  <c r="D244" i="28"/>
  <c r="C244" i="28"/>
  <c r="D243" i="28"/>
  <c r="C243" i="28"/>
  <c r="D242" i="28"/>
  <c r="C242" i="28"/>
  <c r="D241" i="28"/>
  <c r="C241" i="28"/>
  <c r="D240" i="28"/>
  <c r="C240" i="28"/>
  <c r="D239" i="28"/>
  <c r="C239" i="28"/>
  <c r="D238" i="28"/>
  <c r="C238" i="28"/>
  <c r="D237" i="28"/>
  <c r="C237" i="28"/>
  <c r="D236" i="28"/>
  <c r="C236" i="28"/>
  <c r="D235" i="28"/>
  <c r="C235" i="28"/>
  <c r="D234" i="28"/>
  <c r="C234" i="28"/>
  <c r="D233" i="28"/>
  <c r="C233" i="28"/>
  <c r="D232" i="28"/>
  <c r="C232" i="28"/>
  <c r="D231" i="28"/>
  <c r="C231" i="28"/>
  <c r="D230" i="28"/>
  <c r="C230" i="28"/>
  <c r="D229" i="28"/>
  <c r="C229" i="28"/>
  <c r="D228" i="28"/>
  <c r="C228" i="28"/>
  <c r="D227" i="28"/>
  <c r="C227" i="28"/>
  <c r="D226" i="28"/>
  <c r="C226" i="28"/>
  <c r="D225" i="28"/>
  <c r="C225" i="28"/>
  <c r="D224" i="28"/>
  <c r="C224" i="28"/>
  <c r="D223" i="28"/>
  <c r="C223" i="28"/>
  <c r="D222" i="28"/>
  <c r="C222" i="28"/>
  <c r="D221" i="28"/>
  <c r="C221" i="28"/>
  <c r="D220" i="28"/>
  <c r="C220" i="28"/>
  <c r="D219" i="28"/>
  <c r="C219" i="28"/>
  <c r="D218" i="28"/>
  <c r="C218" i="28"/>
  <c r="D217" i="28"/>
  <c r="C217" i="28"/>
  <c r="D216" i="28"/>
  <c r="C216" i="28"/>
  <c r="D215" i="28"/>
  <c r="C215" i="28"/>
  <c r="D214" i="28"/>
  <c r="C214" i="28"/>
  <c r="D213" i="28"/>
  <c r="C213" i="28"/>
  <c r="D212" i="28"/>
  <c r="C212" i="28"/>
  <c r="D211" i="28"/>
  <c r="C211" i="28"/>
  <c r="D210" i="28"/>
  <c r="C210" i="28"/>
  <c r="D209" i="28"/>
  <c r="C209" i="28"/>
  <c r="D208" i="28"/>
  <c r="C208" i="28"/>
  <c r="D207" i="28"/>
  <c r="C207" i="28"/>
  <c r="D206" i="28"/>
  <c r="C206" i="28"/>
  <c r="D205" i="28"/>
  <c r="C205" i="28"/>
  <c r="D204" i="28"/>
  <c r="C204" i="28"/>
  <c r="D203" i="28"/>
  <c r="C203" i="28"/>
  <c r="D202" i="28"/>
  <c r="C202" i="28"/>
  <c r="D201" i="28"/>
  <c r="C201" i="28"/>
  <c r="D200" i="28"/>
  <c r="C200" i="28"/>
  <c r="D199" i="28"/>
  <c r="C199" i="28"/>
  <c r="D198" i="28"/>
  <c r="C198" i="28"/>
  <c r="D197" i="28"/>
  <c r="C197" i="28"/>
  <c r="D196" i="28"/>
  <c r="C196" i="28"/>
  <c r="D195" i="28"/>
  <c r="C195" i="28"/>
  <c r="D194" i="28"/>
  <c r="C194" i="28"/>
  <c r="D193" i="28"/>
  <c r="C193" i="28"/>
  <c r="D192" i="28"/>
  <c r="C192" i="28"/>
  <c r="D191" i="28"/>
  <c r="C191" i="28"/>
  <c r="D190" i="28"/>
  <c r="C190" i="28"/>
  <c r="D189" i="28"/>
  <c r="C189" i="28"/>
  <c r="D188" i="28"/>
  <c r="C188" i="28"/>
  <c r="D187" i="28"/>
  <c r="C187" i="28"/>
  <c r="D186" i="28"/>
  <c r="C186" i="28"/>
  <c r="D185" i="28"/>
  <c r="C185" i="28"/>
  <c r="D184" i="28"/>
  <c r="C184" i="28"/>
  <c r="D183" i="28"/>
  <c r="C183" i="28"/>
  <c r="D182" i="28"/>
  <c r="C182" i="28"/>
  <c r="D181" i="28"/>
  <c r="C181" i="28"/>
  <c r="D180" i="28"/>
  <c r="C180" i="28"/>
  <c r="D179" i="28"/>
  <c r="C179" i="28"/>
  <c r="D178" i="28"/>
  <c r="C178" i="28"/>
  <c r="D177" i="28"/>
  <c r="C177" i="28"/>
  <c r="D176" i="28"/>
  <c r="C176" i="28"/>
  <c r="D175" i="28"/>
  <c r="C175" i="28"/>
  <c r="D174" i="28"/>
  <c r="C174" i="28"/>
  <c r="D173" i="28"/>
  <c r="C173" i="28"/>
  <c r="D172" i="28"/>
  <c r="C172" i="28"/>
  <c r="D171" i="28"/>
  <c r="C171" i="28"/>
  <c r="D170" i="28"/>
  <c r="C170" i="28"/>
  <c r="D169" i="28"/>
  <c r="C169" i="28"/>
  <c r="D168" i="28"/>
  <c r="C168" i="28"/>
  <c r="D167" i="28"/>
  <c r="C167" i="28"/>
  <c r="D166" i="28"/>
  <c r="C166" i="28"/>
  <c r="D165" i="28"/>
  <c r="C165" i="28"/>
  <c r="D164" i="28"/>
  <c r="C164" i="28"/>
  <c r="D163" i="28"/>
  <c r="C163" i="28"/>
  <c r="D162" i="28"/>
  <c r="C162" i="28"/>
  <c r="D161" i="28"/>
  <c r="C161" i="28"/>
  <c r="D160" i="28"/>
  <c r="C160" i="28"/>
  <c r="D159" i="28"/>
  <c r="C159" i="28"/>
  <c r="D158" i="28"/>
  <c r="C158" i="28"/>
  <c r="D157" i="28"/>
  <c r="C157" i="28"/>
  <c r="D156" i="28"/>
  <c r="C156" i="28"/>
  <c r="D155" i="28"/>
  <c r="C155" i="28"/>
  <c r="D154" i="28"/>
  <c r="C154" i="28"/>
  <c r="D153" i="28"/>
  <c r="C153" i="28"/>
  <c r="D152" i="28"/>
  <c r="C152" i="28"/>
  <c r="D151" i="28"/>
  <c r="C151" i="28"/>
  <c r="D150" i="28"/>
  <c r="C150" i="28"/>
  <c r="D149" i="28"/>
  <c r="C149" i="28"/>
  <c r="D148" i="28"/>
  <c r="C148" i="28"/>
  <c r="D147" i="28"/>
  <c r="C147" i="28"/>
  <c r="D146" i="28"/>
  <c r="C146" i="28"/>
  <c r="D145" i="28"/>
  <c r="C145" i="28"/>
  <c r="D144" i="28"/>
  <c r="C144" i="28"/>
  <c r="D143" i="28"/>
  <c r="C143" i="28"/>
  <c r="D142" i="28"/>
  <c r="C142" i="28"/>
  <c r="D141" i="28"/>
  <c r="C141" i="28"/>
  <c r="D140" i="28"/>
  <c r="C140" i="28"/>
  <c r="D139" i="28"/>
  <c r="C139" i="28"/>
  <c r="D138" i="28"/>
  <c r="C138" i="28"/>
  <c r="D137" i="28"/>
  <c r="C137" i="28"/>
  <c r="D136" i="28"/>
  <c r="C136" i="28"/>
  <c r="D135" i="28"/>
  <c r="C135" i="28"/>
  <c r="D134" i="28"/>
  <c r="C134" i="28"/>
  <c r="D133" i="28"/>
  <c r="C133" i="28"/>
  <c r="D132" i="28"/>
  <c r="C132" i="28"/>
  <c r="D131" i="28"/>
  <c r="C131" i="28"/>
  <c r="D130" i="28"/>
  <c r="C130" i="28"/>
  <c r="D129" i="28"/>
  <c r="C129" i="28"/>
  <c r="D128" i="28"/>
  <c r="C128" i="28"/>
  <c r="D127" i="28"/>
  <c r="C127" i="28"/>
  <c r="D126" i="28"/>
  <c r="C126" i="28"/>
  <c r="D125" i="28"/>
  <c r="C125" i="28"/>
  <c r="D124" i="28"/>
  <c r="C124" i="28"/>
  <c r="D123" i="28"/>
  <c r="C123" i="28"/>
  <c r="D122" i="28"/>
  <c r="C122" i="28"/>
  <c r="D121" i="28"/>
  <c r="C121" i="28"/>
  <c r="D120" i="28"/>
  <c r="C120" i="28"/>
  <c r="D119" i="28"/>
  <c r="C119" i="28"/>
  <c r="D118" i="28"/>
  <c r="C118" i="28"/>
  <c r="D117" i="28"/>
  <c r="C117" i="28"/>
  <c r="D116" i="28"/>
  <c r="C116" i="28"/>
  <c r="D115" i="28"/>
  <c r="C115" i="28"/>
  <c r="D114" i="28"/>
  <c r="C114" i="28"/>
  <c r="D113" i="28"/>
  <c r="C113" i="28"/>
  <c r="D112" i="28"/>
  <c r="C112" i="28"/>
  <c r="D111" i="28"/>
  <c r="C111" i="28"/>
  <c r="D110" i="28"/>
  <c r="C110" i="28"/>
  <c r="D109" i="28"/>
  <c r="C109" i="28"/>
  <c r="D108" i="28"/>
  <c r="C108" i="28"/>
  <c r="D107" i="28"/>
  <c r="C107" i="28"/>
  <c r="D106" i="28"/>
  <c r="C106" i="28"/>
  <c r="D105" i="28"/>
  <c r="C105" i="28"/>
  <c r="D104" i="28"/>
  <c r="C104" i="28"/>
  <c r="D103" i="28"/>
  <c r="C103" i="28"/>
  <c r="D102" i="28"/>
  <c r="C102" i="28"/>
  <c r="D101" i="28"/>
  <c r="C101" i="28"/>
  <c r="D100" i="28"/>
  <c r="C100" i="28"/>
  <c r="D99" i="28"/>
  <c r="C99" i="28"/>
  <c r="D98" i="28"/>
  <c r="C98" i="28"/>
  <c r="D97" i="28"/>
  <c r="C97" i="28"/>
  <c r="D96" i="28"/>
  <c r="C96" i="28"/>
  <c r="D95" i="28"/>
  <c r="C95" i="28"/>
  <c r="D94" i="28"/>
  <c r="C94" i="28"/>
  <c r="D93" i="28"/>
  <c r="C93" i="28"/>
  <c r="D92" i="28"/>
  <c r="C92" i="28"/>
  <c r="D91" i="28"/>
  <c r="C91" i="28"/>
  <c r="D90" i="28"/>
  <c r="C90" i="28"/>
  <c r="D89" i="28"/>
  <c r="C89" i="28"/>
  <c r="D88" i="28"/>
  <c r="C88" i="28"/>
  <c r="D87" i="28"/>
  <c r="C87" i="28"/>
  <c r="D86" i="28"/>
  <c r="C86" i="28"/>
  <c r="D85" i="28"/>
  <c r="C85" i="28"/>
  <c r="D84" i="28"/>
  <c r="C84" i="28"/>
  <c r="D83" i="28"/>
  <c r="C83" i="28"/>
  <c r="D82" i="28"/>
  <c r="C82" i="28"/>
  <c r="D81" i="28"/>
  <c r="C81" i="28"/>
  <c r="D80" i="28"/>
  <c r="C80" i="28"/>
  <c r="D79" i="28"/>
  <c r="C79" i="28"/>
  <c r="D78" i="28"/>
  <c r="C78" i="28"/>
  <c r="D77" i="28"/>
  <c r="C77" i="28"/>
  <c r="D76" i="28"/>
  <c r="C76" i="28"/>
  <c r="D75" i="28"/>
  <c r="C75" i="28"/>
  <c r="D74" i="28"/>
  <c r="C74" i="28"/>
  <c r="D73" i="28"/>
  <c r="C73" i="28"/>
  <c r="D72" i="28"/>
  <c r="C72" i="28"/>
  <c r="D71" i="28"/>
  <c r="C71" i="28"/>
  <c r="D70" i="28"/>
  <c r="C70" i="28"/>
  <c r="D69" i="28"/>
  <c r="C69" i="28"/>
  <c r="D68" i="28"/>
  <c r="C68" i="28"/>
  <c r="D67" i="28"/>
  <c r="C67" i="28"/>
  <c r="D66" i="28"/>
  <c r="C66" i="28"/>
  <c r="D65" i="28"/>
  <c r="C65" i="28"/>
  <c r="D64" i="28"/>
  <c r="C64" i="28"/>
  <c r="D63" i="28"/>
  <c r="C63" i="28"/>
  <c r="D62" i="28"/>
  <c r="C62" i="28"/>
  <c r="D61" i="28"/>
  <c r="C61" i="28"/>
  <c r="D60" i="28"/>
  <c r="C60" i="28"/>
  <c r="D59" i="28"/>
  <c r="C59" i="28"/>
  <c r="D58" i="28"/>
  <c r="C58" i="28"/>
  <c r="D57" i="28"/>
  <c r="C57" i="28"/>
  <c r="D56" i="28"/>
  <c r="C56" i="28"/>
  <c r="D55" i="28"/>
  <c r="C55" i="28"/>
  <c r="D54" i="28"/>
  <c r="C54" i="28"/>
  <c r="D53" i="28"/>
  <c r="C53" i="28"/>
  <c r="D52" i="28"/>
  <c r="C52" i="28"/>
  <c r="D51" i="28"/>
  <c r="C51" i="28"/>
  <c r="D50" i="28"/>
  <c r="C50" i="28"/>
  <c r="D49" i="28"/>
  <c r="C49" i="28"/>
  <c r="D48" i="28"/>
  <c r="C48" i="28"/>
  <c r="D47" i="28"/>
  <c r="C47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30" i="28"/>
  <c r="C30" i="28"/>
  <c r="D29" i="28"/>
  <c r="C29" i="28"/>
  <c r="D28" i="28"/>
  <c r="C28" i="28"/>
  <c r="D27" i="28"/>
  <c r="C27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C20" i="28"/>
  <c r="D19" i="28"/>
  <c r="C19" i="28"/>
  <c r="D18" i="28"/>
  <c r="C18" i="28"/>
  <c r="D17" i="28"/>
  <c r="C17" i="28"/>
  <c r="D16" i="28"/>
  <c r="C16" i="28"/>
  <c r="D15" i="28"/>
  <c r="C15" i="28"/>
  <c r="D14" i="28"/>
  <c r="C14" i="28"/>
  <c r="D13" i="28"/>
  <c r="C13" i="28"/>
  <c r="D12" i="28"/>
  <c r="C12" i="28"/>
  <c r="D11" i="28"/>
  <c r="C11" i="28"/>
  <c r="D10" i="28"/>
  <c r="C10" i="28"/>
  <c r="D9" i="28"/>
  <c r="C9" i="28"/>
  <c r="D8" i="28"/>
  <c r="C8" i="28"/>
  <c r="D7" i="28"/>
  <c r="C7" i="28"/>
  <c r="D6" i="28"/>
  <c r="C6" i="28"/>
  <c r="D5" i="28"/>
  <c r="C5" i="28"/>
  <c r="D4" i="28"/>
  <c r="C4" i="28"/>
  <c r="D3" i="28"/>
  <c r="C3" i="28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C218" i="27" s="1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C74" i="27" s="1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D250" i="27"/>
  <c r="C250" i="27"/>
  <c r="D249" i="27"/>
  <c r="C249" i="27"/>
  <c r="D248" i="27"/>
  <c r="C248" i="27"/>
  <c r="D247" i="27"/>
  <c r="C247" i="27"/>
  <c r="D246" i="27"/>
  <c r="C246" i="27"/>
  <c r="D245" i="27"/>
  <c r="C245" i="27"/>
  <c r="D244" i="27"/>
  <c r="C244" i="27"/>
  <c r="D243" i="27"/>
  <c r="C243" i="27"/>
  <c r="D242" i="27"/>
  <c r="C242" i="27"/>
  <c r="D241" i="27"/>
  <c r="C241" i="27"/>
  <c r="D240" i="27"/>
  <c r="C240" i="27"/>
  <c r="D239" i="27"/>
  <c r="C239" i="27"/>
  <c r="D238" i="27"/>
  <c r="C238" i="27"/>
  <c r="D237" i="27"/>
  <c r="C237" i="27"/>
  <c r="D236" i="27"/>
  <c r="C236" i="27"/>
  <c r="D235" i="27"/>
  <c r="C235" i="27"/>
  <c r="D234" i="27"/>
  <c r="C234" i="27"/>
  <c r="D233" i="27"/>
  <c r="C233" i="27"/>
  <c r="D232" i="27"/>
  <c r="C232" i="27"/>
  <c r="D231" i="27"/>
  <c r="C231" i="27"/>
  <c r="D230" i="27"/>
  <c r="C230" i="27"/>
  <c r="D229" i="27"/>
  <c r="C229" i="27"/>
  <c r="D228" i="27"/>
  <c r="C228" i="27"/>
  <c r="D227" i="27"/>
  <c r="C227" i="27"/>
  <c r="D226" i="27"/>
  <c r="C226" i="27"/>
  <c r="D225" i="27"/>
  <c r="C225" i="27"/>
  <c r="D224" i="27"/>
  <c r="C224" i="27"/>
  <c r="D223" i="27"/>
  <c r="C223" i="27"/>
  <c r="D222" i="27"/>
  <c r="C222" i="27"/>
  <c r="D221" i="27"/>
  <c r="C221" i="27"/>
  <c r="D220" i="27"/>
  <c r="C220" i="27"/>
  <c r="D219" i="27"/>
  <c r="C219" i="27"/>
  <c r="D218" i="27"/>
  <c r="D217" i="27"/>
  <c r="C217" i="27"/>
  <c r="D216" i="27"/>
  <c r="C216" i="27"/>
  <c r="D215" i="27"/>
  <c r="C215" i="27"/>
  <c r="D214" i="27"/>
  <c r="C214" i="27"/>
  <c r="D213" i="27"/>
  <c r="C213" i="27"/>
  <c r="D212" i="27"/>
  <c r="C212" i="27"/>
  <c r="D211" i="27"/>
  <c r="C211" i="27"/>
  <c r="D210" i="27"/>
  <c r="C210" i="27"/>
  <c r="D209" i="27"/>
  <c r="C209" i="27"/>
  <c r="D208" i="27"/>
  <c r="C208" i="27"/>
  <c r="D207" i="27"/>
  <c r="C207" i="27"/>
  <c r="D206" i="27"/>
  <c r="C206" i="27"/>
  <c r="D205" i="27"/>
  <c r="C205" i="27"/>
  <c r="D204" i="27"/>
  <c r="C204" i="27"/>
  <c r="D203" i="27"/>
  <c r="C203" i="27"/>
  <c r="D202" i="27"/>
  <c r="C202" i="27"/>
  <c r="D201" i="27"/>
  <c r="C201" i="27"/>
  <c r="D200" i="27"/>
  <c r="C200" i="27"/>
  <c r="D199" i="27"/>
  <c r="C199" i="27"/>
  <c r="D198" i="27"/>
  <c r="C198" i="27"/>
  <c r="D197" i="27"/>
  <c r="C197" i="27"/>
  <c r="D196" i="27"/>
  <c r="C196" i="27"/>
  <c r="D195" i="27"/>
  <c r="C195" i="27"/>
  <c r="D194" i="27"/>
  <c r="C194" i="27"/>
  <c r="D193" i="27"/>
  <c r="C193" i="27"/>
  <c r="D192" i="27"/>
  <c r="C192" i="27"/>
  <c r="D191" i="27"/>
  <c r="C191" i="27"/>
  <c r="D190" i="27"/>
  <c r="C190" i="27"/>
  <c r="D189" i="27"/>
  <c r="C189" i="27"/>
  <c r="D188" i="27"/>
  <c r="C188" i="27"/>
  <c r="D187" i="27"/>
  <c r="C187" i="27"/>
  <c r="D186" i="27"/>
  <c r="C186" i="27"/>
  <c r="D185" i="27"/>
  <c r="C185" i="27"/>
  <c r="D184" i="27"/>
  <c r="C184" i="27"/>
  <c r="D183" i="27"/>
  <c r="C183" i="27"/>
  <c r="D182" i="27"/>
  <c r="C182" i="27"/>
  <c r="D181" i="27"/>
  <c r="C181" i="27"/>
  <c r="D180" i="27"/>
  <c r="C180" i="27"/>
  <c r="D179" i="27"/>
  <c r="C179" i="27"/>
  <c r="D178" i="27"/>
  <c r="C178" i="27"/>
  <c r="D177" i="27"/>
  <c r="C177" i="27"/>
  <c r="D176" i="27"/>
  <c r="C176" i="27"/>
  <c r="D175" i="27"/>
  <c r="C175" i="27"/>
  <c r="D174" i="27"/>
  <c r="C174" i="27"/>
  <c r="D173" i="27"/>
  <c r="C173" i="27"/>
  <c r="D172" i="27"/>
  <c r="C172" i="27"/>
  <c r="D171" i="27"/>
  <c r="C171" i="27"/>
  <c r="D170" i="27"/>
  <c r="C170" i="27"/>
  <c r="D169" i="27"/>
  <c r="C169" i="27"/>
  <c r="D168" i="27"/>
  <c r="C168" i="27"/>
  <c r="D167" i="27"/>
  <c r="C167" i="27"/>
  <c r="D166" i="27"/>
  <c r="C166" i="27"/>
  <c r="D165" i="27"/>
  <c r="C165" i="27"/>
  <c r="D164" i="27"/>
  <c r="C164" i="27"/>
  <c r="D163" i="27"/>
  <c r="C163" i="27"/>
  <c r="D162" i="27"/>
  <c r="C162" i="27"/>
  <c r="D161" i="27"/>
  <c r="C161" i="27"/>
  <c r="D160" i="27"/>
  <c r="C160" i="27"/>
  <c r="D159" i="27"/>
  <c r="C159" i="27"/>
  <c r="D158" i="27"/>
  <c r="C158" i="27"/>
  <c r="D157" i="27"/>
  <c r="C157" i="27"/>
  <c r="D156" i="27"/>
  <c r="C156" i="27"/>
  <c r="D155" i="27"/>
  <c r="C155" i="27"/>
  <c r="D154" i="27"/>
  <c r="C154" i="27"/>
  <c r="D153" i="27"/>
  <c r="C153" i="27"/>
  <c r="D152" i="27"/>
  <c r="C152" i="27"/>
  <c r="D151" i="27"/>
  <c r="C151" i="27"/>
  <c r="D150" i="27"/>
  <c r="C150" i="27"/>
  <c r="D149" i="27"/>
  <c r="C149" i="27"/>
  <c r="D148" i="27"/>
  <c r="C148" i="27"/>
  <c r="D147" i="27"/>
  <c r="C147" i="27"/>
  <c r="D146" i="27"/>
  <c r="C146" i="27"/>
  <c r="D145" i="27"/>
  <c r="C145" i="27"/>
  <c r="D144" i="27"/>
  <c r="C144" i="27"/>
  <c r="D143" i="27"/>
  <c r="C143" i="27"/>
  <c r="D142" i="27"/>
  <c r="C142" i="27"/>
  <c r="D141" i="27"/>
  <c r="C141" i="27"/>
  <c r="D140" i="27"/>
  <c r="C140" i="27"/>
  <c r="D139" i="27"/>
  <c r="C139" i="27"/>
  <c r="D138" i="27"/>
  <c r="C138" i="27"/>
  <c r="D137" i="27"/>
  <c r="C137" i="27"/>
  <c r="D136" i="27"/>
  <c r="C136" i="27"/>
  <c r="D135" i="27"/>
  <c r="C135" i="27"/>
  <c r="D134" i="27"/>
  <c r="C134" i="27"/>
  <c r="D133" i="27"/>
  <c r="C133" i="27"/>
  <c r="D132" i="27"/>
  <c r="C132" i="27"/>
  <c r="D131" i="27"/>
  <c r="C131" i="27"/>
  <c r="D130" i="27"/>
  <c r="C130" i="27"/>
  <c r="D129" i="27"/>
  <c r="C129" i="27"/>
  <c r="D128" i="27"/>
  <c r="C128" i="27"/>
  <c r="D127" i="27"/>
  <c r="C127" i="27"/>
  <c r="D126" i="27"/>
  <c r="C126" i="27"/>
  <c r="D125" i="27"/>
  <c r="C125" i="27"/>
  <c r="D124" i="27"/>
  <c r="C124" i="27"/>
  <c r="D123" i="27"/>
  <c r="C123" i="27"/>
  <c r="D122" i="27"/>
  <c r="C122" i="27"/>
  <c r="D121" i="27"/>
  <c r="C121" i="27"/>
  <c r="D120" i="27"/>
  <c r="C120" i="27"/>
  <c r="D119" i="27"/>
  <c r="C119" i="27"/>
  <c r="D118" i="27"/>
  <c r="C118" i="27"/>
  <c r="D117" i="27"/>
  <c r="C117" i="27"/>
  <c r="D116" i="27"/>
  <c r="C116" i="27"/>
  <c r="D115" i="27"/>
  <c r="C115" i="27"/>
  <c r="D114" i="27"/>
  <c r="C114" i="27"/>
  <c r="D113" i="27"/>
  <c r="C113" i="27"/>
  <c r="D112" i="27"/>
  <c r="C112" i="27"/>
  <c r="D111" i="27"/>
  <c r="C111" i="27"/>
  <c r="D110" i="27"/>
  <c r="C110" i="27"/>
  <c r="D109" i="27"/>
  <c r="C109" i="27"/>
  <c r="D108" i="27"/>
  <c r="C108" i="27"/>
  <c r="D107" i="27"/>
  <c r="C107" i="27"/>
  <c r="D106" i="27"/>
  <c r="C106" i="27"/>
  <c r="D105" i="27"/>
  <c r="C105" i="27"/>
  <c r="D104" i="27"/>
  <c r="C104" i="27"/>
  <c r="D103" i="27"/>
  <c r="C103" i="27"/>
  <c r="D102" i="27"/>
  <c r="C102" i="27"/>
  <c r="D101" i="27"/>
  <c r="C101" i="27"/>
  <c r="D100" i="27"/>
  <c r="C100" i="27"/>
  <c r="D99" i="27"/>
  <c r="C99" i="27"/>
  <c r="D98" i="27"/>
  <c r="C98" i="27"/>
  <c r="D97" i="27"/>
  <c r="C97" i="27"/>
  <c r="D96" i="27"/>
  <c r="C96" i="27"/>
  <c r="D95" i="27"/>
  <c r="C95" i="27"/>
  <c r="D94" i="27"/>
  <c r="C94" i="27"/>
  <c r="D93" i="27"/>
  <c r="C93" i="27"/>
  <c r="D92" i="27"/>
  <c r="C92" i="27"/>
  <c r="D91" i="27"/>
  <c r="C91" i="27"/>
  <c r="D90" i="27"/>
  <c r="C90" i="27"/>
  <c r="D89" i="27"/>
  <c r="C89" i="27"/>
  <c r="D88" i="27"/>
  <c r="C88" i="27"/>
  <c r="D87" i="27"/>
  <c r="C87" i="27"/>
  <c r="D86" i="27"/>
  <c r="C86" i="27"/>
  <c r="D85" i="27"/>
  <c r="C85" i="27"/>
  <c r="D84" i="27"/>
  <c r="C84" i="27"/>
  <c r="D83" i="27"/>
  <c r="C83" i="27"/>
  <c r="D82" i="27"/>
  <c r="C82" i="27"/>
  <c r="D81" i="27"/>
  <c r="C81" i="27"/>
  <c r="D80" i="27"/>
  <c r="C80" i="27"/>
  <c r="D79" i="27"/>
  <c r="C79" i="27"/>
  <c r="D78" i="27"/>
  <c r="C78" i="27"/>
  <c r="D77" i="27"/>
  <c r="C77" i="27"/>
  <c r="D76" i="27"/>
  <c r="C76" i="27"/>
  <c r="D75" i="27"/>
  <c r="C75" i="27"/>
  <c r="D74" i="27"/>
  <c r="D73" i="27"/>
  <c r="C73" i="27"/>
  <c r="D72" i="27"/>
  <c r="C72" i="27"/>
  <c r="D71" i="27"/>
  <c r="C71" i="27"/>
  <c r="D70" i="27"/>
  <c r="C70" i="27"/>
  <c r="D69" i="27"/>
  <c r="C69" i="27"/>
  <c r="D68" i="27"/>
  <c r="C68" i="27"/>
  <c r="D67" i="27"/>
  <c r="C67" i="27"/>
  <c r="D66" i="27"/>
  <c r="C66" i="27"/>
  <c r="D65" i="27"/>
  <c r="C65" i="27"/>
  <c r="D64" i="27"/>
  <c r="C64" i="27"/>
  <c r="D63" i="27"/>
  <c r="C63" i="27"/>
  <c r="D62" i="27"/>
  <c r="C62" i="27"/>
  <c r="D61" i="27"/>
  <c r="C61" i="27"/>
  <c r="D60" i="27"/>
  <c r="C60" i="27"/>
  <c r="D59" i="27"/>
  <c r="C59" i="27"/>
  <c r="D58" i="27"/>
  <c r="C58" i="27"/>
  <c r="D57" i="27"/>
  <c r="C57" i="27"/>
  <c r="D56" i="27"/>
  <c r="C56" i="27"/>
  <c r="D55" i="27"/>
  <c r="C55" i="27"/>
  <c r="D54" i="27"/>
  <c r="C54" i="27"/>
  <c r="D53" i="27"/>
  <c r="C53" i="27"/>
  <c r="D52" i="27"/>
  <c r="C52" i="27"/>
  <c r="D51" i="27"/>
  <c r="C51" i="27"/>
  <c r="D50" i="27"/>
  <c r="C50" i="27"/>
  <c r="D49" i="27"/>
  <c r="C49" i="27"/>
  <c r="D48" i="27"/>
  <c r="C48" i="27"/>
  <c r="D47" i="27"/>
  <c r="C47" i="27"/>
  <c r="D46" i="27"/>
  <c r="C46" i="27"/>
  <c r="D45" i="27"/>
  <c r="C45" i="27"/>
  <c r="D44" i="27"/>
  <c r="C44" i="27"/>
  <c r="D43" i="27"/>
  <c r="C43" i="27"/>
  <c r="D42" i="27"/>
  <c r="C42" i="27"/>
  <c r="D41" i="27"/>
  <c r="C41" i="27"/>
  <c r="D40" i="27"/>
  <c r="C40" i="27"/>
  <c r="D39" i="27"/>
  <c r="C39" i="27"/>
  <c r="D38" i="27"/>
  <c r="C38" i="27"/>
  <c r="D37" i="27"/>
  <c r="C37" i="27"/>
  <c r="D36" i="27"/>
  <c r="C36" i="27"/>
  <c r="D35" i="27"/>
  <c r="C35" i="27"/>
  <c r="D34" i="27"/>
  <c r="C34" i="27"/>
  <c r="D33" i="27"/>
  <c r="C33" i="27"/>
  <c r="D32" i="27"/>
  <c r="C32" i="27"/>
  <c r="D31" i="27"/>
  <c r="C31" i="27"/>
  <c r="D30" i="27"/>
  <c r="C30" i="27"/>
  <c r="D29" i="27"/>
  <c r="C29" i="27"/>
  <c r="D28" i="27"/>
  <c r="C28" i="27"/>
  <c r="D27" i="27"/>
  <c r="C27" i="27"/>
  <c r="D26" i="27"/>
  <c r="C26" i="27"/>
  <c r="D25" i="27"/>
  <c r="C25" i="27"/>
  <c r="D24" i="27"/>
  <c r="C24" i="27"/>
  <c r="D23" i="27"/>
  <c r="C23" i="27"/>
  <c r="D22" i="27"/>
  <c r="C22" i="27"/>
  <c r="D21" i="27"/>
  <c r="C21" i="27"/>
  <c r="D20" i="27"/>
  <c r="C20" i="27"/>
  <c r="D19" i="27"/>
  <c r="C19" i="27"/>
  <c r="D18" i="27"/>
  <c r="C18" i="27"/>
  <c r="D17" i="27"/>
  <c r="C17" i="27"/>
  <c r="D16" i="27"/>
  <c r="C16" i="27"/>
  <c r="D15" i="27"/>
  <c r="C15" i="27"/>
  <c r="D14" i="27"/>
  <c r="C14" i="27"/>
  <c r="D13" i="27"/>
  <c r="C13" i="27"/>
  <c r="D12" i="27"/>
  <c r="C12" i="27"/>
  <c r="D11" i="27"/>
  <c r="C11" i="27"/>
  <c r="D10" i="27"/>
  <c r="C10" i="27"/>
  <c r="D9" i="27"/>
  <c r="C9" i="27"/>
  <c r="D8" i="27"/>
  <c r="C8" i="27"/>
  <c r="C7" i="27"/>
  <c r="D7" i="27" s="1"/>
  <c r="D6" i="27"/>
  <c r="C6" i="27"/>
  <c r="D5" i="27"/>
  <c r="C5" i="27"/>
  <c r="D4" i="27"/>
  <c r="C4" i="27"/>
  <c r="C3" i="27"/>
  <c r="D3" i="27" s="1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B3" i="30" s="1"/>
  <c r="G3" i="30" s="1"/>
  <c r="H3" i="30" s="1"/>
  <c r="D250" i="26"/>
  <c r="C250" i="26"/>
  <c r="D249" i="26"/>
  <c r="C249" i="26"/>
  <c r="D248" i="26"/>
  <c r="C248" i="26"/>
  <c r="D247" i="26"/>
  <c r="C247" i="26"/>
  <c r="D246" i="26"/>
  <c r="C246" i="26"/>
  <c r="D245" i="26"/>
  <c r="C245" i="26"/>
  <c r="D244" i="26"/>
  <c r="C244" i="26"/>
  <c r="D243" i="26"/>
  <c r="C243" i="26"/>
  <c r="D242" i="26"/>
  <c r="C242" i="26"/>
  <c r="D241" i="26"/>
  <c r="C241" i="26"/>
  <c r="D240" i="26"/>
  <c r="C240" i="26"/>
  <c r="D239" i="26"/>
  <c r="C239" i="26"/>
  <c r="D238" i="26"/>
  <c r="C238" i="26"/>
  <c r="D237" i="26"/>
  <c r="C237" i="26"/>
  <c r="D236" i="26"/>
  <c r="C236" i="26"/>
  <c r="D235" i="26"/>
  <c r="C235" i="26"/>
  <c r="D234" i="26"/>
  <c r="C234" i="26"/>
  <c r="D233" i="26"/>
  <c r="C233" i="26"/>
  <c r="D232" i="26"/>
  <c r="C232" i="26"/>
  <c r="D231" i="26"/>
  <c r="C231" i="26"/>
  <c r="D230" i="26"/>
  <c r="C230" i="26"/>
  <c r="D229" i="26"/>
  <c r="C229" i="26"/>
  <c r="D228" i="26"/>
  <c r="C228" i="26"/>
  <c r="D227" i="26"/>
  <c r="C227" i="26"/>
  <c r="D226" i="26"/>
  <c r="C226" i="26"/>
  <c r="D225" i="26"/>
  <c r="C225" i="26"/>
  <c r="D224" i="26"/>
  <c r="C224" i="26"/>
  <c r="D223" i="26"/>
  <c r="C223" i="26"/>
  <c r="D222" i="26"/>
  <c r="C222" i="26"/>
  <c r="D221" i="26"/>
  <c r="C221" i="26"/>
  <c r="D220" i="26"/>
  <c r="C220" i="26"/>
  <c r="D219" i="26"/>
  <c r="C219" i="26"/>
  <c r="D218" i="26"/>
  <c r="C218" i="26"/>
  <c r="D217" i="26"/>
  <c r="C217" i="26"/>
  <c r="D216" i="26"/>
  <c r="C216" i="26"/>
  <c r="D215" i="26"/>
  <c r="C215" i="26"/>
  <c r="D214" i="26"/>
  <c r="C214" i="26"/>
  <c r="D213" i="26"/>
  <c r="C213" i="26"/>
  <c r="D212" i="26"/>
  <c r="C212" i="26"/>
  <c r="D211" i="26"/>
  <c r="C211" i="26"/>
  <c r="D210" i="26"/>
  <c r="C210" i="26"/>
  <c r="D209" i="26"/>
  <c r="C209" i="26"/>
  <c r="D208" i="26"/>
  <c r="C208" i="26"/>
  <c r="D207" i="26"/>
  <c r="C207" i="26"/>
  <c r="D206" i="26"/>
  <c r="C206" i="26"/>
  <c r="D205" i="26"/>
  <c r="C205" i="26"/>
  <c r="D204" i="26"/>
  <c r="C204" i="26"/>
  <c r="D203" i="26"/>
  <c r="C203" i="26"/>
  <c r="D202" i="26"/>
  <c r="C202" i="26"/>
  <c r="D201" i="26"/>
  <c r="C201" i="26"/>
  <c r="D200" i="26"/>
  <c r="C200" i="26"/>
  <c r="D199" i="26"/>
  <c r="C199" i="26"/>
  <c r="D198" i="26"/>
  <c r="C198" i="26"/>
  <c r="D197" i="26"/>
  <c r="C197" i="26"/>
  <c r="D196" i="26"/>
  <c r="C196" i="26"/>
  <c r="D195" i="26"/>
  <c r="C195" i="26"/>
  <c r="D194" i="26"/>
  <c r="C194" i="26"/>
  <c r="D193" i="26"/>
  <c r="C193" i="26"/>
  <c r="D192" i="26"/>
  <c r="C192" i="26"/>
  <c r="D191" i="26"/>
  <c r="C191" i="26"/>
  <c r="D190" i="26"/>
  <c r="C190" i="26"/>
  <c r="D189" i="26"/>
  <c r="C189" i="26"/>
  <c r="D188" i="26"/>
  <c r="C188" i="26"/>
  <c r="D187" i="26"/>
  <c r="C187" i="26"/>
  <c r="D186" i="26"/>
  <c r="C186" i="26"/>
  <c r="D185" i="26"/>
  <c r="C185" i="26"/>
  <c r="D184" i="26"/>
  <c r="C184" i="26"/>
  <c r="D183" i="26"/>
  <c r="C183" i="26"/>
  <c r="D182" i="26"/>
  <c r="C182" i="26"/>
  <c r="D181" i="26"/>
  <c r="C181" i="26"/>
  <c r="D180" i="26"/>
  <c r="C180" i="26"/>
  <c r="D179" i="26"/>
  <c r="C179" i="26"/>
  <c r="D178" i="26"/>
  <c r="C178" i="26"/>
  <c r="D177" i="26"/>
  <c r="C177" i="26"/>
  <c r="D176" i="26"/>
  <c r="C176" i="26"/>
  <c r="D175" i="26"/>
  <c r="C175" i="26"/>
  <c r="D174" i="26"/>
  <c r="C174" i="26"/>
  <c r="D173" i="26"/>
  <c r="C173" i="26"/>
  <c r="D172" i="26"/>
  <c r="C172" i="26"/>
  <c r="D171" i="26"/>
  <c r="C171" i="26"/>
  <c r="D170" i="26"/>
  <c r="C170" i="26"/>
  <c r="D169" i="26"/>
  <c r="C169" i="26"/>
  <c r="D168" i="26"/>
  <c r="C168" i="26"/>
  <c r="D167" i="26"/>
  <c r="C167" i="26"/>
  <c r="D166" i="26"/>
  <c r="C166" i="26"/>
  <c r="D165" i="26"/>
  <c r="C165" i="26"/>
  <c r="D164" i="26"/>
  <c r="C164" i="26"/>
  <c r="D163" i="26"/>
  <c r="C163" i="26"/>
  <c r="D162" i="26"/>
  <c r="C162" i="26"/>
  <c r="D161" i="26"/>
  <c r="C161" i="26"/>
  <c r="D160" i="26"/>
  <c r="C160" i="26"/>
  <c r="D159" i="26"/>
  <c r="C159" i="26"/>
  <c r="D158" i="26"/>
  <c r="C158" i="26"/>
  <c r="D157" i="26"/>
  <c r="C157" i="26"/>
  <c r="D156" i="26"/>
  <c r="C156" i="26"/>
  <c r="D155" i="26"/>
  <c r="C155" i="26"/>
  <c r="D154" i="26"/>
  <c r="C154" i="26"/>
  <c r="D153" i="26"/>
  <c r="C153" i="26"/>
  <c r="D152" i="26"/>
  <c r="C152" i="26"/>
  <c r="D151" i="26"/>
  <c r="C151" i="26"/>
  <c r="D150" i="26"/>
  <c r="C150" i="26"/>
  <c r="D149" i="26"/>
  <c r="C149" i="26"/>
  <c r="D148" i="26"/>
  <c r="C148" i="26"/>
  <c r="D147" i="26"/>
  <c r="C147" i="26"/>
  <c r="D146" i="26"/>
  <c r="C146" i="26"/>
  <c r="D145" i="26"/>
  <c r="C145" i="26"/>
  <c r="D144" i="26"/>
  <c r="C144" i="26"/>
  <c r="D143" i="26"/>
  <c r="C143" i="26"/>
  <c r="D142" i="26"/>
  <c r="C142" i="26"/>
  <c r="D141" i="26"/>
  <c r="C141" i="26"/>
  <c r="D140" i="26"/>
  <c r="C140" i="26"/>
  <c r="D139" i="26"/>
  <c r="C139" i="26"/>
  <c r="D138" i="26"/>
  <c r="C138" i="26"/>
  <c r="D137" i="26"/>
  <c r="C137" i="26"/>
  <c r="D136" i="26"/>
  <c r="C136" i="26"/>
  <c r="D135" i="26"/>
  <c r="C135" i="26"/>
  <c r="D134" i="26"/>
  <c r="C134" i="26"/>
  <c r="D133" i="26"/>
  <c r="C133" i="26"/>
  <c r="D132" i="26"/>
  <c r="C132" i="26"/>
  <c r="D131" i="26"/>
  <c r="C131" i="26"/>
  <c r="D130" i="26"/>
  <c r="C130" i="26"/>
  <c r="D129" i="26"/>
  <c r="C129" i="26"/>
  <c r="D128" i="26"/>
  <c r="C128" i="26"/>
  <c r="D127" i="26"/>
  <c r="C127" i="26"/>
  <c r="D126" i="26"/>
  <c r="C126" i="26"/>
  <c r="D125" i="26"/>
  <c r="C125" i="26"/>
  <c r="D124" i="26"/>
  <c r="C124" i="26"/>
  <c r="D123" i="26"/>
  <c r="C123" i="26"/>
  <c r="D122" i="26"/>
  <c r="C122" i="26"/>
  <c r="D121" i="26"/>
  <c r="C121" i="26"/>
  <c r="D120" i="26"/>
  <c r="C120" i="26"/>
  <c r="D119" i="26"/>
  <c r="C119" i="26"/>
  <c r="D118" i="26"/>
  <c r="C118" i="26"/>
  <c r="D117" i="26"/>
  <c r="C117" i="26"/>
  <c r="D116" i="26"/>
  <c r="C116" i="26"/>
  <c r="D115" i="26"/>
  <c r="C115" i="26"/>
  <c r="D114" i="26"/>
  <c r="C114" i="26"/>
  <c r="D113" i="26"/>
  <c r="C113" i="26"/>
  <c r="D112" i="26"/>
  <c r="C112" i="26"/>
  <c r="D111" i="26"/>
  <c r="C111" i="26"/>
  <c r="D110" i="26"/>
  <c r="C110" i="26"/>
  <c r="D109" i="26"/>
  <c r="C109" i="26"/>
  <c r="D108" i="26"/>
  <c r="C108" i="26"/>
  <c r="D107" i="26"/>
  <c r="C107" i="26"/>
  <c r="D106" i="26"/>
  <c r="C106" i="26"/>
  <c r="D105" i="26"/>
  <c r="C105" i="26"/>
  <c r="D104" i="26"/>
  <c r="C104" i="26"/>
  <c r="D103" i="26"/>
  <c r="C103" i="26"/>
  <c r="D102" i="26"/>
  <c r="C102" i="26"/>
  <c r="D101" i="26"/>
  <c r="C101" i="26"/>
  <c r="D100" i="26"/>
  <c r="C100" i="26"/>
  <c r="D99" i="26"/>
  <c r="C99" i="26"/>
  <c r="D98" i="26"/>
  <c r="C98" i="26"/>
  <c r="D97" i="26"/>
  <c r="C97" i="26"/>
  <c r="D96" i="26"/>
  <c r="C96" i="26"/>
  <c r="D95" i="26"/>
  <c r="C95" i="26"/>
  <c r="D94" i="26"/>
  <c r="C94" i="26"/>
  <c r="D93" i="26"/>
  <c r="C93" i="26"/>
  <c r="D92" i="26"/>
  <c r="C92" i="26"/>
  <c r="D91" i="26"/>
  <c r="C91" i="26"/>
  <c r="D90" i="26"/>
  <c r="C90" i="26"/>
  <c r="D89" i="26"/>
  <c r="C89" i="26"/>
  <c r="D88" i="26"/>
  <c r="C88" i="26"/>
  <c r="D87" i="26"/>
  <c r="C87" i="26"/>
  <c r="D86" i="26"/>
  <c r="C86" i="26"/>
  <c r="D85" i="26"/>
  <c r="C85" i="26"/>
  <c r="D84" i="26"/>
  <c r="C84" i="26"/>
  <c r="D83" i="26"/>
  <c r="C83" i="26"/>
  <c r="D82" i="26"/>
  <c r="C82" i="26"/>
  <c r="D81" i="26"/>
  <c r="C81" i="26"/>
  <c r="D80" i="26"/>
  <c r="C80" i="26"/>
  <c r="D79" i="26"/>
  <c r="C79" i="26"/>
  <c r="D78" i="26"/>
  <c r="C78" i="26"/>
  <c r="D77" i="26"/>
  <c r="C77" i="26"/>
  <c r="D76" i="26"/>
  <c r="C76" i="26"/>
  <c r="D75" i="26"/>
  <c r="C75" i="26"/>
  <c r="D74" i="26"/>
  <c r="C74" i="26"/>
  <c r="D73" i="26"/>
  <c r="C73" i="26"/>
  <c r="D72" i="26"/>
  <c r="C72" i="26"/>
  <c r="D71" i="26"/>
  <c r="C71" i="26"/>
  <c r="D70" i="26"/>
  <c r="C70" i="26"/>
  <c r="D69" i="26"/>
  <c r="C69" i="26"/>
  <c r="D68" i="26"/>
  <c r="C68" i="26"/>
  <c r="D67" i="26"/>
  <c r="C67" i="26"/>
  <c r="D66" i="26"/>
  <c r="C66" i="26"/>
  <c r="D65" i="26"/>
  <c r="C65" i="26"/>
  <c r="D64" i="26"/>
  <c r="C64" i="26"/>
  <c r="D63" i="26"/>
  <c r="C63" i="26"/>
  <c r="D62" i="26"/>
  <c r="C62" i="26"/>
  <c r="D61" i="26"/>
  <c r="C61" i="26"/>
  <c r="D60" i="26"/>
  <c r="C60" i="26"/>
  <c r="D59" i="26"/>
  <c r="C59" i="26"/>
  <c r="D58" i="26"/>
  <c r="C58" i="26"/>
  <c r="D57" i="26"/>
  <c r="C57" i="26"/>
  <c r="D56" i="26"/>
  <c r="C56" i="26"/>
  <c r="D55" i="26"/>
  <c r="C55" i="26"/>
  <c r="D54" i="26"/>
  <c r="C54" i="26"/>
  <c r="D53" i="26"/>
  <c r="C53" i="26"/>
  <c r="D52" i="26"/>
  <c r="C52" i="26"/>
  <c r="D51" i="26"/>
  <c r="C51" i="26"/>
  <c r="D50" i="26"/>
  <c r="C50" i="26"/>
  <c r="D49" i="26"/>
  <c r="C49" i="26"/>
  <c r="D48" i="26"/>
  <c r="C48" i="26"/>
  <c r="D47" i="26"/>
  <c r="C47" i="26"/>
  <c r="D46" i="26"/>
  <c r="C46" i="26"/>
  <c r="D45" i="26"/>
  <c r="C45" i="26"/>
  <c r="D44" i="26"/>
  <c r="C44" i="26"/>
  <c r="D43" i="26"/>
  <c r="C43" i="26"/>
  <c r="D42" i="26"/>
  <c r="C42" i="26"/>
  <c r="D41" i="26"/>
  <c r="C41" i="26"/>
  <c r="D40" i="26"/>
  <c r="C40" i="26"/>
  <c r="D39" i="26"/>
  <c r="C39" i="26"/>
  <c r="D38" i="26"/>
  <c r="C38" i="26"/>
  <c r="D37" i="26"/>
  <c r="C37" i="26"/>
  <c r="D36" i="26"/>
  <c r="C36" i="26"/>
  <c r="D35" i="26"/>
  <c r="C35" i="26"/>
  <c r="D34" i="26"/>
  <c r="C34" i="26"/>
  <c r="D33" i="26"/>
  <c r="C33" i="26"/>
  <c r="D32" i="26"/>
  <c r="C32" i="26"/>
  <c r="D31" i="26"/>
  <c r="C31" i="26"/>
  <c r="D30" i="26"/>
  <c r="C30" i="26"/>
  <c r="D29" i="26"/>
  <c r="C29" i="26"/>
  <c r="D28" i="26"/>
  <c r="C28" i="26"/>
  <c r="D27" i="26"/>
  <c r="C27" i="26"/>
  <c r="D26" i="26"/>
  <c r="C26" i="26"/>
  <c r="D25" i="26"/>
  <c r="C25" i="26"/>
  <c r="D24" i="26"/>
  <c r="C24" i="26"/>
  <c r="D23" i="26"/>
  <c r="C23" i="26"/>
  <c r="D22" i="26"/>
  <c r="C22" i="26"/>
  <c r="D21" i="26"/>
  <c r="C21" i="26"/>
  <c r="D20" i="26"/>
  <c r="C20" i="26"/>
  <c r="D19" i="26"/>
  <c r="C19" i="26"/>
  <c r="D18" i="26"/>
  <c r="C18" i="26"/>
  <c r="D17" i="26"/>
  <c r="C17" i="26"/>
  <c r="D16" i="26"/>
  <c r="C16" i="26"/>
  <c r="D15" i="26"/>
  <c r="C15" i="26"/>
  <c r="D14" i="26"/>
  <c r="C14" i="26"/>
  <c r="D13" i="26"/>
  <c r="C13" i="26"/>
  <c r="D12" i="26"/>
  <c r="C12" i="26"/>
  <c r="D11" i="26"/>
  <c r="C11" i="26"/>
  <c r="D10" i="26"/>
  <c r="C10" i="26"/>
  <c r="D9" i="26"/>
  <c r="C9" i="26"/>
  <c r="D8" i="26"/>
  <c r="C8" i="26"/>
  <c r="C7" i="26"/>
  <c r="D7" i="26" s="1"/>
  <c r="D6" i="26"/>
  <c r="C6" i="26"/>
  <c r="D5" i="26"/>
  <c r="C5" i="26"/>
  <c r="D4" i="26"/>
  <c r="C4" i="26"/>
  <c r="C3" i="26"/>
  <c r="D3" i="26" s="1"/>
  <c r="B2" i="24"/>
  <c r="B7" i="30" l="1"/>
  <c r="G7" i="30" s="1"/>
  <c r="H7" i="30" s="1"/>
  <c r="I7" i="30"/>
  <c r="J7" i="30" s="1"/>
  <c r="K7" i="30" s="1"/>
  <c r="I3" i="30"/>
  <c r="J3" i="30" s="1"/>
  <c r="K3" i="30" s="1"/>
</calcChain>
</file>

<file path=xl/sharedStrings.xml><?xml version="1.0" encoding="utf-8"?>
<sst xmlns="http://schemas.openxmlformats.org/spreadsheetml/2006/main" count="64" uniqueCount="23">
  <si>
    <t>Tem valores</t>
  </si>
  <si>
    <t>#Alunos</t>
  </si>
  <si>
    <t>#Componentes</t>
  </si>
  <si>
    <t>Componente</t>
  </si>
  <si>
    <t>Peso Componente</t>
  </si>
  <si>
    <t>Agrupamento</t>
  </si>
  <si>
    <t># Parâmetros</t>
  </si>
  <si>
    <t>Peso Parâmetro</t>
  </si>
  <si>
    <t>Exame</t>
  </si>
  <si>
    <t>Recurso</t>
  </si>
  <si>
    <t>G1</t>
  </si>
  <si>
    <t>Nomes</t>
  </si>
  <si>
    <t>Nota</t>
  </si>
  <si>
    <t>Nota Convertida</t>
  </si>
  <si>
    <t>Total</t>
  </si>
  <si>
    <t>Rui</t>
  </si>
  <si>
    <t>Ruben</t>
  </si>
  <si>
    <t>SS</t>
  </si>
  <si>
    <t>SADS</t>
  </si>
  <si>
    <t>SDASD</t>
  </si>
  <si>
    <t>FDGDF</t>
  </si>
  <si>
    <t>RETR</t>
  </si>
  <si>
    <t>DFGDFG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</si>
</sst>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8EA9DB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9">
    <xf numFmtId="0" fontId="0" fillId="0" borderId="0" xfId="0"/>
    <xf numFmtId="0" fontId="2" fillId="2" borderId="1" xfId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3" borderId="1" xfId="1" applyFill="1" applyAlignment="1">
      <alignment horizontal="center"/>
    </xf>
    <xf numFmtId="0" fontId="2" fillId="4" borderId="1" xfId="1" applyFill="1" applyAlignment="1">
      <alignment horizontal="center"/>
    </xf>
  </cellXfs>
  <cellStyles count="2">
    <cellStyle name="Normal" xfId="0" builtinId="0"/>
    <cellStyle name="Saída" xfId="1" builtinId="21"/>
  </cellStyles>
  <dxfs count="992"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1</xdr:row>
          <xdr:rowOff>0</xdr:rowOff>
        </xdr:from>
        <xdr:to>
          <xdr:col>8</xdr:col>
          <xdr:colOff>586740</xdr:colOff>
          <xdr:row>14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167640</xdr:rowOff>
        </xdr:from>
        <xdr:to>
          <xdr:col>7</xdr:col>
          <xdr:colOff>0</xdr:colOff>
          <xdr:row>19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tudo / Resetar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D56A-C02D-424C-AFBF-28BB56949BDD}">
  <sheetPr codeName="Folha1"/>
  <dimension ref="A1"/>
  <sheetViews>
    <sheetView workbookViewId="0">
      <selection activeCell="D20" sqref="D20"/>
    </sheetView>
  </sheetViews>
  <sheetFormatPr defaultRowHeight="14.4" x14ac:dyDescent="0.3"/>
  <sheetData>
    <row r="1" ht="30" customHeight="1" x14ac:dyDescent="0.3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click">
                <anchor moveWithCells="1" sizeWithCells="1">
                  <from>
                    <xdr:col>0</xdr:col>
                    <xdr:colOff>579120</xdr:colOff>
                    <xdr:row>1</xdr:row>
                    <xdr:rowOff>0</xdr:rowOff>
                  </from>
                  <to>
                    <xdr:col>8</xdr:col>
                    <xdr:colOff>586740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click">
                <anchor moveWithCells="1" sizeWithCells="1">
                  <from>
                    <xdr:col>3</xdr:col>
                    <xdr:colOff>0</xdr:colOff>
                    <xdr:row>14</xdr:row>
                    <xdr:rowOff>167640</xdr:rowOff>
                  </from>
                  <to>
                    <xdr:col>7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DE95-EF69-4533-9FB6-10A1ECC9E031}">
  <sheetPr codeName="Folha23"/>
  <dimension ref="A1:ZZ250"/>
  <sheetViews>
    <sheetView workbookViewId="0">
      <selection activeCell="A8" sqref="A8"/>
    </sheetView>
  </sheetViews>
  <sheetFormatPr defaultRowHeight="14.4" x14ac:dyDescent="0.3"/>
  <cols>
    <col min="1" max="1" width="35.77734375" style="2" customWidth="1"/>
    <col min="2" max="2" width="6.5546875" style="2" bestFit="1" customWidth="1"/>
    <col min="3" max="3" width="3.21875" style="2" bestFit="1" customWidth="1"/>
    <col min="4" max="4" width="6.44140625" style="2" bestFit="1" customWidth="1"/>
    <col min="5" max="5" width="3.21875" style="2" bestFit="1" customWidth="1"/>
    <col min="6" max="6" width="6.6640625" style="2" bestFit="1" customWidth="1"/>
    <col min="7" max="7" width="5.21875" style="2" bestFit="1" customWidth="1"/>
    <col min="8" max="8" width="5.109375" style="2" bestFit="1" customWidth="1"/>
    <col min="9" max="702" width="8.88671875" style="2"/>
  </cols>
  <sheetData>
    <row r="1" spans="1:11" x14ac:dyDescent="0.3">
      <c r="B1" s="8">
        <v>12</v>
      </c>
      <c r="D1" s="8">
        <v>33</v>
      </c>
      <c r="F1" s="8">
        <v>12</v>
      </c>
      <c r="G1" s="8">
        <v>57</v>
      </c>
      <c r="H1" s="8">
        <v>57</v>
      </c>
      <c r="I1" s="8">
        <v>12</v>
      </c>
      <c r="J1" s="8">
        <v>57</v>
      </c>
      <c r="K1" s="8">
        <v>57</v>
      </c>
    </row>
    <row r="2" spans="1:11" x14ac:dyDescent="0.3">
      <c r="A2" s="7" t="s">
        <v>11</v>
      </c>
      <c r="B2" s="7" t="s">
        <v>8</v>
      </c>
      <c r="C2" s="7" t="s">
        <v>10</v>
      </c>
      <c r="D2" s="7" t="s">
        <v>20</v>
      </c>
      <c r="E2" s="7" t="s">
        <v>10</v>
      </c>
      <c r="F2" s="7" t="s">
        <v>19</v>
      </c>
      <c r="G2" s="7" t="s">
        <v>14</v>
      </c>
      <c r="H2" s="7" t="s">
        <v>12</v>
      </c>
      <c r="I2" s="7" t="s">
        <v>9</v>
      </c>
      <c r="J2" s="7" t="s">
        <v>14</v>
      </c>
      <c r="K2" s="7" t="s">
        <v>12</v>
      </c>
    </row>
    <row r="3" spans="1:11" x14ac:dyDescent="0.3">
      <c r="A3" s="2" t="s">
        <v>15</v>
      </c>
      <c r="B3" s="2">
        <f>IFERROR(IF(A3&lt;&gt;"",VLOOKUP(Alunos!A3,Exame!A3:D250,4, FALSE),""), "")</f>
        <v>0</v>
      </c>
      <c r="C3" s="2" t="e">
        <f>IF(A3&lt;&gt;"",VLOOKUP(Alunos!A3,Agrupamentos!A3:B250,2, FALSE),"")</f>
        <v>#N/A</v>
      </c>
      <c r="D3" s="2" t="str">
        <f>IFERROR(IF(A3&lt;&gt;"",VLOOKUP(Alunos!C3,FDGDF!A3:D250,4, FALSE),""),"")</f>
        <v/>
      </c>
      <c r="E3" s="2" t="e">
        <f>IF(A3&lt;&gt;"",VLOOKUP(Alunos!A3,Agrupamentos!A3:B250,2, FALSE),"")</f>
        <v>#N/A</v>
      </c>
      <c r="F3" s="2" t="str">
        <f>IFERROR(IF(A3&lt;&gt;"",VLOOKUP(Alunos!E3,SDASD!A3:D250,4, FALSE),""),"")</f>
        <v/>
      </c>
      <c r="G3" s="2">
        <f>IF(A3&lt;&gt;"", SUMIF(B1:F1,"&lt;&gt;",B3:F3),"")</f>
        <v>0</v>
      </c>
      <c r="H3" s="2">
        <f>IF(AND(A3&lt;&gt;"",G3&lt;&gt;""),ROUND(G3,0),"")</f>
        <v>0</v>
      </c>
      <c r="I3" s="2">
        <f>IFERROR(IF(A3&lt;&gt;"",VLOOKUP(Alunos!A3,Recurso!A3:D250,4, FALSE),""), "")</f>
        <v>0</v>
      </c>
      <c r="J3" s="2">
        <f>IF(AND(A3&lt;&gt;"",I3&lt;&gt;""), SUMIFS(B3:I3,B1:I1,"&lt;&gt;",B2:I2,"&lt;&gt;Exame",B2:I2,"&lt;&gt;exame",B2:I2,"&lt;&gt;Nota",B2:I2,"&lt;&gt;Total"),"")</f>
        <v>0</v>
      </c>
      <c r="K3" s="2">
        <f>IF(AND(A3&lt;&gt;"",J3&lt;&gt;""),ROUND(J3,0),"")</f>
        <v>0</v>
      </c>
    </row>
    <row r="4" spans="1:11" x14ac:dyDescent="0.3">
      <c r="B4" s="2" t="str">
        <f>IFERROR(IF(A4&lt;&gt;"",VLOOKUP(Alunos!A4,Exame!A3:D250,4, FALSE),""), "")</f>
        <v/>
      </c>
      <c r="C4" s="2" t="str">
        <f>IF(A4&lt;&gt;"",VLOOKUP(Alunos!A4,Agrupamentos!A3:B250,2, FALSE),"")</f>
        <v/>
      </c>
      <c r="D4" s="2" t="str">
        <f>IFERROR(IF(A4&lt;&gt;"",VLOOKUP(Alunos!C4,FDGDF!A3:D250,4, FALSE),""),"")</f>
        <v/>
      </c>
      <c r="E4" s="2" t="str">
        <f>IF(A4&lt;&gt;"",VLOOKUP(Alunos!A4,Agrupamentos!A3:B250,2, FALSE),"")</f>
        <v/>
      </c>
      <c r="F4" s="2" t="str">
        <f>IFERROR(IF(A4&lt;&gt;"",VLOOKUP(Alunos!E4,SDASD!A3:D250,4, FALSE),""),"")</f>
        <v/>
      </c>
      <c r="G4" s="2" t="str">
        <f>IF(A4&lt;&gt;"", SUMIF(B1:F1,"&lt;&gt;",B4:F4),"")</f>
        <v/>
      </c>
      <c r="H4" s="2" t="str">
        <f>IF(AND(A4&lt;&gt;"",G4&lt;&gt;""),ROUND(G4,0),"")</f>
        <v/>
      </c>
      <c r="I4" s="2" t="str">
        <f>IFERROR(IF(A4&lt;&gt;"",VLOOKUP(Alunos!A4,Recurso!A3:D250,4, FALSE),""), "")</f>
        <v/>
      </c>
      <c r="J4" s="2" t="str">
        <f>IF(AND(A4&lt;&gt;"",I4&lt;&gt;""), SUMIFS(B4:I4,B1:I1,"&lt;&gt;",B2:I2,"&lt;&gt;Exame",B2:I2,"&lt;&gt;exame",B2:I2,"&lt;&gt;Nota",B2:I2,"&lt;&gt;Total"),"")</f>
        <v/>
      </c>
      <c r="K4" s="2" t="str">
        <f>IF(AND(A4&lt;&gt;"",J4&lt;&gt;""),ROUND(J4,0),"")</f>
        <v/>
      </c>
    </row>
    <row r="5" spans="1:11" x14ac:dyDescent="0.3">
      <c r="B5" s="2" t="str">
        <f>IFERROR(IF(A5&lt;&gt;"",VLOOKUP(Alunos!A5,Exame!A3:D250,4, FALSE),""), "")</f>
        <v/>
      </c>
      <c r="C5" s="2" t="str">
        <f>IF(A5&lt;&gt;"",VLOOKUP(Alunos!A5,Agrupamentos!A3:B250,2, FALSE),"")</f>
        <v/>
      </c>
      <c r="D5" s="2" t="str">
        <f>IFERROR(IF(A5&lt;&gt;"",VLOOKUP(Alunos!C5,FDGDF!A3:D250,4, FALSE),""),"")</f>
        <v/>
      </c>
      <c r="E5" s="2" t="str">
        <f>IF(A5&lt;&gt;"",VLOOKUP(Alunos!A5,Agrupamentos!A3:B250,2, FALSE),"")</f>
        <v/>
      </c>
      <c r="F5" s="2" t="str">
        <f>IFERROR(IF(A5&lt;&gt;"",VLOOKUP(Alunos!E5,SDASD!A3:D250,4, FALSE),""),"")</f>
        <v/>
      </c>
      <c r="G5" s="2" t="str">
        <f>IF(A5&lt;&gt;"", SUMIF(B1:F1,"&lt;&gt;",B5:F5),"")</f>
        <v/>
      </c>
      <c r="H5" s="2" t="str">
        <f>IF(AND(A5&lt;&gt;"",G5&lt;&gt;""),ROUND(G5,0),"")</f>
        <v/>
      </c>
      <c r="I5" s="2" t="str">
        <f>IFERROR(IF(A5&lt;&gt;"",VLOOKUP(Alunos!A5,Recurso!A3:D250,4, FALSE),""), "")</f>
        <v/>
      </c>
      <c r="J5" s="2" t="str">
        <f>IF(AND(A5&lt;&gt;"",I5&lt;&gt;""), SUMIFS(B5:I5,B1:I1,"&lt;&gt;",B2:I2,"&lt;&gt;Exame",B2:I2,"&lt;&gt;exame",B2:I2,"&lt;&gt;Nota",B2:I2,"&lt;&gt;Total"),"")</f>
        <v/>
      </c>
      <c r="K5" s="2" t="str">
        <f>IF(AND(A5&lt;&gt;"",J5&lt;&gt;""),ROUND(J5,0),"")</f>
        <v/>
      </c>
    </row>
    <row r="6" spans="1:11" x14ac:dyDescent="0.3">
      <c r="B6" s="2" t="str">
        <f>IFERROR(IF(A6&lt;&gt;"",VLOOKUP(Alunos!A6,Exame!A3:D250,4, FALSE),""), "")</f>
        <v/>
      </c>
      <c r="C6" s="2" t="str">
        <f>IF(A6&lt;&gt;"",VLOOKUP(Alunos!A6,Agrupamentos!A3:B250,2, FALSE),"")</f>
        <v/>
      </c>
      <c r="D6" s="2" t="str">
        <f>IFERROR(IF(A6&lt;&gt;"",VLOOKUP(Alunos!C6,FDGDF!A3:D250,4, FALSE),""),"")</f>
        <v/>
      </c>
      <c r="E6" s="2" t="str">
        <f>IF(A6&lt;&gt;"",VLOOKUP(Alunos!A6,Agrupamentos!A3:B250,2, FALSE),"")</f>
        <v/>
      </c>
      <c r="F6" s="2" t="str">
        <f>IFERROR(IF(A6&lt;&gt;"",VLOOKUP(Alunos!E6,SDASD!A3:D250,4, FALSE),""),"")</f>
        <v/>
      </c>
      <c r="G6" s="2" t="str">
        <f>IF(A6&lt;&gt;"", SUMIF(B1:F1,"&lt;&gt;",B6:F6),"")</f>
        <v/>
      </c>
      <c r="H6" s="2" t="str">
        <f>IF(AND(A6&lt;&gt;"",G6&lt;&gt;""),ROUND(G6,0),"")</f>
        <v/>
      </c>
      <c r="I6" s="2" t="str">
        <f>IFERROR(IF(A6&lt;&gt;"",VLOOKUP(Alunos!A6,Recurso!A3:D250,4, FALSE),""), "")</f>
        <v/>
      </c>
      <c r="J6" s="2" t="str">
        <f>IF(AND(A6&lt;&gt;"",I6&lt;&gt;""), SUMIFS(B6:I6,B1:I1,"&lt;&gt;",B2:I2,"&lt;&gt;Exame",B2:I2,"&lt;&gt;exame",B2:I2,"&lt;&gt;Nota",B2:I2,"&lt;&gt;Total"),"")</f>
        <v/>
      </c>
      <c r="K6" s="2" t="str">
        <f>IF(AND(A6&lt;&gt;"",J6&lt;&gt;""),ROUND(J6,0),"")</f>
        <v/>
      </c>
    </row>
    <row r="7" spans="1:11" x14ac:dyDescent="0.3">
      <c r="A7" s="2" t="s">
        <v>16</v>
      </c>
      <c r="B7" s="2">
        <f>IFERROR(IF(A7&lt;&gt;"",VLOOKUP(Alunos!A7,Exame!A3:D250,4, FALSE),""), "")</f>
        <v>0</v>
      </c>
      <c r="C7" s="2" t="e">
        <f>IF(A7&lt;&gt;"",VLOOKUP(Alunos!A7,Agrupamentos!A3:B250,2, FALSE),"")</f>
        <v>#N/A</v>
      </c>
      <c r="D7" s="2" t="str">
        <f>IFERROR(IF(A7&lt;&gt;"",VLOOKUP(Alunos!C7,FDGDF!A3:D250,4, FALSE),""),"")</f>
        <v/>
      </c>
      <c r="E7" s="2" t="e">
        <f>IF(A7&lt;&gt;"",VLOOKUP(Alunos!A7,Agrupamentos!A3:B250,2, FALSE),"")</f>
        <v>#N/A</v>
      </c>
      <c r="F7" s="2" t="str">
        <f>IFERROR(IF(A7&lt;&gt;"",VLOOKUP(Alunos!E7,SDASD!A3:D250,4, FALSE),""),"")</f>
        <v/>
      </c>
      <c r="G7" s="2">
        <f>IF(A7&lt;&gt;"", SUMIF(B1:F1,"&lt;&gt;",B7:F7),"")</f>
        <v>0</v>
      </c>
      <c r="H7" s="2">
        <f>IF(AND(A7&lt;&gt;"",G7&lt;&gt;""),ROUND(G7,0),"")</f>
        <v>0</v>
      </c>
      <c r="I7" s="2">
        <f>IFERROR(IF(A7&lt;&gt;"",VLOOKUP(Alunos!A7,Recurso!A3:D250,4, FALSE),""), "")</f>
        <v>0</v>
      </c>
      <c r="J7" s="2">
        <f>IF(AND(A7&lt;&gt;"",I7&lt;&gt;""), SUMIFS(B7:I7,B1:I1,"&lt;&gt;",B2:I2,"&lt;&gt;Exame",B2:I2,"&lt;&gt;exame",B2:I2,"&lt;&gt;Nota",B2:I2,"&lt;&gt;Total"),"")</f>
        <v>0</v>
      </c>
      <c r="K7" s="2">
        <f>IF(AND(A7&lt;&gt;"",J7&lt;&gt;""),ROUND(J7,0),"")</f>
        <v>0</v>
      </c>
    </row>
    <row r="8" spans="1:11" x14ac:dyDescent="0.3">
      <c r="B8" s="2" t="str">
        <f>IFERROR(IF(A8&lt;&gt;"",VLOOKUP(Alunos!A8,Exame!A3:D250,4, FALSE),""), "")</f>
        <v/>
      </c>
      <c r="C8" s="2" t="str">
        <f>IF(A8&lt;&gt;"",VLOOKUP(Alunos!A8,Agrupamentos!A3:B250,2, FALSE),"")</f>
        <v/>
      </c>
      <c r="D8" s="2" t="str">
        <f>IFERROR(IF(A8&lt;&gt;"",VLOOKUP(Alunos!C8,FDGDF!A3:D250,4, FALSE),""),"")</f>
        <v/>
      </c>
      <c r="E8" s="2" t="str">
        <f>IF(A8&lt;&gt;"",VLOOKUP(Alunos!A8,Agrupamentos!A3:B250,2, FALSE),"")</f>
        <v/>
      </c>
      <c r="F8" s="2" t="str">
        <f>IFERROR(IF(A8&lt;&gt;"",VLOOKUP(Alunos!E8,SDASD!A3:D250,4, FALSE),""),"")</f>
        <v/>
      </c>
      <c r="G8" s="2" t="str">
        <f>IF(A8&lt;&gt;"", SUMIF(B1:F1,"&lt;&gt;",B8:F8),"")</f>
        <v/>
      </c>
      <c r="H8" s="2" t="str">
        <f>IF(AND(A8&lt;&gt;"",G8&lt;&gt;""),ROUND(G8,0),"")</f>
        <v/>
      </c>
      <c r="I8" s="2" t="str">
        <f>IFERROR(IF(A8&lt;&gt;"",VLOOKUP(Alunos!A8,Recurso!A3:D250,4, FALSE),""), "")</f>
        <v/>
      </c>
      <c r="J8" s="2" t="str">
        <f>IF(AND(A8&lt;&gt;"",I8&lt;&gt;""), SUMIFS(B8:I8,B1:I1,"&lt;&gt;",B2:I2,"&lt;&gt;Exame",B2:I2,"&lt;&gt;exame",B2:I2,"&lt;&gt;Nota",B2:I2,"&lt;&gt;Total"),"")</f>
        <v/>
      </c>
      <c r="K8" s="2" t="str">
        <f>IF(AND(A8&lt;&gt;"",J8&lt;&gt;""),ROUND(J8,0),"")</f>
        <v/>
      </c>
    </row>
    <row r="9" spans="1:11" x14ac:dyDescent="0.3">
      <c r="B9" s="2" t="str">
        <f>IFERROR(IF(A9&lt;&gt;"",VLOOKUP(Alunos!A9,Exame!A3:D250,4, FALSE),""), "")</f>
        <v/>
      </c>
      <c r="C9" s="2" t="str">
        <f>IF(A9&lt;&gt;"",VLOOKUP(Alunos!A9,Agrupamentos!A3:B250,2, FALSE),"")</f>
        <v/>
      </c>
      <c r="D9" s="2" t="str">
        <f>IFERROR(IF(A9&lt;&gt;"",VLOOKUP(Alunos!C9,FDGDF!A3:D250,4, FALSE),""),"")</f>
        <v/>
      </c>
      <c r="E9" s="2" t="str">
        <f>IF(A9&lt;&gt;"",VLOOKUP(Alunos!A9,Agrupamentos!A3:B250,2, FALSE),"")</f>
        <v/>
      </c>
      <c r="F9" s="2" t="str">
        <f>IFERROR(IF(A9&lt;&gt;"",VLOOKUP(Alunos!E9,SDASD!A3:D250,4, FALSE),""),"")</f>
        <v/>
      </c>
      <c r="G9" s="2" t="str">
        <f>IF(A9&lt;&gt;"", SUMIF(B1:F1,"&lt;&gt;",B9:F9),"")</f>
        <v/>
      </c>
      <c r="H9" s="2" t="str">
        <f>IF(AND(A9&lt;&gt;"",G9&lt;&gt;""),ROUND(G9,0),"")</f>
        <v/>
      </c>
      <c r="I9" s="2" t="str">
        <f>IFERROR(IF(A9&lt;&gt;"",VLOOKUP(Alunos!A9,Recurso!A3:D250,4, FALSE),""), "")</f>
        <v/>
      </c>
      <c r="J9" s="2" t="str">
        <f>IF(AND(A9&lt;&gt;"",I9&lt;&gt;""), SUMIFS(B9:I9,B1:I1,"&lt;&gt;",B2:I2,"&lt;&gt;Exame",B2:I2,"&lt;&gt;exame",B2:I2,"&lt;&gt;Nota",B2:I2,"&lt;&gt;Total"),"")</f>
        <v/>
      </c>
      <c r="K9" s="2" t="str">
        <f>IF(AND(A9&lt;&gt;"",J9&lt;&gt;""),ROUND(J9,0),"")</f>
        <v/>
      </c>
    </row>
    <row r="10" spans="1:11" x14ac:dyDescent="0.3">
      <c r="B10" s="2" t="str">
        <f>IFERROR(IF(A10&lt;&gt;"",VLOOKUP(Alunos!A10,Exame!A3:D250,4, FALSE),""), "")</f>
        <v/>
      </c>
      <c r="C10" s="2" t="str">
        <f>IF(A10&lt;&gt;"",VLOOKUP(Alunos!A10,Agrupamentos!A3:B250,2, FALSE),"")</f>
        <v/>
      </c>
      <c r="D10" s="2" t="str">
        <f>IFERROR(IF(A10&lt;&gt;"",VLOOKUP(Alunos!C10,FDGDF!A3:D250,4, FALSE),""),"")</f>
        <v/>
      </c>
      <c r="E10" s="2" t="str">
        <f>IF(A10&lt;&gt;"",VLOOKUP(Alunos!A10,Agrupamentos!A3:B250,2, FALSE),"")</f>
        <v/>
      </c>
      <c r="F10" s="2" t="str">
        <f>IFERROR(IF(A10&lt;&gt;"",VLOOKUP(Alunos!E10,SDASD!A3:D250,4, FALSE),""),"")</f>
        <v/>
      </c>
      <c r="G10" s="2" t="str">
        <f>IF(A10&lt;&gt;"", SUMIF(B1:F1,"&lt;&gt;",B10:F10),"")</f>
        <v/>
      </c>
      <c r="H10" s="2" t="str">
        <f>IF(AND(A10&lt;&gt;"",G10&lt;&gt;""),ROUND(G10,0),"")</f>
        <v/>
      </c>
      <c r="I10" s="2" t="str">
        <f>IFERROR(IF(A10&lt;&gt;"",VLOOKUP(Alunos!A10,Recurso!A3:D250,4, FALSE),""), "")</f>
        <v/>
      </c>
      <c r="J10" s="2" t="str">
        <f>IF(AND(A10&lt;&gt;"",I10&lt;&gt;""), SUMIFS(B10:I10,B1:I1,"&lt;&gt;",B2:I2,"&lt;&gt;Exame",B2:I2,"&lt;&gt;exame",B2:I2,"&lt;&gt;Nota",B2:I2,"&lt;&gt;Total"),"")</f>
        <v/>
      </c>
      <c r="K10" s="2" t="str">
        <f>IF(AND(A10&lt;&gt;"",J10&lt;&gt;""),ROUND(J10,0),"")</f>
        <v/>
      </c>
    </row>
    <row r="11" spans="1:11" x14ac:dyDescent="0.3">
      <c r="B11" s="2" t="str">
        <f>IFERROR(IF(A11&lt;&gt;"",VLOOKUP(Alunos!A11,Exame!A3:D250,4, FALSE),""), "")</f>
        <v/>
      </c>
      <c r="C11" s="2" t="str">
        <f>IF(A11&lt;&gt;"",VLOOKUP(Alunos!A11,Agrupamentos!A3:B250,2, FALSE),"")</f>
        <v/>
      </c>
      <c r="D11" s="2" t="str">
        <f>IFERROR(IF(A11&lt;&gt;"",VLOOKUP(Alunos!C11,FDGDF!A3:D250,4, FALSE),""),"")</f>
        <v/>
      </c>
      <c r="E11" s="2" t="str">
        <f>IF(A11&lt;&gt;"",VLOOKUP(Alunos!A11,Agrupamentos!A3:B250,2, FALSE),"")</f>
        <v/>
      </c>
      <c r="F11" s="2" t="str">
        <f>IFERROR(IF(A11&lt;&gt;"",VLOOKUP(Alunos!E11,SDASD!A3:D250,4, FALSE),""),"")</f>
        <v/>
      </c>
      <c r="G11" s="2" t="str">
        <f>IF(A11&lt;&gt;"", SUMIF(B1:F1,"&lt;&gt;",B11:F11),"")</f>
        <v/>
      </c>
      <c r="H11" s="2" t="str">
        <f>IF(AND(A11&lt;&gt;"",G11&lt;&gt;""),ROUND(G11,0),"")</f>
        <v/>
      </c>
      <c r="I11" s="2" t="str">
        <f>IFERROR(IF(A11&lt;&gt;"",VLOOKUP(Alunos!A11,Recurso!A3:D250,4, FALSE),""), "")</f>
        <v/>
      </c>
      <c r="J11" s="2" t="str">
        <f>IF(AND(A11&lt;&gt;"",I11&lt;&gt;""), SUMIFS(B11:I11,B1:I1,"&lt;&gt;",B2:I2,"&lt;&gt;Exame",B2:I2,"&lt;&gt;exame",B2:I2,"&lt;&gt;Nota",B2:I2,"&lt;&gt;Total"),"")</f>
        <v/>
      </c>
      <c r="K11" s="2" t="str">
        <f>IF(AND(A11&lt;&gt;"",J11&lt;&gt;""),ROUND(J11,0),"")</f>
        <v/>
      </c>
    </row>
    <row r="12" spans="1:11" x14ac:dyDescent="0.3">
      <c r="B12" s="2" t="str">
        <f>IFERROR(IF(A12&lt;&gt;"",VLOOKUP(Alunos!A12,Exame!A3:D250,4, FALSE),""), "")</f>
        <v/>
      </c>
      <c r="C12" s="2" t="str">
        <f>IF(A12&lt;&gt;"",VLOOKUP(Alunos!A12,Agrupamentos!A3:B250,2, FALSE),"")</f>
        <v/>
      </c>
      <c r="D12" s="2" t="str">
        <f>IFERROR(IF(A12&lt;&gt;"",VLOOKUP(Alunos!C12,FDGDF!A3:D250,4, FALSE),""),"")</f>
        <v/>
      </c>
      <c r="E12" s="2" t="str">
        <f>IF(A12&lt;&gt;"",VLOOKUP(Alunos!A12,Agrupamentos!A3:B250,2, FALSE),"")</f>
        <v/>
      </c>
      <c r="F12" s="2" t="str">
        <f>IFERROR(IF(A12&lt;&gt;"",VLOOKUP(Alunos!E12,SDASD!A3:D250,4, FALSE),""),"")</f>
        <v/>
      </c>
      <c r="G12" s="2" t="str">
        <f>IF(A12&lt;&gt;"", SUMIF(B1:F1,"&lt;&gt;",B12:F12),"")</f>
        <v/>
      </c>
      <c r="H12" s="2" t="str">
        <f>IF(AND(A12&lt;&gt;"",G12&lt;&gt;""),ROUND(G12,0),"")</f>
        <v/>
      </c>
      <c r="I12" s="2" t="str">
        <f>IFERROR(IF(A12&lt;&gt;"",VLOOKUP(Alunos!A12,Recurso!A3:D250,4, FALSE),""), "")</f>
        <v/>
      </c>
      <c r="J12" s="2" t="str">
        <f>IF(AND(A12&lt;&gt;"",I12&lt;&gt;""), SUMIFS(B12:I12,B1:I1,"&lt;&gt;",B2:I2,"&lt;&gt;Exame",B2:I2,"&lt;&gt;exame",B2:I2,"&lt;&gt;Nota",B2:I2,"&lt;&gt;Total"),"")</f>
        <v/>
      </c>
      <c r="K12" s="2" t="str">
        <f>IF(AND(A12&lt;&gt;"",J12&lt;&gt;""),ROUND(J12,0),"")</f>
        <v/>
      </c>
    </row>
    <row r="13" spans="1:11" x14ac:dyDescent="0.3">
      <c r="B13" s="2" t="str">
        <f>IFERROR(IF(A13&lt;&gt;"",VLOOKUP(Alunos!A13,Exame!A3:D250,4, FALSE),""), "")</f>
        <v/>
      </c>
      <c r="C13" s="2" t="str">
        <f>IF(A13&lt;&gt;"",VLOOKUP(Alunos!A13,Agrupamentos!A3:B250,2, FALSE),"")</f>
        <v/>
      </c>
      <c r="D13" s="2" t="str">
        <f>IFERROR(IF(A13&lt;&gt;"",VLOOKUP(Alunos!C13,FDGDF!A3:D250,4, FALSE),""),"")</f>
        <v/>
      </c>
      <c r="E13" s="2" t="str">
        <f>IF(A13&lt;&gt;"",VLOOKUP(Alunos!A13,Agrupamentos!A3:B250,2, FALSE),"")</f>
        <v/>
      </c>
      <c r="F13" s="2" t="str">
        <f>IFERROR(IF(A13&lt;&gt;"",VLOOKUP(Alunos!E13,SDASD!A3:D250,4, FALSE),""),"")</f>
        <v/>
      </c>
      <c r="G13" s="2" t="str">
        <f>IF(A13&lt;&gt;"", SUMIF(B1:F1,"&lt;&gt;",B13:F13),"")</f>
        <v/>
      </c>
      <c r="H13" s="2" t="str">
        <f>IF(AND(A13&lt;&gt;"",G13&lt;&gt;""),ROUND(G13,0),"")</f>
        <v/>
      </c>
      <c r="I13" s="2" t="str">
        <f>IFERROR(IF(A13&lt;&gt;"",VLOOKUP(Alunos!A13,Recurso!A3:D250,4, FALSE),""), "")</f>
        <v/>
      </c>
      <c r="J13" s="2" t="str">
        <f>IF(AND(A13&lt;&gt;"",I13&lt;&gt;""), SUMIFS(B13:I13,B1:I1,"&lt;&gt;",B2:I2,"&lt;&gt;Exame",B2:I2,"&lt;&gt;exame",B2:I2,"&lt;&gt;Nota",B2:I2,"&lt;&gt;Total"),"")</f>
        <v/>
      </c>
      <c r="K13" s="2" t="str">
        <f>IF(AND(A13&lt;&gt;"",J13&lt;&gt;""),ROUND(J13,0),"")</f>
        <v/>
      </c>
    </row>
    <row r="14" spans="1:11" x14ac:dyDescent="0.3">
      <c r="B14" s="2" t="str">
        <f>IFERROR(IF(A14&lt;&gt;"",VLOOKUP(Alunos!A14,Exame!A3:D250,4, FALSE),""), "")</f>
        <v/>
      </c>
      <c r="C14" s="2" t="str">
        <f>IF(A14&lt;&gt;"",VLOOKUP(Alunos!A14,Agrupamentos!A3:B250,2, FALSE),"")</f>
        <v/>
      </c>
      <c r="D14" s="2" t="str">
        <f>IFERROR(IF(A14&lt;&gt;"",VLOOKUP(Alunos!C14,FDGDF!A3:D250,4, FALSE),""),"")</f>
        <v/>
      </c>
      <c r="E14" s="2" t="str">
        <f>IF(A14&lt;&gt;"",VLOOKUP(Alunos!A14,Agrupamentos!A3:B250,2, FALSE),"")</f>
        <v/>
      </c>
      <c r="F14" s="2" t="str">
        <f>IFERROR(IF(A14&lt;&gt;"",VLOOKUP(Alunos!E14,SDASD!A3:D250,4, FALSE),""),"")</f>
        <v/>
      </c>
      <c r="G14" s="2" t="str">
        <f>IF(A14&lt;&gt;"", SUMIF(B1:F1,"&lt;&gt;",B14:F14),"")</f>
        <v/>
      </c>
      <c r="H14" s="2" t="str">
        <f>IF(AND(A14&lt;&gt;"",G14&lt;&gt;""),ROUND(G14,0),"")</f>
        <v/>
      </c>
      <c r="I14" s="2" t="str">
        <f>IFERROR(IF(A14&lt;&gt;"",VLOOKUP(Alunos!A14,Recurso!A3:D250,4, FALSE),""), "")</f>
        <v/>
      </c>
      <c r="J14" s="2" t="str">
        <f>IF(AND(A14&lt;&gt;"",I14&lt;&gt;""), SUMIFS(B14:I14,B1:I1,"&lt;&gt;",B2:I2,"&lt;&gt;Exame",B2:I2,"&lt;&gt;exame",B2:I2,"&lt;&gt;Nota",B2:I2,"&lt;&gt;Total"),"")</f>
        <v/>
      </c>
      <c r="K14" s="2" t="str">
        <f>IF(AND(A14&lt;&gt;"",J14&lt;&gt;""),ROUND(J14,0),"")</f>
        <v/>
      </c>
    </row>
    <row r="15" spans="1:11" x14ac:dyDescent="0.3">
      <c r="B15" s="2" t="str">
        <f>IFERROR(IF(A15&lt;&gt;"",VLOOKUP(Alunos!A15,Exame!A3:D250,4, FALSE),""), "")</f>
        <v/>
      </c>
      <c r="C15" s="2" t="str">
        <f>IF(A15&lt;&gt;"",VLOOKUP(Alunos!A15,Agrupamentos!A3:B250,2, FALSE),"")</f>
        <v/>
      </c>
      <c r="D15" s="2" t="str">
        <f>IFERROR(IF(A15&lt;&gt;"",VLOOKUP(Alunos!C15,FDGDF!A3:D250,4, FALSE),""),"")</f>
        <v/>
      </c>
      <c r="E15" s="2" t="str">
        <f>IF(A15&lt;&gt;"",VLOOKUP(Alunos!A15,Agrupamentos!A3:B250,2, FALSE),"")</f>
        <v/>
      </c>
      <c r="F15" s="2" t="str">
        <f>IFERROR(IF(A15&lt;&gt;"",VLOOKUP(Alunos!E15,SDASD!A3:D250,4, FALSE),""),"")</f>
        <v/>
      </c>
      <c r="G15" s="2" t="str">
        <f>IF(A15&lt;&gt;"", SUMIF(B1:F1,"&lt;&gt;",B15:F15),"")</f>
        <v/>
      </c>
      <c r="H15" s="2" t="str">
        <f>IF(AND(A15&lt;&gt;"",G15&lt;&gt;""),ROUND(G15,0),"")</f>
        <v/>
      </c>
      <c r="I15" s="2" t="str">
        <f>IFERROR(IF(A15&lt;&gt;"",VLOOKUP(Alunos!A15,Recurso!A3:D250,4, FALSE),""), "")</f>
        <v/>
      </c>
      <c r="J15" s="2" t="str">
        <f>IF(AND(A15&lt;&gt;"",I15&lt;&gt;""), SUMIFS(B15:I15,B1:I1,"&lt;&gt;",B2:I2,"&lt;&gt;Exame",B2:I2,"&lt;&gt;exame",B2:I2,"&lt;&gt;Nota",B2:I2,"&lt;&gt;Total"),"")</f>
        <v/>
      </c>
      <c r="K15" s="2" t="str">
        <f>IF(AND(A15&lt;&gt;"",J15&lt;&gt;""),ROUND(J15,0),"")</f>
        <v/>
      </c>
    </row>
    <row r="16" spans="1:11" x14ac:dyDescent="0.3">
      <c r="B16" s="2" t="str">
        <f>IFERROR(IF(A16&lt;&gt;"",VLOOKUP(Alunos!A16,Exame!A3:D250,4, FALSE),""), "")</f>
        <v/>
      </c>
      <c r="C16" s="2" t="str">
        <f>IF(A16&lt;&gt;"",VLOOKUP(Alunos!A16,Agrupamentos!A3:B250,2, FALSE),"")</f>
        <v/>
      </c>
      <c r="D16" s="2" t="str">
        <f>IFERROR(IF(A16&lt;&gt;"",VLOOKUP(Alunos!C16,FDGDF!A3:D250,4, FALSE),""),"")</f>
        <v/>
      </c>
      <c r="E16" s="2" t="str">
        <f>IF(A16&lt;&gt;"",VLOOKUP(Alunos!A16,Agrupamentos!A3:B250,2, FALSE),"")</f>
        <v/>
      </c>
      <c r="F16" s="2" t="str">
        <f>IFERROR(IF(A16&lt;&gt;"",VLOOKUP(Alunos!E16,SDASD!A3:D250,4, FALSE),""),"")</f>
        <v/>
      </c>
      <c r="G16" s="2" t="str">
        <f>IF(A16&lt;&gt;"", SUMIF(B1:F1,"&lt;&gt;",B16:F16),"")</f>
        <v/>
      </c>
      <c r="H16" s="2" t="str">
        <f>IF(AND(A16&lt;&gt;"",G16&lt;&gt;""),ROUND(G16,0),"")</f>
        <v/>
      </c>
      <c r="I16" s="2" t="str">
        <f>IFERROR(IF(A16&lt;&gt;"",VLOOKUP(Alunos!A16,Recurso!A3:D250,4, FALSE),""), "")</f>
        <v/>
      </c>
      <c r="J16" s="2" t="str">
        <f>IF(AND(A16&lt;&gt;"",I16&lt;&gt;""), SUMIFS(B16:I16,B1:I1,"&lt;&gt;",B2:I2,"&lt;&gt;Exame",B2:I2,"&lt;&gt;exame",B2:I2,"&lt;&gt;Nota",B2:I2,"&lt;&gt;Total"),"")</f>
        <v/>
      </c>
      <c r="K16" s="2" t="str">
        <f>IF(AND(A16&lt;&gt;"",J16&lt;&gt;""),ROUND(J16,0),"")</f>
        <v/>
      </c>
    </row>
    <row r="17" spans="2:11" x14ac:dyDescent="0.3">
      <c r="B17" s="2" t="str">
        <f>IFERROR(IF(A17&lt;&gt;"",VLOOKUP(Alunos!A17,Exame!A3:D250,4, FALSE),""), "")</f>
        <v/>
      </c>
      <c r="C17" s="2" t="str">
        <f>IF(A17&lt;&gt;"",VLOOKUP(Alunos!A17,Agrupamentos!A3:B250,2, FALSE),"")</f>
        <v/>
      </c>
      <c r="D17" s="2" t="str">
        <f>IFERROR(IF(A17&lt;&gt;"",VLOOKUP(Alunos!C17,FDGDF!A3:D250,4, FALSE),""),"")</f>
        <v/>
      </c>
      <c r="E17" s="2" t="str">
        <f>IF(A17&lt;&gt;"",VLOOKUP(Alunos!A17,Agrupamentos!A3:B250,2, FALSE),"")</f>
        <v/>
      </c>
      <c r="F17" s="2" t="str">
        <f>IFERROR(IF(A17&lt;&gt;"",VLOOKUP(Alunos!E17,SDASD!A3:D250,4, FALSE),""),"")</f>
        <v/>
      </c>
      <c r="G17" s="2" t="str">
        <f>IF(A17&lt;&gt;"", SUMIF(B1:F1,"&lt;&gt;",B17:F17),"")</f>
        <v/>
      </c>
      <c r="H17" s="2" t="str">
        <f>IF(AND(A17&lt;&gt;"",G17&lt;&gt;""),ROUND(G17,0),"")</f>
        <v/>
      </c>
      <c r="I17" s="2" t="str">
        <f>IFERROR(IF(A17&lt;&gt;"",VLOOKUP(Alunos!A17,Recurso!A3:D250,4, FALSE),""), "")</f>
        <v/>
      </c>
      <c r="J17" s="2" t="str">
        <f>IF(AND(A17&lt;&gt;"",I17&lt;&gt;""), SUMIFS(B17:I17,B1:I1,"&lt;&gt;",B2:I2,"&lt;&gt;Exame",B2:I2,"&lt;&gt;exame",B2:I2,"&lt;&gt;Nota",B2:I2,"&lt;&gt;Total"),"")</f>
        <v/>
      </c>
      <c r="K17" s="2" t="str">
        <f>IF(AND(A17&lt;&gt;"",J17&lt;&gt;""),ROUND(J17,0),"")</f>
        <v/>
      </c>
    </row>
    <row r="18" spans="2:11" x14ac:dyDescent="0.3">
      <c r="B18" s="2" t="str">
        <f>IFERROR(IF(A18&lt;&gt;"",VLOOKUP(Alunos!A18,Exame!A3:D250,4, FALSE),""), "")</f>
        <v/>
      </c>
      <c r="C18" s="2" t="str">
        <f>IF(A18&lt;&gt;"",VLOOKUP(Alunos!A18,Agrupamentos!A3:B250,2, FALSE),"")</f>
        <v/>
      </c>
      <c r="D18" s="2" t="str">
        <f>IFERROR(IF(A18&lt;&gt;"",VLOOKUP(Alunos!C18,FDGDF!A3:D250,4, FALSE),""),"")</f>
        <v/>
      </c>
      <c r="E18" s="2" t="str">
        <f>IF(A18&lt;&gt;"",VLOOKUP(Alunos!A18,Agrupamentos!A3:B250,2, FALSE),"")</f>
        <v/>
      </c>
      <c r="F18" s="2" t="str">
        <f>IFERROR(IF(A18&lt;&gt;"",VLOOKUP(Alunos!E18,SDASD!A3:D250,4, FALSE),""),"")</f>
        <v/>
      </c>
      <c r="G18" s="2" t="str">
        <f>IF(A18&lt;&gt;"", SUMIF(B1:F1,"&lt;&gt;",B18:F18),"")</f>
        <v/>
      </c>
      <c r="H18" s="2" t="str">
        <f>IF(AND(A18&lt;&gt;"",G18&lt;&gt;""),ROUND(G18,0),"")</f>
        <v/>
      </c>
      <c r="I18" s="2" t="str">
        <f>IFERROR(IF(A18&lt;&gt;"",VLOOKUP(Alunos!A18,Recurso!A3:D250,4, FALSE),""), "")</f>
        <v/>
      </c>
      <c r="J18" s="2" t="str">
        <f>IF(AND(A18&lt;&gt;"",I18&lt;&gt;""), SUMIFS(B18:I18,B1:I1,"&lt;&gt;",B2:I2,"&lt;&gt;Exame",B2:I2,"&lt;&gt;exame",B2:I2,"&lt;&gt;Nota",B2:I2,"&lt;&gt;Total"),"")</f>
        <v/>
      </c>
      <c r="K18" s="2" t="str">
        <f>IF(AND(A18&lt;&gt;"",J18&lt;&gt;""),ROUND(J18,0),"")</f>
        <v/>
      </c>
    </row>
    <row r="19" spans="2:11" x14ac:dyDescent="0.3">
      <c r="B19" s="2" t="str">
        <f>IFERROR(IF(A19&lt;&gt;"",VLOOKUP(Alunos!A19,Exame!A3:D250,4, FALSE),""), "")</f>
        <v/>
      </c>
      <c r="C19" s="2" t="str">
        <f>IF(A19&lt;&gt;"",VLOOKUP(Alunos!A19,Agrupamentos!A3:B250,2, FALSE),"")</f>
        <v/>
      </c>
      <c r="D19" s="2" t="str">
        <f>IFERROR(IF(A19&lt;&gt;"",VLOOKUP(Alunos!C19,FDGDF!A3:D250,4, FALSE),""),"")</f>
        <v/>
      </c>
      <c r="E19" s="2" t="str">
        <f>IF(A19&lt;&gt;"",VLOOKUP(Alunos!A19,Agrupamentos!A3:B250,2, FALSE),"")</f>
        <v/>
      </c>
      <c r="F19" s="2" t="str">
        <f>IFERROR(IF(A19&lt;&gt;"",VLOOKUP(Alunos!E19,SDASD!A3:D250,4, FALSE),""),"")</f>
        <v/>
      </c>
      <c r="G19" s="2" t="str">
        <f>IF(A19&lt;&gt;"", SUMIF(B1:F1,"&lt;&gt;",B19:F19),"")</f>
        <v/>
      </c>
      <c r="H19" s="2" t="str">
        <f>IF(AND(A19&lt;&gt;"",G19&lt;&gt;""),ROUND(G19,0),"")</f>
        <v/>
      </c>
      <c r="I19" s="2" t="str">
        <f>IFERROR(IF(A19&lt;&gt;"",VLOOKUP(Alunos!A19,Recurso!A3:D250,4, FALSE),""), "")</f>
        <v/>
      </c>
      <c r="J19" s="2" t="str">
        <f>IF(AND(A19&lt;&gt;"",I19&lt;&gt;""), SUMIFS(B19:I19,B1:I1,"&lt;&gt;",B2:I2,"&lt;&gt;Exame",B2:I2,"&lt;&gt;exame",B2:I2,"&lt;&gt;Nota",B2:I2,"&lt;&gt;Total"),"")</f>
        <v/>
      </c>
      <c r="K19" s="2" t="str">
        <f>IF(AND(A19&lt;&gt;"",J19&lt;&gt;""),ROUND(J19,0),"")</f>
        <v/>
      </c>
    </row>
    <row r="20" spans="2:11" x14ac:dyDescent="0.3">
      <c r="B20" s="2" t="str">
        <f>IFERROR(IF(A20&lt;&gt;"",VLOOKUP(Alunos!A20,Exame!A3:D250,4, FALSE),""), "")</f>
        <v/>
      </c>
      <c r="C20" s="2" t="str">
        <f>IF(A20&lt;&gt;"",VLOOKUP(Alunos!A20,Agrupamentos!A3:B250,2, FALSE),"")</f>
        <v/>
      </c>
      <c r="D20" s="2" t="str">
        <f>IFERROR(IF(A20&lt;&gt;"",VLOOKUP(Alunos!C20,FDGDF!A3:D250,4, FALSE),""),"")</f>
        <v/>
      </c>
      <c r="E20" s="2" t="str">
        <f>IF(A20&lt;&gt;"",VLOOKUP(Alunos!A20,Agrupamentos!A3:B250,2, FALSE),"")</f>
        <v/>
      </c>
      <c r="F20" s="2" t="str">
        <f>IFERROR(IF(A20&lt;&gt;"",VLOOKUP(Alunos!E20,SDASD!A3:D250,4, FALSE),""),"")</f>
        <v/>
      </c>
      <c r="G20" s="2" t="str">
        <f>IF(A20&lt;&gt;"", SUMIF(B1:F1,"&lt;&gt;",B20:F20),"")</f>
        <v/>
      </c>
      <c r="H20" s="2" t="str">
        <f>IF(AND(A20&lt;&gt;"",G20&lt;&gt;""),ROUND(G20,0),"")</f>
        <v/>
      </c>
      <c r="I20" s="2" t="str">
        <f>IFERROR(IF(A20&lt;&gt;"",VLOOKUP(Alunos!A20,Recurso!A3:D250,4, FALSE),""), "")</f>
        <v/>
      </c>
      <c r="J20" s="2" t="str">
        <f>IF(AND(A20&lt;&gt;"",I20&lt;&gt;""), SUMIFS(B20:I20,B1:I1,"&lt;&gt;",B2:I2,"&lt;&gt;Exame",B2:I2,"&lt;&gt;exame",B2:I2,"&lt;&gt;Nota",B2:I2,"&lt;&gt;Total"),"")</f>
        <v/>
      </c>
      <c r="K20" s="2" t="str">
        <f>IF(AND(A20&lt;&gt;"",J20&lt;&gt;""),ROUND(J20,0),"")</f>
        <v/>
      </c>
    </row>
    <row r="21" spans="2:11" x14ac:dyDescent="0.3">
      <c r="B21" s="2" t="str">
        <f>IFERROR(IF(A21&lt;&gt;"",VLOOKUP(Alunos!A21,Exame!A3:D250,4, FALSE),""), "")</f>
        <v/>
      </c>
      <c r="C21" s="2" t="str">
        <f>IF(A21&lt;&gt;"",VLOOKUP(Alunos!A21,Agrupamentos!A3:B250,2, FALSE),"")</f>
        <v/>
      </c>
      <c r="D21" s="2" t="str">
        <f>IFERROR(IF(A21&lt;&gt;"",VLOOKUP(Alunos!C21,FDGDF!A3:D250,4, FALSE),""),"")</f>
        <v/>
      </c>
      <c r="E21" s="2" t="str">
        <f>IF(A21&lt;&gt;"",VLOOKUP(Alunos!A21,Agrupamentos!A3:B250,2, FALSE),"")</f>
        <v/>
      </c>
      <c r="F21" s="2" t="str">
        <f>IFERROR(IF(A21&lt;&gt;"",VLOOKUP(Alunos!E21,SDASD!A3:D250,4, FALSE),""),"")</f>
        <v/>
      </c>
      <c r="G21" s="2" t="str">
        <f>IF(A21&lt;&gt;"", SUMIF(B1:F1,"&lt;&gt;",B21:F21),"")</f>
        <v/>
      </c>
      <c r="H21" s="2" t="str">
        <f>IF(AND(A21&lt;&gt;"",G21&lt;&gt;""),ROUND(G21,0),"")</f>
        <v/>
      </c>
      <c r="I21" s="2" t="str">
        <f>IFERROR(IF(A21&lt;&gt;"",VLOOKUP(Alunos!A21,Recurso!A3:D250,4, FALSE),""), "")</f>
        <v/>
      </c>
      <c r="J21" s="2" t="str">
        <f>IF(AND(A21&lt;&gt;"",I21&lt;&gt;""), SUMIFS(B21:I21,B1:I1,"&lt;&gt;",B2:I2,"&lt;&gt;Exame",B2:I2,"&lt;&gt;exame",B2:I2,"&lt;&gt;Nota",B2:I2,"&lt;&gt;Total"),"")</f>
        <v/>
      </c>
      <c r="K21" s="2" t="str">
        <f>IF(AND(A21&lt;&gt;"",J21&lt;&gt;""),ROUND(J21,0),"")</f>
        <v/>
      </c>
    </row>
    <row r="22" spans="2:11" x14ac:dyDescent="0.3">
      <c r="B22" s="2" t="str">
        <f>IFERROR(IF(A22&lt;&gt;"",VLOOKUP(Alunos!A22,Exame!A3:D250,4, FALSE),""), "")</f>
        <v/>
      </c>
      <c r="C22" s="2" t="str">
        <f>IF(A22&lt;&gt;"",VLOOKUP(Alunos!A22,Agrupamentos!A3:B250,2, FALSE),"")</f>
        <v/>
      </c>
      <c r="D22" s="2" t="str">
        <f>IFERROR(IF(A22&lt;&gt;"",VLOOKUP(Alunos!C22,FDGDF!A3:D250,4, FALSE),""),"")</f>
        <v/>
      </c>
      <c r="E22" s="2" t="str">
        <f>IF(A22&lt;&gt;"",VLOOKUP(Alunos!A22,Agrupamentos!A3:B250,2, FALSE),"")</f>
        <v/>
      </c>
      <c r="F22" s="2" t="str">
        <f>IFERROR(IF(A22&lt;&gt;"",VLOOKUP(Alunos!E22,SDASD!A3:D250,4, FALSE),""),"")</f>
        <v/>
      </c>
      <c r="G22" s="2" t="str">
        <f>IF(A22&lt;&gt;"", SUMIF(B1:F1,"&lt;&gt;",B22:F22),"")</f>
        <v/>
      </c>
      <c r="H22" s="2" t="str">
        <f>IF(AND(A22&lt;&gt;"",G22&lt;&gt;""),ROUND(G22,0),"")</f>
        <v/>
      </c>
      <c r="I22" s="2" t="str">
        <f>IFERROR(IF(A22&lt;&gt;"",VLOOKUP(Alunos!A22,Recurso!A3:D250,4, FALSE),""), "")</f>
        <v/>
      </c>
      <c r="J22" s="2" t="str">
        <f>IF(AND(A22&lt;&gt;"",I22&lt;&gt;""), SUMIFS(B22:I22,B1:I1,"&lt;&gt;",B2:I2,"&lt;&gt;Exame",B2:I2,"&lt;&gt;exame",B2:I2,"&lt;&gt;Nota",B2:I2,"&lt;&gt;Total"),"")</f>
        <v/>
      </c>
      <c r="K22" s="2" t="str">
        <f>IF(AND(A22&lt;&gt;"",J22&lt;&gt;""),ROUND(J22,0),"")</f>
        <v/>
      </c>
    </row>
    <row r="23" spans="2:11" x14ac:dyDescent="0.3">
      <c r="B23" s="2" t="str">
        <f>IFERROR(IF(A23&lt;&gt;"",VLOOKUP(Alunos!A23,Exame!A3:D250,4, FALSE),""), "")</f>
        <v/>
      </c>
      <c r="C23" s="2" t="str">
        <f>IF(A23&lt;&gt;"",VLOOKUP(Alunos!A23,Agrupamentos!A3:B250,2, FALSE),"")</f>
        <v/>
      </c>
      <c r="D23" s="2" t="str">
        <f>IFERROR(IF(A23&lt;&gt;"",VLOOKUP(Alunos!C23,FDGDF!A3:D250,4, FALSE),""),"")</f>
        <v/>
      </c>
      <c r="E23" s="2" t="str">
        <f>IF(A23&lt;&gt;"",VLOOKUP(Alunos!A23,Agrupamentos!A3:B250,2, FALSE),"")</f>
        <v/>
      </c>
      <c r="F23" s="2" t="str">
        <f>IFERROR(IF(A23&lt;&gt;"",VLOOKUP(Alunos!E23,SDASD!A3:D250,4, FALSE),""),"")</f>
        <v/>
      </c>
      <c r="G23" s="2" t="str">
        <f>IF(A23&lt;&gt;"", SUMIF(B1:F1,"&lt;&gt;",B23:F23),"")</f>
        <v/>
      </c>
      <c r="H23" s="2" t="str">
        <f>IF(AND(A23&lt;&gt;"",G23&lt;&gt;""),ROUND(G23,0),"")</f>
        <v/>
      </c>
      <c r="I23" s="2" t="str">
        <f>IFERROR(IF(A23&lt;&gt;"",VLOOKUP(Alunos!A23,Recurso!A3:D250,4, FALSE),""), "")</f>
        <v/>
      </c>
      <c r="J23" s="2" t="str">
        <f>IF(AND(A23&lt;&gt;"",I23&lt;&gt;""), SUMIFS(B23:I23,B1:I1,"&lt;&gt;",B2:I2,"&lt;&gt;Exame",B2:I2,"&lt;&gt;exame",B2:I2,"&lt;&gt;Nota",B2:I2,"&lt;&gt;Total"),"")</f>
        <v/>
      </c>
      <c r="K23" s="2" t="str">
        <f>IF(AND(A23&lt;&gt;"",J23&lt;&gt;""),ROUND(J23,0),"")</f>
        <v/>
      </c>
    </row>
    <row r="24" spans="2:11" x14ac:dyDescent="0.3">
      <c r="B24" s="2" t="str">
        <f>IFERROR(IF(A24&lt;&gt;"",VLOOKUP(Alunos!A24,Exame!A3:D250,4, FALSE),""), "")</f>
        <v/>
      </c>
      <c r="C24" s="2" t="str">
        <f>IF(A24&lt;&gt;"",VLOOKUP(Alunos!A24,Agrupamentos!A3:B250,2, FALSE),"")</f>
        <v/>
      </c>
      <c r="D24" s="2" t="str">
        <f>IFERROR(IF(A24&lt;&gt;"",VLOOKUP(Alunos!C24,FDGDF!A3:D250,4, FALSE),""),"")</f>
        <v/>
      </c>
      <c r="E24" s="2" t="str">
        <f>IF(A24&lt;&gt;"",VLOOKUP(Alunos!A24,Agrupamentos!A3:B250,2, FALSE),"")</f>
        <v/>
      </c>
      <c r="F24" s="2" t="str">
        <f>IFERROR(IF(A24&lt;&gt;"",VLOOKUP(Alunos!E24,SDASD!A3:D250,4, FALSE),""),"")</f>
        <v/>
      </c>
      <c r="G24" s="2" t="str">
        <f>IF(A24&lt;&gt;"", SUMIF(B1:F1,"&lt;&gt;",B24:F24),"")</f>
        <v/>
      </c>
      <c r="H24" s="2" t="str">
        <f>IF(AND(A24&lt;&gt;"",G24&lt;&gt;""),ROUND(G24,0),"")</f>
        <v/>
      </c>
      <c r="I24" s="2" t="str">
        <f>IFERROR(IF(A24&lt;&gt;"",VLOOKUP(Alunos!A24,Recurso!A3:D250,4, FALSE),""), "")</f>
        <v/>
      </c>
      <c r="J24" s="2" t="str">
        <f>IF(AND(A24&lt;&gt;"",I24&lt;&gt;""), SUMIFS(B24:I24,B1:I1,"&lt;&gt;",B2:I2,"&lt;&gt;Exame",B2:I2,"&lt;&gt;exame",B2:I2,"&lt;&gt;Nota",B2:I2,"&lt;&gt;Total"),"")</f>
        <v/>
      </c>
      <c r="K24" s="2" t="str">
        <f>IF(AND(A24&lt;&gt;"",J24&lt;&gt;""),ROUND(J24,0),"")</f>
        <v/>
      </c>
    </row>
    <row r="25" spans="2:11" x14ac:dyDescent="0.3">
      <c r="B25" s="2" t="str">
        <f>IFERROR(IF(A25&lt;&gt;"",VLOOKUP(Alunos!A25,Exame!A3:D250,4, FALSE),""), "")</f>
        <v/>
      </c>
      <c r="C25" s="2" t="str">
        <f>IF(A25&lt;&gt;"",VLOOKUP(Alunos!A25,Agrupamentos!A3:B250,2, FALSE),"")</f>
        <v/>
      </c>
      <c r="D25" s="2" t="str">
        <f>IFERROR(IF(A25&lt;&gt;"",VLOOKUP(Alunos!C25,FDGDF!A3:D250,4, FALSE),""),"")</f>
        <v/>
      </c>
      <c r="E25" s="2" t="str">
        <f>IF(A25&lt;&gt;"",VLOOKUP(Alunos!A25,Agrupamentos!A3:B250,2, FALSE),"")</f>
        <v/>
      </c>
      <c r="F25" s="2" t="str">
        <f>IFERROR(IF(A25&lt;&gt;"",VLOOKUP(Alunos!E25,SDASD!A3:D250,4, FALSE),""),"")</f>
        <v/>
      </c>
      <c r="G25" s="2" t="str">
        <f>IF(A25&lt;&gt;"", SUMIF(B1:F1,"&lt;&gt;",B25:F25),"")</f>
        <v/>
      </c>
      <c r="H25" s="2" t="str">
        <f>IF(AND(A25&lt;&gt;"",G25&lt;&gt;""),ROUND(G25,0),"")</f>
        <v/>
      </c>
      <c r="I25" s="2" t="str">
        <f>IFERROR(IF(A25&lt;&gt;"",VLOOKUP(Alunos!A25,Recurso!A3:D250,4, FALSE),""), "")</f>
        <v/>
      </c>
      <c r="J25" s="2" t="str">
        <f>IF(AND(A25&lt;&gt;"",I25&lt;&gt;""), SUMIFS(B25:I25,B1:I1,"&lt;&gt;",B2:I2,"&lt;&gt;Exame",B2:I2,"&lt;&gt;exame",B2:I2,"&lt;&gt;Nota",B2:I2,"&lt;&gt;Total"),"")</f>
        <v/>
      </c>
      <c r="K25" s="2" t="str">
        <f>IF(AND(A25&lt;&gt;"",J25&lt;&gt;""),ROUND(J25,0),"")</f>
        <v/>
      </c>
    </row>
    <row r="26" spans="2:11" x14ac:dyDescent="0.3">
      <c r="B26" s="2" t="str">
        <f>IFERROR(IF(A26&lt;&gt;"",VLOOKUP(Alunos!A26,Exame!A3:D250,4, FALSE),""), "")</f>
        <v/>
      </c>
      <c r="C26" s="2" t="str">
        <f>IF(A26&lt;&gt;"",VLOOKUP(Alunos!A26,Agrupamentos!A3:B250,2, FALSE),"")</f>
        <v/>
      </c>
      <c r="D26" s="2" t="str">
        <f>IFERROR(IF(A26&lt;&gt;"",VLOOKUP(Alunos!C26,FDGDF!A3:D250,4, FALSE),""),"")</f>
        <v/>
      </c>
      <c r="E26" s="2" t="str">
        <f>IF(A26&lt;&gt;"",VLOOKUP(Alunos!A26,Agrupamentos!A3:B250,2, FALSE),"")</f>
        <v/>
      </c>
      <c r="F26" s="2" t="str">
        <f>IFERROR(IF(A26&lt;&gt;"",VLOOKUP(Alunos!E26,SDASD!A3:D250,4, FALSE),""),"")</f>
        <v/>
      </c>
      <c r="G26" s="2" t="str">
        <f>IF(A26&lt;&gt;"", SUMIF(B1:F1,"&lt;&gt;",B26:F26),"")</f>
        <v/>
      </c>
      <c r="H26" s="2" t="str">
        <f>IF(AND(A26&lt;&gt;"",G26&lt;&gt;""),ROUND(G26,0),"")</f>
        <v/>
      </c>
      <c r="I26" s="2" t="str">
        <f>IFERROR(IF(A26&lt;&gt;"",VLOOKUP(Alunos!A26,Recurso!A3:D250,4, FALSE),""), "")</f>
        <v/>
      </c>
      <c r="J26" s="2" t="str">
        <f>IF(AND(A26&lt;&gt;"",I26&lt;&gt;""), SUMIFS(B26:I26,B1:I1,"&lt;&gt;",B2:I2,"&lt;&gt;Exame",B2:I2,"&lt;&gt;exame",B2:I2,"&lt;&gt;Nota",B2:I2,"&lt;&gt;Total"),"")</f>
        <v/>
      </c>
      <c r="K26" s="2" t="str">
        <f>IF(AND(A26&lt;&gt;"",J26&lt;&gt;""),ROUND(J26,0),"")</f>
        <v/>
      </c>
    </row>
    <row r="27" spans="2:11" x14ac:dyDescent="0.3">
      <c r="B27" s="2" t="str">
        <f>IFERROR(IF(A27&lt;&gt;"",VLOOKUP(Alunos!A27,Exame!A3:D250,4, FALSE),""), "")</f>
        <v/>
      </c>
      <c r="C27" s="2" t="str">
        <f>IF(A27&lt;&gt;"",VLOOKUP(Alunos!A27,Agrupamentos!A3:B250,2, FALSE),"")</f>
        <v/>
      </c>
      <c r="D27" s="2" t="str">
        <f>IFERROR(IF(A27&lt;&gt;"",VLOOKUP(Alunos!C27,FDGDF!A3:D250,4, FALSE),""),"")</f>
        <v/>
      </c>
      <c r="E27" s="2" t="str">
        <f>IF(A27&lt;&gt;"",VLOOKUP(Alunos!A27,Agrupamentos!A3:B250,2, FALSE),"")</f>
        <v/>
      </c>
      <c r="F27" s="2" t="str">
        <f>IFERROR(IF(A27&lt;&gt;"",VLOOKUP(Alunos!E27,SDASD!A3:D250,4, FALSE),""),"")</f>
        <v/>
      </c>
      <c r="G27" s="2" t="str">
        <f>IF(A27&lt;&gt;"", SUMIF(B1:F1,"&lt;&gt;",B27:F27),"")</f>
        <v/>
      </c>
      <c r="H27" s="2" t="str">
        <f>IF(AND(A27&lt;&gt;"",G27&lt;&gt;""),ROUND(G27,0),"")</f>
        <v/>
      </c>
      <c r="I27" s="2" t="str">
        <f>IFERROR(IF(A27&lt;&gt;"",VLOOKUP(Alunos!A27,Recurso!A3:D250,4, FALSE),""), "")</f>
        <v/>
      </c>
      <c r="J27" s="2" t="str">
        <f>IF(AND(A27&lt;&gt;"",I27&lt;&gt;""), SUMIFS(B27:I27,B1:I1,"&lt;&gt;",B2:I2,"&lt;&gt;Exame",B2:I2,"&lt;&gt;exame",B2:I2,"&lt;&gt;Nota",B2:I2,"&lt;&gt;Total"),"")</f>
        <v/>
      </c>
      <c r="K27" s="2" t="str">
        <f>IF(AND(A27&lt;&gt;"",J27&lt;&gt;""),ROUND(J27,0),"")</f>
        <v/>
      </c>
    </row>
    <row r="28" spans="2:11" x14ac:dyDescent="0.3">
      <c r="B28" s="2" t="str">
        <f>IFERROR(IF(A28&lt;&gt;"",VLOOKUP(Alunos!A28,Exame!A3:D250,4, FALSE),""), "")</f>
        <v/>
      </c>
      <c r="C28" s="2" t="str">
        <f>IF(A28&lt;&gt;"",VLOOKUP(Alunos!A28,Agrupamentos!A3:B250,2, FALSE),"")</f>
        <v/>
      </c>
      <c r="D28" s="2" t="str">
        <f>IFERROR(IF(A28&lt;&gt;"",VLOOKUP(Alunos!C28,FDGDF!A3:D250,4, FALSE),""),"")</f>
        <v/>
      </c>
      <c r="E28" s="2" t="str">
        <f>IF(A28&lt;&gt;"",VLOOKUP(Alunos!A28,Agrupamentos!A3:B250,2, FALSE),"")</f>
        <v/>
      </c>
      <c r="F28" s="2" t="str">
        <f>IFERROR(IF(A28&lt;&gt;"",VLOOKUP(Alunos!E28,SDASD!A3:D250,4, FALSE),""),"")</f>
        <v/>
      </c>
      <c r="G28" s="2" t="str">
        <f>IF(A28&lt;&gt;"", SUMIF(B1:F1,"&lt;&gt;",B28:F28),"")</f>
        <v/>
      </c>
      <c r="H28" s="2" t="str">
        <f>IF(AND(A28&lt;&gt;"",G28&lt;&gt;""),ROUND(G28,0),"")</f>
        <v/>
      </c>
      <c r="I28" s="2" t="str">
        <f>IFERROR(IF(A28&lt;&gt;"",VLOOKUP(Alunos!A28,Recurso!A3:D250,4, FALSE),""), "")</f>
        <v/>
      </c>
      <c r="J28" s="2" t="str">
        <f>IF(AND(A28&lt;&gt;"",I28&lt;&gt;""), SUMIFS(B28:I28,B1:I1,"&lt;&gt;",B2:I2,"&lt;&gt;Exame",B2:I2,"&lt;&gt;exame",B2:I2,"&lt;&gt;Nota",B2:I2,"&lt;&gt;Total"),"")</f>
        <v/>
      </c>
      <c r="K28" s="2" t="str">
        <f>IF(AND(A28&lt;&gt;"",J28&lt;&gt;""),ROUND(J28,0),"")</f>
        <v/>
      </c>
    </row>
    <row r="29" spans="2:11" x14ac:dyDescent="0.3">
      <c r="B29" s="2" t="str">
        <f>IFERROR(IF(A29&lt;&gt;"",VLOOKUP(Alunos!A29,Exame!A3:D250,4, FALSE),""), "")</f>
        <v/>
      </c>
      <c r="C29" s="2" t="str">
        <f>IF(A29&lt;&gt;"",VLOOKUP(Alunos!A29,Agrupamentos!A3:B250,2, FALSE),"")</f>
        <v/>
      </c>
      <c r="D29" s="2" t="str">
        <f>IFERROR(IF(A29&lt;&gt;"",VLOOKUP(Alunos!C29,FDGDF!A3:D250,4, FALSE),""),"")</f>
        <v/>
      </c>
      <c r="E29" s="2" t="str">
        <f>IF(A29&lt;&gt;"",VLOOKUP(Alunos!A29,Agrupamentos!A3:B250,2, FALSE),"")</f>
        <v/>
      </c>
      <c r="F29" s="2" t="str">
        <f>IFERROR(IF(A29&lt;&gt;"",VLOOKUP(Alunos!E29,SDASD!A3:D250,4, FALSE),""),"")</f>
        <v/>
      </c>
      <c r="G29" s="2" t="str">
        <f>IF(A29&lt;&gt;"", SUMIF(B1:F1,"&lt;&gt;",B29:F29),"")</f>
        <v/>
      </c>
      <c r="H29" s="2" t="str">
        <f>IF(AND(A29&lt;&gt;"",G29&lt;&gt;""),ROUND(G29,0),"")</f>
        <v/>
      </c>
      <c r="I29" s="2" t="str">
        <f>IFERROR(IF(A29&lt;&gt;"",VLOOKUP(Alunos!A29,Recurso!A3:D250,4, FALSE),""), "")</f>
        <v/>
      </c>
      <c r="J29" s="2" t="str">
        <f>IF(AND(A29&lt;&gt;"",I29&lt;&gt;""), SUMIFS(B29:I29,B1:I1,"&lt;&gt;",B2:I2,"&lt;&gt;Exame",B2:I2,"&lt;&gt;exame",B2:I2,"&lt;&gt;Nota",B2:I2,"&lt;&gt;Total"),"")</f>
        <v/>
      </c>
      <c r="K29" s="2" t="str">
        <f>IF(AND(A29&lt;&gt;"",J29&lt;&gt;""),ROUND(J29,0),"")</f>
        <v/>
      </c>
    </row>
    <row r="30" spans="2:11" x14ac:dyDescent="0.3">
      <c r="B30" s="2" t="str">
        <f>IFERROR(IF(A30&lt;&gt;"",VLOOKUP(Alunos!A30,Exame!A3:D250,4, FALSE),""), "")</f>
        <v/>
      </c>
      <c r="C30" s="2" t="str">
        <f>IF(A30&lt;&gt;"",VLOOKUP(Alunos!A30,Agrupamentos!A3:B250,2, FALSE),"")</f>
        <v/>
      </c>
      <c r="D30" s="2" t="str">
        <f>IFERROR(IF(A30&lt;&gt;"",VLOOKUP(Alunos!C30,FDGDF!A3:D250,4, FALSE),""),"")</f>
        <v/>
      </c>
      <c r="E30" s="2" t="str">
        <f>IF(A30&lt;&gt;"",VLOOKUP(Alunos!A30,Agrupamentos!A3:B250,2, FALSE),"")</f>
        <v/>
      </c>
      <c r="F30" s="2" t="str">
        <f>IFERROR(IF(A30&lt;&gt;"",VLOOKUP(Alunos!E30,SDASD!A3:D250,4, FALSE),""),"")</f>
        <v/>
      </c>
      <c r="G30" s="2" t="str">
        <f>IF(A30&lt;&gt;"", SUMIF(B1:F1,"&lt;&gt;",B30:F30),"")</f>
        <v/>
      </c>
      <c r="H30" s="2" t="str">
        <f>IF(AND(A30&lt;&gt;"",G30&lt;&gt;""),ROUND(G30,0),"")</f>
        <v/>
      </c>
      <c r="I30" s="2" t="str">
        <f>IFERROR(IF(A30&lt;&gt;"",VLOOKUP(Alunos!A30,Recurso!A3:D250,4, FALSE),""), "")</f>
        <v/>
      </c>
      <c r="J30" s="2" t="str">
        <f>IF(AND(A30&lt;&gt;"",I30&lt;&gt;""), SUMIFS(B30:I30,B1:I1,"&lt;&gt;",B2:I2,"&lt;&gt;Exame",B2:I2,"&lt;&gt;exame",B2:I2,"&lt;&gt;Nota",B2:I2,"&lt;&gt;Total"),"")</f>
        <v/>
      </c>
      <c r="K30" s="2" t="str">
        <f>IF(AND(A30&lt;&gt;"",J30&lt;&gt;""),ROUND(J30,0),"")</f>
        <v/>
      </c>
    </row>
    <row r="31" spans="2:11" x14ac:dyDescent="0.3">
      <c r="B31" s="2" t="str">
        <f>IFERROR(IF(A31&lt;&gt;"",VLOOKUP(Alunos!A31,Exame!A3:D250,4, FALSE),""), "")</f>
        <v/>
      </c>
      <c r="C31" s="2" t="str">
        <f>IF(A31&lt;&gt;"",VLOOKUP(Alunos!A31,Agrupamentos!A3:B250,2, FALSE),"")</f>
        <v/>
      </c>
      <c r="D31" s="2" t="str">
        <f>IFERROR(IF(A31&lt;&gt;"",VLOOKUP(Alunos!C31,FDGDF!A3:D250,4, FALSE),""),"")</f>
        <v/>
      </c>
      <c r="E31" s="2" t="str">
        <f>IF(A31&lt;&gt;"",VLOOKUP(Alunos!A31,Agrupamentos!A3:B250,2, FALSE),"")</f>
        <v/>
      </c>
      <c r="F31" s="2" t="str">
        <f>IFERROR(IF(A31&lt;&gt;"",VLOOKUP(Alunos!E31,SDASD!A3:D250,4, FALSE),""),"")</f>
        <v/>
      </c>
      <c r="G31" s="2" t="str">
        <f>IF(A31&lt;&gt;"", SUMIF(B1:F1,"&lt;&gt;",B31:F31),"")</f>
        <v/>
      </c>
      <c r="H31" s="2" t="str">
        <f>IF(AND(A31&lt;&gt;"",G31&lt;&gt;""),ROUND(G31,0),"")</f>
        <v/>
      </c>
      <c r="I31" s="2" t="str">
        <f>IFERROR(IF(A31&lt;&gt;"",VLOOKUP(Alunos!A31,Recurso!A3:D250,4, FALSE),""), "")</f>
        <v/>
      </c>
      <c r="J31" s="2" t="str">
        <f>IF(AND(A31&lt;&gt;"",I31&lt;&gt;""), SUMIFS(B31:I31,B1:I1,"&lt;&gt;",B2:I2,"&lt;&gt;Exame",B2:I2,"&lt;&gt;exame",B2:I2,"&lt;&gt;Nota",B2:I2,"&lt;&gt;Total"),"")</f>
        <v/>
      </c>
      <c r="K31" s="2" t="str">
        <f>IF(AND(A31&lt;&gt;"",J31&lt;&gt;""),ROUND(J31,0),"")</f>
        <v/>
      </c>
    </row>
    <row r="32" spans="2:11" x14ac:dyDescent="0.3">
      <c r="B32" s="2" t="str">
        <f>IFERROR(IF(A32&lt;&gt;"",VLOOKUP(Alunos!A32,Exame!A3:D250,4, FALSE),""), "")</f>
        <v/>
      </c>
      <c r="C32" s="2" t="str">
        <f>IF(A32&lt;&gt;"",VLOOKUP(Alunos!A32,Agrupamentos!A3:B250,2, FALSE),"")</f>
        <v/>
      </c>
      <c r="D32" s="2" t="str">
        <f>IFERROR(IF(A32&lt;&gt;"",VLOOKUP(Alunos!C32,FDGDF!A3:D250,4, FALSE),""),"")</f>
        <v/>
      </c>
      <c r="E32" s="2" t="str">
        <f>IF(A32&lt;&gt;"",VLOOKUP(Alunos!A32,Agrupamentos!A3:B250,2, FALSE),"")</f>
        <v/>
      </c>
      <c r="F32" s="2" t="str">
        <f>IFERROR(IF(A32&lt;&gt;"",VLOOKUP(Alunos!E32,SDASD!A3:D250,4, FALSE),""),"")</f>
        <v/>
      </c>
      <c r="G32" s="2" t="str">
        <f>IF(A32&lt;&gt;"", SUMIF(B1:F1,"&lt;&gt;",B32:F32),"")</f>
        <v/>
      </c>
      <c r="H32" s="2" t="str">
        <f>IF(AND(A32&lt;&gt;"",G32&lt;&gt;""),ROUND(G32,0),"")</f>
        <v/>
      </c>
      <c r="I32" s="2" t="str">
        <f>IFERROR(IF(A32&lt;&gt;"",VLOOKUP(Alunos!A32,Recurso!A3:D250,4, FALSE),""), "")</f>
        <v/>
      </c>
      <c r="J32" s="2" t="str">
        <f>IF(AND(A32&lt;&gt;"",I32&lt;&gt;""), SUMIFS(B32:I32,B1:I1,"&lt;&gt;",B2:I2,"&lt;&gt;Exame",B2:I2,"&lt;&gt;exame",B2:I2,"&lt;&gt;Nota",B2:I2,"&lt;&gt;Total"),"")</f>
        <v/>
      </c>
      <c r="K32" s="2" t="str">
        <f>IF(AND(A32&lt;&gt;"",J32&lt;&gt;""),ROUND(J32,0),"")</f>
        <v/>
      </c>
    </row>
    <row r="33" spans="2:11" x14ac:dyDescent="0.3">
      <c r="B33" s="2" t="str">
        <f>IFERROR(IF(A33&lt;&gt;"",VLOOKUP(Alunos!A33,Exame!A3:D250,4, FALSE),""), "")</f>
        <v/>
      </c>
      <c r="C33" s="2" t="str">
        <f>IF(A33&lt;&gt;"",VLOOKUP(Alunos!A33,Agrupamentos!A3:B250,2, FALSE),"")</f>
        <v/>
      </c>
      <c r="D33" s="2" t="str">
        <f>IFERROR(IF(A33&lt;&gt;"",VLOOKUP(Alunos!C33,FDGDF!A3:D250,4, FALSE),""),"")</f>
        <v/>
      </c>
      <c r="E33" s="2" t="str">
        <f>IF(A33&lt;&gt;"",VLOOKUP(Alunos!A33,Agrupamentos!A3:B250,2, FALSE),"")</f>
        <v/>
      </c>
      <c r="F33" s="2" t="str">
        <f>IFERROR(IF(A33&lt;&gt;"",VLOOKUP(Alunos!E33,SDASD!A3:D250,4, FALSE),""),"")</f>
        <v/>
      </c>
      <c r="G33" s="2" t="str">
        <f>IF(A33&lt;&gt;"", SUMIF(B1:F1,"&lt;&gt;",B33:F33),"")</f>
        <v/>
      </c>
      <c r="H33" s="2" t="str">
        <f>IF(AND(A33&lt;&gt;"",G33&lt;&gt;""),ROUND(G33,0),"")</f>
        <v/>
      </c>
      <c r="I33" s="2" t="str">
        <f>IFERROR(IF(A33&lt;&gt;"",VLOOKUP(Alunos!A33,Recurso!A3:D250,4, FALSE),""), "")</f>
        <v/>
      </c>
      <c r="J33" s="2" t="str">
        <f>IF(AND(A33&lt;&gt;"",I33&lt;&gt;""), SUMIFS(B33:I33,B1:I1,"&lt;&gt;",B2:I2,"&lt;&gt;Exame",B2:I2,"&lt;&gt;exame",B2:I2,"&lt;&gt;Nota",B2:I2,"&lt;&gt;Total"),"")</f>
        <v/>
      </c>
      <c r="K33" s="2" t="str">
        <f>IF(AND(A33&lt;&gt;"",J33&lt;&gt;""),ROUND(J33,0),"")</f>
        <v/>
      </c>
    </row>
    <row r="34" spans="2:11" x14ac:dyDescent="0.3">
      <c r="B34" s="2" t="str">
        <f>IFERROR(IF(A34&lt;&gt;"",VLOOKUP(Alunos!A34,Exame!A3:D250,4, FALSE),""), "")</f>
        <v/>
      </c>
      <c r="C34" s="2" t="str">
        <f>IF(A34&lt;&gt;"",VLOOKUP(Alunos!A34,Agrupamentos!A3:B250,2, FALSE),"")</f>
        <v/>
      </c>
      <c r="D34" s="2" t="str">
        <f>IFERROR(IF(A34&lt;&gt;"",VLOOKUP(Alunos!C34,FDGDF!A3:D250,4, FALSE),""),"")</f>
        <v/>
      </c>
      <c r="E34" s="2" t="str">
        <f>IF(A34&lt;&gt;"",VLOOKUP(Alunos!A34,Agrupamentos!A3:B250,2, FALSE),"")</f>
        <v/>
      </c>
      <c r="F34" s="2" t="str">
        <f>IFERROR(IF(A34&lt;&gt;"",VLOOKUP(Alunos!E34,SDASD!A3:D250,4, FALSE),""),"")</f>
        <v/>
      </c>
      <c r="G34" s="2" t="str">
        <f>IF(A34&lt;&gt;"", SUMIF(B1:F1,"&lt;&gt;",B34:F34),"")</f>
        <v/>
      </c>
      <c r="H34" s="2" t="str">
        <f>IF(AND(A34&lt;&gt;"",G34&lt;&gt;""),ROUND(G34,0),"")</f>
        <v/>
      </c>
      <c r="I34" s="2" t="str">
        <f>IFERROR(IF(A34&lt;&gt;"",VLOOKUP(Alunos!A34,Recurso!A3:D250,4, FALSE),""), "")</f>
        <v/>
      </c>
      <c r="J34" s="2" t="str">
        <f>IF(AND(A34&lt;&gt;"",I34&lt;&gt;""), SUMIFS(B34:I34,B1:I1,"&lt;&gt;",B2:I2,"&lt;&gt;Exame",B2:I2,"&lt;&gt;exame",B2:I2,"&lt;&gt;Nota",B2:I2,"&lt;&gt;Total"),"")</f>
        <v/>
      </c>
      <c r="K34" s="2" t="str">
        <f>IF(AND(A34&lt;&gt;"",J34&lt;&gt;""),ROUND(J34,0),"")</f>
        <v/>
      </c>
    </row>
    <row r="35" spans="2:11" x14ac:dyDescent="0.3">
      <c r="B35" s="2" t="str">
        <f>IFERROR(IF(A35&lt;&gt;"",VLOOKUP(Alunos!A35,Exame!A3:D250,4, FALSE),""), "")</f>
        <v/>
      </c>
      <c r="C35" s="2" t="str">
        <f>IF(A35&lt;&gt;"",VLOOKUP(Alunos!A35,Agrupamentos!A3:B250,2, FALSE),"")</f>
        <v/>
      </c>
      <c r="D35" s="2" t="str">
        <f>IFERROR(IF(A35&lt;&gt;"",VLOOKUP(Alunos!C35,FDGDF!A3:D250,4, FALSE),""),"")</f>
        <v/>
      </c>
      <c r="E35" s="2" t="str">
        <f>IF(A35&lt;&gt;"",VLOOKUP(Alunos!A35,Agrupamentos!A3:B250,2, FALSE),"")</f>
        <v/>
      </c>
      <c r="F35" s="2" t="str">
        <f>IFERROR(IF(A35&lt;&gt;"",VLOOKUP(Alunos!E35,SDASD!A3:D250,4, FALSE),""),"")</f>
        <v/>
      </c>
      <c r="G35" s="2" t="str">
        <f>IF(A35&lt;&gt;"", SUMIF(B1:F1,"&lt;&gt;",B35:F35),"")</f>
        <v/>
      </c>
      <c r="H35" s="2" t="str">
        <f>IF(AND(A35&lt;&gt;"",G35&lt;&gt;""),ROUND(G35,0),"")</f>
        <v/>
      </c>
      <c r="I35" s="2" t="str">
        <f>IFERROR(IF(A35&lt;&gt;"",VLOOKUP(Alunos!A35,Recurso!A3:D250,4, FALSE),""), "")</f>
        <v/>
      </c>
      <c r="J35" s="2" t="str">
        <f>IF(AND(A35&lt;&gt;"",I35&lt;&gt;""), SUMIFS(B35:I35,B1:I1,"&lt;&gt;",B2:I2,"&lt;&gt;Exame",B2:I2,"&lt;&gt;exame",B2:I2,"&lt;&gt;Nota",B2:I2,"&lt;&gt;Total"),"")</f>
        <v/>
      </c>
      <c r="K35" s="2" t="str">
        <f>IF(AND(A35&lt;&gt;"",J35&lt;&gt;""),ROUND(J35,0),"")</f>
        <v/>
      </c>
    </row>
    <row r="36" spans="2:11" x14ac:dyDescent="0.3">
      <c r="B36" s="2" t="str">
        <f>IFERROR(IF(A36&lt;&gt;"",VLOOKUP(Alunos!A36,Exame!A3:D250,4, FALSE),""), "")</f>
        <v/>
      </c>
      <c r="C36" s="2" t="str">
        <f>IF(A36&lt;&gt;"",VLOOKUP(Alunos!A36,Agrupamentos!A3:B250,2, FALSE),"")</f>
        <v/>
      </c>
      <c r="D36" s="2" t="str">
        <f>IFERROR(IF(A36&lt;&gt;"",VLOOKUP(Alunos!C36,FDGDF!A3:D250,4, FALSE),""),"")</f>
        <v/>
      </c>
      <c r="E36" s="2" t="str">
        <f>IF(A36&lt;&gt;"",VLOOKUP(Alunos!A36,Agrupamentos!A3:B250,2, FALSE),"")</f>
        <v/>
      </c>
      <c r="F36" s="2" t="str">
        <f>IFERROR(IF(A36&lt;&gt;"",VLOOKUP(Alunos!E36,SDASD!A3:D250,4, FALSE),""),"")</f>
        <v/>
      </c>
      <c r="G36" s="2" t="str">
        <f>IF(A36&lt;&gt;"", SUMIF(B1:F1,"&lt;&gt;",B36:F36),"")</f>
        <v/>
      </c>
      <c r="H36" s="2" t="str">
        <f>IF(AND(A36&lt;&gt;"",G36&lt;&gt;""),ROUND(G36,0),"")</f>
        <v/>
      </c>
      <c r="I36" s="2" t="str">
        <f>IFERROR(IF(A36&lt;&gt;"",VLOOKUP(Alunos!A36,Recurso!A3:D250,4, FALSE),""), "")</f>
        <v/>
      </c>
      <c r="J36" s="2" t="str">
        <f>IF(AND(A36&lt;&gt;"",I36&lt;&gt;""), SUMIFS(B36:I36,B1:I1,"&lt;&gt;",B2:I2,"&lt;&gt;Exame",B2:I2,"&lt;&gt;exame",B2:I2,"&lt;&gt;Nota",B2:I2,"&lt;&gt;Total"),"")</f>
        <v/>
      </c>
      <c r="K36" s="2" t="str">
        <f>IF(AND(A36&lt;&gt;"",J36&lt;&gt;""),ROUND(J36,0),"")</f>
        <v/>
      </c>
    </row>
    <row r="37" spans="2:11" x14ac:dyDescent="0.3">
      <c r="B37" s="2" t="str">
        <f>IFERROR(IF(A37&lt;&gt;"",VLOOKUP(Alunos!A37,Exame!A3:D250,4, FALSE),""), "")</f>
        <v/>
      </c>
      <c r="C37" s="2" t="str">
        <f>IF(A37&lt;&gt;"",VLOOKUP(Alunos!A37,Agrupamentos!A3:B250,2, FALSE),"")</f>
        <v/>
      </c>
      <c r="D37" s="2" t="str">
        <f>IFERROR(IF(A37&lt;&gt;"",VLOOKUP(Alunos!C37,FDGDF!A3:D250,4, FALSE),""),"")</f>
        <v/>
      </c>
      <c r="E37" s="2" t="str">
        <f>IF(A37&lt;&gt;"",VLOOKUP(Alunos!A37,Agrupamentos!A3:B250,2, FALSE),"")</f>
        <v/>
      </c>
      <c r="F37" s="2" t="str">
        <f>IFERROR(IF(A37&lt;&gt;"",VLOOKUP(Alunos!E37,SDASD!A3:D250,4, FALSE),""),"")</f>
        <v/>
      </c>
      <c r="G37" s="2" t="str">
        <f>IF(A37&lt;&gt;"", SUMIF(B1:F1,"&lt;&gt;",B37:F37),"")</f>
        <v/>
      </c>
      <c r="H37" s="2" t="str">
        <f>IF(AND(A37&lt;&gt;"",G37&lt;&gt;""),ROUND(G37,0),"")</f>
        <v/>
      </c>
      <c r="I37" s="2" t="str">
        <f>IFERROR(IF(A37&lt;&gt;"",VLOOKUP(Alunos!A37,Recurso!A3:D250,4, FALSE),""), "")</f>
        <v/>
      </c>
      <c r="J37" s="2" t="str">
        <f>IF(AND(A37&lt;&gt;"",I37&lt;&gt;""), SUMIFS(B37:I37,B1:I1,"&lt;&gt;",B2:I2,"&lt;&gt;Exame",B2:I2,"&lt;&gt;exame",B2:I2,"&lt;&gt;Nota",B2:I2,"&lt;&gt;Total"),"")</f>
        <v/>
      </c>
      <c r="K37" s="2" t="str">
        <f>IF(AND(A37&lt;&gt;"",J37&lt;&gt;""),ROUND(J37,0),"")</f>
        <v/>
      </c>
    </row>
    <row r="38" spans="2:11" x14ac:dyDescent="0.3">
      <c r="B38" s="2" t="str">
        <f>IFERROR(IF(A38&lt;&gt;"",VLOOKUP(Alunos!A38,Exame!A3:D250,4, FALSE),""), "")</f>
        <v/>
      </c>
      <c r="C38" s="2" t="str">
        <f>IF(A38&lt;&gt;"",VLOOKUP(Alunos!A38,Agrupamentos!A3:B250,2, FALSE),"")</f>
        <v/>
      </c>
      <c r="D38" s="2" t="str">
        <f>IFERROR(IF(A38&lt;&gt;"",VLOOKUP(Alunos!C38,FDGDF!A3:D250,4, FALSE),""),"")</f>
        <v/>
      </c>
      <c r="E38" s="2" t="str">
        <f>IF(A38&lt;&gt;"",VLOOKUP(Alunos!A38,Agrupamentos!A3:B250,2, FALSE),"")</f>
        <v/>
      </c>
      <c r="F38" s="2" t="str">
        <f>IFERROR(IF(A38&lt;&gt;"",VLOOKUP(Alunos!E38,SDASD!A3:D250,4, FALSE),""),"")</f>
        <v/>
      </c>
      <c r="G38" s="2" t="str">
        <f>IF(A38&lt;&gt;"", SUMIF(B1:F1,"&lt;&gt;",B38:F38),"")</f>
        <v/>
      </c>
      <c r="H38" s="2" t="str">
        <f>IF(AND(A38&lt;&gt;"",G38&lt;&gt;""),ROUND(G38,0),"")</f>
        <v/>
      </c>
      <c r="I38" s="2" t="str">
        <f>IFERROR(IF(A38&lt;&gt;"",VLOOKUP(Alunos!A38,Recurso!A3:D250,4, FALSE),""), "")</f>
        <v/>
      </c>
      <c r="J38" s="2" t="str">
        <f>IF(AND(A38&lt;&gt;"",I38&lt;&gt;""), SUMIFS(B38:I38,B1:I1,"&lt;&gt;",B2:I2,"&lt;&gt;Exame",B2:I2,"&lt;&gt;exame",B2:I2,"&lt;&gt;Nota",B2:I2,"&lt;&gt;Total"),"")</f>
        <v/>
      </c>
      <c r="K38" s="2" t="str">
        <f>IF(AND(A38&lt;&gt;"",J38&lt;&gt;""),ROUND(J38,0),"")</f>
        <v/>
      </c>
    </row>
    <row r="39" spans="2:11" x14ac:dyDescent="0.3">
      <c r="B39" s="2" t="str">
        <f>IFERROR(IF(A39&lt;&gt;"",VLOOKUP(Alunos!A39,Exame!A3:D250,4, FALSE),""), "")</f>
        <v/>
      </c>
      <c r="C39" s="2" t="str">
        <f>IF(A39&lt;&gt;"",VLOOKUP(Alunos!A39,Agrupamentos!A3:B250,2, FALSE),"")</f>
        <v/>
      </c>
      <c r="D39" s="2" t="str">
        <f>IFERROR(IF(A39&lt;&gt;"",VLOOKUP(Alunos!C39,FDGDF!A3:D250,4, FALSE),""),"")</f>
        <v/>
      </c>
      <c r="E39" s="2" t="str">
        <f>IF(A39&lt;&gt;"",VLOOKUP(Alunos!A39,Agrupamentos!A3:B250,2, FALSE),"")</f>
        <v/>
      </c>
      <c r="F39" s="2" t="str">
        <f>IFERROR(IF(A39&lt;&gt;"",VLOOKUP(Alunos!E39,SDASD!A3:D250,4, FALSE),""),"")</f>
        <v/>
      </c>
      <c r="G39" s="2" t="str">
        <f>IF(A39&lt;&gt;"", SUMIF(B1:F1,"&lt;&gt;",B39:F39),"")</f>
        <v/>
      </c>
      <c r="H39" s="2" t="str">
        <f>IF(AND(A39&lt;&gt;"",G39&lt;&gt;""),ROUND(G39,0),"")</f>
        <v/>
      </c>
      <c r="I39" s="2" t="str">
        <f>IFERROR(IF(A39&lt;&gt;"",VLOOKUP(Alunos!A39,Recurso!A3:D250,4, FALSE),""), "")</f>
        <v/>
      </c>
      <c r="J39" s="2" t="str">
        <f>IF(AND(A39&lt;&gt;"",I39&lt;&gt;""), SUMIFS(B39:I39,B1:I1,"&lt;&gt;",B2:I2,"&lt;&gt;Exame",B2:I2,"&lt;&gt;exame",B2:I2,"&lt;&gt;Nota",B2:I2,"&lt;&gt;Total"),"")</f>
        <v/>
      </c>
      <c r="K39" s="2" t="str">
        <f>IF(AND(A39&lt;&gt;"",J39&lt;&gt;""),ROUND(J39,0),"")</f>
        <v/>
      </c>
    </row>
    <row r="40" spans="2:11" x14ac:dyDescent="0.3">
      <c r="B40" s="2" t="str">
        <f>IFERROR(IF(A40&lt;&gt;"",VLOOKUP(Alunos!A40,Exame!A3:D250,4, FALSE),""), "")</f>
        <v/>
      </c>
      <c r="C40" s="2" t="str">
        <f>IF(A40&lt;&gt;"",VLOOKUP(Alunos!A40,Agrupamentos!A3:B250,2, FALSE),"")</f>
        <v/>
      </c>
      <c r="D40" s="2" t="str">
        <f>IFERROR(IF(A40&lt;&gt;"",VLOOKUP(Alunos!C40,FDGDF!A3:D250,4, FALSE),""),"")</f>
        <v/>
      </c>
      <c r="E40" s="2" t="str">
        <f>IF(A40&lt;&gt;"",VLOOKUP(Alunos!A40,Agrupamentos!A3:B250,2, FALSE),"")</f>
        <v/>
      </c>
      <c r="F40" s="2" t="str">
        <f>IFERROR(IF(A40&lt;&gt;"",VLOOKUP(Alunos!E40,SDASD!A3:D250,4, FALSE),""),"")</f>
        <v/>
      </c>
      <c r="G40" s="2" t="str">
        <f>IF(A40&lt;&gt;"", SUMIF(B1:F1,"&lt;&gt;",B40:F40),"")</f>
        <v/>
      </c>
      <c r="H40" s="2" t="str">
        <f>IF(AND(A40&lt;&gt;"",G40&lt;&gt;""),ROUND(G40,0),"")</f>
        <v/>
      </c>
      <c r="I40" s="2" t="str">
        <f>IFERROR(IF(A40&lt;&gt;"",VLOOKUP(Alunos!A40,Recurso!A3:D250,4, FALSE),""), "")</f>
        <v/>
      </c>
      <c r="J40" s="2" t="str">
        <f>IF(AND(A40&lt;&gt;"",I40&lt;&gt;""), SUMIFS(B40:I40,B1:I1,"&lt;&gt;",B2:I2,"&lt;&gt;Exame",B2:I2,"&lt;&gt;exame",B2:I2,"&lt;&gt;Nota",B2:I2,"&lt;&gt;Total"),"")</f>
        <v/>
      </c>
      <c r="K40" s="2" t="str">
        <f>IF(AND(A40&lt;&gt;"",J40&lt;&gt;""),ROUND(J40,0),"")</f>
        <v/>
      </c>
    </row>
    <row r="41" spans="2:11" x14ac:dyDescent="0.3">
      <c r="B41" s="2" t="str">
        <f>IFERROR(IF(A41&lt;&gt;"",VLOOKUP(Alunos!A41,Exame!A3:D250,4, FALSE),""), "")</f>
        <v/>
      </c>
      <c r="C41" s="2" t="str">
        <f>IF(A41&lt;&gt;"",VLOOKUP(Alunos!A41,Agrupamentos!A3:B250,2, FALSE),"")</f>
        <v/>
      </c>
      <c r="D41" s="2" t="str">
        <f>IFERROR(IF(A41&lt;&gt;"",VLOOKUP(Alunos!C41,FDGDF!A3:D250,4, FALSE),""),"")</f>
        <v/>
      </c>
      <c r="E41" s="2" t="str">
        <f>IF(A41&lt;&gt;"",VLOOKUP(Alunos!A41,Agrupamentos!A3:B250,2, FALSE),"")</f>
        <v/>
      </c>
      <c r="F41" s="2" t="str">
        <f>IFERROR(IF(A41&lt;&gt;"",VLOOKUP(Alunos!E41,SDASD!A3:D250,4, FALSE),""),"")</f>
        <v/>
      </c>
      <c r="G41" s="2" t="str">
        <f>IF(A41&lt;&gt;"", SUMIF(B1:F1,"&lt;&gt;",B41:F41),"")</f>
        <v/>
      </c>
      <c r="H41" s="2" t="str">
        <f>IF(AND(A41&lt;&gt;"",G41&lt;&gt;""),ROUND(G41,0),"")</f>
        <v/>
      </c>
      <c r="I41" s="2" t="str">
        <f>IFERROR(IF(A41&lt;&gt;"",VLOOKUP(Alunos!A41,Recurso!A3:D250,4, FALSE),""), "")</f>
        <v/>
      </c>
      <c r="J41" s="2" t="str">
        <f>IF(AND(A41&lt;&gt;"",I41&lt;&gt;""), SUMIFS(B41:I41,B1:I1,"&lt;&gt;",B2:I2,"&lt;&gt;Exame",B2:I2,"&lt;&gt;exame",B2:I2,"&lt;&gt;Nota",B2:I2,"&lt;&gt;Total"),"")</f>
        <v/>
      </c>
      <c r="K41" s="2" t="str">
        <f>IF(AND(A41&lt;&gt;"",J41&lt;&gt;""),ROUND(J41,0),"")</f>
        <v/>
      </c>
    </row>
    <row r="42" spans="2:11" x14ac:dyDescent="0.3">
      <c r="B42" s="2" t="str">
        <f>IFERROR(IF(A42&lt;&gt;"",VLOOKUP(Alunos!A42,Exame!A3:D250,4, FALSE),""), "")</f>
        <v/>
      </c>
      <c r="C42" s="2" t="str">
        <f>IF(A42&lt;&gt;"",VLOOKUP(Alunos!A42,Agrupamentos!A3:B250,2, FALSE),"")</f>
        <v/>
      </c>
      <c r="D42" s="2" t="str">
        <f>IFERROR(IF(A42&lt;&gt;"",VLOOKUP(Alunos!C42,FDGDF!A3:D250,4, FALSE),""),"")</f>
        <v/>
      </c>
      <c r="E42" s="2" t="str">
        <f>IF(A42&lt;&gt;"",VLOOKUP(Alunos!A42,Agrupamentos!A3:B250,2, FALSE),"")</f>
        <v/>
      </c>
      <c r="F42" s="2" t="str">
        <f>IFERROR(IF(A42&lt;&gt;"",VLOOKUP(Alunos!E42,SDASD!A3:D250,4, FALSE),""),"")</f>
        <v/>
      </c>
      <c r="G42" s="2" t="str">
        <f>IF(A42&lt;&gt;"", SUMIF(B1:F1,"&lt;&gt;",B42:F42),"")</f>
        <v/>
      </c>
      <c r="H42" s="2" t="str">
        <f>IF(AND(A42&lt;&gt;"",G42&lt;&gt;""),ROUND(G42,0),"")</f>
        <v/>
      </c>
      <c r="I42" s="2" t="str">
        <f>IFERROR(IF(A42&lt;&gt;"",VLOOKUP(Alunos!A42,Recurso!A3:D250,4, FALSE),""), "")</f>
        <v/>
      </c>
      <c r="J42" s="2" t="str">
        <f>IF(AND(A42&lt;&gt;"",I42&lt;&gt;""), SUMIFS(B42:I42,B1:I1,"&lt;&gt;",B2:I2,"&lt;&gt;Exame",B2:I2,"&lt;&gt;exame",B2:I2,"&lt;&gt;Nota",B2:I2,"&lt;&gt;Total"),"")</f>
        <v/>
      </c>
      <c r="K42" s="2" t="str">
        <f>IF(AND(A42&lt;&gt;"",J42&lt;&gt;""),ROUND(J42,0),"")</f>
        <v/>
      </c>
    </row>
    <row r="43" spans="2:11" x14ac:dyDescent="0.3">
      <c r="B43" s="2" t="str">
        <f>IFERROR(IF(A43&lt;&gt;"",VLOOKUP(Alunos!A43,Exame!A3:D250,4, FALSE),""), "")</f>
        <v/>
      </c>
      <c r="C43" s="2" t="str">
        <f>IF(A43&lt;&gt;"",VLOOKUP(Alunos!A43,Agrupamentos!A3:B250,2, FALSE),"")</f>
        <v/>
      </c>
      <c r="D43" s="2" t="str">
        <f>IFERROR(IF(A43&lt;&gt;"",VLOOKUP(Alunos!C43,FDGDF!A3:D250,4, FALSE),""),"")</f>
        <v/>
      </c>
      <c r="E43" s="2" t="str">
        <f>IF(A43&lt;&gt;"",VLOOKUP(Alunos!A43,Agrupamentos!A3:B250,2, FALSE),"")</f>
        <v/>
      </c>
      <c r="F43" s="2" t="str">
        <f>IFERROR(IF(A43&lt;&gt;"",VLOOKUP(Alunos!E43,SDASD!A3:D250,4, FALSE),""),"")</f>
        <v/>
      </c>
      <c r="G43" s="2" t="str">
        <f>IF(A43&lt;&gt;"", SUMIF(B1:F1,"&lt;&gt;",B43:F43),"")</f>
        <v/>
      </c>
      <c r="H43" s="2" t="str">
        <f>IF(AND(A43&lt;&gt;"",G43&lt;&gt;""),ROUND(G43,0),"")</f>
        <v/>
      </c>
      <c r="I43" s="2" t="str">
        <f>IFERROR(IF(A43&lt;&gt;"",VLOOKUP(Alunos!A43,Recurso!A3:D250,4, FALSE),""), "")</f>
        <v/>
      </c>
      <c r="J43" s="2" t="str">
        <f>IF(AND(A43&lt;&gt;"",I43&lt;&gt;""), SUMIFS(B43:I43,B1:I1,"&lt;&gt;",B2:I2,"&lt;&gt;Exame",B2:I2,"&lt;&gt;exame",B2:I2,"&lt;&gt;Nota",B2:I2,"&lt;&gt;Total"),"")</f>
        <v/>
      </c>
      <c r="K43" s="2" t="str">
        <f>IF(AND(A43&lt;&gt;"",J43&lt;&gt;""),ROUND(J43,0),"")</f>
        <v/>
      </c>
    </row>
    <row r="44" spans="2:11" x14ac:dyDescent="0.3">
      <c r="B44" s="2" t="str">
        <f>IFERROR(IF(A44&lt;&gt;"",VLOOKUP(Alunos!A44,Exame!A3:D250,4, FALSE),""), "")</f>
        <v/>
      </c>
      <c r="C44" s="2" t="str">
        <f>IF(A44&lt;&gt;"",VLOOKUP(Alunos!A44,Agrupamentos!A3:B250,2, FALSE),"")</f>
        <v/>
      </c>
      <c r="D44" s="2" t="str">
        <f>IFERROR(IF(A44&lt;&gt;"",VLOOKUP(Alunos!C44,FDGDF!A3:D250,4, FALSE),""),"")</f>
        <v/>
      </c>
      <c r="E44" s="2" t="str">
        <f>IF(A44&lt;&gt;"",VLOOKUP(Alunos!A44,Agrupamentos!A3:B250,2, FALSE),"")</f>
        <v/>
      </c>
      <c r="F44" s="2" t="str">
        <f>IFERROR(IF(A44&lt;&gt;"",VLOOKUP(Alunos!E44,SDASD!A3:D250,4, FALSE),""),"")</f>
        <v/>
      </c>
      <c r="G44" s="2" t="str">
        <f>IF(A44&lt;&gt;"", SUMIF(B1:F1,"&lt;&gt;",B44:F44),"")</f>
        <v/>
      </c>
      <c r="H44" s="2" t="str">
        <f>IF(AND(A44&lt;&gt;"",G44&lt;&gt;""),ROUND(G44,0),"")</f>
        <v/>
      </c>
      <c r="I44" s="2" t="str">
        <f>IFERROR(IF(A44&lt;&gt;"",VLOOKUP(Alunos!A44,Recurso!A3:D250,4, FALSE),""), "")</f>
        <v/>
      </c>
      <c r="J44" s="2" t="str">
        <f>IF(AND(A44&lt;&gt;"",I44&lt;&gt;""), SUMIFS(B44:I44,B1:I1,"&lt;&gt;",B2:I2,"&lt;&gt;Exame",B2:I2,"&lt;&gt;exame",B2:I2,"&lt;&gt;Nota",B2:I2,"&lt;&gt;Total"),"")</f>
        <v/>
      </c>
      <c r="K44" s="2" t="str">
        <f>IF(AND(A44&lt;&gt;"",J44&lt;&gt;""),ROUND(J44,0),"")</f>
        <v/>
      </c>
    </row>
    <row r="45" spans="2:11" x14ac:dyDescent="0.3">
      <c r="B45" s="2" t="str">
        <f>IFERROR(IF(A45&lt;&gt;"",VLOOKUP(Alunos!A45,Exame!A3:D250,4, FALSE),""), "")</f>
        <v/>
      </c>
      <c r="C45" s="2" t="str">
        <f>IF(A45&lt;&gt;"",VLOOKUP(Alunos!A45,Agrupamentos!A3:B250,2, FALSE),"")</f>
        <v/>
      </c>
      <c r="D45" s="2" t="str">
        <f>IFERROR(IF(A45&lt;&gt;"",VLOOKUP(Alunos!C45,FDGDF!A3:D250,4, FALSE),""),"")</f>
        <v/>
      </c>
      <c r="E45" s="2" t="str">
        <f>IF(A45&lt;&gt;"",VLOOKUP(Alunos!A45,Agrupamentos!A3:B250,2, FALSE),"")</f>
        <v/>
      </c>
      <c r="F45" s="2" t="str">
        <f>IFERROR(IF(A45&lt;&gt;"",VLOOKUP(Alunos!E45,SDASD!A3:D250,4, FALSE),""),"")</f>
        <v/>
      </c>
      <c r="G45" s="2" t="str">
        <f>IF(A45&lt;&gt;"", SUMIF(B1:F1,"&lt;&gt;",B45:F45),"")</f>
        <v/>
      </c>
      <c r="H45" s="2" t="str">
        <f>IF(AND(A45&lt;&gt;"",G45&lt;&gt;""),ROUND(G45,0),"")</f>
        <v/>
      </c>
      <c r="I45" s="2" t="str">
        <f>IFERROR(IF(A45&lt;&gt;"",VLOOKUP(Alunos!A45,Recurso!A3:D250,4, FALSE),""), "")</f>
        <v/>
      </c>
      <c r="J45" s="2" t="str">
        <f>IF(AND(A45&lt;&gt;"",I45&lt;&gt;""), SUMIFS(B45:I45,B1:I1,"&lt;&gt;",B2:I2,"&lt;&gt;Exame",B2:I2,"&lt;&gt;exame",B2:I2,"&lt;&gt;Nota",B2:I2,"&lt;&gt;Total"),"")</f>
        <v/>
      </c>
      <c r="K45" s="2" t="str">
        <f>IF(AND(A45&lt;&gt;"",J45&lt;&gt;""),ROUND(J45,0),"")</f>
        <v/>
      </c>
    </row>
    <row r="46" spans="2:11" x14ac:dyDescent="0.3">
      <c r="B46" s="2" t="str">
        <f>IFERROR(IF(A46&lt;&gt;"",VLOOKUP(Alunos!A46,Exame!A3:D250,4, FALSE),""), "")</f>
        <v/>
      </c>
      <c r="C46" s="2" t="str">
        <f>IF(A46&lt;&gt;"",VLOOKUP(Alunos!A46,Agrupamentos!A3:B250,2, FALSE),"")</f>
        <v/>
      </c>
      <c r="D46" s="2" t="str">
        <f>IFERROR(IF(A46&lt;&gt;"",VLOOKUP(Alunos!C46,FDGDF!A3:D250,4, FALSE),""),"")</f>
        <v/>
      </c>
      <c r="E46" s="2" t="str">
        <f>IF(A46&lt;&gt;"",VLOOKUP(Alunos!A46,Agrupamentos!A3:B250,2, FALSE),"")</f>
        <v/>
      </c>
      <c r="F46" s="2" t="str">
        <f>IFERROR(IF(A46&lt;&gt;"",VLOOKUP(Alunos!E46,SDASD!A3:D250,4, FALSE),""),"")</f>
        <v/>
      </c>
      <c r="G46" s="2" t="str">
        <f>IF(A46&lt;&gt;"", SUMIF(B1:F1,"&lt;&gt;",B46:F46),"")</f>
        <v/>
      </c>
      <c r="H46" s="2" t="str">
        <f>IF(AND(A46&lt;&gt;"",G46&lt;&gt;""),ROUND(G46,0),"")</f>
        <v/>
      </c>
      <c r="I46" s="2" t="str">
        <f>IFERROR(IF(A46&lt;&gt;"",VLOOKUP(Alunos!A46,Recurso!A3:D250,4, FALSE),""), "")</f>
        <v/>
      </c>
      <c r="J46" s="2" t="str">
        <f>IF(AND(A46&lt;&gt;"",I46&lt;&gt;""), SUMIFS(B46:I46,B1:I1,"&lt;&gt;",B2:I2,"&lt;&gt;Exame",B2:I2,"&lt;&gt;exame",B2:I2,"&lt;&gt;Nota",B2:I2,"&lt;&gt;Total"),"")</f>
        <v/>
      </c>
      <c r="K46" s="2" t="str">
        <f>IF(AND(A46&lt;&gt;"",J46&lt;&gt;""),ROUND(J46,0),"")</f>
        <v/>
      </c>
    </row>
    <row r="47" spans="2:11" x14ac:dyDescent="0.3">
      <c r="B47" s="2" t="str">
        <f>IFERROR(IF(A47&lt;&gt;"",VLOOKUP(Alunos!A47,Exame!A3:D250,4, FALSE),""), "")</f>
        <v/>
      </c>
      <c r="C47" s="2" t="str">
        <f>IF(A47&lt;&gt;"",VLOOKUP(Alunos!A47,Agrupamentos!A3:B250,2, FALSE),"")</f>
        <v/>
      </c>
      <c r="D47" s="2" t="str">
        <f>IFERROR(IF(A47&lt;&gt;"",VLOOKUP(Alunos!C47,FDGDF!A3:D250,4, FALSE),""),"")</f>
        <v/>
      </c>
      <c r="E47" s="2" t="str">
        <f>IF(A47&lt;&gt;"",VLOOKUP(Alunos!A47,Agrupamentos!A3:B250,2, FALSE),"")</f>
        <v/>
      </c>
      <c r="F47" s="2" t="str">
        <f>IFERROR(IF(A47&lt;&gt;"",VLOOKUP(Alunos!E47,SDASD!A3:D250,4, FALSE),""),"")</f>
        <v/>
      </c>
      <c r="G47" s="2" t="str">
        <f>IF(A47&lt;&gt;"", SUMIF(B1:F1,"&lt;&gt;",B47:F47),"")</f>
        <v/>
      </c>
      <c r="H47" s="2" t="str">
        <f>IF(AND(A47&lt;&gt;"",G47&lt;&gt;""),ROUND(G47,0),"")</f>
        <v/>
      </c>
      <c r="I47" s="2" t="str">
        <f>IFERROR(IF(A47&lt;&gt;"",VLOOKUP(Alunos!A47,Recurso!A3:D250,4, FALSE),""), "")</f>
        <v/>
      </c>
      <c r="J47" s="2" t="str">
        <f>IF(AND(A47&lt;&gt;"",I47&lt;&gt;""), SUMIFS(B47:I47,B1:I1,"&lt;&gt;",B2:I2,"&lt;&gt;Exame",B2:I2,"&lt;&gt;exame",B2:I2,"&lt;&gt;Nota",B2:I2,"&lt;&gt;Total"),"")</f>
        <v/>
      </c>
      <c r="K47" s="2" t="str">
        <f>IF(AND(A47&lt;&gt;"",J47&lt;&gt;""),ROUND(J47,0),"")</f>
        <v/>
      </c>
    </row>
    <row r="48" spans="2:11" x14ac:dyDescent="0.3">
      <c r="B48" s="2" t="str">
        <f>IFERROR(IF(A48&lt;&gt;"",VLOOKUP(Alunos!A48,Exame!A3:D250,4, FALSE),""), "")</f>
        <v/>
      </c>
      <c r="C48" s="2" t="str">
        <f>IF(A48&lt;&gt;"",VLOOKUP(Alunos!A48,Agrupamentos!A3:B250,2, FALSE),"")</f>
        <v/>
      </c>
      <c r="D48" s="2" t="str">
        <f>IFERROR(IF(A48&lt;&gt;"",VLOOKUP(Alunos!C48,FDGDF!A3:D250,4, FALSE),""),"")</f>
        <v/>
      </c>
      <c r="E48" s="2" t="str">
        <f>IF(A48&lt;&gt;"",VLOOKUP(Alunos!A48,Agrupamentos!A3:B250,2, FALSE),"")</f>
        <v/>
      </c>
      <c r="F48" s="2" t="str">
        <f>IFERROR(IF(A48&lt;&gt;"",VLOOKUP(Alunos!E48,SDASD!A3:D250,4, FALSE),""),"")</f>
        <v/>
      </c>
      <c r="G48" s="2" t="str">
        <f>IF(A48&lt;&gt;"", SUMIF(B1:F1,"&lt;&gt;",B48:F48),"")</f>
        <v/>
      </c>
      <c r="H48" s="2" t="str">
        <f>IF(AND(A48&lt;&gt;"",G48&lt;&gt;""),ROUND(G48,0),"")</f>
        <v/>
      </c>
      <c r="I48" s="2" t="str">
        <f>IFERROR(IF(A48&lt;&gt;"",VLOOKUP(Alunos!A48,Recurso!A3:D250,4, FALSE),""), "")</f>
        <v/>
      </c>
      <c r="J48" s="2" t="str">
        <f>IF(AND(A48&lt;&gt;"",I48&lt;&gt;""), SUMIFS(B48:I48,B1:I1,"&lt;&gt;",B2:I2,"&lt;&gt;Exame",B2:I2,"&lt;&gt;exame",B2:I2,"&lt;&gt;Nota",B2:I2,"&lt;&gt;Total"),"")</f>
        <v/>
      </c>
      <c r="K48" s="2" t="str">
        <f>IF(AND(A48&lt;&gt;"",J48&lt;&gt;""),ROUND(J48,0),"")</f>
        <v/>
      </c>
    </row>
    <row r="49" spans="2:11" x14ac:dyDescent="0.3">
      <c r="B49" s="2" t="str">
        <f>IFERROR(IF(A49&lt;&gt;"",VLOOKUP(Alunos!A49,Exame!A3:D250,4, FALSE),""), "")</f>
        <v/>
      </c>
      <c r="C49" s="2" t="str">
        <f>IF(A49&lt;&gt;"",VLOOKUP(Alunos!A49,Agrupamentos!A3:B250,2, FALSE),"")</f>
        <v/>
      </c>
      <c r="D49" s="2" t="str">
        <f>IFERROR(IF(A49&lt;&gt;"",VLOOKUP(Alunos!C49,FDGDF!A3:D250,4, FALSE),""),"")</f>
        <v/>
      </c>
      <c r="E49" s="2" t="str">
        <f>IF(A49&lt;&gt;"",VLOOKUP(Alunos!A49,Agrupamentos!A3:B250,2, FALSE),"")</f>
        <v/>
      </c>
      <c r="F49" s="2" t="str">
        <f>IFERROR(IF(A49&lt;&gt;"",VLOOKUP(Alunos!E49,SDASD!A3:D250,4, FALSE),""),"")</f>
        <v/>
      </c>
      <c r="G49" s="2" t="str">
        <f>IF(A49&lt;&gt;"", SUMIF(B1:F1,"&lt;&gt;",B49:F49),"")</f>
        <v/>
      </c>
      <c r="H49" s="2" t="str">
        <f>IF(AND(A49&lt;&gt;"",G49&lt;&gt;""),ROUND(G49,0),"")</f>
        <v/>
      </c>
      <c r="I49" s="2" t="str">
        <f>IFERROR(IF(A49&lt;&gt;"",VLOOKUP(Alunos!A49,Recurso!A3:D250,4, FALSE),""), "")</f>
        <v/>
      </c>
      <c r="J49" s="2" t="str">
        <f>IF(AND(A49&lt;&gt;"",I49&lt;&gt;""), SUMIFS(B49:I49,B1:I1,"&lt;&gt;",B2:I2,"&lt;&gt;Exame",B2:I2,"&lt;&gt;exame",B2:I2,"&lt;&gt;Nota",B2:I2,"&lt;&gt;Total"),"")</f>
        <v/>
      </c>
      <c r="K49" s="2" t="str">
        <f>IF(AND(A49&lt;&gt;"",J49&lt;&gt;""),ROUND(J49,0),"")</f>
        <v/>
      </c>
    </row>
    <row r="50" spans="2:11" x14ac:dyDescent="0.3">
      <c r="B50" s="2" t="str">
        <f>IFERROR(IF(A50&lt;&gt;"",VLOOKUP(Alunos!A50,Exame!A3:D250,4, FALSE),""), "")</f>
        <v/>
      </c>
      <c r="C50" s="2" t="str">
        <f>IF(A50&lt;&gt;"",VLOOKUP(Alunos!A50,Agrupamentos!A3:B250,2, FALSE),"")</f>
        <v/>
      </c>
      <c r="D50" s="2" t="str">
        <f>IFERROR(IF(A50&lt;&gt;"",VLOOKUP(Alunos!C50,FDGDF!A3:D250,4, FALSE),""),"")</f>
        <v/>
      </c>
      <c r="E50" s="2" t="str">
        <f>IF(A50&lt;&gt;"",VLOOKUP(Alunos!A50,Agrupamentos!A3:B250,2, FALSE),"")</f>
        <v/>
      </c>
      <c r="F50" s="2" t="str">
        <f>IFERROR(IF(A50&lt;&gt;"",VLOOKUP(Alunos!E50,SDASD!A3:D250,4, FALSE),""),"")</f>
        <v/>
      </c>
      <c r="G50" s="2" t="str">
        <f>IF(A50&lt;&gt;"", SUMIF(B1:F1,"&lt;&gt;",B50:F50),"")</f>
        <v/>
      </c>
      <c r="H50" s="2" t="str">
        <f>IF(AND(A50&lt;&gt;"",G50&lt;&gt;""),ROUND(G50,0),"")</f>
        <v/>
      </c>
      <c r="I50" s="2" t="str">
        <f>IFERROR(IF(A50&lt;&gt;"",VLOOKUP(Alunos!A50,Recurso!A3:D250,4, FALSE),""), "")</f>
        <v/>
      </c>
      <c r="J50" s="2" t="str">
        <f>IF(AND(A50&lt;&gt;"",I50&lt;&gt;""), SUMIFS(B50:I50,B1:I1,"&lt;&gt;",B2:I2,"&lt;&gt;Exame",B2:I2,"&lt;&gt;exame",B2:I2,"&lt;&gt;Nota",B2:I2,"&lt;&gt;Total"),"")</f>
        <v/>
      </c>
      <c r="K50" s="2" t="str">
        <f>IF(AND(A50&lt;&gt;"",J50&lt;&gt;""),ROUND(J50,0),"")</f>
        <v/>
      </c>
    </row>
    <row r="51" spans="2:11" x14ac:dyDescent="0.3">
      <c r="B51" s="2" t="str">
        <f>IFERROR(IF(A51&lt;&gt;"",VLOOKUP(Alunos!A51,Exame!A3:D250,4, FALSE),""), "")</f>
        <v/>
      </c>
      <c r="C51" s="2" t="str">
        <f>IF(A51&lt;&gt;"",VLOOKUP(Alunos!A51,Agrupamentos!A3:B250,2, FALSE),"")</f>
        <v/>
      </c>
      <c r="D51" s="2" t="str">
        <f>IFERROR(IF(A51&lt;&gt;"",VLOOKUP(Alunos!C51,FDGDF!A3:D250,4, FALSE),""),"")</f>
        <v/>
      </c>
      <c r="E51" s="2" t="str">
        <f>IF(A51&lt;&gt;"",VLOOKUP(Alunos!A51,Agrupamentos!A3:B250,2, FALSE),"")</f>
        <v/>
      </c>
      <c r="F51" s="2" t="str">
        <f>IFERROR(IF(A51&lt;&gt;"",VLOOKUP(Alunos!E51,SDASD!A3:D250,4, FALSE),""),"")</f>
        <v/>
      </c>
      <c r="G51" s="2" t="str">
        <f>IF(A51&lt;&gt;"", SUMIF(B1:F1,"&lt;&gt;",B51:F51),"")</f>
        <v/>
      </c>
      <c r="H51" s="2" t="str">
        <f>IF(AND(A51&lt;&gt;"",G51&lt;&gt;""),ROUND(G51,0),"")</f>
        <v/>
      </c>
      <c r="I51" s="2" t="str">
        <f>IFERROR(IF(A51&lt;&gt;"",VLOOKUP(Alunos!A51,Recurso!A3:D250,4, FALSE),""), "")</f>
        <v/>
      </c>
      <c r="J51" s="2" t="str">
        <f>IF(AND(A51&lt;&gt;"",I51&lt;&gt;""), SUMIFS(B51:I51,B1:I1,"&lt;&gt;",B2:I2,"&lt;&gt;Exame",B2:I2,"&lt;&gt;exame",B2:I2,"&lt;&gt;Nota",B2:I2,"&lt;&gt;Total"),"")</f>
        <v/>
      </c>
      <c r="K51" s="2" t="str">
        <f>IF(AND(A51&lt;&gt;"",J51&lt;&gt;""),ROUND(J51,0),"")</f>
        <v/>
      </c>
    </row>
    <row r="52" spans="2:11" x14ac:dyDescent="0.3">
      <c r="B52" s="2" t="str">
        <f>IFERROR(IF(A52&lt;&gt;"",VLOOKUP(Alunos!A52,Exame!A3:D250,4, FALSE),""), "")</f>
        <v/>
      </c>
      <c r="C52" s="2" t="str">
        <f>IF(A52&lt;&gt;"",VLOOKUP(Alunos!A52,Agrupamentos!A3:B250,2, FALSE),"")</f>
        <v/>
      </c>
      <c r="D52" s="2" t="str">
        <f>IFERROR(IF(A52&lt;&gt;"",VLOOKUP(Alunos!C52,FDGDF!A3:D250,4, FALSE),""),"")</f>
        <v/>
      </c>
      <c r="E52" s="2" t="str">
        <f>IF(A52&lt;&gt;"",VLOOKUP(Alunos!A52,Agrupamentos!A3:B250,2, FALSE),"")</f>
        <v/>
      </c>
      <c r="F52" s="2" t="str">
        <f>IFERROR(IF(A52&lt;&gt;"",VLOOKUP(Alunos!E52,SDASD!A3:D250,4, FALSE),""),"")</f>
        <v/>
      </c>
      <c r="G52" s="2" t="str">
        <f>IF(A52&lt;&gt;"", SUMIF(B1:F1,"&lt;&gt;",B52:F52),"")</f>
        <v/>
      </c>
      <c r="H52" s="2" t="str">
        <f>IF(AND(A52&lt;&gt;"",G52&lt;&gt;""),ROUND(G52,0),"")</f>
        <v/>
      </c>
      <c r="I52" s="2" t="str">
        <f>IFERROR(IF(A52&lt;&gt;"",VLOOKUP(Alunos!A52,Recurso!A3:D250,4, FALSE),""), "")</f>
        <v/>
      </c>
      <c r="J52" s="2" t="str">
        <f>IF(AND(A52&lt;&gt;"",I52&lt;&gt;""), SUMIFS(B52:I52,B1:I1,"&lt;&gt;",B2:I2,"&lt;&gt;Exame",B2:I2,"&lt;&gt;exame",B2:I2,"&lt;&gt;Nota",B2:I2,"&lt;&gt;Total"),"")</f>
        <v/>
      </c>
      <c r="K52" s="2" t="str">
        <f>IF(AND(A52&lt;&gt;"",J52&lt;&gt;""),ROUND(J52,0),"")</f>
        <v/>
      </c>
    </row>
    <row r="53" spans="2:11" x14ac:dyDescent="0.3">
      <c r="B53" s="2" t="str">
        <f>IFERROR(IF(A53&lt;&gt;"",VLOOKUP(Alunos!A53,Exame!A3:D250,4, FALSE),""), "")</f>
        <v/>
      </c>
      <c r="C53" s="2" t="str">
        <f>IF(A53&lt;&gt;"",VLOOKUP(Alunos!A53,Agrupamentos!A3:B250,2, FALSE),"")</f>
        <v/>
      </c>
      <c r="D53" s="2" t="str">
        <f>IFERROR(IF(A53&lt;&gt;"",VLOOKUP(Alunos!C53,FDGDF!A3:D250,4, FALSE),""),"")</f>
        <v/>
      </c>
      <c r="E53" s="2" t="str">
        <f>IF(A53&lt;&gt;"",VLOOKUP(Alunos!A53,Agrupamentos!A3:B250,2, FALSE),"")</f>
        <v/>
      </c>
      <c r="F53" s="2" t="str">
        <f>IFERROR(IF(A53&lt;&gt;"",VLOOKUP(Alunos!E53,SDASD!A3:D250,4, FALSE),""),"")</f>
        <v/>
      </c>
      <c r="G53" s="2" t="str">
        <f>IF(A53&lt;&gt;"", SUMIF(B1:F1,"&lt;&gt;",B53:F53),"")</f>
        <v/>
      </c>
      <c r="H53" s="2" t="str">
        <f>IF(AND(A53&lt;&gt;"",G53&lt;&gt;""),ROUND(G53,0),"")</f>
        <v/>
      </c>
      <c r="I53" s="2" t="str">
        <f>IFERROR(IF(A53&lt;&gt;"",VLOOKUP(Alunos!A53,Recurso!A3:D250,4, FALSE),""), "")</f>
        <v/>
      </c>
      <c r="J53" s="2" t="str">
        <f>IF(AND(A53&lt;&gt;"",I53&lt;&gt;""), SUMIFS(B53:I53,B1:I1,"&lt;&gt;",B2:I2,"&lt;&gt;Exame",B2:I2,"&lt;&gt;exame",B2:I2,"&lt;&gt;Nota",B2:I2,"&lt;&gt;Total"),"")</f>
        <v/>
      </c>
      <c r="K53" s="2" t="str">
        <f>IF(AND(A53&lt;&gt;"",J53&lt;&gt;""),ROUND(J53,0),"")</f>
        <v/>
      </c>
    </row>
    <row r="54" spans="2:11" x14ac:dyDescent="0.3">
      <c r="B54" s="2" t="str">
        <f>IFERROR(IF(A54&lt;&gt;"",VLOOKUP(Alunos!A54,Exame!A3:D250,4, FALSE),""), "")</f>
        <v/>
      </c>
      <c r="C54" s="2" t="str">
        <f>IF(A54&lt;&gt;"",VLOOKUP(Alunos!A54,Agrupamentos!A3:B250,2, FALSE),"")</f>
        <v/>
      </c>
      <c r="D54" s="2" t="str">
        <f>IFERROR(IF(A54&lt;&gt;"",VLOOKUP(Alunos!C54,FDGDF!A3:D250,4, FALSE),""),"")</f>
        <v/>
      </c>
      <c r="E54" s="2" t="str">
        <f>IF(A54&lt;&gt;"",VLOOKUP(Alunos!A54,Agrupamentos!A3:B250,2, FALSE),"")</f>
        <v/>
      </c>
      <c r="F54" s="2" t="str">
        <f>IFERROR(IF(A54&lt;&gt;"",VLOOKUP(Alunos!E54,SDASD!A3:D250,4, FALSE),""),"")</f>
        <v/>
      </c>
      <c r="G54" s="2" t="str">
        <f>IF(A54&lt;&gt;"", SUMIF(B1:F1,"&lt;&gt;",B54:F54),"")</f>
        <v/>
      </c>
      <c r="H54" s="2" t="str">
        <f>IF(AND(A54&lt;&gt;"",G54&lt;&gt;""),ROUND(G54,0),"")</f>
        <v/>
      </c>
      <c r="I54" s="2" t="str">
        <f>IFERROR(IF(A54&lt;&gt;"",VLOOKUP(Alunos!A54,Recurso!A3:D250,4, FALSE),""), "")</f>
        <v/>
      </c>
      <c r="J54" s="2" t="str">
        <f>IF(AND(A54&lt;&gt;"",I54&lt;&gt;""), SUMIFS(B54:I54,B1:I1,"&lt;&gt;",B2:I2,"&lt;&gt;Exame",B2:I2,"&lt;&gt;exame",B2:I2,"&lt;&gt;Nota",B2:I2,"&lt;&gt;Total"),"")</f>
        <v/>
      </c>
      <c r="K54" s="2" t="str">
        <f>IF(AND(A54&lt;&gt;"",J54&lt;&gt;""),ROUND(J54,0),"")</f>
        <v/>
      </c>
    </row>
    <row r="55" spans="2:11" x14ac:dyDescent="0.3">
      <c r="B55" s="2" t="str">
        <f>IFERROR(IF(A55&lt;&gt;"",VLOOKUP(Alunos!A55,Exame!A3:D250,4, FALSE),""), "")</f>
        <v/>
      </c>
      <c r="C55" s="2" t="str">
        <f>IF(A55&lt;&gt;"",VLOOKUP(Alunos!A55,Agrupamentos!A3:B250,2, FALSE),"")</f>
        <v/>
      </c>
      <c r="D55" s="2" t="str">
        <f>IFERROR(IF(A55&lt;&gt;"",VLOOKUP(Alunos!C55,FDGDF!A3:D250,4, FALSE),""),"")</f>
        <v/>
      </c>
      <c r="E55" s="2" t="str">
        <f>IF(A55&lt;&gt;"",VLOOKUP(Alunos!A55,Agrupamentos!A3:B250,2, FALSE),"")</f>
        <v/>
      </c>
      <c r="F55" s="2" t="str">
        <f>IFERROR(IF(A55&lt;&gt;"",VLOOKUP(Alunos!E55,SDASD!A3:D250,4, FALSE),""),"")</f>
        <v/>
      </c>
      <c r="G55" s="2" t="str">
        <f>IF(A55&lt;&gt;"", SUMIF(B1:F1,"&lt;&gt;",B55:F55),"")</f>
        <v/>
      </c>
      <c r="H55" s="2" t="str">
        <f>IF(AND(A55&lt;&gt;"",G55&lt;&gt;""),ROUND(G55,0),"")</f>
        <v/>
      </c>
      <c r="I55" s="2" t="str">
        <f>IFERROR(IF(A55&lt;&gt;"",VLOOKUP(Alunos!A55,Recurso!A3:D250,4, FALSE),""), "")</f>
        <v/>
      </c>
      <c r="J55" s="2" t="str">
        <f>IF(AND(A55&lt;&gt;"",I55&lt;&gt;""), SUMIFS(B55:I55,B1:I1,"&lt;&gt;",B2:I2,"&lt;&gt;Exame",B2:I2,"&lt;&gt;exame",B2:I2,"&lt;&gt;Nota",B2:I2,"&lt;&gt;Total"),"")</f>
        <v/>
      </c>
      <c r="K55" s="2" t="str">
        <f>IF(AND(A55&lt;&gt;"",J55&lt;&gt;""),ROUND(J55,0),"")</f>
        <v/>
      </c>
    </row>
    <row r="56" spans="2:11" x14ac:dyDescent="0.3">
      <c r="B56" s="2" t="str">
        <f>IFERROR(IF(A56&lt;&gt;"",VLOOKUP(Alunos!A56,Exame!A3:D250,4, FALSE),""), "")</f>
        <v/>
      </c>
      <c r="C56" s="2" t="str">
        <f>IF(A56&lt;&gt;"",VLOOKUP(Alunos!A56,Agrupamentos!A3:B250,2, FALSE),"")</f>
        <v/>
      </c>
      <c r="D56" s="2" t="str">
        <f>IFERROR(IF(A56&lt;&gt;"",VLOOKUP(Alunos!C56,FDGDF!A3:D250,4, FALSE),""),"")</f>
        <v/>
      </c>
      <c r="E56" s="2" t="str">
        <f>IF(A56&lt;&gt;"",VLOOKUP(Alunos!A56,Agrupamentos!A3:B250,2, FALSE),"")</f>
        <v/>
      </c>
      <c r="F56" s="2" t="str">
        <f>IFERROR(IF(A56&lt;&gt;"",VLOOKUP(Alunos!E56,SDASD!A3:D250,4, FALSE),""),"")</f>
        <v/>
      </c>
      <c r="G56" s="2" t="str">
        <f>IF(A56&lt;&gt;"", SUMIF(B1:F1,"&lt;&gt;",B56:F56),"")</f>
        <v/>
      </c>
      <c r="H56" s="2" t="str">
        <f>IF(AND(A56&lt;&gt;"",G56&lt;&gt;""),ROUND(G56,0),"")</f>
        <v/>
      </c>
      <c r="I56" s="2" t="str">
        <f>IFERROR(IF(A56&lt;&gt;"",VLOOKUP(Alunos!A56,Recurso!A3:D250,4, FALSE),""), "")</f>
        <v/>
      </c>
      <c r="J56" s="2" t="str">
        <f>IF(AND(A56&lt;&gt;"",I56&lt;&gt;""), SUMIFS(B56:I56,B1:I1,"&lt;&gt;",B2:I2,"&lt;&gt;Exame",B2:I2,"&lt;&gt;exame",B2:I2,"&lt;&gt;Nota",B2:I2,"&lt;&gt;Total"),"")</f>
        <v/>
      </c>
      <c r="K56" s="2" t="str">
        <f>IF(AND(A56&lt;&gt;"",J56&lt;&gt;""),ROUND(J56,0),"")</f>
        <v/>
      </c>
    </row>
    <row r="57" spans="2:11" x14ac:dyDescent="0.3">
      <c r="B57" s="2" t="str">
        <f>IFERROR(IF(A57&lt;&gt;"",VLOOKUP(Alunos!A57,Exame!A3:D250,4, FALSE),""), "")</f>
        <v/>
      </c>
      <c r="C57" s="2" t="str">
        <f>IF(A57&lt;&gt;"",VLOOKUP(Alunos!A57,Agrupamentos!A3:B250,2, FALSE),"")</f>
        <v/>
      </c>
      <c r="D57" s="2" t="str">
        <f>IFERROR(IF(A57&lt;&gt;"",VLOOKUP(Alunos!C57,FDGDF!A3:D250,4, FALSE),""),"")</f>
        <v/>
      </c>
      <c r="E57" s="2" t="str">
        <f>IF(A57&lt;&gt;"",VLOOKUP(Alunos!A57,Agrupamentos!A3:B250,2, FALSE),"")</f>
        <v/>
      </c>
      <c r="F57" s="2" t="str">
        <f>IFERROR(IF(A57&lt;&gt;"",VLOOKUP(Alunos!E57,SDASD!A3:D250,4, FALSE),""),"")</f>
        <v/>
      </c>
      <c r="G57" s="2" t="str">
        <f>IF(A57&lt;&gt;"", SUMIF(B1:F1,"&lt;&gt;",B57:F57),"")</f>
        <v/>
      </c>
      <c r="H57" s="2" t="str">
        <f>IF(AND(A57&lt;&gt;"",G57&lt;&gt;""),ROUND(G57,0),"")</f>
        <v/>
      </c>
      <c r="I57" s="2" t="str">
        <f>IFERROR(IF(A57&lt;&gt;"",VLOOKUP(Alunos!A57,Recurso!A3:D250,4, FALSE),""), "")</f>
        <v/>
      </c>
      <c r="J57" s="2" t="str">
        <f>IF(AND(A57&lt;&gt;"",I57&lt;&gt;""), SUMIFS(B57:I57,B1:I1,"&lt;&gt;",B2:I2,"&lt;&gt;Exame",B2:I2,"&lt;&gt;exame",B2:I2,"&lt;&gt;Nota",B2:I2,"&lt;&gt;Total"),"")</f>
        <v/>
      </c>
      <c r="K57" s="2" t="str">
        <f>IF(AND(A57&lt;&gt;"",J57&lt;&gt;""),ROUND(J57,0),"")</f>
        <v/>
      </c>
    </row>
    <row r="58" spans="2:11" x14ac:dyDescent="0.3">
      <c r="B58" s="2" t="str">
        <f>IFERROR(IF(A58&lt;&gt;"",VLOOKUP(Alunos!A58,Exame!A3:D250,4, FALSE),""), "")</f>
        <v/>
      </c>
      <c r="C58" s="2" t="str">
        <f>IF(A58&lt;&gt;"",VLOOKUP(Alunos!A58,Agrupamentos!A3:B250,2, FALSE),"")</f>
        <v/>
      </c>
      <c r="D58" s="2" t="str">
        <f>IFERROR(IF(A58&lt;&gt;"",VLOOKUP(Alunos!C58,FDGDF!A3:D250,4, FALSE),""),"")</f>
        <v/>
      </c>
      <c r="E58" s="2" t="str">
        <f>IF(A58&lt;&gt;"",VLOOKUP(Alunos!A58,Agrupamentos!A3:B250,2, FALSE),"")</f>
        <v/>
      </c>
      <c r="F58" s="2" t="str">
        <f>IFERROR(IF(A58&lt;&gt;"",VLOOKUP(Alunos!E58,SDASD!A3:D250,4, FALSE),""),"")</f>
        <v/>
      </c>
      <c r="G58" s="2" t="str">
        <f>IF(A58&lt;&gt;"", SUMIF(B1:F1,"&lt;&gt;",B58:F58),"")</f>
        <v/>
      </c>
      <c r="H58" s="2" t="str">
        <f>IF(AND(A58&lt;&gt;"",G58&lt;&gt;""),ROUND(G58,0),"")</f>
        <v/>
      </c>
      <c r="I58" s="2" t="str">
        <f>IFERROR(IF(A58&lt;&gt;"",VLOOKUP(Alunos!A58,Recurso!A3:D250,4, FALSE),""), "")</f>
        <v/>
      </c>
      <c r="J58" s="2" t="str">
        <f>IF(AND(A58&lt;&gt;"",I58&lt;&gt;""), SUMIFS(B58:I58,B1:I1,"&lt;&gt;",B2:I2,"&lt;&gt;Exame",B2:I2,"&lt;&gt;exame",B2:I2,"&lt;&gt;Nota",B2:I2,"&lt;&gt;Total"),"")</f>
        <v/>
      </c>
      <c r="K58" s="2" t="str">
        <f>IF(AND(A58&lt;&gt;"",J58&lt;&gt;""),ROUND(J58,0),"")</f>
        <v/>
      </c>
    </row>
    <row r="59" spans="2:11" x14ac:dyDescent="0.3">
      <c r="B59" s="2" t="str">
        <f>IFERROR(IF(A59&lt;&gt;"",VLOOKUP(Alunos!A59,Exame!A3:D250,4, FALSE),""), "")</f>
        <v/>
      </c>
      <c r="C59" s="2" t="str">
        <f>IF(A59&lt;&gt;"",VLOOKUP(Alunos!A59,Agrupamentos!A3:B250,2, FALSE),"")</f>
        <v/>
      </c>
      <c r="D59" s="2" t="str">
        <f>IFERROR(IF(A59&lt;&gt;"",VLOOKUP(Alunos!C59,FDGDF!A3:D250,4, FALSE),""),"")</f>
        <v/>
      </c>
      <c r="E59" s="2" t="str">
        <f>IF(A59&lt;&gt;"",VLOOKUP(Alunos!A59,Agrupamentos!A3:B250,2, FALSE),"")</f>
        <v/>
      </c>
      <c r="F59" s="2" t="str">
        <f>IFERROR(IF(A59&lt;&gt;"",VLOOKUP(Alunos!E59,SDASD!A3:D250,4, FALSE),""),"")</f>
        <v/>
      </c>
      <c r="G59" s="2" t="str">
        <f>IF(A59&lt;&gt;"", SUMIF(B1:F1,"&lt;&gt;",B59:F59),"")</f>
        <v/>
      </c>
      <c r="H59" s="2" t="str">
        <f>IF(AND(A59&lt;&gt;"",G59&lt;&gt;""),ROUND(G59,0),"")</f>
        <v/>
      </c>
      <c r="I59" s="2" t="str">
        <f>IFERROR(IF(A59&lt;&gt;"",VLOOKUP(Alunos!A59,Recurso!A3:D250,4, FALSE),""), "")</f>
        <v/>
      </c>
      <c r="J59" s="2" t="str">
        <f>IF(AND(A59&lt;&gt;"",I59&lt;&gt;""), SUMIFS(B59:I59,B1:I1,"&lt;&gt;",B2:I2,"&lt;&gt;Exame",B2:I2,"&lt;&gt;exame",B2:I2,"&lt;&gt;Nota",B2:I2,"&lt;&gt;Total"),"")</f>
        <v/>
      </c>
      <c r="K59" s="2" t="str">
        <f>IF(AND(A59&lt;&gt;"",J59&lt;&gt;""),ROUND(J59,0),"")</f>
        <v/>
      </c>
    </row>
    <row r="60" spans="2:11" x14ac:dyDescent="0.3">
      <c r="B60" s="2" t="str">
        <f>IFERROR(IF(A60&lt;&gt;"",VLOOKUP(Alunos!A60,Exame!A3:D250,4, FALSE),""), "")</f>
        <v/>
      </c>
      <c r="C60" s="2" t="str">
        <f>IF(A60&lt;&gt;"",VLOOKUP(Alunos!A60,Agrupamentos!A3:B250,2, FALSE),"")</f>
        <v/>
      </c>
      <c r="D60" s="2" t="str">
        <f>IFERROR(IF(A60&lt;&gt;"",VLOOKUP(Alunos!C60,FDGDF!A3:D250,4, FALSE),""),"")</f>
        <v/>
      </c>
      <c r="E60" s="2" t="str">
        <f>IF(A60&lt;&gt;"",VLOOKUP(Alunos!A60,Agrupamentos!A3:B250,2, FALSE),"")</f>
        <v/>
      </c>
      <c r="F60" s="2" t="str">
        <f>IFERROR(IF(A60&lt;&gt;"",VLOOKUP(Alunos!E60,SDASD!A3:D250,4, FALSE),""),"")</f>
        <v/>
      </c>
      <c r="G60" s="2" t="str">
        <f>IF(A60&lt;&gt;"", SUMIF(B1:F1,"&lt;&gt;",B60:F60),"")</f>
        <v/>
      </c>
      <c r="H60" s="2" t="str">
        <f>IF(AND(A60&lt;&gt;"",G60&lt;&gt;""),ROUND(G60,0),"")</f>
        <v/>
      </c>
      <c r="I60" s="2" t="str">
        <f>IFERROR(IF(A60&lt;&gt;"",VLOOKUP(Alunos!A60,Recurso!A3:D250,4, FALSE),""), "")</f>
        <v/>
      </c>
      <c r="J60" s="2" t="str">
        <f>IF(AND(A60&lt;&gt;"",I60&lt;&gt;""), SUMIFS(B60:I60,B1:I1,"&lt;&gt;",B2:I2,"&lt;&gt;Exame",B2:I2,"&lt;&gt;exame",B2:I2,"&lt;&gt;Nota",B2:I2,"&lt;&gt;Total"),"")</f>
        <v/>
      </c>
      <c r="K60" s="2" t="str">
        <f>IF(AND(A60&lt;&gt;"",J60&lt;&gt;""),ROUND(J60,0),"")</f>
        <v/>
      </c>
    </row>
    <row r="61" spans="2:11" x14ac:dyDescent="0.3">
      <c r="B61" s="2" t="str">
        <f>IFERROR(IF(A61&lt;&gt;"",VLOOKUP(Alunos!A61,Exame!A3:D250,4, FALSE),""), "")</f>
        <v/>
      </c>
      <c r="C61" s="2" t="str">
        <f>IF(A61&lt;&gt;"",VLOOKUP(Alunos!A61,Agrupamentos!A3:B250,2, FALSE),"")</f>
        <v/>
      </c>
      <c r="D61" s="2" t="str">
        <f>IFERROR(IF(A61&lt;&gt;"",VLOOKUP(Alunos!C61,FDGDF!A3:D250,4, FALSE),""),"")</f>
        <v/>
      </c>
      <c r="E61" s="2" t="str">
        <f>IF(A61&lt;&gt;"",VLOOKUP(Alunos!A61,Agrupamentos!A3:B250,2, FALSE),"")</f>
        <v/>
      </c>
      <c r="F61" s="2" t="str">
        <f>IFERROR(IF(A61&lt;&gt;"",VLOOKUP(Alunos!E61,SDASD!A3:D250,4, FALSE),""),"")</f>
        <v/>
      </c>
      <c r="G61" s="2" t="str">
        <f>IF(A61&lt;&gt;"", SUMIF(B1:F1,"&lt;&gt;",B61:F61),"")</f>
        <v/>
      </c>
      <c r="H61" s="2" t="str">
        <f>IF(AND(A61&lt;&gt;"",G61&lt;&gt;""),ROUND(G61,0),"")</f>
        <v/>
      </c>
      <c r="I61" s="2" t="str">
        <f>IFERROR(IF(A61&lt;&gt;"",VLOOKUP(Alunos!A61,Recurso!A3:D250,4, FALSE),""), "")</f>
        <v/>
      </c>
      <c r="J61" s="2" t="str">
        <f>IF(AND(A61&lt;&gt;"",I61&lt;&gt;""), SUMIFS(B61:I61,B1:I1,"&lt;&gt;",B2:I2,"&lt;&gt;Exame",B2:I2,"&lt;&gt;exame",B2:I2,"&lt;&gt;Nota",B2:I2,"&lt;&gt;Total"),"")</f>
        <v/>
      </c>
      <c r="K61" s="2" t="str">
        <f>IF(AND(A61&lt;&gt;"",J61&lt;&gt;""),ROUND(J61,0),"")</f>
        <v/>
      </c>
    </row>
    <row r="62" spans="2:11" x14ac:dyDescent="0.3">
      <c r="B62" s="2" t="str">
        <f>IFERROR(IF(A62&lt;&gt;"",VLOOKUP(Alunos!A62,Exame!A3:D250,4, FALSE),""), "")</f>
        <v/>
      </c>
      <c r="C62" s="2" t="str">
        <f>IF(A62&lt;&gt;"",VLOOKUP(Alunos!A62,Agrupamentos!A3:B250,2, FALSE),"")</f>
        <v/>
      </c>
      <c r="D62" s="2" t="str">
        <f>IFERROR(IF(A62&lt;&gt;"",VLOOKUP(Alunos!C62,FDGDF!A3:D250,4, FALSE),""),"")</f>
        <v/>
      </c>
      <c r="E62" s="2" t="str">
        <f>IF(A62&lt;&gt;"",VLOOKUP(Alunos!A62,Agrupamentos!A3:B250,2, FALSE),"")</f>
        <v/>
      </c>
      <c r="F62" s="2" t="str">
        <f>IFERROR(IF(A62&lt;&gt;"",VLOOKUP(Alunos!E62,SDASD!A3:D250,4, FALSE),""),"")</f>
        <v/>
      </c>
      <c r="G62" s="2" t="str">
        <f>IF(A62&lt;&gt;"", SUMIF(B1:F1,"&lt;&gt;",B62:F62),"")</f>
        <v/>
      </c>
      <c r="H62" s="2" t="str">
        <f>IF(AND(A62&lt;&gt;"",G62&lt;&gt;""),ROUND(G62,0),"")</f>
        <v/>
      </c>
      <c r="I62" s="2" t="str">
        <f>IFERROR(IF(A62&lt;&gt;"",VLOOKUP(Alunos!A62,Recurso!A3:D250,4, FALSE),""), "")</f>
        <v/>
      </c>
      <c r="J62" s="2" t="str">
        <f>IF(AND(A62&lt;&gt;"",I62&lt;&gt;""), SUMIFS(B62:I62,B1:I1,"&lt;&gt;",B2:I2,"&lt;&gt;Exame",B2:I2,"&lt;&gt;exame",B2:I2,"&lt;&gt;Nota",B2:I2,"&lt;&gt;Total"),"")</f>
        <v/>
      </c>
      <c r="K62" s="2" t="str">
        <f>IF(AND(A62&lt;&gt;"",J62&lt;&gt;""),ROUND(J62,0),"")</f>
        <v/>
      </c>
    </row>
    <row r="63" spans="2:11" x14ac:dyDescent="0.3">
      <c r="B63" s="2" t="str">
        <f>IFERROR(IF(A63&lt;&gt;"",VLOOKUP(Alunos!A63,Exame!A3:D250,4, FALSE),""), "")</f>
        <v/>
      </c>
      <c r="C63" s="2" t="str">
        <f>IF(A63&lt;&gt;"",VLOOKUP(Alunos!A63,Agrupamentos!A3:B250,2, FALSE),"")</f>
        <v/>
      </c>
      <c r="D63" s="2" t="str">
        <f>IFERROR(IF(A63&lt;&gt;"",VLOOKUP(Alunos!C63,FDGDF!A3:D250,4, FALSE),""),"")</f>
        <v/>
      </c>
      <c r="E63" s="2" t="str">
        <f>IF(A63&lt;&gt;"",VLOOKUP(Alunos!A63,Agrupamentos!A3:B250,2, FALSE),"")</f>
        <v/>
      </c>
      <c r="F63" s="2" t="str">
        <f>IFERROR(IF(A63&lt;&gt;"",VLOOKUP(Alunos!E63,SDASD!A3:D250,4, FALSE),""),"")</f>
        <v/>
      </c>
      <c r="G63" s="2" t="str">
        <f>IF(A63&lt;&gt;"", SUMIF(B1:F1,"&lt;&gt;",B63:F63),"")</f>
        <v/>
      </c>
      <c r="H63" s="2" t="str">
        <f>IF(AND(A63&lt;&gt;"",G63&lt;&gt;""),ROUND(G63,0),"")</f>
        <v/>
      </c>
      <c r="I63" s="2" t="str">
        <f>IFERROR(IF(A63&lt;&gt;"",VLOOKUP(Alunos!A63,Recurso!A3:D250,4, FALSE),""), "")</f>
        <v/>
      </c>
      <c r="J63" s="2" t="str">
        <f>IF(AND(A63&lt;&gt;"",I63&lt;&gt;""), SUMIFS(B63:I63,B1:I1,"&lt;&gt;",B2:I2,"&lt;&gt;Exame",B2:I2,"&lt;&gt;exame",B2:I2,"&lt;&gt;Nota",B2:I2,"&lt;&gt;Total"),"")</f>
        <v/>
      </c>
      <c r="K63" s="2" t="str">
        <f>IF(AND(A63&lt;&gt;"",J63&lt;&gt;""),ROUND(J63,0),"")</f>
        <v/>
      </c>
    </row>
    <row r="64" spans="2:11" x14ac:dyDescent="0.3">
      <c r="B64" s="2" t="str">
        <f>IFERROR(IF(A64&lt;&gt;"",VLOOKUP(Alunos!A64,Exame!A3:D250,4, FALSE),""), "")</f>
        <v/>
      </c>
      <c r="C64" s="2" t="str">
        <f>IF(A64&lt;&gt;"",VLOOKUP(Alunos!A64,Agrupamentos!A3:B250,2, FALSE),"")</f>
        <v/>
      </c>
      <c r="D64" s="2" t="str">
        <f>IFERROR(IF(A64&lt;&gt;"",VLOOKUP(Alunos!C64,FDGDF!A3:D250,4, FALSE),""),"")</f>
        <v/>
      </c>
      <c r="E64" s="2" t="str">
        <f>IF(A64&lt;&gt;"",VLOOKUP(Alunos!A64,Agrupamentos!A3:B250,2, FALSE),"")</f>
        <v/>
      </c>
      <c r="F64" s="2" t="str">
        <f>IFERROR(IF(A64&lt;&gt;"",VLOOKUP(Alunos!E64,SDASD!A3:D250,4, FALSE),""),"")</f>
        <v/>
      </c>
      <c r="G64" s="2" t="str">
        <f>IF(A64&lt;&gt;"", SUMIF(B1:F1,"&lt;&gt;",B64:F64),"")</f>
        <v/>
      </c>
      <c r="H64" s="2" t="str">
        <f>IF(AND(A64&lt;&gt;"",G64&lt;&gt;""),ROUND(G64,0),"")</f>
        <v/>
      </c>
      <c r="I64" s="2" t="str">
        <f>IFERROR(IF(A64&lt;&gt;"",VLOOKUP(Alunos!A64,Recurso!A3:D250,4, FALSE),""), "")</f>
        <v/>
      </c>
      <c r="J64" s="2" t="str">
        <f>IF(AND(A64&lt;&gt;"",I64&lt;&gt;""), SUMIFS(B64:I64,B1:I1,"&lt;&gt;",B2:I2,"&lt;&gt;Exame",B2:I2,"&lt;&gt;exame",B2:I2,"&lt;&gt;Nota",B2:I2,"&lt;&gt;Total"),"")</f>
        <v/>
      </c>
      <c r="K64" s="2" t="str">
        <f>IF(AND(A64&lt;&gt;"",J64&lt;&gt;""),ROUND(J64,0),"")</f>
        <v/>
      </c>
    </row>
    <row r="65" spans="2:11" x14ac:dyDescent="0.3">
      <c r="B65" s="2" t="str">
        <f>IFERROR(IF(A65&lt;&gt;"",VLOOKUP(Alunos!A65,Exame!A3:D250,4, FALSE),""), "")</f>
        <v/>
      </c>
      <c r="C65" s="2" t="str">
        <f>IF(A65&lt;&gt;"",VLOOKUP(Alunos!A65,Agrupamentos!A3:B250,2, FALSE),"")</f>
        <v/>
      </c>
      <c r="D65" s="2" t="str">
        <f>IFERROR(IF(A65&lt;&gt;"",VLOOKUP(Alunos!C65,FDGDF!A3:D250,4, FALSE),""),"")</f>
        <v/>
      </c>
      <c r="E65" s="2" t="str">
        <f>IF(A65&lt;&gt;"",VLOOKUP(Alunos!A65,Agrupamentos!A3:B250,2, FALSE),"")</f>
        <v/>
      </c>
      <c r="F65" s="2" t="str">
        <f>IFERROR(IF(A65&lt;&gt;"",VLOOKUP(Alunos!E65,SDASD!A3:D250,4, FALSE),""),"")</f>
        <v/>
      </c>
      <c r="G65" s="2" t="str">
        <f>IF(A65&lt;&gt;"", SUMIF(B1:F1,"&lt;&gt;",B65:F65),"")</f>
        <v/>
      </c>
      <c r="H65" s="2" t="str">
        <f>IF(AND(A65&lt;&gt;"",G65&lt;&gt;""),ROUND(G65,0),"")</f>
        <v/>
      </c>
      <c r="I65" s="2" t="str">
        <f>IFERROR(IF(A65&lt;&gt;"",VLOOKUP(Alunos!A65,Recurso!A3:D250,4, FALSE),""), "")</f>
        <v/>
      </c>
      <c r="J65" s="2" t="str">
        <f>IF(AND(A65&lt;&gt;"",I65&lt;&gt;""), SUMIFS(B65:I65,B1:I1,"&lt;&gt;",B2:I2,"&lt;&gt;Exame",B2:I2,"&lt;&gt;exame",B2:I2,"&lt;&gt;Nota",B2:I2,"&lt;&gt;Total"),"")</f>
        <v/>
      </c>
      <c r="K65" s="2" t="str">
        <f>IF(AND(A65&lt;&gt;"",J65&lt;&gt;""),ROUND(J65,0),"")</f>
        <v/>
      </c>
    </row>
    <row r="66" spans="2:11" x14ac:dyDescent="0.3">
      <c r="B66" s="2" t="str">
        <f>IFERROR(IF(A66&lt;&gt;"",VLOOKUP(Alunos!A66,Exame!A3:D250,4, FALSE),""), "")</f>
        <v/>
      </c>
      <c r="C66" s="2" t="str">
        <f>IF(A66&lt;&gt;"",VLOOKUP(Alunos!A66,Agrupamentos!A3:B250,2, FALSE),"")</f>
        <v/>
      </c>
      <c r="D66" s="2" t="str">
        <f>IFERROR(IF(A66&lt;&gt;"",VLOOKUP(Alunos!C66,FDGDF!A3:D250,4, FALSE),""),"")</f>
        <v/>
      </c>
      <c r="E66" s="2" t="str">
        <f>IF(A66&lt;&gt;"",VLOOKUP(Alunos!A66,Agrupamentos!A3:B250,2, FALSE),"")</f>
        <v/>
      </c>
      <c r="F66" s="2" t="str">
        <f>IFERROR(IF(A66&lt;&gt;"",VLOOKUP(Alunos!E66,SDASD!A3:D250,4, FALSE),""),"")</f>
        <v/>
      </c>
      <c r="G66" s="2" t="str">
        <f>IF(A66&lt;&gt;"", SUMIF(B1:F1,"&lt;&gt;",B66:F66),"")</f>
        <v/>
      </c>
      <c r="H66" s="2" t="str">
        <f>IF(AND(A66&lt;&gt;"",G66&lt;&gt;""),ROUND(G66,0),"")</f>
        <v/>
      </c>
      <c r="I66" s="2" t="str">
        <f>IFERROR(IF(A66&lt;&gt;"",VLOOKUP(Alunos!A66,Recurso!A3:D250,4, FALSE),""), "")</f>
        <v/>
      </c>
      <c r="J66" s="2" t="str">
        <f>IF(AND(A66&lt;&gt;"",I66&lt;&gt;""), SUMIFS(B66:I66,B1:I1,"&lt;&gt;",B2:I2,"&lt;&gt;Exame",B2:I2,"&lt;&gt;exame",B2:I2,"&lt;&gt;Nota",B2:I2,"&lt;&gt;Total"),"")</f>
        <v/>
      </c>
      <c r="K66" s="2" t="str">
        <f>IF(AND(A66&lt;&gt;"",J66&lt;&gt;""),ROUND(J66,0),"")</f>
        <v/>
      </c>
    </row>
    <row r="67" spans="2:11" x14ac:dyDescent="0.3">
      <c r="B67" s="2" t="str">
        <f>IFERROR(IF(A67&lt;&gt;"",VLOOKUP(Alunos!A67,Exame!A3:D250,4, FALSE),""), "")</f>
        <v/>
      </c>
      <c r="C67" s="2" t="str">
        <f>IF(A67&lt;&gt;"",VLOOKUP(Alunos!A67,Agrupamentos!A3:B250,2, FALSE),"")</f>
        <v/>
      </c>
      <c r="D67" s="2" t="str">
        <f>IFERROR(IF(A67&lt;&gt;"",VLOOKUP(Alunos!C67,FDGDF!A3:D250,4, FALSE),""),"")</f>
        <v/>
      </c>
      <c r="E67" s="2" t="str">
        <f>IF(A67&lt;&gt;"",VLOOKUP(Alunos!A67,Agrupamentos!A3:B250,2, FALSE),"")</f>
        <v/>
      </c>
      <c r="F67" s="2" t="str">
        <f>IFERROR(IF(A67&lt;&gt;"",VLOOKUP(Alunos!E67,SDASD!A3:D250,4, FALSE),""),"")</f>
        <v/>
      </c>
      <c r="G67" s="2" t="str">
        <f>IF(A67&lt;&gt;"", SUMIF(B1:F1,"&lt;&gt;",B67:F67),"")</f>
        <v/>
      </c>
      <c r="H67" s="2" t="str">
        <f>IF(AND(A67&lt;&gt;"",G67&lt;&gt;""),ROUND(G67,0),"")</f>
        <v/>
      </c>
      <c r="I67" s="2" t="str">
        <f>IFERROR(IF(A67&lt;&gt;"",VLOOKUP(Alunos!A67,Recurso!A3:D250,4, FALSE),""), "")</f>
        <v/>
      </c>
      <c r="J67" s="2" t="str">
        <f>IF(AND(A67&lt;&gt;"",I67&lt;&gt;""), SUMIFS(B67:I67,B1:I1,"&lt;&gt;",B2:I2,"&lt;&gt;Exame",B2:I2,"&lt;&gt;exame",B2:I2,"&lt;&gt;Nota",B2:I2,"&lt;&gt;Total"),"")</f>
        <v/>
      </c>
      <c r="K67" s="2" t="str">
        <f>IF(AND(A67&lt;&gt;"",J67&lt;&gt;""),ROUND(J67,0),"")</f>
        <v/>
      </c>
    </row>
    <row r="68" spans="2:11" x14ac:dyDescent="0.3">
      <c r="B68" s="2" t="str">
        <f>IFERROR(IF(A68&lt;&gt;"",VLOOKUP(Alunos!A68,Exame!A3:D250,4, FALSE),""), "")</f>
        <v/>
      </c>
      <c r="C68" s="2" t="str">
        <f>IF(A68&lt;&gt;"",VLOOKUP(Alunos!A68,Agrupamentos!A3:B250,2, FALSE),"")</f>
        <v/>
      </c>
      <c r="D68" s="2" t="str">
        <f>IFERROR(IF(A68&lt;&gt;"",VLOOKUP(Alunos!C68,FDGDF!A3:D250,4, FALSE),""),"")</f>
        <v/>
      </c>
      <c r="E68" s="2" t="str">
        <f>IF(A68&lt;&gt;"",VLOOKUP(Alunos!A68,Agrupamentos!A3:B250,2, FALSE),"")</f>
        <v/>
      </c>
      <c r="F68" s="2" t="str">
        <f>IFERROR(IF(A68&lt;&gt;"",VLOOKUP(Alunos!E68,SDASD!A3:D250,4, FALSE),""),"")</f>
        <v/>
      </c>
      <c r="G68" s="2" t="str">
        <f>IF(A68&lt;&gt;"", SUMIF(B1:F1,"&lt;&gt;",B68:F68),"")</f>
        <v/>
      </c>
      <c r="H68" s="2" t="str">
        <f>IF(AND(A68&lt;&gt;"",G68&lt;&gt;""),ROUND(G68,0),"")</f>
        <v/>
      </c>
      <c r="I68" s="2" t="str">
        <f>IFERROR(IF(A68&lt;&gt;"",VLOOKUP(Alunos!A68,Recurso!A3:D250,4, FALSE),""), "")</f>
        <v/>
      </c>
      <c r="J68" s="2" t="str">
        <f>IF(AND(A68&lt;&gt;"",I68&lt;&gt;""), SUMIFS(B68:I68,B1:I1,"&lt;&gt;",B2:I2,"&lt;&gt;Exame",B2:I2,"&lt;&gt;exame",B2:I2,"&lt;&gt;Nota",B2:I2,"&lt;&gt;Total"),"")</f>
        <v/>
      </c>
      <c r="K68" s="2" t="str">
        <f>IF(AND(A68&lt;&gt;"",J68&lt;&gt;""),ROUND(J68,0),"")</f>
        <v/>
      </c>
    </row>
    <row r="69" spans="2:11" x14ac:dyDescent="0.3">
      <c r="B69" s="2" t="str">
        <f>IFERROR(IF(A69&lt;&gt;"",VLOOKUP(Alunos!A69,Exame!A3:D250,4, FALSE),""), "")</f>
        <v/>
      </c>
      <c r="C69" s="2" t="str">
        <f>IF(A69&lt;&gt;"",VLOOKUP(Alunos!A69,Agrupamentos!A3:B250,2, FALSE),"")</f>
        <v/>
      </c>
      <c r="D69" s="2" t="str">
        <f>IFERROR(IF(A69&lt;&gt;"",VLOOKUP(Alunos!C69,FDGDF!A3:D250,4, FALSE),""),"")</f>
        <v/>
      </c>
      <c r="E69" s="2" t="str">
        <f>IF(A69&lt;&gt;"",VLOOKUP(Alunos!A69,Agrupamentos!A3:B250,2, FALSE),"")</f>
        <v/>
      </c>
      <c r="F69" s="2" t="str">
        <f>IFERROR(IF(A69&lt;&gt;"",VLOOKUP(Alunos!E69,SDASD!A3:D250,4, FALSE),""),"")</f>
        <v/>
      </c>
      <c r="G69" s="2" t="str">
        <f>IF(A69&lt;&gt;"", SUMIF(B1:F1,"&lt;&gt;",B69:F69),"")</f>
        <v/>
      </c>
      <c r="H69" s="2" t="str">
        <f>IF(AND(A69&lt;&gt;"",G69&lt;&gt;""),ROUND(G69,0),"")</f>
        <v/>
      </c>
      <c r="I69" s="2" t="str">
        <f>IFERROR(IF(A69&lt;&gt;"",VLOOKUP(Alunos!A69,Recurso!A3:D250,4, FALSE),""), "")</f>
        <v/>
      </c>
      <c r="J69" s="2" t="str">
        <f>IF(AND(A69&lt;&gt;"",I69&lt;&gt;""), SUMIFS(B69:I69,B1:I1,"&lt;&gt;",B2:I2,"&lt;&gt;Exame",B2:I2,"&lt;&gt;exame",B2:I2,"&lt;&gt;Nota",B2:I2,"&lt;&gt;Total"),"")</f>
        <v/>
      </c>
      <c r="K69" s="2" t="str">
        <f>IF(AND(A69&lt;&gt;"",J69&lt;&gt;""),ROUND(J69,0),"")</f>
        <v/>
      </c>
    </row>
    <row r="70" spans="2:11" x14ac:dyDescent="0.3">
      <c r="B70" s="2" t="str">
        <f>IFERROR(IF(A70&lt;&gt;"",VLOOKUP(Alunos!A70,Exame!A3:D250,4, FALSE),""), "")</f>
        <v/>
      </c>
      <c r="C70" s="2" t="str">
        <f>IF(A70&lt;&gt;"",VLOOKUP(Alunos!A70,Agrupamentos!A3:B250,2, FALSE),"")</f>
        <v/>
      </c>
      <c r="D70" s="2" t="str">
        <f>IFERROR(IF(A70&lt;&gt;"",VLOOKUP(Alunos!C70,FDGDF!A3:D250,4, FALSE),""),"")</f>
        <v/>
      </c>
      <c r="E70" s="2" t="str">
        <f>IF(A70&lt;&gt;"",VLOOKUP(Alunos!A70,Agrupamentos!A3:B250,2, FALSE),"")</f>
        <v/>
      </c>
      <c r="F70" s="2" t="str">
        <f>IFERROR(IF(A70&lt;&gt;"",VLOOKUP(Alunos!E70,SDASD!A3:D250,4, FALSE),""),"")</f>
        <v/>
      </c>
      <c r="G70" s="2" t="str">
        <f>IF(A70&lt;&gt;"", SUMIF(B1:F1,"&lt;&gt;",B70:F70),"")</f>
        <v/>
      </c>
      <c r="H70" s="2" t="str">
        <f>IF(AND(A70&lt;&gt;"",G70&lt;&gt;""),ROUND(G70,0),"")</f>
        <v/>
      </c>
      <c r="I70" s="2" t="str">
        <f>IFERROR(IF(A70&lt;&gt;"",VLOOKUP(Alunos!A70,Recurso!A3:D250,4, FALSE),""), "")</f>
        <v/>
      </c>
      <c r="J70" s="2" t="str">
        <f>IF(AND(A70&lt;&gt;"",I70&lt;&gt;""), SUMIFS(B70:I70,B1:I1,"&lt;&gt;",B2:I2,"&lt;&gt;Exame",B2:I2,"&lt;&gt;exame",B2:I2,"&lt;&gt;Nota",B2:I2,"&lt;&gt;Total"),"")</f>
        <v/>
      </c>
      <c r="K70" s="2" t="str">
        <f>IF(AND(A70&lt;&gt;"",J70&lt;&gt;""),ROUND(J70,0),"")</f>
        <v/>
      </c>
    </row>
    <row r="71" spans="2:11" x14ac:dyDescent="0.3">
      <c r="B71" s="2" t="str">
        <f>IFERROR(IF(A71&lt;&gt;"",VLOOKUP(Alunos!A71,Exame!A3:D250,4, FALSE),""), "")</f>
        <v/>
      </c>
      <c r="C71" s="2" t="str">
        <f>IF(A71&lt;&gt;"",VLOOKUP(Alunos!A71,Agrupamentos!A3:B250,2, FALSE),"")</f>
        <v/>
      </c>
      <c r="D71" s="2" t="str">
        <f>IFERROR(IF(A71&lt;&gt;"",VLOOKUP(Alunos!C71,FDGDF!A3:D250,4, FALSE),""),"")</f>
        <v/>
      </c>
      <c r="E71" s="2" t="str">
        <f>IF(A71&lt;&gt;"",VLOOKUP(Alunos!A71,Agrupamentos!A3:B250,2, FALSE),"")</f>
        <v/>
      </c>
      <c r="F71" s="2" t="str">
        <f>IFERROR(IF(A71&lt;&gt;"",VLOOKUP(Alunos!E71,SDASD!A3:D250,4, FALSE),""),"")</f>
        <v/>
      </c>
      <c r="G71" s="2" t="str">
        <f>IF(A71&lt;&gt;"", SUMIF(B1:F1,"&lt;&gt;",B71:F71),"")</f>
        <v/>
      </c>
      <c r="H71" s="2" t="str">
        <f>IF(AND(A71&lt;&gt;"",G71&lt;&gt;""),ROUND(G71,0),"")</f>
        <v/>
      </c>
      <c r="I71" s="2" t="str">
        <f>IFERROR(IF(A71&lt;&gt;"",VLOOKUP(Alunos!A71,Recurso!A3:D250,4, FALSE),""), "")</f>
        <v/>
      </c>
      <c r="J71" s="2" t="str">
        <f>IF(AND(A71&lt;&gt;"",I71&lt;&gt;""), SUMIFS(B71:I71,B1:I1,"&lt;&gt;",B2:I2,"&lt;&gt;Exame",B2:I2,"&lt;&gt;exame",B2:I2,"&lt;&gt;Nota",B2:I2,"&lt;&gt;Total"),"")</f>
        <v/>
      </c>
      <c r="K71" s="2" t="str">
        <f>IF(AND(A71&lt;&gt;"",J71&lt;&gt;""),ROUND(J71,0),"")</f>
        <v/>
      </c>
    </row>
    <row r="72" spans="2:11" x14ac:dyDescent="0.3">
      <c r="B72" s="2" t="str">
        <f>IFERROR(IF(A72&lt;&gt;"",VLOOKUP(Alunos!A72,Exame!A3:D250,4, FALSE),""), "")</f>
        <v/>
      </c>
      <c r="C72" s="2" t="str">
        <f>IF(A72&lt;&gt;"",VLOOKUP(Alunos!A72,Agrupamentos!A3:B250,2, FALSE),"")</f>
        <v/>
      </c>
      <c r="D72" s="2" t="str">
        <f>IFERROR(IF(A72&lt;&gt;"",VLOOKUP(Alunos!C72,FDGDF!A3:D250,4, FALSE),""),"")</f>
        <v/>
      </c>
      <c r="E72" s="2" t="str">
        <f>IF(A72&lt;&gt;"",VLOOKUP(Alunos!A72,Agrupamentos!A3:B250,2, FALSE),"")</f>
        <v/>
      </c>
      <c r="F72" s="2" t="str">
        <f>IFERROR(IF(A72&lt;&gt;"",VLOOKUP(Alunos!E72,SDASD!A3:D250,4, FALSE),""),"")</f>
        <v/>
      </c>
      <c r="G72" s="2" t="str">
        <f>IF(A72&lt;&gt;"", SUMIF(B1:F1,"&lt;&gt;",B72:F72),"")</f>
        <v/>
      </c>
      <c r="H72" s="2" t="str">
        <f>IF(AND(A72&lt;&gt;"",G72&lt;&gt;""),ROUND(G72,0),"")</f>
        <v/>
      </c>
      <c r="I72" s="2" t="str">
        <f>IFERROR(IF(A72&lt;&gt;"",VLOOKUP(Alunos!A72,Recurso!A3:D250,4, FALSE),""), "")</f>
        <v/>
      </c>
      <c r="J72" s="2" t="str">
        <f>IF(AND(A72&lt;&gt;"",I72&lt;&gt;""), SUMIFS(B72:I72,B1:I1,"&lt;&gt;",B2:I2,"&lt;&gt;Exame",B2:I2,"&lt;&gt;exame",B2:I2,"&lt;&gt;Nota",B2:I2,"&lt;&gt;Total"),"")</f>
        <v/>
      </c>
      <c r="K72" s="2" t="str">
        <f>IF(AND(A72&lt;&gt;"",J72&lt;&gt;""),ROUND(J72,0),"")</f>
        <v/>
      </c>
    </row>
    <row r="73" spans="2:11" x14ac:dyDescent="0.3">
      <c r="B73" s="2" t="str">
        <f>IFERROR(IF(A73&lt;&gt;"",VLOOKUP(Alunos!A73,Exame!A3:D250,4, FALSE),""), "")</f>
        <v/>
      </c>
      <c r="C73" s="2" t="str">
        <f>IF(A73&lt;&gt;"",VLOOKUP(Alunos!A73,Agrupamentos!A3:B250,2, FALSE),"")</f>
        <v/>
      </c>
      <c r="D73" s="2" t="str">
        <f>IFERROR(IF(A73&lt;&gt;"",VLOOKUP(Alunos!C73,FDGDF!A3:D250,4, FALSE),""),"")</f>
        <v/>
      </c>
      <c r="E73" s="2" t="str">
        <f>IF(A73&lt;&gt;"",VLOOKUP(Alunos!A73,Agrupamentos!A3:B250,2, FALSE),"")</f>
        <v/>
      </c>
      <c r="F73" s="2" t="str">
        <f>IFERROR(IF(A73&lt;&gt;"",VLOOKUP(Alunos!E73,SDASD!A3:D250,4, FALSE),""),"")</f>
        <v/>
      </c>
      <c r="G73" s="2" t="str">
        <f>IF(A73&lt;&gt;"", SUMIF(B1:F1,"&lt;&gt;",B73:F73),"")</f>
        <v/>
      </c>
      <c r="H73" s="2" t="str">
        <f>IF(AND(A73&lt;&gt;"",G73&lt;&gt;""),ROUND(G73,0),"")</f>
        <v/>
      </c>
      <c r="I73" s="2" t="str">
        <f>IFERROR(IF(A73&lt;&gt;"",VLOOKUP(Alunos!A73,Recurso!A3:D250,4, FALSE),""), "")</f>
        <v/>
      </c>
      <c r="J73" s="2" t="str">
        <f>IF(AND(A73&lt;&gt;"",I73&lt;&gt;""), SUMIFS(B73:I73,B1:I1,"&lt;&gt;",B2:I2,"&lt;&gt;Exame",B2:I2,"&lt;&gt;exame",B2:I2,"&lt;&gt;Nota",B2:I2,"&lt;&gt;Total"),"")</f>
        <v/>
      </c>
      <c r="K73" s="2" t="str">
        <f>IF(AND(A73&lt;&gt;"",J73&lt;&gt;""),ROUND(J73,0),"")</f>
        <v/>
      </c>
    </row>
    <row r="74" spans="2:11" x14ac:dyDescent="0.3">
      <c r="B74" s="2" t="str">
        <f>IFERROR(IF(A74&lt;&gt;"",VLOOKUP(Alunos!A74,Exame!A3:D250,4, FALSE),""), "")</f>
        <v/>
      </c>
      <c r="C74" s="2" t="str">
        <f>IF(A74&lt;&gt;"",VLOOKUP(Alunos!A74,Agrupamentos!A3:B250,2, FALSE),"")</f>
        <v/>
      </c>
      <c r="D74" s="2" t="str">
        <f>IFERROR(IF(A74&lt;&gt;"",VLOOKUP(Alunos!C74,FDGDF!A3:D250,4, FALSE),""),"")</f>
        <v/>
      </c>
      <c r="E74" s="2" t="str">
        <f>IF(A74&lt;&gt;"",VLOOKUP(Alunos!A74,Agrupamentos!A3:B250,2, FALSE),"")</f>
        <v/>
      </c>
      <c r="F74" s="2" t="str">
        <f>IFERROR(IF(A74&lt;&gt;"",VLOOKUP(Alunos!E74,SDASD!A3:D250,4, FALSE),""),"")</f>
        <v/>
      </c>
      <c r="G74" s="2" t="str">
        <f>IF(A74&lt;&gt;"", SUMIF(B1:F1,"&lt;&gt;",B74:F74),"")</f>
        <v/>
      </c>
      <c r="H74" s="2" t="str">
        <f>IF(AND(A74&lt;&gt;"",G74&lt;&gt;""),ROUND(G74,0),"")</f>
        <v/>
      </c>
      <c r="I74" s="2" t="str">
        <f>IFERROR(IF(A74&lt;&gt;"",VLOOKUP(Alunos!A74,Recurso!A3:D250,4, FALSE),""), "")</f>
        <v/>
      </c>
      <c r="J74" s="2" t="str">
        <f>IF(AND(A74&lt;&gt;"",I74&lt;&gt;""), SUMIFS(B74:I74,B1:I1,"&lt;&gt;",B2:I2,"&lt;&gt;Exame",B2:I2,"&lt;&gt;exame",B2:I2,"&lt;&gt;Nota",B2:I2,"&lt;&gt;Total"),"")</f>
        <v/>
      </c>
      <c r="K74" s="2" t="str">
        <f>IF(AND(A74&lt;&gt;"",J74&lt;&gt;""),ROUND(J74,0),"")</f>
        <v/>
      </c>
    </row>
    <row r="75" spans="2:11" x14ac:dyDescent="0.3">
      <c r="B75" s="2" t="str">
        <f>IFERROR(IF(A75&lt;&gt;"",VLOOKUP(Alunos!A75,Exame!A3:D250,4, FALSE),""), "")</f>
        <v/>
      </c>
      <c r="C75" s="2" t="str">
        <f>IF(A75&lt;&gt;"",VLOOKUP(Alunos!A75,Agrupamentos!A3:B250,2, FALSE),"")</f>
        <v/>
      </c>
      <c r="D75" s="2" t="str">
        <f>IFERROR(IF(A75&lt;&gt;"",VLOOKUP(Alunos!C75,FDGDF!A3:D250,4, FALSE),""),"")</f>
        <v/>
      </c>
      <c r="E75" s="2" t="str">
        <f>IF(A75&lt;&gt;"",VLOOKUP(Alunos!A75,Agrupamentos!A3:B250,2, FALSE),"")</f>
        <v/>
      </c>
      <c r="F75" s="2" t="str">
        <f>IFERROR(IF(A75&lt;&gt;"",VLOOKUP(Alunos!E75,SDASD!A3:D250,4, FALSE),""),"")</f>
        <v/>
      </c>
      <c r="G75" s="2" t="str">
        <f>IF(A75&lt;&gt;"", SUMIF(B1:F1,"&lt;&gt;",B75:F75),"")</f>
        <v/>
      </c>
      <c r="H75" s="2" t="str">
        <f>IF(AND(A75&lt;&gt;"",G75&lt;&gt;""),ROUND(G75,0),"")</f>
        <v/>
      </c>
      <c r="I75" s="2" t="str">
        <f>IFERROR(IF(A75&lt;&gt;"",VLOOKUP(Alunos!A75,Recurso!A3:D250,4, FALSE),""), "")</f>
        <v/>
      </c>
      <c r="J75" s="2" t="str">
        <f>IF(AND(A75&lt;&gt;"",I75&lt;&gt;""), SUMIFS(B75:I75,B1:I1,"&lt;&gt;",B2:I2,"&lt;&gt;Exame",B2:I2,"&lt;&gt;exame",B2:I2,"&lt;&gt;Nota",B2:I2,"&lt;&gt;Total"),"")</f>
        <v/>
      </c>
      <c r="K75" s="2" t="str">
        <f>IF(AND(A75&lt;&gt;"",J75&lt;&gt;""),ROUND(J75,0),"")</f>
        <v/>
      </c>
    </row>
    <row r="76" spans="2:11" x14ac:dyDescent="0.3">
      <c r="B76" s="2" t="str">
        <f>IFERROR(IF(A76&lt;&gt;"",VLOOKUP(Alunos!A76,Exame!A3:D250,4, FALSE),""), "")</f>
        <v/>
      </c>
      <c r="C76" s="2" t="str">
        <f>IF(A76&lt;&gt;"",VLOOKUP(Alunos!A76,Agrupamentos!A3:B250,2, FALSE),"")</f>
        <v/>
      </c>
      <c r="D76" s="2" t="str">
        <f>IFERROR(IF(A76&lt;&gt;"",VLOOKUP(Alunos!C76,FDGDF!A3:D250,4, FALSE),""),"")</f>
        <v/>
      </c>
      <c r="E76" s="2" t="str">
        <f>IF(A76&lt;&gt;"",VLOOKUP(Alunos!A76,Agrupamentos!A3:B250,2, FALSE),"")</f>
        <v/>
      </c>
      <c r="F76" s="2" t="str">
        <f>IFERROR(IF(A76&lt;&gt;"",VLOOKUP(Alunos!E76,SDASD!A3:D250,4, FALSE),""),"")</f>
        <v/>
      </c>
      <c r="G76" s="2" t="str">
        <f>IF(A76&lt;&gt;"", SUMIF(B1:F1,"&lt;&gt;",B76:F76),"")</f>
        <v/>
      </c>
      <c r="H76" s="2" t="str">
        <f>IF(AND(A76&lt;&gt;"",G76&lt;&gt;""),ROUND(G76,0),"")</f>
        <v/>
      </c>
      <c r="I76" s="2" t="str">
        <f>IFERROR(IF(A76&lt;&gt;"",VLOOKUP(Alunos!A76,Recurso!A3:D250,4, FALSE),""), "")</f>
        <v/>
      </c>
      <c r="J76" s="2" t="str">
        <f>IF(AND(A76&lt;&gt;"",I76&lt;&gt;""), SUMIFS(B76:I76,B1:I1,"&lt;&gt;",B2:I2,"&lt;&gt;Exame",B2:I2,"&lt;&gt;exame",B2:I2,"&lt;&gt;Nota",B2:I2,"&lt;&gt;Total"),"")</f>
        <v/>
      </c>
      <c r="K76" s="2" t="str">
        <f>IF(AND(A76&lt;&gt;"",J76&lt;&gt;""),ROUND(J76,0),"")</f>
        <v/>
      </c>
    </row>
    <row r="77" spans="2:11" x14ac:dyDescent="0.3">
      <c r="B77" s="2" t="str">
        <f>IFERROR(IF(A77&lt;&gt;"",VLOOKUP(Alunos!A77,Exame!A3:D250,4, FALSE),""), "")</f>
        <v/>
      </c>
      <c r="C77" s="2" t="str">
        <f>IF(A77&lt;&gt;"",VLOOKUP(Alunos!A77,Agrupamentos!A3:B250,2, FALSE),"")</f>
        <v/>
      </c>
      <c r="D77" s="2" t="str">
        <f>IFERROR(IF(A77&lt;&gt;"",VLOOKUP(Alunos!C77,FDGDF!A3:D250,4, FALSE),""),"")</f>
        <v/>
      </c>
      <c r="E77" s="2" t="str">
        <f>IF(A77&lt;&gt;"",VLOOKUP(Alunos!A77,Agrupamentos!A3:B250,2, FALSE),"")</f>
        <v/>
      </c>
      <c r="F77" s="2" t="str">
        <f>IFERROR(IF(A77&lt;&gt;"",VLOOKUP(Alunos!E77,SDASD!A3:D250,4, FALSE),""),"")</f>
        <v/>
      </c>
      <c r="G77" s="2" t="str">
        <f>IF(A77&lt;&gt;"", SUMIF(B1:F1,"&lt;&gt;",B77:F77),"")</f>
        <v/>
      </c>
      <c r="H77" s="2" t="str">
        <f>IF(AND(A77&lt;&gt;"",G77&lt;&gt;""),ROUND(G77,0),"")</f>
        <v/>
      </c>
      <c r="I77" s="2" t="str">
        <f>IFERROR(IF(A77&lt;&gt;"",VLOOKUP(Alunos!A77,Recurso!A3:D250,4, FALSE),""), "")</f>
        <v/>
      </c>
      <c r="J77" s="2" t="str">
        <f>IF(AND(A77&lt;&gt;"",I77&lt;&gt;""), SUMIFS(B77:I77,B1:I1,"&lt;&gt;",B2:I2,"&lt;&gt;Exame",B2:I2,"&lt;&gt;exame",B2:I2,"&lt;&gt;Nota",B2:I2,"&lt;&gt;Total"),"")</f>
        <v/>
      </c>
      <c r="K77" s="2" t="str">
        <f>IF(AND(A77&lt;&gt;"",J77&lt;&gt;""),ROUND(J77,0),"")</f>
        <v/>
      </c>
    </row>
    <row r="78" spans="2:11" x14ac:dyDescent="0.3">
      <c r="B78" s="2" t="str">
        <f>IFERROR(IF(A78&lt;&gt;"",VLOOKUP(Alunos!A78,Exame!A3:D250,4, FALSE),""), "")</f>
        <v/>
      </c>
      <c r="C78" s="2" t="str">
        <f>IF(A78&lt;&gt;"",VLOOKUP(Alunos!A78,Agrupamentos!A3:B250,2, FALSE),"")</f>
        <v/>
      </c>
      <c r="D78" s="2" t="str">
        <f>IFERROR(IF(A78&lt;&gt;"",VLOOKUP(Alunos!C78,FDGDF!A3:D250,4, FALSE),""),"")</f>
        <v/>
      </c>
      <c r="E78" s="2" t="str">
        <f>IF(A78&lt;&gt;"",VLOOKUP(Alunos!A78,Agrupamentos!A3:B250,2, FALSE),"")</f>
        <v/>
      </c>
      <c r="F78" s="2" t="str">
        <f>IFERROR(IF(A78&lt;&gt;"",VLOOKUP(Alunos!E78,SDASD!A3:D250,4, FALSE),""),"")</f>
        <v/>
      </c>
      <c r="G78" s="2" t="str">
        <f>IF(A78&lt;&gt;"", SUMIF(B1:F1,"&lt;&gt;",B78:F78),"")</f>
        <v/>
      </c>
      <c r="H78" s="2" t="str">
        <f>IF(AND(A78&lt;&gt;"",G78&lt;&gt;""),ROUND(G78,0),"")</f>
        <v/>
      </c>
      <c r="I78" s="2" t="str">
        <f>IFERROR(IF(A78&lt;&gt;"",VLOOKUP(Alunos!A78,Recurso!A3:D250,4, FALSE),""), "")</f>
        <v/>
      </c>
      <c r="J78" s="2" t="str">
        <f>IF(AND(A78&lt;&gt;"",I78&lt;&gt;""), SUMIFS(B78:I78,B1:I1,"&lt;&gt;",B2:I2,"&lt;&gt;Exame",B2:I2,"&lt;&gt;exame",B2:I2,"&lt;&gt;Nota",B2:I2,"&lt;&gt;Total"),"")</f>
        <v/>
      </c>
      <c r="K78" s="2" t="str">
        <f>IF(AND(A78&lt;&gt;"",J78&lt;&gt;""),ROUND(J78,0),"")</f>
        <v/>
      </c>
    </row>
    <row r="79" spans="2:11" x14ac:dyDescent="0.3">
      <c r="B79" s="2" t="str">
        <f>IFERROR(IF(A79&lt;&gt;"",VLOOKUP(Alunos!A79,Exame!A3:D250,4, FALSE),""), "")</f>
        <v/>
      </c>
      <c r="C79" s="2" t="str">
        <f>IF(A79&lt;&gt;"",VLOOKUP(Alunos!A79,Agrupamentos!A3:B250,2, FALSE),"")</f>
        <v/>
      </c>
      <c r="D79" s="2" t="str">
        <f>IFERROR(IF(A79&lt;&gt;"",VLOOKUP(Alunos!C79,FDGDF!A3:D250,4, FALSE),""),"")</f>
        <v/>
      </c>
      <c r="E79" s="2" t="str">
        <f>IF(A79&lt;&gt;"",VLOOKUP(Alunos!A79,Agrupamentos!A3:B250,2, FALSE),"")</f>
        <v/>
      </c>
      <c r="F79" s="2" t="str">
        <f>IFERROR(IF(A79&lt;&gt;"",VLOOKUP(Alunos!E79,SDASD!A3:D250,4, FALSE),""),"")</f>
        <v/>
      </c>
      <c r="G79" s="2" t="str">
        <f>IF(A79&lt;&gt;"", SUMIF(B1:F1,"&lt;&gt;",B79:F79),"")</f>
        <v/>
      </c>
      <c r="H79" s="2" t="str">
        <f>IF(AND(A79&lt;&gt;"",G79&lt;&gt;""),ROUND(G79,0),"")</f>
        <v/>
      </c>
      <c r="I79" s="2" t="str">
        <f>IFERROR(IF(A79&lt;&gt;"",VLOOKUP(Alunos!A79,Recurso!A3:D250,4, FALSE),""), "")</f>
        <v/>
      </c>
      <c r="J79" s="2" t="str">
        <f>IF(AND(A79&lt;&gt;"",I79&lt;&gt;""), SUMIFS(B79:I79,B1:I1,"&lt;&gt;",B2:I2,"&lt;&gt;Exame",B2:I2,"&lt;&gt;exame",B2:I2,"&lt;&gt;Nota",B2:I2,"&lt;&gt;Total"),"")</f>
        <v/>
      </c>
      <c r="K79" s="2" t="str">
        <f>IF(AND(A79&lt;&gt;"",J79&lt;&gt;""),ROUND(J79,0),"")</f>
        <v/>
      </c>
    </row>
    <row r="80" spans="2:11" x14ac:dyDescent="0.3">
      <c r="B80" s="2" t="str">
        <f>IFERROR(IF(A80&lt;&gt;"",VLOOKUP(Alunos!A80,Exame!A3:D250,4, FALSE),""), "")</f>
        <v/>
      </c>
      <c r="C80" s="2" t="str">
        <f>IF(A80&lt;&gt;"",VLOOKUP(Alunos!A80,Agrupamentos!A3:B250,2, FALSE),"")</f>
        <v/>
      </c>
      <c r="D80" s="2" t="str">
        <f>IFERROR(IF(A80&lt;&gt;"",VLOOKUP(Alunos!C80,FDGDF!A3:D250,4, FALSE),""),"")</f>
        <v/>
      </c>
      <c r="E80" s="2" t="str">
        <f>IF(A80&lt;&gt;"",VLOOKUP(Alunos!A80,Agrupamentos!A3:B250,2, FALSE),"")</f>
        <v/>
      </c>
      <c r="F80" s="2" t="str">
        <f>IFERROR(IF(A80&lt;&gt;"",VLOOKUP(Alunos!E80,SDASD!A3:D250,4, FALSE),""),"")</f>
        <v/>
      </c>
      <c r="G80" s="2" t="str">
        <f>IF(A80&lt;&gt;"", SUMIF(B1:F1,"&lt;&gt;",B80:F80),"")</f>
        <v/>
      </c>
      <c r="H80" s="2" t="str">
        <f>IF(AND(A80&lt;&gt;"",G80&lt;&gt;""),ROUND(G80,0),"")</f>
        <v/>
      </c>
      <c r="I80" s="2" t="str">
        <f>IFERROR(IF(A80&lt;&gt;"",VLOOKUP(Alunos!A80,Recurso!A3:D250,4, FALSE),""), "")</f>
        <v/>
      </c>
      <c r="J80" s="2" t="str">
        <f>IF(AND(A80&lt;&gt;"",I80&lt;&gt;""), SUMIFS(B80:I80,B1:I1,"&lt;&gt;",B2:I2,"&lt;&gt;Exame",B2:I2,"&lt;&gt;exame",B2:I2,"&lt;&gt;Nota",B2:I2,"&lt;&gt;Total"),"")</f>
        <v/>
      </c>
      <c r="K80" s="2" t="str">
        <f>IF(AND(A80&lt;&gt;"",J80&lt;&gt;""),ROUND(J80,0),"")</f>
        <v/>
      </c>
    </row>
    <row r="81" spans="2:11" x14ac:dyDescent="0.3">
      <c r="B81" s="2" t="str">
        <f>IFERROR(IF(A81&lt;&gt;"",VLOOKUP(Alunos!A81,Exame!A3:D250,4, FALSE),""), "")</f>
        <v/>
      </c>
      <c r="C81" s="2" t="str">
        <f>IF(A81&lt;&gt;"",VLOOKUP(Alunos!A81,Agrupamentos!A3:B250,2, FALSE),"")</f>
        <v/>
      </c>
      <c r="D81" s="2" t="str">
        <f>IFERROR(IF(A81&lt;&gt;"",VLOOKUP(Alunos!C81,FDGDF!A3:D250,4, FALSE),""),"")</f>
        <v/>
      </c>
      <c r="E81" s="2" t="str">
        <f>IF(A81&lt;&gt;"",VLOOKUP(Alunos!A81,Agrupamentos!A3:B250,2, FALSE),"")</f>
        <v/>
      </c>
      <c r="F81" s="2" t="str">
        <f>IFERROR(IF(A81&lt;&gt;"",VLOOKUP(Alunos!E81,SDASD!A3:D250,4, FALSE),""),"")</f>
        <v/>
      </c>
      <c r="G81" s="2" t="str">
        <f>IF(A81&lt;&gt;"", SUMIF(B1:F1,"&lt;&gt;",B81:F81),"")</f>
        <v/>
      </c>
      <c r="H81" s="2" t="str">
        <f>IF(AND(A81&lt;&gt;"",G81&lt;&gt;""),ROUND(G81,0),"")</f>
        <v/>
      </c>
      <c r="I81" s="2" t="str">
        <f>IFERROR(IF(A81&lt;&gt;"",VLOOKUP(Alunos!A81,Recurso!A3:D250,4, FALSE),""), "")</f>
        <v/>
      </c>
      <c r="J81" s="2" t="str">
        <f>IF(AND(A81&lt;&gt;"",I81&lt;&gt;""), SUMIFS(B81:I81,B1:I1,"&lt;&gt;",B2:I2,"&lt;&gt;Exame",B2:I2,"&lt;&gt;exame",B2:I2,"&lt;&gt;Nota",B2:I2,"&lt;&gt;Total"),"")</f>
        <v/>
      </c>
      <c r="K81" s="2" t="str">
        <f>IF(AND(A81&lt;&gt;"",J81&lt;&gt;""),ROUND(J81,0),"")</f>
        <v/>
      </c>
    </row>
    <row r="82" spans="2:11" x14ac:dyDescent="0.3">
      <c r="B82" s="2" t="str">
        <f>IFERROR(IF(A82&lt;&gt;"",VLOOKUP(Alunos!A82,Exame!A3:D250,4, FALSE),""), "")</f>
        <v/>
      </c>
      <c r="C82" s="2" t="str">
        <f>IF(A82&lt;&gt;"",VLOOKUP(Alunos!A82,Agrupamentos!A3:B250,2, FALSE),"")</f>
        <v/>
      </c>
      <c r="D82" s="2" t="str">
        <f>IFERROR(IF(A82&lt;&gt;"",VLOOKUP(Alunos!C82,FDGDF!A3:D250,4, FALSE),""),"")</f>
        <v/>
      </c>
      <c r="E82" s="2" t="str">
        <f>IF(A82&lt;&gt;"",VLOOKUP(Alunos!A82,Agrupamentos!A3:B250,2, FALSE),"")</f>
        <v/>
      </c>
      <c r="F82" s="2" t="str">
        <f>IFERROR(IF(A82&lt;&gt;"",VLOOKUP(Alunos!E82,SDASD!A3:D250,4, FALSE),""),"")</f>
        <v/>
      </c>
      <c r="G82" s="2" t="str">
        <f>IF(A82&lt;&gt;"", SUMIF(B1:F1,"&lt;&gt;",B82:F82),"")</f>
        <v/>
      </c>
      <c r="H82" s="2" t="str">
        <f>IF(AND(A82&lt;&gt;"",G82&lt;&gt;""),ROUND(G82,0),"")</f>
        <v/>
      </c>
      <c r="I82" s="2" t="str">
        <f>IFERROR(IF(A82&lt;&gt;"",VLOOKUP(Alunos!A82,Recurso!A3:D250,4, FALSE),""), "")</f>
        <v/>
      </c>
      <c r="J82" s="2" t="str">
        <f>IF(AND(A82&lt;&gt;"",I82&lt;&gt;""), SUMIFS(B82:I82,B1:I1,"&lt;&gt;",B2:I2,"&lt;&gt;Exame",B2:I2,"&lt;&gt;exame",B2:I2,"&lt;&gt;Nota",B2:I2,"&lt;&gt;Total"),"")</f>
        <v/>
      </c>
      <c r="K82" s="2" t="str">
        <f>IF(AND(A82&lt;&gt;"",J82&lt;&gt;""),ROUND(J82,0),"")</f>
        <v/>
      </c>
    </row>
    <row r="83" spans="2:11" x14ac:dyDescent="0.3">
      <c r="B83" s="2" t="str">
        <f>IFERROR(IF(A83&lt;&gt;"",VLOOKUP(Alunos!A83,Exame!A3:D250,4, FALSE),""), "")</f>
        <v/>
      </c>
      <c r="C83" s="2" t="str">
        <f>IF(A83&lt;&gt;"",VLOOKUP(Alunos!A83,Agrupamentos!A3:B250,2, FALSE),"")</f>
        <v/>
      </c>
      <c r="D83" s="2" t="str">
        <f>IFERROR(IF(A83&lt;&gt;"",VLOOKUP(Alunos!C83,FDGDF!A3:D250,4, FALSE),""),"")</f>
        <v/>
      </c>
      <c r="E83" s="2" t="str">
        <f>IF(A83&lt;&gt;"",VLOOKUP(Alunos!A83,Agrupamentos!A3:B250,2, FALSE),"")</f>
        <v/>
      </c>
      <c r="F83" s="2" t="str">
        <f>IFERROR(IF(A83&lt;&gt;"",VLOOKUP(Alunos!E83,SDASD!A3:D250,4, FALSE),""),"")</f>
        <v/>
      </c>
      <c r="G83" s="2" t="str">
        <f>IF(A83&lt;&gt;"", SUMIF(B1:F1,"&lt;&gt;",B83:F83),"")</f>
        <v/>
      </c>
      <c r="H83" s="2" t="str">
        <f>IF(AND(A83&lt;&gt;"",G83&lt;&gt;""),ROUND(G83,0),"")</f>
        <v/>
      </c>
      <c r="I83" s="2" t="str">
        <f>IFERROR(IF(A83&lt;&gt;"",VLOOKUP(Alunos!A83,Recurso!A3:D250,4, FALSE),""), "")</f>
        <v/>
      </c>
      <c r="J83" s="2" t="str">
        <f>IF(AND(A83&lt;&gt;"",I83&lt;&gt;""), SUMIFS(B83:I83,B1:I1,"&lt;&gt;",B2:I2,"&lt;&gt;Exame",B2:I2,"&lt;&gt;exame",B2:I2,"&lt;&gt;Nota",B2:I2,"&lt;&gt;Total"),"")</f>
        <v/>
      </c>
      <c r="K83" s="2" t="str">
        <f>IF(AND(A83&lt;&gt;"",J83&lt;&gt;""),ROUND(J83,0),"")</f>
        <v/>
      </c>
    </row>
    <row r="84" spans="2:11" x14ac:dyDescent="0.3">
      <c r="B84" s="2" t="str">
        <f>IFERROR(IF(A84&lt;&gt;"",VLOOKUP(Alunos!A84,Exame!A3:D250,4, FALSE),""), "")</f>
        <v/>
      </c>
      <c r="C84" s="2" t="str">
        <f>IF(A84&lt;&gt;"",VLOOKUP(Alunos!A84,Agrupamentos!A3:B250,2, FALSE),"")</f>
        <v/>
      </c>
      <c r="D84" s="2" t="str">
        <f>IFERROR(IF(A84&lt;&gt;"",VLOOKUP(Alunos!C84,FDGDF!A3:D250,4, FALSE),""),"")</f>
        <v/>
      </c>
      <c r="E84" s="2" t="str">
        <f>IF(A84&lt;&gt;"",VLOOKUP(Alunos!A84,Agrupamentos!A3:B250,2, FALSE),"")</f>
        <v/>
      </c>
      <c r="F84" s="2" t="str">
        <f>IFERROR(IF(A84&lt;&gt;"",VLOOKUP(Alunos!E84,SDASD!A3:D250,4, FALSE),""),"")</f>
        <v/>
      </c>
      <c r="G84" s="2" t="str">
        <f>IF(A84&lt;&gt;"", SUMIF(B1:F1,"&lt;&gt;",B84:F84),"")</f>
        <v/>
      </c>
      <c r="H84" s="2" t="str">
        <f>IF(AND(A84&lt;&gt;"",G84&lt;&gt;""),ROUND(G84,0),"")</f>
        <v/>
      </c>
      <c r="I84" s="2" t="str">
        <f>IFERROR(IF(A84&lt;&gt;"",VLOOKUP(Alunos!A84,Recurso!A3:D250,4, FALSE),""), "")</f>
        <v/>
      </c>
      <c r="J84" s="2" t="str">
        <f>IF(AND(A84&lt;&gt;"",I84&lt;&gt;""), SUMIFS(B84:I84,B1:I1,"&lt;&gt;",B2:I2,"&lt;&gt;Exame",B2:I2,"&lt;&gt;exame",B2:I2,"&lt;&gt;Nota",B2:I2,"&lt;&gt;Total"),"")</f>
        <v/>
      </c>
      <c r="K84" s="2" t="str">
        <f>IF(AND(A84&lt;&gt;"",J84&lt;&gt;""),ROUND(J84,0),"")</f>
        <v/>
      </c>
    </row>
    <row r="85" spans="2:11" x14ac:dyDescent="0.3">
      <c r="B85" s="2" t="str">
        <f>IFERROR(IF(A85&lt;&gt;"",VLOOKUP(Alunos!A85,Exame!A3:D250,4, FALSE),""), "")</f>
        <v/>
      </c>
      <c r="C85" s="2" t="str">
        <f>IF(A85&lt;&gt;"",VLOOKUP(Alunos!A85,Agrupamentos!A3:B250,2, FALSE),"")</f>
        <v/>
      </c>
      <c r="D85" s="2" t="str">
        <f>IFERROR(IF(A85&lt;&gt;"",VLOOKUP(Alunos!C85,FDGDF!A3:D250,4, FALSE),""),"")</f>
        <v/>
      </c>
      <c r="E85" s="2" t="str">
        <f>IF(A85&lt;&gt;"",VLOOKUP(Alunos!A85,Agrupamentos!A3:B250,2, FALSE),"")</f>
        <v/>
      </c>
      <c r="F85" s="2" t="str">
        <f>IFERROR(IF(A85&lt;&gt;"",VLOOKUP(Alunos!E85,SDASD!A3:D250,4, FALSE),""),"")</f>
        <v/>
      </c>
      <c r="G85" s="2" t="str">
        <f>IF(A85&lt;&gt;"", SUMIF(B1:F1,"&lt;&gt;",B85:F85),"")</f>
        <v/>
      </c>
      <c r="H85" s="2" t="str">
        <f>IF(AND(A85&lt;&gt;"",G85&lt;&gt;""),ROUND(G85,0),"")</f>
        <v/>
      </c>
      <c r="I85" s="2" t="str">
        <f>IFERROR(IF(A85&lt;&gt;"",VLOOKUP(Alunos!A85,Recurso!A3:D250,4, FALSE),""), "")</f>
        <v/>
      </c>
      <c r="J85" s="2" t="str">
        <f>IF(AND(A85&lt;&gt;"",I85&lt;&gt;""), SUMIFS(B85:I85,B1:I1,"&lt;&gt;",B2:I2,"&lt;&gt;Exame",B2:I2,"&lt;&gt;exame",B2:I2,"&lt;&gt;Nota",B2:I2,"&lt;&gt;Total"),"")</f>
        <v/>
      </c>
      <c r="K85" s="2" t="str">
        <f>IF(AND(A85&lt;&gt;"",J85&lt;&gt;""),ROUND(J85,0),"")</f>
        <v/>
      </c>
    </row>
    <row r="86" spans="2:11" x14ac:dyDescent="0.3">
      <c r="B86" s="2" t="str">
        <f>IFERROR(IF(A86&lt;&gt;"",VLOOKUP(Alunos!A86,Exame!A3:D250,4, FALSE),""), "")</f>
        <v/>
      </c>
      <c r="C86" s="2" t="str">
        <f>IF(A86&lt;&gt;"",VLOOKUP(Alunos!A86,Agrupamentos!A3:B250,2, FALSE),"")</f>
        <v/>
      </c>
      <c r="D86" s="2" t="str">
        <f>IFERROR(IF(A86&lt;&gt;"",VLOOKUP(Alunos!C86,FDGDF!A3:D250,4, FALSE),""),"")</f>
        <v/>
      </c>
      <c r="E86" s="2" t="str">
        <f>IF(A86&lt;&gt;"",VLOOKUP(Alunos!A86,Agrupamentos!A3:B250,2, FALSE),"")</f>
        <v/>
      </c>
      <c r="F86" s="2" t="str">
        <f>IFERROR(IF(A86&lt;&gt;"",VLOOKUP(Alunos!E86,SDASD!A3:D250,4, FALSE),""),"")</f>
        <v/>
      </c>
      <c r="G86" s="2" t="str">
        <f>IF(A86&lt;&gt;"", SUMIF(B1:F1,"&lt;&gt;",B86:F86),"")</f>
        <v/>
      </c>
      <c r="H86" s="2" t="str">
        <f>IF(AND(A86&lt;&gt;"",G86&lt;&gt;""),ROUND(G86,0),"")</f>
        <v/>
      </c>
      <c r="I86" s="2" t="str">
        <f>IFERROR(IF(A86&lt;&gt;"",VLOOKUP(Alunos!A86,Recurso!A3:D250,4, FALSE),""), "")</f>
        <v/>
      </c>
      <c r="J86" s="2" t="str">
        <f>IF(AND(A86&lt;&gt;"",I86&lt;&gt;""), SUMIFS(B86:I86,B1:I1,"&lt;&gt;",B2:I2,"&lt;&gt;Exame",B2:I2,"&lt;&gt;exame",B2:I2,"&lt;&gt;Nota",B2:I2,"&lt;&gt;Total"),"")</f>
        <v/>
      </c>
      <c r="K86" s="2" t="str">
        <f>IF(AND(A86&lt;&gt;"",J86&lt;&gt;""),ROUND(J86,0),"")</f>
        <v/>
      </c>
    </row>
    <row r="87" spans="2:11" x14ac:dyDescent="0.3">
      <c r="B87" s="2" t="str">
        <f>IFERROR(IF(A87&lt;&gt;"",VLOOKUP(Alunos!A87,Exame!A3:D250,4, FALSE),""), "")</f>
        <v/>
      </c>
      <c r="C87" s="2" t="str">
        <f>IF(A87&lt;&gt;"",VLOOKUP(Alunos!A87,Agrupamentos!A3:B250,2, FALSE),"")</f>
        <v/>
      </c>
      <c r="D87" s="2" t="str">
        <f>IFERROR(IF(A87&lt;&gt;"",VLOOKUP(Alunos!C87,FDGDF!A3:D250,4, FALSE),""),"")</f>
        <v/>
      </c>
      <c r="E87" s="2" t="str">
        <f>IF(A87&lt;&gt;"",VLOOKUP(Alunos!A87,Agrupamentos!A3:B250,2, FALSE),"")</f>
        <v/>
      </c>
      <c r="F87" s="2" t="str">
        <f>IFERROR(IF(A87&lt;&gt;"",VLOOKUP(Alunos!E87,SDASD!A3:D250,4, FALSE),""),"")</f>
        <v/>
      </c>
      <c r="G87" s="2" t="str">
        <f>IF(A87&lt;&gt;"", SUMIF(B1:F1,"&lt;&gt;",B87:F87),"")</f>
        <v/>
      </c>
      <c r="H87" s="2" t="str">
        <f>IF(AND(A87&lt;&gt;"",G87&lt;&gt;""),ROUND(G87,0),"")</f>
        <v/>
      </c>
      <c r="I87" s="2" t="str">
        <f>IFERROR(IF(A87&lt;&gt;"",VLOOKUP(Alunos!A87,Recurso!A3:D250,4, FALSE),""), "")</f>
        <v/>
      </c>
      <c r="J87" s="2" t="str">
        <f>IF(AND(A87&lt;&gt;"",I87&lt;&gt;""), SUMIFS(B87:I87,B1:I1,"&lt;&gt;",B2:I2,"&lt;&gt;Exame",B2:I2,"&lt;&gt;exame",B2:I2,"&lt;&gt;Nota",B2:I2,"&lt;&gt;Total"),"")</f>
        <v/>
      </c>
      <c r="K87" s="2" t="str">
        <f>IF(AND(A87&lt;&gt;"",J87&lt;&gt;""),ROUND(J87,0),"")</f>
        <v/>
      </c>
    </row>
    <row r="88" spans="2:11" x14ac:dyDescent="0.3">
      <c r="B88" s="2" t="str">
        <f>IFERROR(IF(A88&lt;&gt;"",VLOOKUP(Alunos!A88,Exame!A3:D250,4, FALSE),""), "")</f>
        <v/>
      </c>
      <c r="C88" s="2" t="str">
        <f>IF(A88&lt;&gt;"",VLOOKUP(Alunos!A88,Agrupamentos!A3:B250,2, FALSE),"")</f>
        <v/>
      </c>
      <c r="D88" s="2" t="str">
        <f>IFERROR(IF(A88&lt;&gt;"",VLOOKUP(Alunos!C88,FDGDF!A3:D250,4, FALSE),""),"")</f>
        <v/>
      </c>
      <c r="E88" s="2" t="str">
        <f>IF(A88&lt;&gt;"",VLOOKUP(Alunos!A88,Agrupamentos!A3:B250,2, FALSE),"")</f>
        <v/>
      </c>
      <c r="F88" s="2" t="str">
        <f>IFERROR(IF(A88&lt;&gt;"",VLOOKUP(Alunos!E88,SDASD!A3:D250,4, FALSE),""),"")</f>
        <v/>
      </c>
      <c r="G88" s="2" t="str">
        <f>IF(A88&lt;&gt;"", SUMIF(B1:F1,"&lt;&gt;",B88:F88),"")</f>
        <v/>
      </c>
      <c r="H88" s="2" t="str">
        <f>IF(AND(A88&lt;&gt;"",G88&lt;&gt;""),ROUND(G88,0),"")</f>
        <v/>
      </c>
      <c r="I88" s="2" t="str">
        <f>IFERROR(IF(A88&lt;&gt;"",VLOOKUP(Alunos!A88,Recurso!A3:D250,4, FALSE),""), "")</f>
        <v/>
      </c>
      <c r="J88" s="2" t="str">
        <f>IF(AND(A88&lt;&gt;"",I88&lt;&gt;""), SUMIFS(B88:I88,B1:I1,"&lt;&gt;",B2:I2,"&lt;&gt;Exame",B2:I2,"&lt;&gt;exame",B2:I2,"&lt;&gt;Nota",B2:I2,"&lt;&gt;Total"),"")</f>
        <v/>
      </c>
      <c r="K88" s="2" t="str">
        <f>IF(AND(A88&lt;&gt;"",J88&lt;&gt;""),ROUND(J88,0),"")</f>
        <v/>
      </c>
    </row>
    <row r="89" spans="2:11" x14ac:dyDescent="0.3">
      <c r="B89" s="2" t="str">
        <f>IFERROR(IF(A89&lt;&gt;"",VLOOKUP(Alunos!A89,Exame!A3:D250,4, FALSE),""), "")</f>
        <v/>
      </c>
      <c r="C89" s="2" t="str">
        <f>IF(A89&lt;&gt;"",VLOOKUP(Alunos!A89,Agrupamentos!A3:B250,2, FALSE),"")</f>
        <v/>
      </c>
      <c r="D89" s="2" t="str">
        <f>IFERROR(IF(A89&lt;&gt;"",VLOOKUP(Alunos!C89,FDGDF!A3:D250,4, FALSE),""),"")</f>
        <v/>
      </c>
      <c r="E89" s="2" t="str">
        <f>IF(A89&lt;&gt;"",VLOOKUP(Alunos!A89,Agrupamentos!A3:B250,2, FALSE),"")</f>
        <v/>
      </c>
      <c r="F89" s="2" t="str">
        <f>IFERROR(IF(A89&lt;&gt;"",VLOOKUP(Alunos!E89,SDASD!A3:D250,4, FALSE),""),"")</f>
        <v/>
      </c>
      <c r="G89" s="2" t="str">
        <f>IF(A89&lt;&gt;"", SUMIF(B1:F1,"&lt;&gt;",B89:F89),"")</f>
        <v/>
      </c>
      <c r="H89" s="2" t="str">
        <f>IF(AND(A89&lt;&gt;"",G89&lt;&gt;""),ROUND(G89,0),"")</f>
        <v/>
      </c>
      <c r="I89" s="2" t="str">
        <f>IFERROR(IF(A89&lt;&gt;"",VLOOKUP(Alunos!A89,Recurso!A3:D250,4, FALSE),""), "")</f>
        <v/>
      </c>
      <c r="J89" s="2" t="str">
        <f>IF(AND(A89&lt;&gt;"",I89&lt;&gt;""), SUMIFS(B89:I89,B1:I1,"&lt;&gt;",B2:I2,"&lt;&gt;Exame",B2:I2,"&lt;&gt;exame",B2:I2,"&lt;&gt;Nota",B2:I2,"&lt;&gt;Total"),"")</f>
        <v/>
      </c>
      <c r="K89" s="2" t="str">
        <f>IF(AND(A89&lt;&gt;"",J89&lt;&gt;""),ROUND(J89,0),"")</f>
        <v/>
      </c>
    </row>
    <row r="90" spans="2:11" x14ac:dyDescent="0.3">
      <c r="B90" s="2" t="str">
        <f>IFERROR(IF(A90&lt;&gt;"",VLOOKUP(Alunos!A90,Exame!A3:D250,4, FALSE),""), "")</f>
        <v/>
      </c>
      <c r="C90" s="2" t="str">
        <f>IF(A90&lt;&gt;"",VLOOKUP(Alunos!A90,Agrupamentos!A3:B250,2, FALSE),"")</f>
        <v/>
      </c>
      <c r="D90" s="2" t="str">
        <f>IFERROR(IF(A90&lt;&gt;"",VLOOKUP(Alunos!C90,FDGDF!A3:D250,4, FALSE),""),"")</f>
        <v/>
      </c>
      <c r="E90" s="2" t="str">
        <f>IF(A90&lt;&gt;"",VLOOKUP(Alunos!A90,Agrupamentos!A3:B250,2, FALSE),"")</f>
        <v/>
      </c>
      <c r="F90" s="2" t="str">
        <f>IFERROR(IF(A90&lt;&gt;"",VLOOKUP(Alunos!E90,SDASD!A3:D250,4, FALSE),""),"")</f>
        <v/>
      </c>
      <c r="G90" s="2" t="str">
        <f>IF(A90&lt;&gt;"", SUMIF(B1:F1,"&lt;&gt;",B90:F90),"")</f>
        <v/>
      </c>
      <c r="H90" s="2" t="str">
        <f>IF(AND(A90&lt;&gt;"",G90&lt;&gt;""),ROUND(G90,0),"")</f>
        <v/>
      </c>
      <c r="I90" s="2" t="str">
        <f>IFERROR(IF(A90&lt;&gt;"",VLOOKUP(Alunos!A90,Recurso!A3:D250,4, FALSE),""), "")</f>
        <v/>
      </c>
      <c r="J90" s="2" t="str">
        <f>IF(AND(A90&lt;&gt;"",I90&lt;&gt;""), SUMIFS(B90:I90,B1:I1,"&lt;&gt;",B2:I2,"&lt;&gt;Exame",B2:I2,"&lt;&gt;exame",B2:I2,"&lt;&gt;Nota",B2:I2,"&lt;&gt;Total"),"")</f>
        <v/>
      </c>
      <c r="K90" s="2" t="str">
        <f>IF(AND(A90&lt;&gt;"",J90&lt;&gt;""),ROUND(J90,0),"")</f>
        <v/>
      </c>
    </row>
    <row r="91" spans="2:11" x14ac:dyDescent="0.3">
      <c r="B91" s="2" t="str">
        <f>IFERROR(IF(A91&lt;&gt;"",VLOOKUP(Alunos!A91,Exame!A3:D250,4, FALSE),""), "")</f>
        <v/>
      </c>
      <c r="C91" s="2" t="str">
        <f>IF(A91&lt;&gt;"",VLOOKUP(Alunos!A91,Agrupamentos!A3:B250,2, FALSE),"")</f>
        <v/>
      </c>
      <c r="D91" s="2" t="str">
        <f>IFERROR(IF(A91&lt;&gt;"",VLOOKUP(Alunos!C91,FDGDF!A3:D250,4, FALSE),""),"")</f>
        <v/>
      </c>
      <c r="E91" s="2" t="str">
        <f>IF(A91&lt;&gt;"",VLOOKUP(Alunos!A91,Agrupamentos!A3:B250,2, FALSE),"")</f>
        <v/>
      </c>
      <c r="F91" s="2" t="str">
        <f>IFERROR(IF(A91&lt;&gt;"",VLOOKUP(Alunos!E91,SDASD!A3:D250,4, FALSE),""),"")</f>
        <v/>
      </c>
      <c r="G91" s="2" t="str">
        <f>IF(A91&lt;&gt;"", SUMIF(B1:F1,"&lt;&gt;",B91:F91),"")</f>
        <v/>
      </c>
      <c r="H91" s="2" t="str">
        <f>IF(AND(A91&lt;&gt;"",G91&lt;&gt;""),ROUND(G91,0),"")</f>
        <v/>
      </c>
      <c r="I91" s="2" t="str">
        <f>IFERROR(IF(A91&lt;&gt;"",VLOOKUP(Alunos!A91,Recurso!A3:D250,4, FALSE),""), "")</f>
        <v/>
      </c>
      <c r="J91" s="2" t="str">
        <f>IF(AND(A91&lt;&gt;"",I91&lt;&gt;""), SUMIFS(B91:I91,B1:I1,"&lt;&gt;",B2:I2,"&lt;&gt;Exame",B2:I2,"&lt;&gt;exame",B2:I2,"&lt;&gt;Nota",B2:I2,"&lt;&gt;Total"),"")</f>
        <v/>
      </c>
      <c r="K91" s="2" t="str">
        <f>IF(AND(A91&lt;&gt;"",J91&lt;&gt;""),ROUND(J91,0),"")</f>
        <v/>
      </c>
    </row>
    <row r="92" spans="2:11" x14ac:dyDescent="0.3">
      <c r="B92" s="2" t="str">
        <f>IFERROR(IF(A92&lt;&gt;"",VLOOKUP(Alunos!A92,Exame!A3:D250,4, FALSE),""), "")</f>
        <v/>
      </c>
      <c r="C92" s="2" t="str">
        <f>IF(A92&lt;&gt;"",VLOOKUP(Alunos!A92,Agrupamentos!A3:B250,2, FALSE),"")</f>
        <v/>
      </c>
      <c r="D92" s="2" t="str">
        <f>IFERROR(IF(A92&lt;&gt;"",VLOOKUP(Alunos!C92,FDGDF!A3:D250,4, FALSE),""),"")</f>
        <v/>
      </c>
      <c r="E92" s="2" t="str">
        <f>IF(A92&lt;&gt;"",VLOOKUP(Alunos!A92,Agrupamentos!A3:B250,2, FALSE),"")</f>
        <v/>
      </c>
      <c r="F92" s="2" t="str">
        <f>IFERROR(IF(A92&lt;&gt;"",VLOOKUP(Alunos!E92,SDASD!A3:D250,4, FALSE),""),"")</f>
        <v/>
      </c>
      <c r="G92" s="2" t="str">
        <f>IF(A92&lt;&gt;"", SUMIF(B1:F1,"&lt;&gt;",B92:F92),"")</f>
        <v/>
      </c>
      <c r="H92" s="2" t="str">
        <f>IF(AND(A92&lt;&gt;"",G92&lt;&gt;""),ROUND(G92,0),"")</f>
        <v/>
      </c>
      <c r="I92" s="2" t="str">
        <f>IFERROR(IF(A92&lt;&gt;"",VLOOKUP(Alunos!A92,Recurso!A3:D250,4, FALSE),""), "")</f>
        <v/>
      </c>
      <c r="J92" s="2" t="str">
        <f>IF(AND(A92&lt;&gt;"",I92&lt;&gt;""), SUMIFS(B92:I92,B1:I1,"&lt;&gt;",B2:I2,"&lt;&gt;Exame",B2:I2,"&lt;&gt;exame",B2:I2,"&lt;&gt;Nota",B2:I2,"&lt;&gt;Total"),"")</f>
        <v/>
      </c>
      <c r="K92" s="2" t="str">
        <f>IF(AND(A92&lt;&gt;"",J92&lt;&gt;""),ROUND(J92,0),"")</f>
        <v/>
      </c>
    </row>
    <row r="93" spans="2:11" x14ac:dyDescent="0.3">
      <c r="B93" s="2" t="str">
        <f>IFERROR(IF(A93&lt;&gt;"",VLOOKUP(Alunos!A93,Exame!A3:D250,4, FALSE),""), "")</f>
        <v/>
      </c>
      <c r="C93" s="2" t="str">
        <f>IF(A93&lt;&gt;"",VLOOKUP(Alunos!A93,Agrupamentos!A3:B250,2, FALSE),"")</f>
        <v/>
      </c>
      <c r="D93" s="2" t="str">
        <f>IFERROR(IF(A93&lt;&gt;"",VLOOKUP(Alunos!C93,FDGDF!A3:D250,4, FALSE),""),"")</f>
        <v/>
      </c>
      <c r="E93" s="2" t="str">
        <f>IF(A93&lt;&gt;"",VLOOKUP(Alunos!A93,Agrupamentos!A3:B250,2, FALSE),"")</f>
        <v/>
      </c>
      <c r="F93" s="2" t="str">
        <f>IFERROR(IF(A93&lt;&gt;"",VLOOKUP(Alunos!E93,SDASD!A3:D250,4, FALSE),""),"")</f>
        <v/>
      </c>
      <c r="G93" s="2" t="str">
        <f>IF(A93&lt;&gt;"", SUMIF(B1:F1,"&lt;&gt;",B93:F93),"")</f>
        <v/>
      </c>
      <c r="H93" s="2" t="str">
        <f>IF(AND(A93&lt;&gt;"",G93&lt;&gt;""),ROUND(G93,0),"")</f>
        <v/>
      </c>
      <c r="I93" s="2" t="str">
        <f>IFERROR(IF(A93&lt;&gt;"",VLOOKUP(Alunos!A93,Recurso!A3:D250,4, FALSE),""), "")</f>
        <v/>
      </c>
      <c r="J93" s="2" t="str">
        <f>IF(AND(A93&lt;&gt;"",I93&lt;&gt;""), SUMIFS(B93:I93,B1:I1,"&lt;&gt;",B2:I2,"&lt;&gt;Exame",B2:I2,"&lt;&gt;exame",B2:I2,"&lt;&gt;Nota",B2:I2,"&lt;&gt;Total"),"")</f>
        <v/>
      </c>
      <c r="K93" s="2" t="str">
        <f>IF(AND(A93&lt;&gt;"",J93&lt;&gt;""),ROUND(J93,0),"")</f>
        <v/>
      </c>
    </row>
    <row r="94" spans="2:11" x14ac:dyDescent="0.3">
      <c r="B94" s="2" t="str">
        <f>IFERROR(IF(A94&lt;&gt;"",VLOOKUP(Alunos!A94,Exame!A3:D250,4, FALSE),""), "")</f>
        <v/>
      </c>
      <c r="C94" s="2" t="str">
        <f>IF(A94&lt;&gt;"",VLOOKUP(Alunos!A94,Agrupamentos!A3:B250,2, FALSE),"")</f>
        <v/>
      </c>
      <c r="D94" s="2" t="str">
        <f>IFERROR(IF(A94&lt;&gt;"",VLOOKUP(Alunos!C94,FDGDF!A3:D250,4, FALSE),""),"")</f>
        <v/>
      </c>
      <c r="E94" s="2" t="str">
        <f>IF(A94&lt;&gt;"",VLOOKUP(Alunos!A94,Agrupamentos!A3:B250,2, FALSE),"")</f>
        <v/>
      </c>
      <c r="F94" s="2" t="str">
        <f>IFERROR(IF(A94&lt;&gt;"",VLOOKUP(Alunos!E94,SDASD!A3:D250,4, FALSE),""),"")</f>
        <v/>
      </c>
      <c r="G94" s="2" t="str">
        <f>IF(A94&lt;&gt;"", SUMIF(B1:F1,"&lt;&gt;",B94:F94),"")</f>
        <v/>
      </c>
      <c r="H94" s="2" t="str">
        <f>IF(AND(A94&lt;&gt;"",G94&lt;&gt;""),ROUND(G94,0),"")</f>
        <v/>
      </c>
      <c r="I94" s="2" t="str">
        <f>IFERROR(IF(A94&lt;&gt;"",VLOOKUP(Alunos!A94,Recurso!A3:D250,4, FALSE),""), "")</f>
        <v/>
      </c>
      <c r="J94" s="2" t="str">
        <f>IF(AND(A94&lt;&gt;"",I94&lt;&gt;""), SUMIFS(B94:I94,B1:I1,"&lt;&gt;",B2:I2,"&lt;&gt;Exame",B2:I2,"&lt;&gt;exame",B2:I2,"&lt;&gt;Nota",B2:I2,"&lt;&gt;Total"),"")</f>
        <v/>
      </c>
      <c r="K94" s="2" t="str">
        <f>IF(AND(A94&lt;&gt;"",J94&lt;&gt;""),ROUND(J94,0),"")</f>
        <v/>
      </c>
    </row>
    <row r="95" spans="2:11" x14ac:dyDescent="0.3">
      <c r="B95" s="2" t="str">
        <f>IFERROR(IF(A95&lt;&gt;"",VLOOKUP(Alunos!A95,Exame!A3:D250,4, FALSE),""), "")</f>
        <v/>
      </c>
      <c r="C95" s="2" t="str">
        <f>IF(A95&lt;&gt;"",VLOOKUP(Alunos!A95,Agrupamentos!A3:B250,2, FALSE),"")</f>
        <v/>
      </c>
      <c r="D95" s="2" t="str">
        <f>IFERROR(IF(A95&lt;&gt;"",VLOOKUP(Alunos!C95,FDGDF!A3:D250,4, FALSE),""),"")</f>
        <v/>
      </c>
      <c r="E95" s="2" t="str">
        <f>IF(A95&lt;&gt;"",VLOOKUP(Alunos!A95,Agrupamentos!A3:B250,2, FALSE),"")</f>
        <v/>
      </c>
      <c r="F95" s="2" t="str">
        <f>IFERROR(IF(A95&lt;&gt;"",VLOOKUP(Alunos!E95,SDASD!A3:D250,4, FALSE),""),"")</f>
        <v/>
      </c>
      <c r="G95" s="2" t="str">
        <f>IF(A95&lt;&gt;"", SUMIF(B1:F1,"&lt;&gt;",B95:F95),"")</f>
        <v/>
      </c>
      <c r="H95" s="2" t="str">
        <f>IF(AND(A95&lt;&gt;"",G95&lt;&gt;""),ROUND(G95,0),"")</f>
        <v/>
      </c>
      <c r="I95" s="2" t="str">
        <f>IFERROR(IF(A95&lt;&gt;"",VLOOKUP(Alunos!A95,Recurso!A3:D250,4, FALSE),""), "")</f>
        <v/>
      </c>
      <c r="J95" s="2" t="str">
        <f>IF(AND(A95&lt;&gt;"",I95&lt;&gt;""), SUMIFS(B95:I95,B1:I1,"&lt;&gt;",B2:I2,"&lt;&gt;Exame",B2:I2,"&lt;&gt;exame",B2:I2,"&lt;&gt;Nota",B2:I2,"&lt;&gt;Total"),"")</f>
        <v/>
      </c>
      <c r="K95" s="2" t="str">
        <f>IF(AND(A95&lt;&gt;"",J95&lt;&gt;""),ROUND(J95,0),"")</f>
        <v/>
      </c>
    </row>
    <row r="96" spans="2:11" x14ac:dyDescent="0.3">
      <c r="B96" s="2" t="str">
        <f>IFERROR(IF(A96&lt;&gt;"",VLOOKUP(Alunos!A96,Exame!A3:D250,4, FALSE),""), "")</f>
        <v/>
      </c>
      <c r="C96" s="2" t="str">
        <f>IF(A96&lt;&gt;"",VLOOKUP(Alunos!A96,Agrupamentos!A3:B250,2, FALSE),"")</f>
        <v/>
      </c>
      <c r="D96" s="2" t="str">
        <f>IFERROR(IF(A96&lt;&gt;"",VLOOKUP(Alunos!C96,FDGDF!A3:D250,4, FALSE),""),"")</f>
        <v/>
      </c>
      <c r="E96" s="2" t="str">
        <f>IF(A96&lt;&gt;"",VLOOKUP(Alunos!A96,Agrupamentos!A3:B250,2, FALSE),"")</f>
        <v/>
      </c>
      <c r="F96" s="2" t="str">
        <f>IFERROR(IF(A96&lt;&gt;"",VLOOKUP(Alunos!E96,SDASD!A3:D250,4, FALSE),""),"")</f>
        <v/>
      </c>
      <c r="G96" s="2" t="str">
        <f>IF(A96&lt;&gt;"", SUMIF(B1:F1,"&lt;&gt;",B96:F96),"")</f>
        <v/>
      </c>
      <c r="H96" s="2" t="str">
        <f>IF(AND(A96&lt;&gt;"",G96&lt;&gt;""),ROUND(G96,0),"")</f>
        <v/>
      </c>
      <c r="I96" s="2" t="str">
        <f>IFERROR(IF(A96&lt;&gt;"",VLOOKUP(Alunos!A96,Recurso!A3:D250,4, FALSE),""), "")</f>
        <v/>
      </c>
      <c r="J96" s="2" t="str">
        <f>IF(AND(A96&lt;&gt;"",I96&lt;&gt;""), SUMIFS(B96:I96,B1:I1,"&lt;&gt;",B2:I2,"&lt;&gt;Exame",B2:I2,"&lt;&gt;exame",B2:I2,"&lt;&gt;Nota",B2:I2,"&lt;&gt;Total"),"")</f>
        <v/>
      </c>
      <c r="K96" s="2" t="str">
        <f>IF(AND(A96&lt;&gt;"",J96&lt;&gt;""),ROUND(J96,0),"")</f>
        <v/>
      </c>
    </row>
    <row r="97" spans="2:11" x14ac:dyDescent="0.3">
      <c r="B97" s="2" t="str">
        <f>IFERROR(IF(A97&lt;&gt;"",VLOOKUP(Alunos!A97,Exame!A3:D250,4, FALSE),""), "")</f>
        <v/>
      </c>
      <c r="C97" s="2" t="str">
        <f>IF(A97&lt;&gt;"",VLOOKUP(Alunos!A97,Agrupamentos!A3:B250,2, FALSE),"")</f>
        <v/>
      </c>
      <c r="D97" s="2" t="str">
        <f>IFERROR(IF(A97&lt;&gt;"",VLOOKUP(Alunos!C97,FDGDF!A3:D250,4, FALSE),""),"")</f>
        <v/>
      </c>
      <c r="E97" s="2" t="str">
        <f>IF(A97&lt;&gt;"",VLOOKUP(Alunos!A97,Agrupamentos!A3:B250,2, FALSE),"")</f>
        <v/>
      </c>
      <c r="F97" s="2" t="str">
        <f>IFERROR(IF(A97&lt;&gt;"",VLOOKUP(Alunos!E97,SDASD!A3:D250,4, FALSE),""),"")</f>
        <v/>
      </c>
      <c r="G97" s="2" t="str">
        <f>IF(A97&lt;&gt;"", SUMIF(B1:F1,"&lt;&gt;",B97:F97),"")</f>
        <v/>
      </c>
      <c r="H97" s="2" t="str">
        <f>IF(AND(A97&lt;&gt;"",G97&lt;&gt;""),ROUND(G97,0),"")</f>
        <v/>
      </c>
      <c r="I97" s="2" t="str">
        <f>IFERROR(IF(A97&lt;&gt;"",VLOOKUP(Alunos!A97,Recurso!A3:D250,4, FALSE),""), "")</f>
        <v/>
      </c>
      <c r="J97" s="2" t="str">
        <f>IF(AND(A97&lt;&gt;"",I97&lt;&gt;""), SUMIFS(B97:I97,B1:I1,"&lt;&gt;",B2:I2,"&lt;&gt;Exame",B2:I2,"&lt;&gt;exame",B2:I2,"&lt;&gt;Nota",B2:I2,"&lt;&gt;Total"),"")</f>
        <v/>
      </c>
      <c r="K97" s="2" t="str">
        <f>IF(AND(A97&lt;&gt;"",J97&lt;&gt;""),ROUND(J97,0),"")</f>
        <v/>
      </c>
    </row>
    <row r="98" spans="2:11" x14ac:dyDescent="0.3">
      <c r="B98" s="2" t="str">
        <f>IFERROR(IF(A98&lt;&gt;"",VLOOKUP(Alunos!A98,Exame!A3:D250,4, FALSE),""), "")</f>
        <v/>
      </c>
      <c r="C98" s="2" t="str">
        <f>IF(A98&lt;&gt;"",VLOOKUP(Alunos!A98,Agrupamentos!A3:B250,2, FALSE),"")</f>
        <v/>
      </c>
      <c r="D98" s="2" t="str">
        <f>IFERROR(IF(A98&lt;&gt;"",VLOOKUP(Alunos!C98,FDGDF!A3:D250,4, FALSE),""),"")</f>
        <v/>
      </c>
      <c r="E98" s="2" t="str">
        <f>IF(A98&lt;&gt;"",VLOOKUP(Alunos!A98,Agrupamentos!A3:B250,2, FALSE),"")</f>
        <v/>
      </c>
      <c r="F98" s="2" t="str">
        <f>IFERROR(IF(A98&lt;&gt;"",VLOOKUP(Alunos!E98,SDASD!A3:D250,4, FALSE),""),"")</f>
        <v/>
      </c>
      <c r="G98" s="2" t="str">
        <f>IF(A98&lt;&gt;"", SUMIF(B1:F1,"&lt;&gt;",B98:F98),"")</f>
        <v/>
      </c>
      <c r="H98" s="2" t="str">
        <f>IF(AND(A98&lt;&gt;"",G98&lt;&gt;""),ROUND(G98,0),"")</f>
        <v/>
      </c>
      <c r="I98" s="2" t="str">
        <f>IFERROR(IF(A98&lt;&gt;"",VLOOKUP(Alunos!A98,Recurso!A3:D250,4, FALSE),""), "")</f>
        <v/>
      </c>
      <c r="J98" s="2" t="str">
        <f>IF(AND(A98&lt;&gt;"",I98&lt;&gt;""), SUMIFS(B98:I98,B1:I1,"&lt;&gt;",B2:I2,"&lt;&gt;Exame",B2:I2,"&lt;&gt;exame",B2:I2,"&lt;&gt;Nota",B2:I2,"&lt;&gt;Total"),"")</f>
        <v/>
      </c>
      <c r="K98" s="2" t="str">
        <f>IF(AND(A98&lt;&gt;"",J98&lt;&gt;""),ROUND(J98,0),"")</f>
        <v/>
      </c>
    </row>
    <row r="99" spans="2:11" x14ac:dyDescent="0.3">
      <c r="B99" s="2" t="str">
        <f>IFERROR(IF(A99&lt;&gt;"",VLOOKUP(Alunos!A99,Exame!A3:D250,4, FALSE),""), "")</f>
        <v/>
      </c>
      <c r="C99" s="2" t="str">
        <f>IF(A99&lt;&gt;"",VLOOKUP(Alunos!A99,Agrupamentos!A3:B250,2, FALSE),"")</f>
        <v/>
      </c>
      <c r="D99" s="2" t="str">
        <f>IFERROR(IF(A99&lt;&gt;"",VLOOKUP(Alunos!C99,FDGDF!A3:D250,4, FALSE),""),"")</f>
        <v/>
      </c>
      <c r="E99" s="2" t="str">
        <f>IF(A99&lt;&gt;"",VLOOKUP(Alunos!A99,Agrupamentos!A3:B250,2, FALSE),"")</f>
        <v/>
      </c>
      <c r="F99" s="2" t="str">
        <f>IFERROR(IF(A99&lt;&gt;"",VLOOKUP(Alunos!E99,SDASD!A3:D250,4, FALSE),""),"")</f>
        <v/>
      </c>
      <c r="G99" s="2" t="str">
        <f>IF(A99&lt;&gt;"", SUMIF(B1:F1,"&lt;&gt;",B99:F99),"")</f>
        <v/>
      </c>
      <c r="H99" s="2" t="str">
        <f>IF(AND(A99&lt;&gt;"",G99&lt;&gt;""),ROUND(G99,0),"")</f>
        <v/>
      </c>
      <c r="I99" s="2" t="str">
        <f>IFERROR(IF(A99&lt;&gt;"",VLOOKUP(Alunos!A99,Recurso!A3:D250,4, FALSE),""), "")</f>
        <v/>
      </c>
      <c r="J99" s="2" t="str">
        <f>IF(AND(A99&lt;&gt;"",I99&lt;&gt;""), SUMIFS(B99:I99,B1:I1,"&lt;&gt;",B2:I2,"&lt;&gt;Exame",B2:I2,"&lt;&gt;exame",B2:I2,"&lt;&gt;Nota",B2:I2,"&lt;&gt;Total"),"")</f>
        <v/>
      </c>
      <c r="K99" s="2" t="str">
        <f>IF(AND(A99&lt;&gt;"",J99&lt;&gt;""),ROUND(J99,0),"")</f>
        <v/>
      </c>
    </row>
    <row r="100" spans="2:11" x14ac:dyDescent="0.3">
      <c r="B100" s="2" t="str">
        <f>IFERROR(IF(A100&lt;&gt;"",VLOOKUP(Alunos!A100,Exame!A3:D250,4, FALSE),""), "")</f>
        <v/>
      </c>
      <c r="C100" s="2" t="str">
        <f>IF(A100&lt;&gt;"",VLOOKUP(Alunos!A100,Agrupamentos!A3:B250,2, FALSE),"")</f>
        <v/>
      </c>
      <c r="D100" s="2" t="str">
        <f>IFERROR(IF(A100&lt;&gt;"",VLOOKUP(Alunos!C100,FDGDF!A3:D250,4, FALSE),""),"")</f>
        <v/>
      </c>
      <c r="E100" s="2" t="str">
        <f>IF(A100&lt;&gt;"",VLOOKUP(Alunos!A100,Agrupamentos!A3:B250,2, FALSE),"")</f>
        <v/>
      </c>
      <c r="F100" s="2" t="str">
        <f>IFERROR(IF(A100&lt;&gt;"",VLOOKUP(Alunos!E100,SDASD!A3:D250,4, FALSE),""),"")</f>
        <v/>
      </c>
      <c r="G100" s="2" t="str">
        <f>IF(A100&lt;&gt;"", SUMIF(B1:F1,"&lt;&gt;",B100:F100),"")</f>
        <v/>
      </c>
      <c r="H100" s="2" t="str">
        <f>IF(AND(A100&lt;&gt;"",G100&lt;&gt;""),ROUND(G100,0),"")</f>
        <v/>
      </c>
      <c r="I100" s="2" t="str">
        <f>IFERROR(IF(A100&lt;&gt;"",VLOOKUP(Alunos!A100,Recurso!A3:D250,4, FALSE),""), "")</f>
        <v/>
      </c>
      <c r="J100" s="2" t="str">
        <f>IF(AND(A100&lt;&gt;"",I100&lt;&gt;""), SUMIFS(B100:I100,B1:I1,"&lt;&gt;",B2:I2,"&lt;&gt;Exame",B2:I2,"&lt;&gt;exame",B2:I2,"&lt;&gt;Nota",B2:I2,"&lt;&gt;Total"),"")</f>
        <v/>
      </c>
      <c r="K100" s="2" t="str">
        <f>IF(AND(A100&lt;&gt;"",J100&lt;&gt;""),ROUND(J100,0),"")</f>
        <v/>
      </c>
    </row>
    <row r="101" spans="2:11" x14ac:dyDescent="0.3">
      <c r="B101" s="2" t="str">
        <f>IFERROR(IF(A101&lt;&gt;"",VLOOKUP(Alunos!A101,Exame!A3:D250,4, FALSE),""), "")</f>
        <v/>
      </c>
      <c r="C101" s="2" t="str">
        <f>IF(A101&lt;&gt;"",VLOOKUP(Alunos!A101,Agrupamentos!A3:B250,2, FALSE),"")</f>
        <v/>
      </c>
      <c r="D101" s="2" t="str">
        <f>IFERROR(IF(A101&lt;&gt;"",VLOOKUP(Alunos!C101,FDGDF!A3:D250,4, FALSE),""),"")</f>
        <v/>
      </c>
      <c r="E101" s="2" t="str">
        <f>IF(A101&lt;&gt;"",VLOOKUP(Alunos!A101,Agrupamentos!A3:B250,2, FALSE),"")</f>
        <v/>
      </c>
      <c r="F101" s="2" t="str">
        <f>IFERROR(IF(A101&lt;&gt;"",VLOOKUP(Alunos!E101,SDASD!A3:D250,4, FALSE),""),"")</f>
        <v/>
      </c>
      <c r="G101" s="2" t="str">
        <f>IF(A101&lt;&gt;"", SUMIF(B1:F1,"&lt;&gt;",B101:F101),"")</f>
        <v/>
      </c>
      <c r="H101" s="2" t="str">
        <f>IF(AND(A101&lt;&gt;"",G101&lt;&gt;""),ROUND(G101,0),"")</f>
        <v/>
      </c>
      <c r="I101" s="2" t="str">
        <f>IFERROR(IF(A101&lt;&gt;"",VLOOKUP(Alunos!A101,Recurso!A3:D250,4, FALSE),""), "")</f>
        <v/>
      </c>
      <c r="J101" s="2" t="str">
        <f>IF(AND(A101&lt;&gt;"",I101&lt;&gt;""), SUMIFS(B101:I101,B1:I1,"&lt;&gt;",B2:I2,"&lt;&gt;Exame",B2:I2,"&lt;&gt;exame",B2:I2,"&lt;&gt;Nota",B2:I2,"&lt;&gt;Total"),"")</f>
        <v/>
      </c>
      <c r="K101" s="2" t="str">
        <f>IF(AND(A101&lt;&gt;"",J101&lt;&gt;""),ROUND(J101,0),"")</f>
        <v/>
      </c>
    </row>
    <row r="102" spans="2:11" x14ac:dyDescent="0.3">
      <c r="B102" s="2" t="str">
        <f>IFERROR(IF(A102&lt;&gt;"",VLOOKUP(Alunos!A102,Exame!A3:D250,4, FALSE),""), "")</f>
        <v/>
      </c>
      <c r="C102" s="2" t="str">
        <f>IF(A102&lt;&gt;"",VLOOKUP(Alunos!A102,Agrupamentos!A3:B250,2, FALSE),"")</f>
        <v/>
      </c>
      <c r="D102" s="2" t="str">
        <f>IFERROR(IF(A102&lt;&gt;"",VLOOKUP(Alunos!C102,FDGDF!A3:D250,4, FALSE),""),"")</f>
        <v/>
      </c>
      <c r="E102" s="2" t="str">
        <f>IF(A102&lt;&gt;"",VLOOKUP(Alunos!A102,Agrupamentos!A3:B250,2, FALSE),"")</f>
        <v/>
      </c>
      <c r="F102" s="2" t="str">
        <f>IFERROR(IF(A102&lt;&gt;"",VLOOKUP(Alunos!E102,SDASD!A3:D250,4, FALSE),""),"")</f>
        <v/>
      </c>
      <c r="G102" s="2" t="str">
        <f>IF(A102&lt;&gt;"", SUMIF(B1:F1,"&lt;&gt;",B102:F102),"")</f>
        <v/>
      </c>
      <c r="H102" s="2" t="str">
        <f>IF(AND(A102&lt;&gt;"",G102&lt;&gt;""),ROUND(G102,0),"")</f>
        <v/>
      </c>
      <c r="I102" s="2" t="str">
        <f>IFERROR(IF(A102&lt;&gt;"",VLOOKUP(Alunos!A102,Recurso!A3:D250,4, FALSE),""), "")</f>
        <v/>
      </c>
      <c r="J102" s="2" t="str">
        <f>IF(AND(A102&lt;&gt;"",I102&lt;&gt;""), SUMIFS(B102:I102,B1:I1,"&lt;&gt;",B2:I2,"&lt;&gt;Exame",B2:I2,"&lt;&gt;exame",B2:I2,"&lt;&gt;Nota",B2:I2,"&lt;&gt;Total"),"")</f>
        <v/>
      </c>
      <c r="K102" s="2" t="str">
        <f>IF(AND(A102&lt;&gt;"",J102&lt;&gt;""),ROUND(J102,0),"")</f>
        <v/>
      </c>
    </row>
    <row r="103" spans="2:11" x14ac:dyDescent="0.3">
      <c r="B103" s="2" t="str">
        <f>IFERROR(IF(A103&lt;&gt;"",VLOOKUP(Alunos!A103,Exame!A3:D250,4, FALSE),""), "")</f>
        <v/>
      </c>
      <c r="C103" s="2" t="str">
        <f>IF(A103&lt;&gt;"",VLOOKUP(Alunos!A103,Agrupamentos!A3:B250,2, FALSE),"")</f>
        <v/>
      </c>
      <c r="D103" s="2" t="str">
        <f>IFERROR(IF(A103&lt;&gt;"",VLOOKUP(Alunos!C103,FDGDF!A3:D250,4, FALSE),""),"")</f>
        <v/>
      </c>
      <c r="E103" s="2" t="str">
        <f>IF(A103&lt;&gt;"",VLOOKUP(Alunos!A103,Agrupamentos!A3:B250,2, FALSE),"")</f>
        <v/>
      </c>
      <c r="F103" s="2" t="str">
        <f>IFERROR(IF(A103&lt;&gt;"",VLOOKUP(Alunos!E103,SDASD!A3:D250,4, FALSE),""),"")</f>
        <v/>
      </c>
      <c r="G103" s="2" t="str">
        <f>IF(A103&lt;&gt;"", SUMIF(B1:F1,"&lt;&gt;",B103:F103),"")</f>
        <v/>
      </c>
      <c r="H103" s="2" t="str">
        <f>IF(AND(A103&lt;&gt;"",G103&lt;&gt;""),ROUND(G103,0),"")</f>
        <v/>
      </c>
      <c r="I103" s="2" t="str">
        <f>IFERROR(IF(A103&lt;&gt;"",VLOOKUP(Alunos!A103,Recurso!A3:D250,4, FALSE),""), "")</f>
        <v/>
      </c>
      <c r="J103" s="2" t="str">
        <f>IF(AND(A103&lt;&gt;"",I103&lt;&gt;""), SUMIFS(B103:I103,B1:I1,"&lt;&gt;",B2:I2,"&lt;&gt;Exame",B2:I2,"&lt;&gt;exame",B2:I2,"&lt;&gt;Nota",B2:I2,"&lt;&gt;Total"),"")</f>
        <v/>
      </c>
      <c r="K103" s="2" t="str">
        <f>IF(AND(A103&lt;&gt;"",J103&lt;&gt;""),ROUND(J103,0),"")</f>
        <v/>
      </c>
    </row>
    <row r="104" spans="2:11" x14ac:dyDescent="0.3">
      <c r="B104" s="2" t="str">
        <f>IFERROR(IF(A104&lt;&gt;"",VLOOKUP(Alunos!A104,Exame!A3:D250,4, FALSE),""), "")</f>
        <v/>
      </c>
      <c r="C104" s="2" t="str">
        <f>IF(A104&lt;&gt;"",VLOOKUP(Alunos!A104,Agrupamentos!A3:B250,2, FALSE),"")</f>
        <v/>
      </c>
      <c r="D104" s="2" t="str">
        <f>IFERROR(IF(A104&lt;&gt;"",VLOOKUP(Alunos!C104,FDGDF!A3:D250,4, FALSE),""),"")</f>
        <v/>
      </c>
      <c r="E104" s="2" t="str">
        <f>IF(A104&lt;&gt;"",VLOOKUP(Alunos!A104,Agrupamentos!A3:B250,2, FALSE),"")</f>
        <v/>
      </c>
      <c r="F104" s="2" t="str">
        <f>IFERROR(IF(A104&lt;&gt;"",VLOOKUP(Alunos!E104,SDASD!A3:D250,4, FALSE),""),"")</f>
        <v/>
      </c>
      <c r="G104" s="2" t="str">
        <f>IF(A104&lt;&gt;"", SUMIF(B1:F1,"&lt;&gt;",B104:F104),"")</f>
        <v/>
      </c>
      <c r="H104" s="2" t="str">
        <f>IF(AND(A104&lt;&gt;"",G104&lt;&gt;""),ROUND(G104,0),"")</f>
        <v/>
      </c>
      <c r="I104" s="2" t="str">
        <f>IFERROR(IF(A104&lt;&gt;"",VLOOKUP(Alunos!A104,Recurso!A3:D250,4, FALSE),""), "")</f>
        <v/>
      </c>
      <c r="J104" s="2" t="str">
        <f>IF(AND(A104&lt;&gt;"",I104&lt;&gt;""), SUMIFS(B104:I104,B1:I1,"&lt;&gt;",B2:I2,"&lt;&gt;Exame",B2:I2,"&lt;&gt;exame",B2:I2,"&lt;&gt;Nota",B2:I2,"&lt;&gt;Total"),"")</f>
        <v/>
      </c>
      <c r="K104" s="2" t="str">
        <f>IF(AND(A104&lt;&gt;"",J104&lt;&gt;""),ROUND(J104,0),"")</f>
        <v/>
      </c>
    </row>
    <row r="105" spans="2:11" x14ac:dyDescent="0.3">
      <c r="B105" s="2" t="str">
        <f>IFERROR(IF(A105&lt;&gt;"",VLOOKUP(Alunos!A105,Exame!A3:D250,4, FALSE),""), "")</f>
        <v/>
      </c>
      <c r="C105" s="2" t="str">
        <f>IF(A105&lt;&gt;"",VLOOKUP(Alunos!A105,Agrupamentos!A3:B250,2, FALSE),"")</f>
        <v/>
      </c>
      <c r="D105" s="2" t="str">
        <f>IFERROR(IF(A105&lt;&gt;"",VLOOKUP(Alunos!C105,FDGDF!A3:D250,4, FALSE),""),"")</f>
        <v/>
      </c>
      <c r="E105" s="2" t="str">
        <f>IF(A105&lt;&gt;"",VLOOKUP(Alunos!A105,Agrupamentos!A3:B250,2, FALSE),"")</f>
        <v/>
      </c>
      <c r="F105" s="2" t="str">
        <f>IFERROR(IF(A105&lt;&gt;"",VLOOKUP(Alunos!E105,SDASD!A3:D250,4, FALSE),""),"")</f>
        <v/>
      </c>
      <c r="G105" s="2" t="str">
        <f>IF(A105&lt;&gt;"", SUMIF(B1:F1,"&lt;&gt;",B105:F105),"")</f>
        <v/>
      </c>
      <c r="H105" s="2" t="str">
        <f>IF(AND(A105&lt;&gt;"",G105&lt;&gt;""),ROUND(G105,0),"")</f>
        <v/>
      </c>
      <c r="I105" s="2" t="str">
        <f>IFERROR(IF(A105&lt;&gt;"",VLOOKUP(Alunos!A105,Recurso!A3:D250,4, FALSE),""), "")</f>
        <v/>
      </c>
      <c r="J105" s="2" t="str">
        <f>IF(AND(A105&lt;&gt;"",I105&lt;&gt;""), SUMIFS(B105:I105,B1:I1,"&lt;&gt;",B2:I2,"&lt;&gt;Exame",B2:I2,"&lt;&gt;exame",B2:I2,"&lt;&gt;Nota",B2:I2,"&lt;&gt;Total"),"")</f>
        <v/>
      </c>
      <c r="K105" s="2" t="str">
        <f>IF(AND(A105&lt;&gt;"",J105&lt;&gt;""),ROUND(J105,0),"")</f>
        <v/>
      </c>
    </row>
    <row r="106" spans="2:11" x14ac:dyDescent="0.3">
      <c r="B106" s="2" t="str">
        <f>IFERROR(IF(A106&lt;&gt;"",VLOOKUP(Alunos!A106,Exame!A3:D250,4, FALSE),""), "")</f>
        <v/>
      </c>
      <c r="C106" s="2" t="str">
        <f>IF(A106&lt;&gt;"",VLOOKUP(Alunos!A106,Agrupamentos!A3:B250,2, FALSE),"")</f>
        <v/>
      </c>
      <c r="D106" s="2" t="str">
        <f>IFERROR(IF(A106&lt;&gt;"",VLOOKUP(Alunos!C106,FDGDF!A3:D250,4, FALSE),""),"")</f>
        <v/>
      </c>
      <c r="E106" s="2" t="str">
        <f>IF(A106&lt;&gt;"",VLOOKUP(Alunos!A106,Agrupamentos!A3:B250,2, FALSE),"")</f>
        <v/>
      </c>
      <c r="F106" s="2" t="str">
        <f>IFERROR(IF(A106&lt;&gt;"",VLOOKUP(Alunos!E106,SDASD!A3:D250,4, FALSE),""),"")</f>
        <v/>
      </c>
      <c r="G106" s="2" t="str">
        <f>IF(A106&lt;&gt;"", SUMIF(B1:F1,"&lt;&gt;",B106:F106),"")</f>
        <v/>
      </c>
      <c r="H106" s="2" t="str">
        <f>IF(AND(A106&lt;&gt;"",G106&lt;&gt;""),ROUND(G106,0),"")</f>
        <v/>
      </c>
      <c r="I106" s="2" t="str">
        <f>IFERROR(IF(A106&lt;&gt;"",VLOOKUP(Alunos!A106,Recurso!A3:D250,4, FALSE),""), "")</f>
        <v/>
      </c>
      <c r="J106" s="2" t="str">
        <f>IF(AND(A106&lt;&gt;"",I106&lt;&gt;""), SUMIFS(B106:I106,B1:I1,"&lt;&gt;",B2:I2,"&lt;&gt;Exame",B2:I2,"&lt;&gt;exame",B2:I2,"&lt;&gt;Nota",B2:I2,"&lt;&gt;Total"),"")</f>
        <v/>
      </c>
      <c r="K106" s="2" t="str">
        <f>IF(AND(A106&lt;&gt;"",J106&lt;&gt;""),ROUND(J106,0),"")</f>
        <v/>
      </c>
    </row>
    <row r="107" spans="2:11" x14ac:dyDescent="0.3">
      <c r="B107" s="2" t="str">
        <f>IFERROR(IF(A107&lt;&gt;"",VLOOKUP(Alunos!A107,Exame!A3:D250,4, FALSE),""), "")</f>
        <v/>
      </c>
      <c r="C107" s="2" t="str">
        <f>IF(A107&lt;&gt;"",VLOOKUP(Alunos!A107,Agrupamentos!A3:B250,2, FALSE),"")</f>
        <v/>
      </c>
      <c r="D107" s="2" t="str">
        <f>IFERROR(IF(A107&lt;&gt;"",VLOOKUP(Alunos!C107,FDGDF!A3:D250,4, FALSE),""),"")</f>
        <v/>
      </c>
      <c r="E107" s="2" t="str">
        <f>IF(A107&lt;&gt;"",VLOOKUP(Alunos!A107,Agrupamentos!A3:B250,2, FALSE),"")</f>
        <v/>
      </c>
      <c r="F107" s="2" t="str">
        <f>IFERROR(IF(A107&lt;&gt;"",VLOOKUP(Alunos!E107,SDASD!A3:D250,4, FALSE),""),"")</f>
        <v/>
      </c>
      <c r="G107" s="2" t="str">
        <f>IF(A107&lt;&gt;"", SUMIF(B1:F1,"&lt;&gt;",B107:F107),"")</f>
        <v/>
      </c>
      <c r="H107" s="2" t="str">
        <f>IF(AND(A107&lt;&gt;"",G107&lt;&gt;""),ROUND(G107,0),"")</f>
        <v/>
      </c>
      <c r="I107" s="2" t="str">
        <f>IFERROR(IF(A107&lt;&gt;"",VLOOKUP(Alunos!A107,Recurso!A3:D250,4, FALSE),""), "")</f>
        <v/>
      </c>
      <c r="J107" s="2" t="str">
        <f>IF(AND(A107&lt;&gt;"",I107&lt;&gt;""), SUMIFS(B107:I107,B1:I1,"&lt;&gt;",B2:I2,"&lt;&gt;Exame",B2:I2,"&lt;&gt;exame",B2:I2,"&lt;&gt;Nota",B2:I2,"&lt;&gt;Total"),"")</f>
        <v/>
      </c>
      <c r="K107" s="2" t="str">
        <f>IF(AND(A107&lt;&gt;"",J107&lt;&gt;""),ROUND(J107,0),"")</f>
        <v/>
      </c>
    </row>
    <row r="108" spans="2:11" x14ac:dyDescent="0.3">
      <c r="B108" s="2" t="str">
        <f>IFERROR(IF(A108&lt;&gt;"",VLOOKUP(Alunos!A108,Exame!A3:D250,4, FALSE),""), "")</f>
        <v/>
      </c>
      <c r="C108" s="2" t="str">
        <f>IF(A108&lt;&gt;"",VLOOKUP(Alunos!A108,Agrupamentos!A3:B250,2, FALSE),"")</f>
        <v/>
      </c>
      <c r="D108" s="2" t="str">
        <f>IFERROR(IF(A108&lt;&gt;"",VLOOKUP(Alunos!C108,FDGDF!A3:D250,4, FALSE),""),"")</f>
        <v/>
      </c>
      <c r="E108" s="2" t="str">
        <f>IF(A108&lt;&gt;"",VLOOKUP(Alunos!A108,Agrupamentos!A3:B250,2, FALSE),"")</f>
        <v/>
      </c>
      <c r="F108" s="2" t="str">
        <f>IFERROR(IF(A108&lt;&gt;"",VLOOKUP(Alunos!E108,SDASD!A3:D250,4, FALSE),""),"")</f>
        <v/>
      </c>
      <c r="G108" s="2" t="str">
        <f>IF(A108&lt;&gt;"", SUMIF(B1:F1,"&lt;&gt;",B108:F108),"")</f>
        <v/>
      </c>
      <c r="H108" s="2" t="str">
        <f>IF(AND(A108&lt;&gt;"",G108&lt;&gt;""),ROUND(G108,0),"")</f>
        <v/>
      </c>
      <c r="I108" s="2" t="str">
        <f>IFERROR(IF(A108&lt;&gt;"",VLOOKUP(Alunos!A108,Recurso!A3:D250,4, FALSE),""), "")</f>
        <v/>
      </c>
      <c r="J108" s="2" t="str">
        <f>IF(AND(A108&lt;&gt;"",I108&lt;&gt;""), SUMIFS(B108:I108,B1:I1,"&lt;&gt;",B2:I2,"&lt;&gt;Exame",B2:I2,"&lt;&gt;exame",B2:I2,"&lt;&gt;Nota",B2:I2,"&lt;&gt;Total"),"")</f>
        <v/>
      </c>
      <c r="K108" s="2" t="str">
        <f>IF(AND(A108&lt;&gt;"",J108&lt;&gt;""),ROUND(J108,0),"")</f>
        <v/>
      </c>
    </row>
    <row r="109" spans="2:11" x14ac:dyDescent="0.3">
      <c r="B109" s="2" t="str">
        <f>IFERROR(IF(A109&lt;&gt;"",VLOOKUP(Alunos!A109,Exame!A3:D250,4, FALSE),""), "")</f>
        <v/>
      </c>
      <c r="C109" s="2" t="str">
        <f>IF(A109&lt;&gt;"",VLOOKUP(Alunos!A109,Agrupamentos!A3:B250,2, FALSE),"")</f>
        <v/>
      </c>
      <c r="D109" s="2" t="str">
        <f>IFERROR(IF(A109&lt;&gt;"",VLOOKUP(Alunos!C109,FDGDF!A3:D250,4, FALSE),""),"")</f>
        <v/>
      </c>
      <c r="E109" s="2" t="str">
        <f>IF(A109&lt;&gt;"",VLOOKUP(Alunos!A109,Agrupamentos!A3:B250,2, FALSE),"")</f>
        <v/>
      </c>
      <c r="F109" s="2" t="str">
        <f>IFERROR(IF(A109&lt;&gt;"",VLOOKUP(Alunos!E109,SDASD!A3:D250,4, FALSE),""),"")</f>
        <v/>
      </c>
      <c r="G109" s="2" t="str">
        <f>IF(A109&lt;&gt;"", SUMIF(B1:F1,"&lt;&gt;",B109:F109),"")</f>
        <v/>
      </c>
      <c r="H109" s="2" t="str">
        <f>IF(AND(A109&lt;&gt;"",G109&lt;&gt;""),ROUND(G109,0),"")</f>
        <v/>
      </c>
      <c r="I109" s="2" t="str">
        <f>IFERROR(IF(A109&lt;&gt;"",VLOOKUP(Alunos!A109,Recurso!A3:D250,4, FALSE),""), "")</f>
        <v/>
      </c>
      <c r="J109" s="2" t="str">
        <f>IF(AND(A109&lt;&gt;"",I109&lt;&gt;""), SUMIFS(B109:I109,B1:I1,"&lt;&gt;",B2:I2,"&lt;&gt;Exame",B2:I2,"&lt;&gt;exame",B2:I2,"&lt;&gt;Nota",B2:I2,"&lt;&gt;Total"),"")</f>
        <v/>
      </c>
      <c r="K109" s="2" t="str">
        <f>IF(AND(A109&lt;&gt;"",J109&lt;&gt;""),ROUND(J109,0),"")</f>
        <v/>
      </c>
    </row>
    <row r="110" spans="2:11" x14ac:dyDescent="0.3">
      <c r="B110" s="2" t="str">
        <f>IFERROR(IF(A110&lt;&gt;"",VLOOKUP(Alunos!A110,Exame!A3:D250,4, FALSE),""), "")</f>
        <v/>
      </c>
      <c r="C110" s="2" t="str">
        <f>IF(A110&lt;&gt;"",VLOOKUP(Alunos!A110,Agrupamentos!A3:B250,2, FALSE),"")</f>
        <v/>
      </c>
      <c r="D110" s="2" t="str">
        <f>IFERROR(IF(A110&lt;&gt;"",VLOOKUP(Alunos!C110,FDGDF!A3:D250,4, FALSE),""),"")</f>
        <v/>
      </c>
      <c r="E110" s="2" t="str">
        <f>IF(A110&lt;&gt;"",VLOOKUP(Alunos!A110,Agrupamentos!A3:B250,2, FALSE),"")</f>
        <v/>
      </c>
      <c r="F110" s="2" t="str">
        <f>IFERROR(IF(A110&lt;&gt;"",VLOOKUP(Alunos!E110,SDASD!A3:D250,4, FALSE),""),"")</f>
        <v/>
      </c>
      <c r="G110" s="2" t="str">
        <f>IF(A110&lt;&gt;"", SUMIF(B1:F1,"&lt;&gt;",B110:F110),"")</f>
        <v/>
      </c>
      <c r="H110" s="2" t="str">
        <f>IF(AND(A110&lt;&gt;"",G110&lt;&gt;""),ROUND(G110,0),"")</f>
        <v/>
      </c>
      <c r="I110" s="2" t="str">
        <f>IFERROR(IF(A110&lt;&gt;"",VLOOKUP(Alunos!A110,Recurso!A3:D250,4, FALSE),""), "")</f>
        <v/>
      </c>
      <c r="J110" s="2" t="str">
        <f>IF(AND(A110&lt;&gt;"",I110&lt;&gt;""), SUMIFS(B110:I110,B1:I1,"&lt;&gt;",B2:I2,"&lt;&gt;Exame",B2:I2,"&lt;&gt;exame",B2:I2,"&lt;&gt;Nota",B2:I2,"&lt;&gt;Total"),"")</f>
        <v/>
      </c>
      <c r="K110" s="2" t="str">
        <f>IF(AND(A110&lt;&gt;"",J110&lt;&gt;""),ROUND(J110,0),"")</f>
        <v/>
      </c>
    </row>
    <row r="111" spans="2:11" x14ac:dyDescent="0.3">
      <c r="B111" s="2" t="str">
        <f>IFERROR(IF(A111&lt;&gt;"",VLOOKUP(Alunos!A111,Exame!A3:D250,4, FALSE),""), "")</f>
        <v/>
      </c>
      <c r="C111" s="2" t="str">
        <f>IF(A111&lt;&gt;"",VLOOKUP(Alunos!A111,Agrupamentos!A3:B250,2, FALSE),"")</f>
        <v/>
      </c>
      <c r="D111" s="2" t="str">
        <f>IFERROR(IF(A111&lt;&gt;"",VLOOKUP(Alunos!C111,FDGDF!A3:D250,4, FALSE),""),"")</f>
        <v/>
      </c>
      <c r="E111" s="2" t="str">
        <f>IF(A111&lt;&gt;"",VLOOKUP(Alunos!A111,Agrupamentos!A3:B250,2, FALSE),"")</f>
        <v/>
      </c>
      <c r="F111" s="2" t="str">
        <f>IFERROR(IF(A111&lt;&gt;"",VLOOKUP(Alunos!E111,SDASD!A3:D250,4, FALSE),""),"")</f>
        <v/>
      </c>
      <c r="G111" s="2" t="str">
        <f>IF(A111&lt;&gt;"", SUMIF(B1:F1,"&lt;&gt;",B111:F111),"")</f>
        <v/>
      </c>
      <c r="H111" s="2" t="str">
        <f>IF(AND(A111&lt;&gt;"",G111&lt;&gt;""),ROUND(G111,0),"")</f>
        <v/>
      </c>
      <c r="I111" s="2" t="str">
        <f>IFERROR(IF(A111&lt;&gt;"",VLOOKUP(Alunos!A111,Recurso!A3:D250,4, FALSE),""), "")</f>
        <v/>
      </c>
      <c r="J111" s="2" t="str">
        <f>IF(AND(A111&lt;&gt;"",I111&lt;&gt;""), SUMIFS(B111:I111,B1:I1,"&lt;&gt;",B2:I2,"&lt;&gt;Exame",B2:I2,"&lt;&gt;exame",B2:I2,"&lt;&gt;Nota",B2:I2,"&lt;&gt;Total"),"")</f>
        <v/>
      </c>
      <c r="K111" s="2" t="str">
        <f>IF(AND(A111&lt;&gt;"",J111&lt;&gt;""),ROUND(J111,0),"")</f>
        <v/>
      </c>
    </row>
    <row r="112" spans="2:11" x14ac:dyDescent="0.3">
      <c r="B112" s="2" t="str">
        <f>IFERROR(IF(A112&lt;&gt;"",VLOOKUP(Alunos!A112,Exame!A3:D250,4, FALSE),""), "")</f>
        <v/>
      </c>
      <c r="C112" s="2" t="str">
        <f>IF(A112&lt;&gt;"",VLOOKUP(Alunos!A112,Agrupamentos!A3:B250,2, FALSE),"")</f>
        <v/>
      </c>
      <c r="D112" s="2" t="str">
        <f>IFERROR(IF(A112&lt;&gt;"",VLOOKUP(Alunos!C112,FDGDF!A3:D250,4, FALSE),""),"")</f>
        <v/>
      </c>
      <c r="E112" s="2" t="str">
        <f>IF(A112&lt;&gt;"",VLOOKUP(Alunos!A112,Agrupamentos!A3:B250,2, FALSE),"")</f>
        <v/>
      </c>
      <c r="F112" s="2" t="str">
        <f>IFERROR(IF(A112&lt;&gt;"",VLOOKUP(Alunos!E112,SDASD!A3:D250,4, FALSE),""),"")</f>
        <v/>
      </c>
      <c r="G112" s="2" t="str">
        <f>IF(A112&lt;&gt;"", SUMIF(B1:F1,"&lt;&gt;",B112:F112),"")</f>
        <v/>
      </c>
      <c r="H112" s="2" t="str">
        <f>IF(AND(A112&lt;&gt;"",G112&lt;&gt;""),ROUND(G112,0),"")</f>
        <v/>
      </c>
      <c r="I112" s="2" t="str">
        <f>IFERROR(IF(A112&lt;&gt;"",VLOOKUP(Alunos!A112,Recurso!A3:D250,4, FALSE),""), "")</f>
        <v/>
      </c>
      <c r="J112" s="2" t="str">
        <f>IF(AND(A112&lt;&gt;"",I112&lt;&gt;""), SUMIFS(B112:I112,B1:I1,"&lt;&gt;",B2:I2,"&lt;&gt;Exame",B2:I2,"&lt;&gt;exame",B2:I2,"&lt;&gt;Nota",B2:I2,"&lt;&gt;Total"),"")</f>
        <v/>
      </c>
      <c r="K112" s="2" t="str">
        <f>IF(AND(A112&lt;&gt;"",J112&lt;&gt;""),ROUND(J112,0),"")</f>
        <v/>
      </c>
    </row>
    <row r="113" spans="2:11" x14ac:dyDescent="0.3">
      <c r="B113" s="2" t="str">
        <f>IFERROR(IF(A113&lt;&gt;"",VLOOKUP(Alunos!A113,Exame!A3:D250,4, FALSE),""), "")</f>
        <v/>
      </c>
      <c r="C113" s="2" t="str">
        <f>IF(A113&lt;&gt;"",VLOOKUP(Alunos!A113,Agrupamentos!A3:B250,2, FALSE),"")</f>
        <v/>
      </c>
      <c r="D113" s="2" t="str">
        <f>IFERROR(IF(A113&lt;&gt;"",VLOOKUP(Alunos!C113,FDGDF!A3:D250,4, FALSE),""),"")</f>
        <v/>
      </c>
      <c r="E113" s="2" t="str">
        <f>IF(A113&lt;&gt;"",VLOOKUP(Alunos!A113,Agrupamentos!A3:B250,2, FALSE),"")</f>
        <v/>
      </c>
      <c r="F113" s="2" t="str">
        <f>IFERROR(IF(A113&lt;&gt;"",VLOOKUP(Alunos!E113,SDASD!A3:D250,4, FALSE),""),"")</f>
        <v/>
      </c>
      <c r="G113" s="2" t="str">
        <f>IF(A113&lt;&gt;"", SUMIF(B1:F1,"&lt;&gt;",B113:F113),"")</f>
        <v/>
      </c>
      <c r="H113" s="2" t="str">
        <f>IF(AND(A113&lt;&gt;"",G113&lt;&gt;""),ROUND(G113,0),"")</f>
        <v/>
      </c>
      <c r="I113" s="2" t="str">
        <f>IFERROR(IF(A113&lt;&gt;"",VLOOKUP(Alunos!A113,Recurso!A3:D250,4, FALSE),""), "")</f>
        <v/>
      </c>
      <c r="J113" s="2" t="str">
        <f>IF(AND(A113&lt;&gt;"",I113&lt;&gt;""), SUMIFS(B113:I113,B1:I1,"&lt;&gt;",B2:I2,"&lt;&gt;Exame",B2:I2,"&lt;&gt;exame",B2:I2,"&lt;&gt;Nota",B2:I2,"&lt;&gt;Total"),"")</f>
        <v/>
      </c>
      <c r="K113" s="2" t="str">
        <f>IF(AND(A113&lt;&gt;"",J113&lt;&gt;""),ROUND(J113,0),"")</f>
        <v/>
      </c>
    </row>
    <row r="114" spans="2:11" x14ac:dyDescent="0.3">
      <c r="B114" s="2" t="str">
        <f>IFERROR(IF(A114&lt;&gt;"",VLOOKUP(Alunos!A114,Exame!A3:D250,4, FALSE),""), "")</f>
        <v/>
      </c>
      <c r="C114" s="2" t="str">
        <f>IF(A114&lt;&gt;"",VLOOKUP(Alunos!A114,Agrupamentos!A3:B250,2, FALSE),"")</f>
        <v/>
      </c>
      <c r="D114" s="2" t="str">
        <f>IFERROR(IF(A114&lt;&gt;"",VLOOKUP(Alunos!C114,FDGDF!A3:D250,4, FALSE),""),"")</f>
        <v/>
      </c>
      <c r="E114" s="2" t="str">
        <f>IF(A114&lt;&gt;"",VLOOKUP(Alunos!A114,Agrupamentos!A3:B250,2, FALSE),"")</f>
        <v/>
      </c>
      <c r="F114" s="2" t="str">
        <f>IFERROR(IF(A114&lt;&gt;"",VLOOKUP(Alunos!E114,SDASD!A3:D250,4, FALSE),""),"")</f>
        <v/>
      </c>
      <c r="G114" s="2" t="str">
        <f>IF(A114&lt;&gt;"", SUMIF(B1:F1,"&lt;&gt;",B114:F114),"")</f>
        <v/>
      </c>
      <c r="H114" s="2" t="str">
        <f>IF(AND(A114&lt;&gt;"",G114&lt;&gt;""),ROUND(G114,0),"")</f>
        <v/>
      </c>
      <c r="I114" s="2" t="str">
        <f>IFERROR(IF(A114&lt;&gt;"",VLOOKUP(Alunos!A114,Recurso!A3:D250,4, FALSE),""), "")</f>
        <v/>
      </c>
      <c r="J114" s="2" t="str">
        <f>IF(AND(A114&lt;&gt;"",I114&lt;&gt;""), SUMIFS(B114:I114,B1:I1,"&lt;&gt;",B2:I2,"&lt;&gt;Exame",B2:I2,"&lt;&gt;exame",B2:I2,"&lt;&gt;Nota",B2:I2,"&lt;&gt;Total"),"")</f>
        <v/>
      </c>
      <c r="K114" s="2" t="str">
        <f>IF(AND(A114&lt;&gt;"",J114&lt;&gt;""),ROUND(J114,0),"")</f>
        <v/>
      </c>
    </row>
    <row r="115" spans="2:11" x14ac:dyDescent="0.3">
      <c r="B115" s="2" t="str">
        <f>IFERROR(IF(A115&lt;&gt;"",VLOOKUP(Alunos!A115,Exame!A3:D250,4, FALSE),""), "")</f>
        <v/>
      </c>
      <c r="C115" s="2" t="str">
        <f>IF(A115&lt;&gt;"",VLOOKUP(Alunos!A115,Agrupamentos!A3:B250,2, FALSE),"")</f>
        <v/>
      </c>
      <c r="D115" s="2" t="str">
        <f>IFERROR(IF(A115&lt;&gt;"",VLOOKUP(Alunos!C115,FDGDF!A3:D250,4, FALSE),""),"")</f>
        <v/>
      </c>
      <c r="E115" s="2" t="str">
        <f>IF(A115&lt;&gt;"",VLOOKUP(Alunos!A115,Agrupamentos!A3:B250,2, FALSE),"")</f>
        <v/>
      </c>
      <c r="F115" s="2" t="str">
        <f>IFERROR(IF(A115&lt;&gt;"",VLOOKUP(Alunos!E115,SDASD!A3:D250,4, FALSE),""),"")</f>
        <v/>
      </c>
      <c r="G115" s="2" t="str">
        <f>IF(A115&lt;&gt;"", SUMIF(B1:F1,"&lt;&gt;",B115:F115),"")</f>
        <v/>
      </c>
      <c r="H115" s="2" t="str">
        <f>IF(AND(A115&lt;&gt;"",G115&lt;&gt;""),ROUND(G115,0),"")</f>
        <v/>
      </c>
      <c r="I115" s="2" t="str">
        <f>IFERROR(IF(A115&lt;&gt;"",VLOOKUP(Alunos!A115,Recurso!A3:D250,4, FALSE),""), "")</f>
        <v/>
      </c>
      <c r="J115" s="2" t="str">
        <f>IF(AND(A115&lt;&gt;"",I115&lt;&gt;""), SUMIFS(B115:I115,B1:I1,"&lt;&gt;",B2:I2,"&lt;&gt;Exame",B2:I2,"&lt;&gt;exame",B2:I2,"&lt;&gt;Nota",B2:I2,"&lt;&gt;Total"),"")</f>
        <v/>
      </c>
      <c r="K115" s="2" t="str">
        <f>IF(AND(A115&lt;&gt;"",J115&lt;&gt;""),ROUND(J115,0),"")</f>
        <v/>
      </c>
    </row>
    <row r="116" spans="2:11" x14ac:dyDescent="0.3">
      <c r="B116" s="2" t="str">
        <f>IFERROR(IF(A116&lt;&gt;"",VLOOKUP(Alunos!A116,Exame!A3:D250,4, FALSE),""), "")</f>
        <v/>
      </c>
      <c r="C116" s="2" t="str">
        <f>IF(A116&lt;&gt;"",VLOOKUP(Alunos!A116,Agrupamentos!A3:B250,2, FALSE),"")</f>
        <v/>
      </c>
      <c r="D116" s="2" t="str">
        <f>IFERROR(IF(A116&lt;&gt;"",VLOOKUP(Alunos!C116,FDGDF!A3:D250,4, FALSE),""),"")</f>
        <v/>
      </c>
      <c r="E116" s="2" t="str">
        <f>IF(A116&lt;&gt;"",VLOOKUP(Alunos!A116,Agrupamentos!A3:B250,2, FALSE),"")</f>
        <v/>
      </c>
      <c r="F116" s="2" t="str">
        <f>IFERROR(IF(A116&lt;&gt;"",VLOOKUP(Alunos!E116,SDASD!A3:D250,4, FALSE),""),"")</f>
        <v/>
      </c>
      <c r="G116" s="2" t="str">
        <f>IF(A116&lt;&gt;"", SUMIF(B1:F1,"&lt;&gt;",B116:F116),"")</f>
        <v/>
      </c>
      <c r="H116" s="2" t="str">
        <f>IF(AND(A116&lt;&gt;"",G116&lt;&gt;""),ROUND(G116,0),"")</f>
        <v/>
      </c>
      <c r="I116" s="2" t="str">
        <f>IFERROR(IF(A116&lt;&gt;"",VLOOKUP(Alunos!A116,Recurso!A3:D250,4, FALSE),""), "")</f>
        <v/>
      </c>
      <c r="J116" s="2" t="str">
        <f>IF(AND(A116&lt;&gt;"",I116&lt;&gt;""), SUMIFS(B116:I116,B1:I1,"&lt;&gt;",B2:I2,"&lt;&gt;Exame",B2:I2,"&lt;&gt;exame",B2:I2,"&lt;&gt;Nota",B2:I2,"&lt;&gt;Total"),"")</f>
        <v/>
      </c>
      <c r="K116" s="2" t="str">
        <f>IF(AND(A116&lt;&gt;"",J116&lt;&gt;""),ROUND(J116,0),"")</f>
        <v/>
      </c>
    </row>
    <row r="117" spans="2:11" x14ac:dyDescent="0.3">
      <c r="B117" s="2" t="str">
        <f>IFERROR(IF(A117&lt;&gt;"",VLOOKUP(Alunos!A117,Exame!A3:D250,4, FALSE),""), "")</f>
        <v/>
      </c>
      <c r="C117" s="2" t="str">
        <f>IF(A117&lt;&gt;"",VLOOKUP(Alunos!A117,Agrupamentos!A3:B250,2, FALSE),"")</f>
        <v/>
      </c>
      <c r="D117" s="2" t="str">
        <f>IFERROR(IF(A117&lt;&gt;"",VLOOKUP(Alunos!C117,FDGDF!A3:D250,4, FALSE),""),"")</f>
        <v/>
      </c>
      <c r="E117" s="2" t="str">
        <f>IF(A117&lt;&gt;"",VLOOKUP(Alunos!A117,Agrupamentos!A3:B250,2, FALSE),"")</f>
        <v/>
      </c>
      <c r="F117" s="2" t="str">
        <f>IFERROR(IF(A117&lt;&gt;"",VLOOKUP(Alunos!E117,SDASD!A3:D250,4, FALSE),""),"")</f>
        <v/>
      </c>
      <c r="G117" s="2" t="str">
        <f>IF(A117&lt;&gt;"", SUMIF(B1:F1,"&lt;&gt;",B117:F117),"")</f>
        <v/>
      </c>
      <c r="H117" s="2" t="str">
        <f>IF(AND(A117&lt;&gt;"",G117&lt;&gt;""),ROUND(G117,0),"")</f>
        <v/>
      </c>
      <c r="I117" s="2" t="str">
        <f>IFERROR(IF(A117&lt;&gt;"",VLOOKUP(Alunos!A117,Recurso!A3:D250,4, FALSE),""), "")</f>
        <v/>
      </c>
      <c r="J117" s="2" t="str">
        <f>IF(AND(A117&lt;&gt;"",I117&lt;&gt;""), SUMIFS(B117:I117,B1:I1,"&lt;&gt;",B2:I2,"&lt;&gt;Exame",B2:I2,"&lt;&gt;exame",B2:I2,"&lt;&gt;Nota",B2:I2,"&lt;&gt;Total"),"")</f>
        <v/>
      </c>
      <c r="K117" s="2" t="str">
        <f>IF(AND(A117&lt;&gt;"",J117&lt;&gt;""),ROUND(J117,0),"")</f>
        <v/>
      </c>
    </row>
    <row r="118" spans="2:11" x14ac:dyDescent="0.3">
      <c r="B118" s="2" t="str">
        <f>IFERROR(IF(A118&lt;&gt;"",VLOOKUP(Alunos!A118,Exame!A3:D250,4, FALSE),""), "")</f>
        <v/>
      </c>
      <c r="C118" s="2" t="str">
        <f>IF(A118&lt;&gt;"",VLOOKUP(Alunos!A118,Agrupamentos!A3:B250,2, FALSE),"")</f>
        <v/>
      </c>
      <c r="D118" s="2" t="str">
        <f>IFERROR(IF(A118&lt;&gt;"",VLOOKUP(Alunos!C118,FDGDF!A3:D250,4, FALSE),""),"")</f>
        <v/>
      </c>
      <c r="E118" s="2" t="str">
        <f>IF(A118&lt;&gt;"",VLOOKUP(Alunos!A118,Agrupamentos!A3:B250,2, FALSE),"")</f>
        <v/>
      </c>
      <c r="F118" s="2" t="str">
        <f>IFERROR(IF(A118&lt;&gt;"",VLOOKUP(Alunos!E118,SDASD!A3:D250,4, FALSE),""),"")</f>
        <v/>
      </c>
      <c r="G118" s="2" t="str">
        <f>IF(A118&lt;&gt;"", SUMIF(B1:F1,"&lt;&gt;",B118:F118),"")</f>
        <v/>
      </c>
      <c r="H118" s="2" t="str">
        <f>IF(AND(A118&lt;&gt;"",G118&lt;&gt;""),ROUND(G118,0),"")</f>
        <v/>
      </c>
      <c r="I118" s="2" t="str">
        <f>IFERROR(IF(A118&lt;&gt;"",VLOOKUP(Alunos!A118,Recurso!A3:D250,4, FALSE),""), "")</f>
        <v/>
      </c>
      <c r="J118" s="2" t="str">
        <f>IF(AND(A118&lt;&gt;"",I118&lt;&gt;""), SUMIFS(B118:I118,B1:I1,"&lt;&gt;",B2:I2,"&lt;&gt;Exame",B2:I2,"&lt;&gt;exame",B2:I2,"&lt;&gt;Nota",B2:I2,"&lt;&gt;Total"),"")</f>
        <v/>
      </c>
      <c r="K118" s="2" t="str">
        <f>IF(AND(A118&lt;&gt;"",J118&lt;&gt;""),ROUND(J118,0),"")</f>
        <v/>
      </c>
    </row>
    <row r="119" spans="2:11" x14ac:dyDescent="0.3">
      <c r="B119" s="2" t="str">
        <f>IFERROR(IF(A119&lt;&gt;"",VLOOKUP(Alunos!A119,Exame!A3:D250,4, FALSE),""), "")</f>
        <v/>
      </c>
      <c r="C119" s="2" t="str">
        <f>IF(A119&lt;&gt;"",VLOOKUP(Alunos!A119,Agrupamentos!A3:B250,2, FALSE),"")</f>
        <v/>
      </c>
      <c r="D119" s="2" t="str">
        <f>IFERROR(IF(A119&lt;&gt;"",VLOOKUP(Alunos!C119,FDGDF!A3:D250,4, FALSE),""),"")</f>
        <v/>
      </c>
      <c r="E119" s="2" t="str">
        <f>IF(A119&lt;&gt;"",VLOOKUP(Alunos!A119,Agrupamentos!A3:B250,2, FALSE),"")</f>
        <v/>
      </c>
      <c r="F119" s="2" t="str">
        <f>IFERROR(IF(A119&lt;&gt;"",VLOOKUP(Alunos!E119,SDASD!A3:D250,4, FALSE),""),"")</f>
        <v/>
      </c>
      <c r="G119" s="2" t="str">
        <f>IF(A119&lt;&gt;"", SUMIF(B1:F1,"&lt;&gt;",B119:F119),"")</f>
        <v/>
      </c>
      <c r="H119" s="2" t="str">
        <f>IF(AND(A119&lt;&gt;"",G119&lt;&gt;""),ROUND(G119,0),"")</f>
        <v/>
      </c>
      <c r="I119" s="2" t="str">
        <f>IFERROR(IF(A119&lt;&gt;"",VLOOKUP(Alunos!A119,Recurso!A3:D250,4, FALSE),""), "")</f>
        <v/>
      </c>
      <c r="J119" s="2" t="str">
        <f>IF(AND(A119&lt;&gt;"",I119&lt;&gt;""), SUMIFS(B119:I119,B1:I1,"&lt;&gt;",B2:I2,"&lt;&gt;Exame",B2:I2,"&lt;&gt;exame",B2:I2,"&lt;&gt;Nota",B2:I2,"&lt;&gt;Total"),"")</f>
        <v/>
      </c>
      <c r="K119" s="2" t="str">
        <f>IF(AND(A119&lt;&gt;"",J119&lt;&gt;""),ROUND(J119,0),"")</f>
        <v/>
      </c>
    </row>
    <row r="120" spans="2:11" x14ac:dyDescent="0.3">
      <c r="B120" s="2" t="str">
        <f>IFERROR(IF(A120&lt;&gt;"",VLOOKUP(Alunos!A120,Exame!A3:D250,4, FALSE),""), "")</f>
        <v/>
      </c>
      <c r="C120" s="2" t="str">
        <f>IF(A120&lt;&gt;"",VLOOKUP(Alunos!A120,Agrupamentos!A3:B250,2, FALSE),"")</f>
        <v/>
      </c>
      <c r="D120" s="2" t="str">
        <f>IFERROR(IF(A120&lt;&gt;"",VLOOKUP(Alunos!C120,FDGDF!A3:D250,4, FALSE),""),"")</f>
        <v/>
      </c>
      <c r="E120" s="2" t="str">
        <f>IF(A120&lt;&gt;"",VLOOKUP(Alunos!A120,Agrupamentos!A3:B250,2, FALSE),"")</f>
        <v/>
      </c>
      <c r="F120" s="2" t="str">
        <f>IFERROR(IF(A120&lt;&gt;"",VLOOKUP(Alunos!E120,SDASD!A3:D250,4, FALSE),""),"")</f>
        <v/>
      </c>
      <c r="G120" s="2" t="str">
        <f>IF(A120&lt;&gt;"", SUMIF(B1:F1,"&lt;&gt;",B120:F120),"")</f>
        <v/>
      </c>
      <c r="H120" s="2" t="str">
        <f>IF(AND(A120&lt;&gt;"",G120&lt;&gt;""),ROUND(G120,0),"")</f>
        <v/>
      </c>
      <c r="I120" s="2" t="str">
        <f>IFERROR(IF(A120&lt;&gt;"",VLOOKUP(Alunos!A120,Recurso!A3:D250,4, FALSE),""), "")</f>
        <v/>
      </c>
      <c r="J120" s="2" t="str">
        <f>IF(AND(A120&lt;&gt;"",I120&lt;&gt;""), SUMIFS(B120:I120,B1:I1,"&lt;&gt;",B2:I2,"&lt;&gt;Exame",B2:I2,"&lt;&gt;exame",B2:I2,"&lt;&gt;Nota",B2:I2,"&lt;&gt;Total"),"")</f>
        <v/>
      </c>
      <c r="K120" s="2" t="str">
        <f>IF(AND(A120&lt;&gt;"",J120&lt;&gt;""),ROUND(J120,0),"")</f>
        <v/>
      </c>
    </row>
    <row r="121" spans="2:11" x14ac:dyDescent="0.3">
      <c r="B121" s="2" t="str">
        <f>IFERROR(IF(A121&lt;&gt;"",VLOOKUP(Alunos!A121,Exame!A3:D250,4, FALSE),""), "")</f>
        <v/>
      </c>
      <c r="C121" s="2" t="str">
        <f>IF(A121&lt;&gt;"",VLOOKUP(Alunos!A121,Agrupamentos!A3:B250,2, FALSE),"")</f>
        <v/>
      </c>
      <c r="D121" s="2" t="str">
        <f>IFERROR(IF(A121&lt;&gt;"",VLOOKUP(Alunos!C121,FDGDF!A3:D250,4, FALSE),""),"")</f>
        <v/>
      </c>
      <c r="E121" s="2" t="str">
        <f>IF(A121&lt;&gt;"",VLOOKUP(Alunos!A121,Agrupamentos!A3:B250,2, FALSE),"")</f>
        <v/>
      </c>
      <c r="F121" s="2" t="str">
        <f>IFERROR(IF(A121&lt;&gt;"",VLOOKUP(Alunos!E121,SDASD!A3:D250,4, FALSE),""),"")</f>
        <v/>
      </c>
      <c r="G121" s="2" t="str">
        <f>IF(A121&lt;&gt;"", SUMIF(B1:F1,"&lt;&gt;",B121:F121),"")</f>
        <v/>
      </c>
      <c r="H121" s="2" t="str">
        <f>IF(AND(A121&lt;&gt;"",G121&lt;&gt;""),ROUND(G121,0),"")</f>
        <v/>
      </c>
      <c r="I121" s="2" t="str">
        <f>IFERROR(IF(A121&lt;&gt;"",VLOOKUP(Alunos!A121,Recurso!A3:D250,4, FALSE),""), "")</f>
        <v/>
      </c>
      <c r="J121" s="2" t="str">
        <f>IF(AND(A121&lt;&gt;"",I121&lt;&gt;""), SUMIFS(B121:I121,B1:I1,"&lt;&gt;",B2:I2,"&lt;&gt;Exame",B2:I2,"&lt;&gt;exame",B2:I2,"&lt;&gt;Nota",B2:I2,"&lt;&gt;Total"),"")</f>
        <v/>
      </c>
      <c r="K121" s="2" t="str">
        <f>IF(AND(A121&lt;&gt;"",J121&lt;&gt;""),ROUND(J121,0),"")</f>
        <v/>
      </c>
    </row>
    <row r="122" spans="2:11" x14ac:dyDescent="0.3">
      <c r="B122" s="2" t="str">
        <f>IFERROR(IF(A122&lt;&gt;"",VLOOKUP(Alunos!A122,Exame!A3:D250,4, FALSE),""), "")</f>
        <v/>
      </c>
      <c r="C122" s="2" t="str">
        <f>IF(A122&lt;&gt;"",VLOOKUP(Alunos!A122,Agrupamentos!A3:B250,2, FALSE),"")</f>
        <v/>
      </c>
      <c r="D122" s="2" t="str">
        <f>IFERROR(IF(A122&lt;&gt;"",VLOOKUP(Alunos!C122,FDGDF!A3:D250,4, FALSE),""),"")</f>
        <v/>
      </c>
      <c r="E122" s="2" t="str">
        <f>IF(A122&lt;&gt;"",VLOOKUP(Alunos!A122,Agrupamentos!A3:B250,2, FALSE),"")</f>
        <v/>
      </c>
      <c r="F122" s="2" t="str">
        <f>IFERROR(IF(A122&lt;&gt;"",VLOOKUP(Alunos!E122,SDASD!A3:D250,4, FALSE),""),"")</f>
        <v/>
      </c>
      <c r="G122" s="2" t="str">
        <f>IF(A122&lt;&gt;"", SUMIF(B1:F1,"&lt;&gt;",B122:F122),"")</f>
        <v/>
      </c>
      <c r="H122" s="2" t="str">
        <f>IF(AND(A122&lt;&gt;"",G122&lt;&gt;""),ROUND(G122,0),"")</f>
        <v/>
      </c>
      <c r="I122" s="2" t="str">
        <f>IFERROR(IF(A122&lt;&gt;"",VLOOKUP(Alunos!A122,Recurso!A3:D250,4, FALSE),""), "")</f>
        <v/>
      </c>
      <c r="J122" s="2" t="str">
        <f>IF(AND(A122&lt;&gt;"",I122&lt;&gt;""), SUMIFS(B122:I122,B1:I1,"&lt;&gt;",B2:I2,"&lt;&gt;Exame",B2:I2,"&lt;&gt;exame",B2:I2,"&lt;&gt;Nota",B2:I2,"&lt;&gt;Total"),"")</f>
        <v/>
      </c>
      <c r="K122" s="2" t="str">
        <f>IF(AND(A122&lt;&gt;"",J122&lt;&gt;""),ROUND(J122,0),"")</f>
        <v/>
      </c>
    </row>
    <row r="123" spans="2:11" x14ac:dyDescent="0.3">
      <c r="B123" s="2" t="str">
        <f>IFERROR(IF(A123&lt;&gt;"",VLOOKUP(Alunos!A123,Exame!A3:D250,4, FALSE),""), "")</f>
        <v/>
      </c>
      <c r="C123" s="2" t="str">
        <f>IF(A123&lt;&gt;"",VLOOKUP(Alunos!A123,Agrupamentos!A3:B250,2, FALSE),"")</f>
        <v/>
      </c>
      <c r="D123" s="2" t="str">
        <f>IFERROR(IF(A123&lt;&gt;"",VLOOKUP(Alunos!C123,FDGDF!A3:D250,4, FALSE),""),"")</f>
        <v/>
      </c>
      <c r="E123" s="2" t="str">
        <f>IF(A123&lt;&gt;"",VLOOKUP(Alunos!A123,Agrupamentos!A3:B250,2, FALSE),"")</f>
        <v/>
      </c>
      <c r="F123" s="2" t="str">
        <f>IFERROR(IF(A123&lt;&gt;"",VLOOKUP(Alunos!E123,SDASD!A3:D250,4, FALSE),""),"")</f>
        <v/>
      </c>
      <c r="G123" s="2" t="str">
        <f>IF(A123&lt;&gt;"", SUMIF(B1:F1,"&lt;&gt;",B123:F123),"")</f>
        <v/>
      </c>
      <c r="H123" s="2" t="str">
        <f>IF(AND(A123&lt;&gt;"",G123&lt;&gt;""),ROUND(G123,0),"")</f>
        <v/>
      </c>
      <c r="I123" s="2" t="str">
        <f>IFERROR(IF(A123&lt;&gt;"",VLOOKUP(Alunos!A123,Recurso!A3:D250,4, FALSE),""), "")</f>
        <v/>
      </c>
      <c r="J123" s="2" t="str">
        <f>IF(AND(A123&lt;&gt;"",I123&lt;&gt;""), SUMIFS(B123:I123,B1:I1,"&lt;&gt;",B2:I2,"&lt;&gt;Exame",B2:I2,"&lt;&gt;exame",B2:I2,"&lt;&gt;Nota",B2:I2,"&lt;&gt;Total"),"")</f>
        <v/>
      </c>
      <c r="K123" s="2" t="str">
        <f>IF(AND(A123&lt;&gt;"",J123&lt;&gt;""),ROUND(J123,0),"")</f>
        <v/>
      </c>
    </row>
    <row r="124" spans="2:11" x14ac:dyDescent="0.3">
      <c r="B124" s="2" t="str">
        <f>IFERROR(IF(A124&lt;&gt;"",VLOOKUP(Alunos!A124,Exame!A3:D250,4, FALSE),""), "")</f>
        <v/>
      </c>
      <c r="C124" s="2" t="str">
        <f>IF(A124&lt;&gt;"",VLOOKUP(Alunos!A124,Agrupamentos!A3:B250,2, FALSE),"")</f>
        <v/>
      </c>
      <c r="D124" s="2" t="str">
        <f>IFERROR(IF(A124&lt;&gt;"",VLOOKUP(Alunos!C124,FDGDF!A3:D250,4, FALSE),""),"")</f>
        <v/>
      </c>
      <c r="E124" s="2" t="str">
        <f>IF(A124&lt;&gt;"",VLOOKUP(Alunos!A124,Agrupamentos!A3:B250,2, FALSE),"")</f>
        <v/>
      </c>
      <c r="F124" s="2" t="str">
        <f>IFERROR(IF(A124&lt;&gt;"",VLOOKUP(Alunos!E124,SDASD!A3:D250,4, FALSE),""),"")</f>
        <v/>
      </c>
      <c r="G124" s="2" t="str">
        <f>IF(A124&lt;&gt;"", SUMIF(B1:F1,"&lt;&gt;",B124:F124),"")</f>
        <v/>
      </c>
      <c r="H124" s="2" t="str">
        <f>IF(AND(A124&lt;&gt;"",G124&lt;&gt;""),ROUND(G124,0),"")</f>
        <v/>
      </c>
      <c r="I124" s="2" t="str">
        <f>IFERROR(IF(A124&lt;&gt;"",VLOOKUP(Alunos!A124,Recurso!A3:D250,4, FALSE),""), "")</f>
        <v/>
      </c>
      <c r="J124" s="2" t="str">
        <f>IF(AND(A124&lt;&gt;"",I124&lt;&gt;""), SUMIFS(B124:I124,B1:I1,"&lt;&gt;",B2:I2,"&lt;&gt;Exame",B2:I2,"&lt;&gt;exame",B2:I2,"&lt;&gt;Nota",B2:I2,"&lt;&gt;Total"),"")</f>
        <v/>
      </c>
      <c r="K124" s="2" t="str">
        <f>IF(AND(A124&lt;&gt;"",J124&lt;&gt;""),ROUND(J124,0),"")</f>
        <v/>
      </c>
    </row>
    <row r="125" spans="2:11" x14ac:dyDescent="0.3">
      <c r="B125" s="2" t="str">
        <f>IFERROR(IF(A125&lt;&gt;"",VLOOKUP(Alunos!A125,Exame!A3:D250,4, FALSE),""), "")</f>
        <v/>
      </c>
      <c r="C125" s="2" t="str">
        <f>IF(A125&lt;&gt;"",VLOOKUP(Alunos!A125,Agrupamentos!A3:B250,2, FALSE),"")</f>
        <v/>
      </c>
      <c r="D125" s="2" t="str">
        <f>IFERROR(IF(A125&lt;&gt;"",VLOOKUP(Alunos!C125,FDGDF!A3:D250,4, FALSE),""),"")</f>
        <v/>
      </c>
      <c r="E125" s="2" t="str">
        <f>IF(A125&lt;&gt;"",VLOOKUP(Alunos!A125,Agrupamentos!A3:B250,2, FALSE),"")</f>
        <v/>
      </c>
      <c r="F125" s="2" t="str">
        <f>IFERROR(IF(A125&lt;&gt;"",VLOOKUP(Alunos!E125,SDASD!A3:D250,4, FALSE),""),"")</f>
        <v/>
      </c>
      <c r="G125" s="2" t="str">
        <f>IF(A125&lt;&gt;"", SUMIF(B1:F1,"&lt;&gt;",B125:F125),"")</f>
        <v/>
      </c>
      <c r="H125" s="2" t="str">
        <f>IF(AND(A125&lt;&gt;"",G125&lt;&gt;""),ROUND(G125,0),"")</f>
        <v/>
      </c>
      <c r="I125" s="2" t="str">
        <f>IFERROR(IF(A125&lt;&gt;"",VLOOKUP(Alunos!A125,Recurso!A3:D250,4, FALSE),""), "")</f>
        <v/>
      </c>
      <c r="J125" s="2" t="str">
        <f>IF(AND(A125&lt;&gt;"",I125&lt;&gt;""), SUMIFS(B125:I125,B1:I1,"&lt;&gt;",B2:I2,"&lt;&gt;Exame",B2:I2,"&lt;&gt;exame",B2:I2,"&lt;&gt;Nota",B2:I2,"&lt;&gt;Total"),"")</f>
        <v/>
      </c>
      <c r="K125" s="2" t="str">
        <f>IF(AND(A125&lt;&gt;"",J125&lt;&gt;""),ROUND(J125,0),"")</f>
        <v/>
      </c>
    </row>
    <row r="126" spans="2:11" x14ac:dyDescent="0.3">
      <c r="B126" s="2" t="str">
        <f>IFERROR(IF(A126&lt;&gt;"",VLOOKUP(Alunos!A126,Exame!A3:D250,4, FALSE),""), "")</f>
        <v/>
      </c>
      <c r="C126" s="2" t="str">
        <f>IF(A126&lt;&gt;"",VLOOKUP(Alunos!A126,Agrupamentos!A3:B250,2, FALSE),"")</f>
        <v/>
      </c>
      <c r="D126" s="2" t="str">
        <f>IFERROR(IF(A126&lt;&gt;"",VLOOKUP(Alunos!C126,FDGDF!A3:D250,4, FALSE),""),"")</f>
        <v/>
      </c>
      <c r="E126" s="2" t="str">
        <f>IF(A126&lt;&gt;"",VLOOKUP(Alunos!A126,Agrupamentos!A3:B250,2, FALSE),"")</f>
        <v/>
      </c>
      <c r="F126" s="2" t="str">
        <f>IFERROR(IF(A126&lt;&gt;"",VLOOKUP(Alunos!E126,SDASD!A3:D250,4, FALSE),""),"")</f>
        <v/>
      </c>
      <c r="G126" s="2" t="str">
        <f>IF(A126&lt;&gt;"", SUMIF(B1:F1,"&lt;&gt;",B126:F126),"")</f>
        <v/>
      </c>
      <c r="H126" s="2" t="str">
        <f>IF(AND(A126&lt;&gt;"",G126&lt;&gt;""),ROUND(G126,0),"")</f>
        <v/>
      </c>
      <c r="I126" s="2" t="str">
        <f>IFERROR(IF(A126&lt;&gt;"",VLOOKUP(Alunos!A126,Recurso!A3:D250,4, FALSE),""), "")</f>
        <v/>
      </c>
      <c r="J126" s="2" t="str">
        <f>IF(AND(A126&lt;&gt;"",I126&lt;&gt;""), SUMIFS(B126:I126,B1:I1,"&lt;&gt;",B2:I2,"&lt;&gt;Exame",B2:I2,"&lt;&gt;exame",B2:I2,"&lt;&gt;Nota",B2:I2,"&lt;&gt;Total"),"")</f>
        <v/>
      </c>
      <c r="K126" s="2" t="str">
        <f>IF(AND(A126&lt;&gt;"",J126&lt;&gt;""),ROUND(J126,0),"")</f>
        <v/>
      </c>
    </row>
    <row r="127" spans="2:11" x14ac:dyDescent="0.3">
      <c r="B127" s="2" t="str">
        <f>IFERROR(IF(A127&lt;&gt;"",VLOOKUP(Alunos!A127,Exame!A3:D250,4, FALSE),""), "")</f>
        <v/>
      </c>
      <c r="C127" s="2" t="str">
        <f>IF(A127&lt;&gt;"",VLOOKUP(Alunos!A127,Agrupamentos!A3:B250,2, FALSE),"")</f>
        <v/>
      </c>
      <c r="D127" s="2" t="str">
        <f>IFERROR(IF(A127&lt;&gt;"",VLOOKUP(Alunos!C127,FDGDF!A3:D250,4, FALSE),""),"")</f>
        <v/>
      </c>
      <c r="E127" s="2" t="str">
        <f>IF(A127&lt;&gt;"",VLOOKUP(Alunos!A127,Agrupamentos!A3:B250,2, FALSE),"")</f>
        <v/>
      </c>
      <c r="F127" s="2" t="str">
        <f>IFERROR(IF(A127&lt;&gt;"",VLOOKUP(Alunos!E127,SDASD!A3:D250,4, FALSE),""),"")</f>
        <v/>
      </c>
      <c r="G127" s="2" t="str">
        <f>IF(A127&lt;&gt;"", SUMIF(B1:F1,"&lt;&gt;",B127:F127),"")</f>
        <v/>
      </c>
      <c r="H127" s="2" t="str">
        <f>IF(AND(A127&lt;&gt;"",G127&lt;&gt;""),ROUND(G127,0),"")</f>
        <v/>
      </c>
      <c r="I127" s="2" t="str">
        <f>IFERROR(IF(A127&lt;&gt;"",VLOOKUP(Alunos!A127,Recurso!A3:D250,4, FALSE),""), "")</f>
        <v/>
      </c>
      <c r="J127" s="2" t="str">
        <f>IF(AND(A127&lt;&gt;"",I127&lt;&gt;""), SUMIFS(B127:I127,B1:I1,"&lt;&gt;",B2:I2,"&lt;&gt;Exame",B2:I2,"&lt;&gt;exame",B2:I2,"&lt;&gt;Nota",B2:I2,"&lt;&gt;Total"),"")</f>
        <v/>
      </c>
      <c r="K127" s="2" t="str">
        <f>IF(AND(A127&lt;&gt;"",J127&lt;&gt;""),ROUND(J127,0),"")</f>
        <v/>
      </c>
    </row>
    <row r="128" spans="2:11" x14ac:dyDescent="0.3">
      <c r="B128" s="2" t="str">
        <f>IFERROR(IF(A128&lt;&gt;"",VLOOKUP(Alunos!A128,Exame!A3:D250,4, FALSE),""), "")</f>
        <v/>
      </c>
      <c r="C128" s="2" t="str">
        <f>IF(A128&lt;&gt;"",VLOOKUP(Alunos!A128,Agrupamentos!A3:B250,2, FALSE),"")</f>
        <v/>
      </c>
      <c r="D128" s="2" t="str">
        <f>IFERROR(IF(A128&lt;&gt;"",VLOOKUP(Alunos!C128,FDGDF!A3:D250,4, FALSE),""),"")</f>
        <v/>
      </c>
      <c r="E128" s="2" t="str">
        <f>IF(A128&lt;&gt;"",VLOOKUP(Alunos!A128,Agrupamentos!A3:B250,2, FALSE),"")</f>
        <v/>
      </c>
      <c r="F128" s="2" t="str">
        <f>IFERROR(IF(A128&lt;&gt;"",VLOOKUP(Alunos!E128,SDASD!A3:D250,4, FALSE),""),"")</f>
        <v/>
      </c>
      <c r="G128" s="2" t="str">
        <f>IF(A128&lt;&gt;"", SUMIF(B1:F1,"&lt;&gt;",B128:F128),"")</f>
        <v/>
      </c>
      <c r="H128" s="2" t="str">
        <f>IF(AND(A128&lt;&gt;"",G128&lt;&gt;""),ROUND(G128,0),"")</f>
        <v/>
      </c>
      <c r="I128" s="2" t="str">
        <f>IFERROR(IF(A128&lt;&gt;"",VLOOKUP(Alunos!A128,Recurso!A3:D250,4, FALSE),""), "")</f>
        <v/>
      </c>
      <c r="J128" s="2" t="str">
        <f>IF(AND(A128&lt;&gt;"",I128&lt;&gt;""), SUMIFS(B128:I128,B1:I1,"&lt;&gt;",B2:I2,"&lt;&gt;Exame",B2:I2,"&lt;&gt;exame",B2:I2,"&lt;&gt;Nota",B2:I2,"&lt;&gt;Total"),"")</f>
        <v/>
      </c>
      <c r="K128" s="2" t="str">
        <f>IF(AND(A128&lt;&gt;"",J128&lt;&gt;""),ROUND(J128,0),"")</f>
        <v/>
      </c>
    </row>
    <row r="129" spans="2:11" x14ac:dyDescent="0.3">
      <c r="B129" s="2" t="str">
        <f>IFERROR(IF(A129&lt;&gt;"",VLOOKUP(Alunos!A129,Exame!A3:D250,4, FALSE),""), "")</f>
        <v/>
      </c>
      <c r="C129" s="2" t="str">
        <f>IF(A129&lt;&gt;"",VLOOKUP(Alunos!A129,Agrupamentos!A3:B250,2, FALSE),"")</f>
        <v/>
      </c>
      <c r="D129" s="2" t="str">
        <f>IFERROR(IF(A129&lt;&gt;"",VLOOKUP(Alunos!C129,FDGDF!A3:D250,4, FALSE),""),"")</f>
        <v/>
      </c>
      <c r="E129" s="2" t="str">
        <f>IF(A129&lt;&gt;"",VLOOKUP(Alunos!A129,Agrupamentos!A3:B250,2, FALSE),"")</f>
        <v/>
      </c>
      <c r="F129" s="2" t="str">
        <f>IFERROR(IF(A129&lt;&gt;"",VLOOKUP(Alunos!E129,SDASD!A3:D250,4, FALSE),""),"")</f>
        <v/>
      </c>
      <c r="G129" s="2" t="str">
        <f>IF(A129&lt;&gt;"", SUMIF(B1:F1,"&lt;&gt;",B129:F129),"")</f>
        <v/>
      </c>
      <c r="H129" s="2" t="str">
        <f>IF(AND(A129&lt;&gt;"",G129&lt;&gt;""),ROUND(G129,0),"")</f>
        <v/>
      </c>
      <c r="I129" s="2" t="str">
        <f>IFERROR(IF(A129&lt;&gt;"",VLOOKUP(Alunos!A129,Recurso!A3:D250,4, FALSE),""), "")</f>
        <v/>
      </c>
      <c r="J129" s="2" t="str">
        <f>IF(AND(A129&lt;&gt;"",I129&lt;&gt;""), SUMIFS(B129:I129,B1:I1,"&lt;&gt;",B2:I2,"&lt;&gt;Exame",B2:I2,"&lt;&gt;exame",B2:I2,"&lt;&gt;Nota",B2:I2,"&lt;&gt;Total"),"")</f>
        <v/>
      </c>
      <c r="K129" s="2" t="str">
        <f>IF(AND(A129&lt;&gt;"",J129&lt;&gt;""),ROUND(J129,0),"")</f>
        <v/>
      </c>
    </row>
    <row r="130" spans="2:11" x14ac:dyDescent="0.3">
      <c r="B130" s="2" t="str">
        <f>IFERROR(IF(A130&lt;&gt;"",VLOOKUP(Alunos!A130,Exame!A3:D250,4, FALSE),""), "")</f>
        <v/>
      </c>
      <c r="C130" s="2" t="str">
        <f>IF(A130&lt;&gt;"",VLOOKUP(Alunos!A130,Agrupamentos!A3:B250,2, FALSE),"")</f>
        <v/>
      </c>
      <c r="D130" s="2" t="str">
        <f>IFERROR(IF(A130&lt;&gt;"",VLOOKUP(Alunos!C130,FDGDF!A3:D250,4, FALSE),""),"")</f>
        <v/>
      </c>
      <c r="E130" s="2" t="str">
        <f>IF(A130&lt;&gt;"",VLOOKUP(Alunos!A130,Agrupamentos!A3:B250,2, FALSE),"")</f>
        <v/>
      </c>
      <c r="F130" s="2" t="str">
        <f>IFERROR(IF(A130&lt;&gt;"",VLOOKUP(Alunos!E130,SDASD!A3:D250,4, FALSE),""),"")</f>
        <v/>
      </c>
      <c r="G130" s="2" t="str">
        <f>IF(A130&lt;&gt;"", SUMIF(B1:F1,"&lt;&gt;",B130:F130),"")</f>
        <v/>
      </c>
      <c r="H130" s="2" t="str">
        <f>IF(AND(A130&lt;&gt;"",G130&lt;&gt;""),ROUND(G130,0),"")</f>
        <v/>
      </c>
      <c r="I130" s="2" t="str">
        <f>IFERROR(IF(A130&lt;&gt;"",VLOOKUP(Alunos!A130,Recurso!A3:D250,4, FALSE),""), "")</f>
        <v/>
      </c>
      <c r="J130" s="2" t="str">
        <f>IF(AND(A130&lt;&gt;"",I130&lt;&gt;""), SUMIFS(B130:I130,B1:I1,"&lt;&gt;",B2:I2,"&lt;&gt;Exame",B2:I2,"&lt;&gt;exame",B2:I2,"&lt;&gt;Nota",B2:I2,"&lt;&gt;Total"),"")</f>
        <v/>
      </c>
      <c r="K130" s="2" t="str">
        <f>IF(AND(A130&lt;&gt;"",J130&lt;&gt;""),ROUND(J130,0),"")</f>
        <v/>
      </c>
    </row>
    <row r="131" spans="2:11" x14ac:dyDescent="0.3">
      <c r="B131" s="2" t="str">
        <f>IFERROR(IF(A131&lt;&gt;"",VLOOKUP(Alunos!A131,Exame!A3:D250,4, FALSE),""), "")</f>
        <v/>
      </c>
      <c r="C131" s="2" t="str">
        <f>IF(A131&lt;&gt;"",VLOOKUP(Alunos!A131,Agrupamentos!A3:B250,2, FALSE),"")</f>
        <v/>
      </c>
      <c r="D131" s="2" t="str">
        <f>IFERROR(IF(A131&lt;&gt;"",VLOOKUP(Alunos!C131,FDGDF!A3:D250,4, FALSE),""),"")</f>
        <v/>
      </c>
      <c r="E131" s="2" t="str">
        <f>IF(A131&lt;&gt;"",VLOOKUP(Alunos!A131,Agrupamentos!A3:B250,2, FALSE),"")</f>
        <v/>
      </c>
      <c r="F131" s="2" t="str">
        <f>IFERROR(IF(A131&lt;&gt;"",VLOOKUP(Alunos!E131,SDASD!A3:D250,4, FALSE),""),"")</f>
        <v/>
      </c>
      <c r="G131" s="2" t="str">
        <f>IF(A131&lt;&gt;"", SUMIF(B1:F1,"&lt;&gt;",B131:F131),"")</f>
        <v/>
      </c>
      <c r="H131" s="2" t="str">
        <f>IF(AND(A131&lt;&gt;"",G131&lt;&gt;""),ROUND(G131,0),"")</f>
        <v/>
      </c>
      <c r="I131" s="2" t="str">
        <f>IFERROR(IF(A131&lt;&gt;"",VLOOKUP(Alunos!A131,Recurso!A3:D250,4, FALSE),""), "")</f>
        <v/>
      </c>
      <c r="J131" s="2" t="str">
        <f>IF(AND(A131&lt;&gt;"",I131&lt;&gt;""), SUMIFS(B131:I131,B1:I1,"&lt;&gt;",B2:I2,"&lt;&gt;Exame",B2:I2,"&lt;&gt;exame",B2:I2,"&lt;&gt;Nota",B2:I2,"&lt;&gt;Total"),"")</f>
        <v/>
      </c>
      <c r="K131" s="2" t="str">
        <f>IF(AND(A131&lt;&gt;"",J131&lt;&gt;""),ROUND(J131,0),"")</f>
        <v/>
      </c>
    </row>
    <row r="132" spans="2:11" x14ac:dyDescent="0.3">
      <c r="B132" s="2" t="str">
        <f>IFERROR(IF(A132&lt;&gt;"",VLOOKUP(Alunos!A132,Exame!A3:D250,4, FALSE),""), "")</f>
        <v/>
      </c>
      <c r="C132" s="2" t="str">
        <f>IF(A132&lt;&gt;"",VLOOKUP(Alunos!A132,Agrupamentos!A3:B250,2, FALSE),"")</f>
        <v/>
      </c>
      <c r="D132" s="2" t="str">
        <f>IFERROR(IF(A132&lt;&gt;"",VLOOKUP(Alunos!C132,FDGDF!A3:D250,4, FALSE),""),"")</f>
        <v/>
      </c>
      <c r="E132" s="2" t="str">
        <f>IF(A132&lt;&gt;"",VLOOKUP(Alunos!A132,Agrupamentos!A3:B250,2, FALSE),"")</f>
        <v/>
      </c>
      <c r="F132" s="2" t="str">
        <f>IFERROR(IF(A132&lt;&gt;"",VLOOKUP(Alunos!E132,SDASD!A3:D250,4, FALSE),""),"")</f>
        <v/>
      </c>
      <c r="G132" s="2" t="str">
        <f>IF(A132&lt;&gt;"", SUMIF(B1:F1,"&lt;&gt;",B132:F132),"")</f>
        <v/>
      </c>
      <c r="H132" s="2" t="str">
        <f>IF(AND(A132&lt;&gt;"",G132&lt;&gt;""),ROUND(G132,0),"")</f>
        <v/>
      </c>
      <c r="I132" s="2" t="str">
        <f>IFERROR(IF(A132&lt;&gt;"",VLOOKUP(Alunos!A132,Recurso!A3:D250,4, FALSE),""), "")</f>
        <v/>
      </c>
      <c r="J132" s="2" t="str">
        <f>IF(AND(A132&lt;&gt;"",I132&lt;&gt;""), SUMIFS(B132:I132,B1:I1,"&lt;&gt;",B2:I2,"&lt;&gt;Exame",B2:I2,"&lt;&gt;exame",B2:I2,"&lt;&gt;Nota",B2:I2,"&lt;&gt;Total"),"")</f>
        <v/>
      </c>
      <c r="K132" s="2" t="str">
        <f>IF(AND(A132&lt;&gt;"",J132&lt;&gt;""),ROUND(J132,0),"")</f>
        <v/>
      </c>
    </row>
    <row r="133" spans="2:11" x14ac:dyDescent="0.3">
      <c r="B133" s="2" t="str">
        <f>IFERROR(IF(A133&lt;&gt;"",VLOOKUP(Alunos!A133,Exame!A3:D250,4, FALSE),""), "")</f>
        <v/>
      </c>
      <c r="C133" s="2" t="str">
        <f>IF(A133&lt;&gt;"",VLOOKUP(Alunos!A133,Agrupamentos!A3:B250,2, FALSE),"")</f>
        <v/>
      </c>
      <c r="D133" s="2" t="str">
        <f>IFERROR(IF(A133&lt;&gt;"",VLOOKUP(Alunos!C133,FDGDF!A3:D250,4, FALSE),""),"")</f>
        <v/>
      </c>
      <c r="E133" s="2" t="str">
        <f>IF(A133&lt;&gt;"",VLOOKUP(Alunos!A133,Agrupamentos!A3:B250,2, FALSE),"")</f>
        <v/>
      </c>
      <c r="F133" s="2" t="str">
        <f>IFERROR(IF(A133&lt;&gt;"",VLOOKUP(Alunos!E133,SDASD!A3:D250,4, FALSE),""),"")</f>
        <v/>
      </c>
      <c r="G133" s="2" t="str">
        <f>IF(A133&lt;&gt;"", SUMIF(B1:F1,"&lt;&gt;",B133:F133),"")</f>
        <v/>
      </c>
      <c r="H133" s="2" t="str">
        <f>IF(AND(A133&lt;&gt;"",G133&lt;&gt;""),ROUND(G133,0),"")</f>
        <v/>
      </c>
      <c r="I133" s="2" t="str">
        <f>IFERROR(IF(A133&lt;&gt;"",VLOOKUP(Alunos!A133,Recurso!A3:D250,4, FALSE),""), "")</f>
        <v/>
      </c>
      <c r="J133" s="2" t="str">
        <f>IF(AND(A133&lt;&gt;"",I133&lt;&gt;""), SUMIFS(B133:I133,B1:I1,"&lt;&gt;",B2:I2,"&lt;&gt;Exame",B2:I2,"&lt;&gt;exame",B2:I2,"&lt;&gt;Nota",B2:I2,"&lt;&gt;Total"),"")</f>
        <v/>
      </c>
      <c r="K133" s="2" t="str">
        <f>IF(AND(A133&lt;&gt;"",J133&lt;&gt;""),ROUND(J133,0),"")</f>
        <v/>
      </c>
    </row>
    <row r="134" spans="2:11" x14ac:dyDescent="0.3">
      <c r="B134" s="2" t="str">
        <f>IFERROR(IF(A134&lt;&gt;"",VLOOKUP(Alunos!A134,Exame!A3:D250,4, FALSE),""), "")</f>
        <v/>
      </c>
      <c r="C134" s="2" t="str">
        <f>IF(A134&lt;&gt;"",VLOOKUP(Alunos!A134,Agrupamentos!A3:B250,2, FALSE),"")</f>
        <v/>
      </c>
      <c r="D134" s="2" t="str">
        <f>IFERROR(IF(A134&lt;&gt;"",VLOOKUP(Alunos!C134,FDGDF!A3:D250,4, FALSE),""),"")</f>
        <v/>
      </c>
      <c r="E134" s="2" t="str">
        <f>IF(A134&lt;&gt;"",VLOOKUP(Alunos!A134,Agrupamentos!A3:B250,2, FALSE),"")</f>
        <v/>
      </c>
      <c r="F134" s="2" t="str">
        <f>IFERROR(IF(A134&lt;&gt;"",VLOOKUP(Alunos!E134,SDASD!A3:D250,4, FALSE),""),"")</f>
        <v/>
      </c>
      <c r="G134" s="2" t="str">
        <f>IF(A134&lt;&gt;"", SUMIF(B1:F1,"&lt;&gt;",B134:F134),"")</f>
        <v/>
      </c>
      <c r="H134" s="2" t="str">
        <f>IF(AND(A134&lt;&gt;"",G134&lt;&gt;""),ROUND(G134,0),"")</f>
        <v/>
      </c>
      <c r="I134" s="2" t="str">
        <f>IFERROR(IF(A134&lt;&gt;"",VLOOKUP(Alunos!A134,Recurso!A3:D250,4, FALSE),""), "")</f>
        <v/>
      </c>
      <c r="J134" s="2" t="str">
        <f>IF(AND(A134&lt;&gt;"",I134&lt;&gt;""), SUMIFS(B134:I134,B1:I1,"&lt;&gt;",B2:I2,"&lt;&gt;Exame",B2:I2,"&lt;&gt;exame",B2:I2,"&lt;&gt;Nota",B2:I2,"&lt;&gt;Total"),"")</f>
        <v/>
      </c>
      <c r="K134" s="2" t="str">
        <f>IF(AND(A134&lt;&gt;"",J134&lt;&gt;""),ROUND(J134,0),"")</f>
        <v/>
      </c>
    </row>
    <row r="135" spans="2:11" x14ac:dyDescent="0.3">
      <c r="B135" s="2" t="str">
        <f>IFERROR(IF(A135&lt;&gt;"",VLOOKUP(Alunos!A135,Exame!A3:D250,4, FALSE),""), "")</f>
        <v/>
      </c>
      <c r="C135" s="2" t="str">
        <f>IF(A135&lt;&gt;"",VLOOKUP(Alunos!A135,Agrupamentos!A3:B250,2, FALSE),"")</f>
        <v/>
      </c>
      <c r="D135" s="2" t="str">
        <f>IFERROR(IF(A135&lt;&gt;"",VLOOKUP(Alunos!C135,FDGDF!A3:D250,4, FALSE),""),"")</f>
        <v/>
      </c>
      <c r="E135" s="2" t="str">
        <f>IF(A135&lt;&gt;"",VLOOKUP(Alunos!A135,Agrupamentos!A3:B250,2, FALSE),"")</f>
        <v/>
      </c>
      <c r="F135" s="2" t="str">
        <f>IFERROR(IF(A135&lt;&gt;"",VLOOKUP(Alunos!E135,SDASD!A3:D250,4, FALSE),""),"")</f>
        <v/>
      </c>
      <c r="G135" s="2" t="str">
        <f>IF(A135&lt;&gt;"", SUMIF(B1:F1,"&lt;&gt;",B135:F135),"")</f>
        <v/>
      </c>
      <c r="H135" s="2" t="str">
        <f>IF(AND(A135&lt;&gt;"",G135&lt;&gt;""),ROUND(G135,0),"")</f>
        <v/>
      </c>
      <c r="I135" s="2" t="str">
        <f>IFERROR(IF(A135&lt;&gt;"",VLOOKUP(Alunos!A135,Recurso!A3:D250,4, FALSE),""), "")</f>
        <v/>
      </c>
      <c r="J135" s="2" t="str">
        <f>IF(AND(A135&lt;&gt;"",I135&lt;&gt;""), SUMIFS(B135:I135,B1:I1,"&lt;&gt;",B2:I2,"&lt;&gt;Exame",B2:I2,"&lt;&gt;exame",B2:I2,"&lt;&gt;Nota",B2:I2,"&lt;&gt;Total"),"")</f>
        <v/>
      </c>
      <c r="K135" s="2" t="str">
        <f>IF(AND(A135&lt;&gt;"",J135&lt;&gt;""),ROUND(J135,0),"")</f>
        <v/>
      </c>
    </row>
    <row r="136" spans="2:11" x14ac:dyDescent="0.3">
      <c r="B136" s="2" t="str">
        <f>IFERROR(IF(A136&lt;&gt;"",VLOOKUP(Alunos!A136,Exame!A3:D250,4, FALSE),""), "")</f>
        <v/>
      </c>
      <c r="C136" s="2" t="str">
        <f>IF(A136&lt;&gt;"",VLOOKUP(Alunos!A136,Agrupamentos!A3:B250,2, FALSE),"")</f>
        <v/>
      </c>
      <c r="D136" s="2" t="str">
        <f>IFERROR(IF(A136&lt;&gt;"",VLOOKUP(Alunos!C136,FDGDF!A3:D250,4, FALSE),""),"")</f>
        <v/>
      </c>
      <c r="E136" s="2" t="str">
        <f>IF(A136&lt;&gt;"",VLOOKUP(Alunos!A136,Agrupamentos!A3:B250,2, FALSE),"")</f>
        <v/>
      </c>
      <c r="F136" s="2" t="str">
        <f>IFERROR(IF(A136&lt;&gt;"",VLOOKUP(Alunos!E136,SDASD!A3:D250,4, FALSE),""),"")</f>
        <v/>
      </c>
      <c r="G136" s="2" t="str">
        <f>IF(A136&lt;&gt;"", SUMIF(B1:F1,"&lt;&gt;",B136:F136),"")</f>
        <v/>
      </c>
      <c r="H136" s="2" t="str">
        <f>IF(AND(A136&lt;&gt;"",G136&lt;&gt;""),ROUND(G136,0),"")</f>
        <v/>
      </c>
      <c r="I136" s="2" t="str">
        <f>IFERROR(IF(A136&lt;&gt;"",VLOOKUP(Alunos!A136,Recurso!A3:D250,4, FALSE),""), "")</f>
        <v/>
      </c>
      <c r="J136" s="2" t="str">
        <f>IF(AND(A136&lt;&gt;"",I136&lt;&gt;""), SUMIFS(B136:I136,B1:I1,"&lt;&gt;",B2:I2,"&lt;&gt;Exame",B2:I2,"&lt;&gt;exame",B2:I2,"&lt;&gt;Nota",B2:I2,"&lt;&gt;Total"),"")</f>
        <v/>
      </c>
      <c r="K136" s="2" t="str">
        <f>IF(AND(A136&lt;&gt;"",J136&lt;&gt;""),ROUND(J136,0),"")</f>
        <v/>
      </c>
    </row>
    <row r="137" spans="2:11" x14ac:dyDescent="0.3">
      <c r="B137" s="2" t="str">
        <f>IFERROR(IF(A137&lt;&gt;"",VLOOKUP(Alunos!A137,Exame!A3:D250,4, FALSE),""), "")</f>
        <v/>
      </c>
      <c r="C137" s="2" t="str">
        <f>IF(A137&lt;&gt;"",VLOOKUP(Alunos!A137,Agrupamentos!A3:B250,2, FALSE),"")</f>
        <v/>
      </c>
      <c r="D137" s="2" t="str">
        <f>IFERROR(IF(A137&lt;&gt;"",VLOOKUP(Alunos!C137,FDGDF!A3:D250,4, FALSE),""),"")</f>
        <v/>
      </c>
      <c r="E137" s="2" t="str">
        <f>IF(A137&lt;&gt;"",VLOOKUP(Alunos!A137,Agrupamentos!A3:B250,2, FALSE),"")</f>
        <v/>
      </c>
      <c r="F137" s="2" t="str">
        <f>IFERROR(IF(A137&lt;&gt;"",VLOOKUP(Alunos!E137,SDASD!A3:D250,4, FALSE),""),"")</f>
        <v/>
      </c>
      <c r="G137" s="2" t="str">
        <f>IF(A137&lt;&gt;"", SUMIF(B1:F1,"&lt;&gt;",B137:F137),"")</f>
        <v/>
      </c>
      <c r="H137" s="2" t="str">
        <f>IF(AND(A137&lt;&gt;"",G137&lt;&gt;""),ROUND(G137,0),"")</f>
        <v/>
      </c>
      <c r="I137" s="2" t="str">
        <f>IFERROR(IF(A137&lt;&gt;"",VLOOKUP(Alunos!A137,Recurso!A3:D250,4, FALSE),""), "")</f>
        <v/>
      </c>
      <c r="J137" s="2" t="str">
        <f>IF(AND(A137&lt;&gt;"",I137&lt;&gt;""), SUMIFS(B137:I137,B1:I1,"&lt;&gt;",B2:I2,"&lt;&gt;Exame",B2:I2,"&lt;&gt;exame",B2:I2,"&lt;&gt;Nota",B2:I2,"&lt;&gt;Total"),"")</f>
        <v/>
      </c>
      <c r="K137" s="2" t="str">
        <f>IF(AND(A137&lt;&gt;"",J137&lt;&gt;""),ROUND(J137,0),"")</f>
        <v/>
      </c>
    </row>
    <row r="138" spans="2:11" x14ac:dyDescent="0.3">
      <c r="B138" s="2" t="str">
        <f>IFERROR(IF(A138&lt;&gt;"",VLOOKUP(Alunos!A138,Exame!A3:D250,4, FALSE),""), "")</f>
        <v/>
      </c>
      <c r="C138" s="2" t="str">
        <f>IF(A138&lt;&gt;"",VLOOKUP(Alunos!A138,Agrupamentos!A3:B250,2, FALSE),"")</f>
        <v/>
      </c>
      <c r="D138" s="2" t="str">
        <f>IFERROR(IF(A138&lt;&gt;"",VLOOKUP(Alunos!C138,FDGDF!A3:D250,4, FALSE),""),"")</f>
        <v/>
      </c>
      <c r="E138" s="2" t="str">
        <f>IF(A138&lt;&gt;"",VLOOKUP(Alunos!A138,Agrupamentos!A3:B250,2, FALSE),"")</f>
        <v/>
      </c>
      <c r="F138" s="2" t="str">
        <f>IFERROR(IF(A138&lt;&gt;"",VLOOKUP(Alunos!E138,SDASD!A3:D250,4, FALSE),""),"")</f>
        <v/>
      </c>
      <c r="G138" s="2" t="str">
        <f>IF(A138&lt;&gt;"", SUMIF(B1:F1,"&lt;&gt;",B138:F138),"")</f>
        <v/>
      </c>
      <c r="H138" s="2" t="str">
        <f>IF(AND(A138&lt;&gt;"",G138&lt;&gt;""),ROUND(G138,0),"")</f>
        <v/>
      </c>
      <c r="I138" s="2" t="str">
        <f>IFERROR(IF(A138&lt;&gt;"",VLOOKUP(Alunos!A138,Recurso!A3:D250,4, FALSE),""), "")</f>
        <v/>
      </c>
      <c r="J138" s="2" t="str">
        <f>IF(AND(A138&lt;&gt;"",I138&lt;&gt;""), SUMIFS(B138:I138,B1:I1,"&lt;&gt;",B2:I2,"&lt;&gt;Exame",B2:I2,"&lt;&gt;exame",B2:I2,"&lt;&gt;Nota",B2:I2,"&lt;&gt;Total"),"")</f>
        <v/>
      </c>
      <c r="K138" s="2" t="str">
        <f>IF(AND(A138&lt;&gt;"",J138&lt;&gt;""),ROUND(J138,0),"")</f>
        <v/>
      </c>
    </row>
    <row r="139" spans="2:11" x14ac:dyDescent="0.3">
      <c r="B139" s="2" t="str">
        <f>IFERROR(IF(A139&lt;&gt;"",VLOOKUP(Alunos!A139,Exame!A3:D250,4, FALSE),""), "")</f>
        <v/>
      </c>
      <c r="C139" s="2" t="str">
        <f>IF(A139&lt;&gt;"",VLOOKUP(Alunos!A139,Agrupamentos!A3:B250,2, FALSE),"")</f>
        <v/>
      </c>
      <c r="D139" s="2" t="str">
        <f>IFERROR(IF(A139&lt;&gt;"",VLOOKUP(Alunos!C139,FDGDF!A3:D250,4, FALSE),""),"")</f>
        <v/>
      </c>
      <c r="E139" s="2" t="str">
        <f>IF(A139&lt;&gt;"",VLOOKUP(Alunos!A139,Agrupamentos!A3:B250,2, FALSE),"")</f>
        <v/>
      </c>
      <c r="F139" s="2" t="str">
        <f>IFERROR(IF(A139&lt;&gt;"",VLOOKUP(Alunos!E139,SDASD!A3:D250,4, FALSE),""),"")</f>
        <v/>
      </c>
      <c r="G139" s="2" t="str">
        <f>IF(A139&lt;&gt;"", SUMIF(B1:F1,"&lt;&gt;",B139:F139),"")</f>
        <v/>
      </c>
      <c r="H139" s="2" t="str">
        <f>IF(AND(A139&lt;&gt;"",G139&lt;&gt;""),ROUND(G139,0),"")</f>
        <v/>
      </c>
      <c r="I139" s="2" t="str">
        <f>IFERROR(IF(A139&lt;&gt;"",VLOOKUP(Alunos!A139,Recurso!A3:D250,4, FALSE),""), "")</f>
        <v/>
      </c>
      <c r="J139" s="2" t="str">
        <f>IF(AND(A139&lt;&gt;"",I139&lt;&gt;""), SUMIFS(B139:I139,B1:I1,"&lt;&gt;",B2:I2,"&lt;&gt;Exame",B2:I2,"&lt;&gt;exame",B2:I2,"&lt;&gt;Nota",B2:I2,"&lt;&gt;Total"),"")</f>
        <v/>
      </c>
      <c r="K139" s="2" t="str">
        <f>IF(AND(A139&lt;&gt;"",J139&lt;&gt;""),ROUND(J139,0),"")</f>
        <v/>
      </c>
    </row>
    <row r="140" spans="2:11" x14ac:dyDescent="0.3">
      <c r="B140" s="2" t="str">
        <f>IFERROR(IF(A140&lt;&gt;"",VLOOKUP(Alunos!A140,Exame!A3:D250,4, FALSE),""), "")</f>
        <v/>
      </c>
      <c r="C140" s="2" t="str">
        <f>IF(A140&lt;&gt;"",VLOOKUP(Alunos!A140,Agrupamentos!A3:B250,2, FALSE),"")</f>
        <v/>
      </c>
      <c r="D140" s="2" t="str">
        <f>IFERROR(IF(A140&lt;&gt;"",VLOOKUP(Alunos!C140,FDGDF!A3:D250,4, FALSE),""),"")</f>
        <v/>
      </c>
      <c r="E140" s="2" t="str">
        <f>IF(A140&lt;&gt;"",VLOOKUP(Alunos!A140,Agrupamentos!A3:B250,2, FALSE),"")</f>
        <v/>
      </c>
      <c r="F140" s="2" t="str">
        <f>IFERROR(IF(A140&lt;&gt;"",VLOOKUP(Alunos!E140,SDASD!A3:D250,4, FALSE),""),"")</f>
        <v/>
      </c>
      <c r="G140" s="2" t="str">
        <f>IF(A140&lt;&gt;"", SUMIF(B1:F1,"&lt;&gt;",B140:F140),"")</f>
        <v/>
      </c>
      <c r="H140" s="2" t="str">
        <f>IF(AND(A140&lt;&gt;"",G140&lt;&gt;""),ROUND(G140,0),"")</f>
        <v/>
      </c>
      <c r="I140" s="2" t="str">
        <f>IFERROR(IF(A140&lt;&gt;"",VLOOKUP(Alunos!A140,Recurso!A3:D250,4, FALSE),""), "")</f>
        <v/>
      </c>
      <c r="J140" s="2" t="str">
        <f>IF(AND(A140&lt;&gt;"",I140&lt;&gt;""), SUMIFS(B140:I140,B1:I1,"&lt;&gt;",B2:I2,"&lt;&gt;Exame",B2:I2,"&lt;&gt;exame",B2:I2,"&lt;&gt;Nota",B2:I2,"&lt;&gt;Total"),"")</f>
        <v/>
      </c>
      <c r="K140" s="2" t="str">
        <f>IF(AND(A140&lt;&gt;"",J140&lt;&gt;""),ROUND(J140,0),"")</f>
        <v/>
      </c>
    </row>
    <row r="141" spans="2:11" x14ac:dyDescent="0.3">
      <c r="B141" s="2" t="str">
        <f>IFERROR(IF(A141&lt;&gt;"",VLOOKUP(Alunos!A141,Exame!A3:D250,4, FALSE),""), "")</f>
        <v/>
      </c>
      <c r="C141" s="2" t="str">
        <f>IF(A141&lt;&gt;"",VLOOKUP(Alunos!A141,Agrupamentos!A3:B250,2, FALSE),"")</f>
        <v/>
      </c>
      <c r="D141" s="2" t="str">
        <f>IFERROR(IF(A141&lt;&gt;"",VLOOKUP(Alunos!C141,FDGDF!A3:D250,4, FALSE),""),"")</f>
        <v/>
      </c>
      <c r="E141" s="2" t="str">
        <f>IF(A141&lt;&gt;"",VLOOKUP(Alunos!A141,Agrupamentos!A3:B250,2, FALSE),"")</f>
        <v/>
      </c>
      <c r="F141" s="2" t="str">
        <f>IFERROR(IF(A141&lt;&gt;"",VLOOKUP(Alunos!E141,SDASD!A3:D250,4, FALSE),""),"")</f>
        <v/>
      </c>
      <c r="G141" s="2" t="str">
        <f>IF(A141&lt;&gt;"", SUMIF(B1:F1,"&lt;&gt;",B141:F141),"")</f>
        <v/>
      </c>
      <c r="H141" s="2" t="str">
        <f>IF(AND(A141&lt;&gt;"",G141&lt;&gt;""),ROUND(G141,0),"")</f>
        <v/>
      </c>
      <c r="I141" s="2" t="str">
        <f>IFERROR(IF(A141&lt;&gt;"",VLOOKUP(Alunos!A141,Recurso!A3:D250,4, FALSE),""), "")</f>
        <v/>
      </c>
      <c r="J141" s="2" t="str">
        <f>IF(AND(A141&lt;&gt;"",I141&lt;&gt;""), SUMIFS(B141:I141,B1:I1,"&lt;&gt;",B2:I2,"&lt;&gt;Exame",B2:I2,"&lt;&gt;exame",B2:I2,"&lt;&gt;Nota",B2:I2,"&lt;&gt;Total"),"")</f>
        <v/>
      </c>
      <c r="K141" s="2" t="str">
        <f>IF(AND(A141&lt;&gt;"",J141&lt;&gt;""),ROUND(J141,0),"")</f>
        <v/>
      </c>
    </row>
    <row r="142" spans="2:11" x14ac:dyDescent="0.3">
      <c r="B142" s="2" t="str">
        <f>IFERROR(IF(A142&lt;&gt;"",VLOOKUP(Alunos!A142,Exame!A3:D250,4, FALSE),""), "")</f>
        <v/>
      </c>
      <c r="C142" s="2" t="str">
        <f>IF(A142&lt;&gt;"",VLOOKUP(Alunos!A142,Agrupamentos!A3:B250,2, FALSE),"")</f>
        <v/>
      </c>
      <c r="D142" s="2" t="str">
        <f>IFERROR(IF(A142&lt;&gt;"",VLOOKUP(Alunos!C142,FDGDF!A3:D250,4, FALSE),""),"")</f>
        <v/>
      </c>
      <c r="E142" s="2" t="str">
        <f>IF(A142&lt;&gt;"",VLOOKUP(Alunos!A142,Agrupamentos!A3:B250,2, FALSE),"")</f>
        <v/>
      </c>
      <c r="F142" s="2" t="str">
        <f>IFERROR(IF(A142&lt;&gt;"",VLOOKUP(Alunos!E142,SDASD!A3:D250,4, FALSE),""),"")</f>
        <v/>
      </c>
      <c r="G142" s="2" t="str">
        <f>IF(A142&lt;&gt;"", SUMIF(B1:F1,"&lt;&gt;",B142:F142),"")</f>
        <v/>
      </c>
      <c r="H142" s="2" t="str">
        <f>IF(AND(A142&lt;&gt;"",G142&lt;&gt;""),ROUND(G142,0),"")</f>
        <v/>
      </c>
      <c r="I142" s="2" t="str">
        <f>IFERROR(IF(A142&lt;&gt;"",VLOOKUP(Alunos!A142,Recurso!A3:D250,4, FALSE),""), "")</f>
        <v/>
      </c>
      <c r="J142" s="2" t="str">
        <f>IF(AND(A142&lt;&gt;"",I142&lt;&gt;""), SUMIFS(B142:I142,B1:I1,"&lt;&gt;",B2:I2,"&lt;&gt;Exame",B2:I2,"&lt;&gt;exame",B2:I2,"&lt;&gt;Nota",B2:I2,"&lt;&gt;Total"),"")</f>
        <v/>
      </c>
      <c r="K142" s="2" t="str">
        <f>IF(AND(A142&lt;&gt;"",J142&lt;&gt;""),ROUND(J142,0),"")</f>
        <v/>
      </c>
    </row>
    <row r="143" spans="2:11" x14ac:dyDescent="0.3">
      <c r="B143" s="2" t="str">
        <f>IFERROR(IF(A143&lt;&gt;"",VLOOKUP(Alunos!A143,Exame!A3:D250,4, FALSE),""), "")</f>
        <v/>
      </c>
      <c r="C143" s="2" t="str">
        <f>IF(A143&lt;&gt;"",VLOOKUP(Alunos!A143,Agrupamentos!A3:B250,2, FALSE),"")</f>
        <v/>
      </c>
      <c r="D143" s="2" t="str">
        <f>IFERROR(IF(A143&lt;&gt;"",VLOOKUP(Alunos!C143,FDGDF!A3:D250,4, FALSE),""),"")</f>
        <v/>
      </c>
      <c r="E143" s="2" t="str">
        <f>IF(A143&lt;&gt;"",VLOOKUP(Alunos!A143,Agrupamentos!A3:B250,2, FALSE),"")</f>
        <v/>
      </c>
      <c r="F143" s="2" t="str">
        <f>IFERROR(IF(A143&lt;&gt;"",VLOOKUP(Alunos!E143,SDASD!A3:D250,4, FALSE),""),"")</f>
        <v/>
      </c>
      <c r="G143" s="2" t="str">
        <f>IF(A143&lt;&gt;"", SUMIF(B1:F1,"&lt;&gt;",B143:F143),"")</f>
        <v/>
      </c>
      <c r="H143" s="2" t="str">
        <f>IF(AND(A143&lt;&gt;"",G143&lt;&gt;""),ROUND(G143,0),"")</f>
        <v/>
      </c>
      <c r="I143" s="2" t="str">
        <f>IFERROR(IF(A143&lt;&gt;"",VLOOKUP(Alunos!A143,Recurso!A3:D250,4, FALSE),""), "")</f>
        <v/>
      </c>
      <c r="J143" s="2" t="str">
        <f>IF(AND(A143&lt;&gt;"",I143&lt;&gt;""), SUMIFS(B143:I143,B1:I1,"&lt;&gt;",B2:I2,"&lt;&gt;Exame",B2:I2,"&lt;&gt;exame",B2:I2,"&lt;&gt;Nota",B2:I2,"&lt;&gt;Total"),"")</f>
        <v/>
      </c>
      <c r="K143" s="2" t="str">
        <f>IF(AND(A143&lt;&gt;"",J143&lt;&gt;""),ROUND(J143,0),"")</f>
        <v/>
      </c>
    </row>
    <row r="144" spans="2:11" x14ac:dyDescent="0.3">
      <c r="B144" s="2" t="str">
        <f>IFERROR(IF(A144&lt;&gt;"",VLOOKUP(Alunos!A144,Exame!A3:D250,4, FALSE),""), "")</f>
        <v/>
      </c>
      <c r="C144" s="2" t="str">
        <f>IF(A144&lt;&gt;"",VLOOKUP(Alunos!A144,Agrupamentos!A3:B250,2, FALSE),"")</f>
        <v/>
      </c>
      <c r="D144" s="2" t="str">
        <f>IFERROR(IF(A144&lt;&gt;"",VLOOKUP(Alunos!C144,FDGDF!A3:D250,4, FALSE),""),"")</f>
        <v/>
      </c>
      <c r="E144" s="2" t="str">
        <f>IF(A144&lt;&gt;"",VLOOKUP(Alunos!A144,Agrupamentos!A3:B250,2, FALSE),"")</f>
        <v/>
      </c>
      <c r="F144" s="2" t="str">
        <f>IFERROR(IF(A144&lt;&gt;"",VLOOKUP(Alunos!E144,SDASD!A3:D250,4, FALSE),""),"")</f>
        <v/>
      </c>
      <c r="G144" s="2" t="str">
        <f>IF(A144&lt;&gt;"", SUMIF(B1:F1,"&lt;&gt;",B144:F144),"")</f>
        <v/>
      </c>
      <c r="H144" s="2" t="str">
        <f>IF(AND(A144&lt;&gt;"",G144&lt;&gt;""),ROUND(G144,0),"")</f>
        <v/>
      </c>
      <c r="I144" s="2" t="str">
        <f>IFERROR(IF(A144&lt;&gt;"",VLOOKUP(Alunos!A144,Recurso!A3:D250,4, FALSE),""), "")</f>
        <v/>
      </c>
      <c r="J144" s="2" t="str">
        <f>IF(AND(A144&lt;&gt;"",I144&lt;&gt;""), SUMIFS(B144:I144,B1:I1,"&lt;&gt;",B2:I2,"&lt;&gt;Exame",B2:I2,"&lt;&gt;exame",B2:I2,"&lt;&gt;Nota",B2:I2,"&lt;&gt;Total"),"")</f>
        <v/>
      </c>
      <c r="K144" s="2" t="str">
        <f>IF(AND(A144&lt;&gt;"",J144&lt;&gt;""),ROUND(J144,0),"")</f>
        <v/>
      </c>
    </row>
    <row r="145" spans="2:11" x14ac:dyDescent="0.3">
      <c r="B145" s="2" t="str">
        <f>IFERROR(IF(A145&lt;&gt;"",VLOOKUP(Alunos!A145,Exame!A3:D250,4, FALSE),""), "")</f>
        <v/>
      </c>
      <c r="C145" s="2" t="str">
        <f>IF(A145&lt;&gt;"",VLOOKUP(Alunos!A145,Agrupamentos!A3:B250,2, FALSE),"")</f>
        <v/>
      </c>
      <c r="D145" s="2" t="str">
        <f>IFERROR(IF(A145&lt;&gt;"",VLOOKUP(Alunos!C145,FDGDF!A3:D250,4, FALSE),""),"")</f>
        <v/>
      </c>
      <c r="E145" s="2" t="str">
        <f>IF(A145&lt;&gt;"",VLOOKUP(Alunos!A145,Agrupamentos!A3:B250,2, FALSE),"")</f>
        <v/>
      </c>
      <c r="F145" s="2" t="str">
        <f>IFERROR(IF(A145&lt;&gt;"",VLOOKUP(Alunos!E145,SDASD!A3:D250,4, FALSE),""),"")</f>
        <v/>
      </c>
      <c r="G145" s="2" t="str">
        <f>IF(A145&lt;&gt;"", SUMIF(B1:F1,"&lt;&gt;",B145:F145),"")</f>
        <v/>
      </c>
      <c r="H145" s="2" t="str">
        <f>IF(AND(A145&lt;&gt;"",G145&lt;&gt;""),ROUND(G145,0),"")</f>
        <v/>
      </c>
      <c r="I145" s="2" t="str">
        <f>IFERROR(IF(A145&lt;&gt;"",VLOOKUP(Alunos!A145,Recurso!A3:D250,4, FALSE),""), "")</f>
        <v/>
      </c>
      <c r="J145" s="2" t="str">
        <f>IF(AND(A145&lt;&gt;"",I145&lt;&gt;""), SUMIFS(B145:I145,B1:I1,"&lt;&gt;",B2:I2,"&lt;&gt;Exame",B2:I2,"&lt;&gt;exame",B2:I2,"&lt;&gt;Nota",B2:I2,"&lt;&gt;Total"),"")</f>
        <v/>
      </c>
      <c r="K145" s="2" t="str">
        <f>IF(AND(A145&lt;&gt;"",J145&lt;&gt;""),ROUND(J145,0),"")</f>
        <v/>
      </c>
    </row>
    <row r="146" spans="2:11" x14ac:dyDescent="0.3">
      <c r="B146" s="2" t="str">
        <f>IFERROR(IF(A146&lt;&gt;"",VLOOKUP(Alunos!A146,Exame!A3:D250,4, FALSE),""), "")</f>
        <v/>
      </c>
      <c r="C146" s="2" t="str">
        <f>IF(A146&lt;&gt;"",VLOOKUP(Alunos!A146,Agrupamentos!A3:B250,2, FALSE),"")</f>
        <v/>
      </c>
      <c r="D146" s="2" t="str">
        <f>IFERROR(IF(A146&lt;&gt;"",VLOOKUP(Alunos!C146,FDGDF!A3:D250,4, FALSE),""),"")</f>
        <v/>
      </c>
      <c r="E146" s="2" t="str">
        <f>IF(A146&lt;&gt;"",VLOOKUP(Alunos!A146,Agrupamentos!A3:B250,2, FALSE),"")</f>
        <v/>
      </c>
      <c r="F146" s="2" t="str">
        <f>IFERROR(IF(A146&lt;&gt;"",VLOOKUP(Alunos!E146,SDASD!A3:D250,4, FALSE),""),"")</f>
        <v/>
      </c>
      <c r="G146" s="2" t="str">
        <f>IF(A146&lt;&gt;"", SUMIF(B1:F1,"&lt;&gt;",B146:F146),"")</f>
        <v/>
      </c>
      <c r="H146" s="2" t="str">
        <f>IF(AND(A146&lt;&gt;"",G146&lt;&gt;""),ROUND(G146,0),"")</f>
        <v/>
      </c>
      <c r="I146" s="2" t="str">
        <f>IFERROR(IF(A146&lt;&gt;"",VLOOKUP(Alunos!A146,Recurso!A3:D250,4, FALSE),""), "")</f>
        <v/>
      </c>
      <c r="J146" s="2" t="str">
        <f>IF(AND(A146&lt;&gt;"",I146&lt;&gt;""), SUMIFS(B146:I146,B1:I1,"&lt;&gt;",B2:I2,"&lt;&gt;Exame",B2:I2,"&lt;&gt;exame",B2:I2,"&lt;&gt;Nota",B2:I2,"&lt;&gt;Total"),"")</f>
        <v/>
      </c>
      <c r="K146" s="2" t="str">
        <f>IF(AND(A146&lt;&gt;"",J146&lt;&gt;""),ROUND(J146,0),"")</f>
        <v/>
      </c>
    </row>
    <row r="147" spans="2:11" x14ac:dyDescent="0.3">
      <c r="B147" s="2" t="str">
        <f>IFERROR(IF(A147&lt;&gt;"",VLOOKUP(Alunos!A147,Exame!A3:D250,4, FALSE),""), "")</f>
        <v/>
      </c>
      <c r="C147" s="2" t="str">
        <f>IF(A147&lt;&gt;"",VLOOKUP(Alunos!A147,Agrupamentos!A3:B250,2, FALSE),"")</f>
        <v/>
      </c>
      <c r="D147" s="2" t="str">
        <f>IFERROR(IF(A147&lt;&gt;"",VLOOKUP(Alunos!C147,FDGDF!A3:D250,4, FALSE),""),"")</f>
        <v/>
      </c>
      <c r="E147" s="2" t="str">
        <f>IF(A147&lt;&gt;"",VLOOKUP(Alunos!A147,Agrupamentos!A3:B250,2, FALSE),"")</f>
        <v/>
      </c>
      <c r="F147" s="2" t="str">
        <f>IFERROR(IF(A147&lt;&gt;"",VLOOKUP(Alunos!E147,SDASD!A3:D250,4, FALSE),""),"")</f>
        <v/>
      </c>
      <c r="G147" s="2" t="str">
        <f>IF(A147&lt;&gt;"", SUMIF(B1:F1,"&lt;&gt;",B147:F147),"")</f>
        <v/>
      </c>
      <c r="H147" s="2" t="str">
        <f>IF(AND(A147&lt;&gt;"",G147&lt;&gt;""),ROUND(G147,0),"")</f>
        <v/>
      </c>
      <c r="I147" s="2" t="str">
        <f>IFERROR(IF(A147&lt;&gt;"",VLOOKUP(Alunos!A147,Recurso!A3:D250,4, FALSE),""), "")</f>
        <v/>
      </c>
      <c r="J147" s="2" t="str">
        <f>IF(AND(A147&lt;&gt;"",I147&lt;&gt;""), SUMIFS(B147:I147,B1:I1,"&lt;&gt;",B2:I2,"&lt;&gt;Exame",B2:I2,"&lt;&gt;exame",B2:I2,"&lt;&gt;Nota",B2:I2,"&lt;&gt;Total"),"")</f>
        <v/>
      </c>
      <c r="K147" s="2" t="str">
        <f>IF(AND(A147&lt;&gt;"",J147&lt;&gt;""),ROUND(J147,0),"")</f>
        <v/>
      </c>
    </row>
    <row r="148" spans="2:11" x14ac:dyDescent="0.3">
      <c r="B148" s="2" t="str">
        <f>IFERROR(IF(A148&lt;&gt;"",VLOOKUP(Alunos!A148,Exame!A3:D250,4, FALSE),""), "")</f>
        <v/>
      </c>
      <c r="C148" s="2" t="str">
        <f>IF(A148&lt;&gt;"",VLOOKUP(Alunos!A148,Agrupamentos!A3:B250,2, FALSE),"")</f>
        <v/>
      </c>
      <c r="D148" s="2" t="str">
        <f>IFERROR(IF(A148&lt;&gt;"",VLOOKUP(Alunos!C148,FDGDF!A3:D250,4, FALSE),""),"")</f>
        <v/>
      </c>
      <c r="E148" s="2" t="str">
        <f>IF(A148&lt;&gt;"",VLOOKUP(Alunos!A148,Agrupamentos!A3:B250,2, FALSE),"")</f>
        <v/>
      </c>
      <c r="F148" s="2" t="str">
        <f>IFERROR(IF(A148&lt;&gt;"",VLOOKUP(Alunos!E148,SDASD!A3:D250,4, FALSE),""),"")</f>
        <v/>
      </c>
      <c r="G148" s="2" t="str">
        <f>IF(A148&lt;&gt;"", SUMIF(B1:F1,"&lt;&gt;",B148:F148),"")</f>
        <v/>
      </c>
      <c r="H148" s="2" t="str">
        <f>IF(AND(A148&lt;&gt;"",G148&lt;&gt;""),ROUND(G148,0),"")</f>
        <v/>
      </c>
      <c r="I148" s="2" t="str">
        <f>IFERROR(IF(A148&lt;&gt;"",VLOOKUP(Alunos!A148,Recurso!A3:D250,4, FALSE),""), "")</f>
        <v/>
      </c>
      <c r="J148" s="2" t="str">
        <f>IF(AND(A148&lt;&gt;"",I148&lt;&gt;""), SUMIFS(B148:I148,B1:I1,"&lt;&gt;",B2:I2,"&lt;&gt;Exame",B2:I2,"&lt;&gt;exame",B2:I2,"&lt;&gt;Nota",B2:I2,"&lt;&gt;Total"),"")</f>
        <v/>
      </c>
      <c r="K148" s="2" t="str">
        <f>IF(AND(A148&lt;&gt;"",J148&lt;&gt;""),ROUND(J148,0),"")</f>
        <v/>
      </c>
    </row>
    <row r="149" spans="2:11" x14ac:dyDescent="0.3">
      <c r="B149" s="2" t="str">
        <f>IFERROR(IF(A149&lt;&gt;"",VLOOKUP(Alunos!A149,Exame!A3:D250,4, FALSE),""), "")</f>
        <v/>
      </c>
      <c r="C149" s="2" t="str">
        <f>IF(A149&lt;&gt;"",VLOOKUP(Alunos!A149,Agrupamentos!A3:B250,2, FALSE),"")</f>
        <v/>
      </c>
      <c r="D149" s="2" t="str">
        <f>IFERROR(IF(A149&lt;&gt;"",VLOOKUP(Alunos!C149,FDGDF!A3:D250,4, FALSE),""),"")</f>
        <v/>
      </c>
      <c r="E149" s="2" t="str">
        <f>IF(A149&lt;&gt;"",VLOOKUP(Alunos!A149,Agrupamentos!A3:B250,2, FALSE),"")</f>
        <v/>
      </c>
      <c r="F149" s="2" t="str">
        <f>IFERROR(IF(A149&lt;&gt;"",VLOOKUP(Alunos!E149,SDASD!A3:D250,4, FALSE),""),"")</f>
        <v/>
      </c>
      <c r="G149" s="2" t="str">
        <f>IF(A149&lt;&gt;"", SUMIF(B1:F1,"&lt;&gt;",B149:F149),"")</f>
        <v/>
      </c>
      <c r="H149" s="2" t="str">
        <f>IF(AND(A149&lt;&gt;"",G149&lt;&gt;""),ROUND(G149,0),"")</f>
        <v/>
      </c>
      <c r="I149" s="2" t="str">
        <f>IFERROR(IF(A149&lt;&gt;"",VLOOKUP(Alunos!A149,Recurso!A3:D250,4, FALSE),""), "")</f>
        <v/>
      </c>
      <c r="J149" s="2" t="str">
        <f>IF(AND(A149&lt;&gt;"",I149&lt;&gt;""), SUMIFS(B149:I149,B1:I1,"&lt;&gt;",B2:I2,"&lt;&gt;Exame",B2:I2,"&lt;&gt;exame",B2:I2,"&lt;&gt;Nota",B2:I2,"&lt;&gt;Total"),"")</f>
        <v/>
      </c>
      <c r="K149" s="2" t="str">
        <f>IF(AND(A149&lt;&gt;"",J149&lt;&gt;""),ROUND(J149,0),"")</f>
        <v/>
      </c>
    </row>
    <row r="150" spans="2:11" x14ac:dyDescent="0.3">
      <c r="B150" s="2" t="str">
        <f>IFERROR(IF(A150&lt;&gt;"",VLOOKUP(Alunos!A150,Exame!A3:D250,4, FALSE),""), "")</f>
        <v/>
      </c>
      <c r="C150" s="2" t="str">
        <f>IF(A150&lt;&gt;"",VLOOKUP(Alunos!A150,Agrupamentos!A3:B250,2, FALSE),"")</f>
        <v/>
      </c>
      <c r="D150" s="2" t="str">
        <f>IFERROR(IF(A150&lt;&gt;"",VLOOKUP(Alunos!C150,FDGDF!A3:D250,4, FALSE),""),"")</f>
        <v/>
      </c>
      <c r="E150" s="2" t="str">
        <f>IF(A150&lt;&gt;"",VLOOKUP(Alunos!A150,Agrupamentos!A3:B250,2, FALSE),"")</f>
        <v/>
      </c>
      <c r="F150" s="2" t="str">
        <f>IFERROR(IF(A150&lt;&gt;"",VLOOKUP(Alunos!E150,SDASD!A3:D250,4, FALSE),""),"")</f>
        <v/>
      </c>
      <c r="G150" s="2" t="str">
        <f>IF(A150&lt;&gt;"", SUMIF(B1:F1,"&lt;&gt;",B150:F150),"")</f>
        <v/>
      </c>
      <c r="H150" s="2" t="str">
        <f>IF(AND(A150&lt;&gt;"",G150&lt;&gt;""),ROUND(G150,0),"")</f>
        <v/>
      </c>
      <c r="I150" s="2" t="str">
        <f>IFERROR(IF(A150&lt;&gt;"",VLOOKUP(Alunos!A150,Recurso!A3:D250,4, FALSE),""), "")</f>
        <v/>
      </c>
      <c r="J150" s="2" t="str">
        <f>IF(AND(A150&lt;&gt;"",I150&lt;&gt;""), SUMIFS(B150:I150,B1:I1,"&lt;&gt;",B2:I2,"&lt;&gt;Exame",B2:I2,"&lt;&gt;exame",B2:I2,"&lt;&gt;Nota",B2:I2,"&lt;&gt;Total"),"")</f>
        <v/>
      </c>
      <c r="K150" s="2" t="str">
        <f>IF(AND(A150&lt;&gt;"",J150&lt;&gt;""),ROUND(J150,0),"")</f>
        <v/>
      </c>
    </row>
    <row r="151" spans="2:11" x14ac:dyDescent="0.3">
      <c r="B151" s="2" t="str">
        <f>IFERROR(IF(A151&lt;&gt;"",VLOOKUP(Alunos!A151,Exame!A3:D250,4, FALSE),""), "")</f>
        <v/>
      </c>
      <c r="C151" s="2" t="str">
        <f>IF(A151&lt;&gt;"",VLOOKUP(Alunos!A151,Agrupamentos!A3:B250,2, FALSE),"")</f>
        <v/>
      </c>
      <c r="D151" s="2" t="str">
        <f>IFERROR(IF(A151&lt;&gt;"",VLOOKUP(Alunos!C151,FDGDF!A3:D250,4, FALSE),""),"")</f>
        <v/>
      </c>
      <c r="E151" s="2" t="str">
        <f>IF(A151&lt;&gt;"",VLOOKUP(Alunos!A151,Agrupamentos!A3:B250,2, FALSE),"")</f>
        <v/>
      </c>
      <c r="F151" s="2" t="str">
        <f>IFERROR(IF(A151&lt;&gt;"",VLOOKUP(Alunos!E151,SDASD!A3:D250,4, FALSE),""),"")</f>
        <v/>
      </c>
      <c r="G151" s="2" t="str">
        <f>IF(A151&lt;&gt;"", SUMIF(B1:F1,"&lt;&gt;",B151:F151),"")</f>
        <v/>
      </c>
      <c r="H151" s="2" t="str">
        <f>IF(AND(A151&lt;&gt;"",G151&lt;&gt;""),ROUND(G151,0),"")</f>
        <v/>
      </c>
      <c r="I151" s="2" t="str">
        <f>IFERROR(IF(A151&lt;&gt;"",VLOOKUP(Alunos!A151,Recurso!A3:D250,4, FALSE),""), "")</f>
        <v/>
      </c>
      <c r="J151" s="2" t="str">
        <f>IF(AND(A151&lt;&gt;"",I151&lt;&gt;""), SUMIFS(B151:I151,B1:I1,"&lt;&gt;",B2:I2,"&lt;&gt;Exame",B2:I2,"&lt;&gt;exame",B2:I2,"&lt;&gt;Nota",B2:I2,"&lt;&gt;Total"),"")</f>
        <v/>
      </c>
      <c r="K151" s="2" t="str">
        <f>IF(AND(A151&lt;&gt;"",J151&lt;&gt;""),ROUND(J151,0),"")</f>
        <v/>
      </c>
    </row>
    <row r="152" spans="2:11" x14ac:dyDescent="0.3">
      <c r="B152" s="2" t="str">
        <f>IFERROR(IF(A152&lt;&gt;"",VLOOKUP(Alunos!A152,Exame!A3:D250,4, FALSE),""), "")</f>
        <v/>
      </c>
      <c r="C152" s="2" t="str">
        <f>IF(A152&lt;&gt;"",VLOOKUP(Alunos!A152,Agrupamentos!A3:B250,2, FALSE),"")</f>
        <v/>
      </c>
      <c r="D152" s="2" t="str">
        <f>IFERROR(IF(A152&lt;&gt;"",VLOOKUP(Alunos!C152,FDGDF!A3:D250,4, FALSE),""),"")</f>
        <v/>
      </c>
      <c r="E152" s="2" t="str">
        <f>IF(A152&lt;&gt;"",VLOOKUP(Alunos!A152,Agrupamentos!A3:B250,2, FALSE),"")</f>
        <v/>
      </c>
      <c r="F152" s="2" t="str">
        <f>IFERROR(IF(A152&lt;&gt;"",VLOOKUP(Alunos!E152,SDASD!A3:D250,4, FALSE),""),"")</f>
        <v/>
      </c>
      <c r="G152" s="2" t="str">
        <f>IF(A152&lt;&gt;"", SUMIF(B1:F1,"&lt;&gt;",B152:F152),"")</f>
        <v/>
      </c>
      <c r="H152" s="2" t="str">
        <f>IF(AND(A152&lt;&gt;"",G152&lt;&gt;""),ROUND(G152,0),"")</f>
        <v/>
      </c>
      <c r="I152" s="2" t="str">
        <f>IFERROR(IF(A152&lt;&gt;"",VLOOKUP(Alunos!A152,Recurso!A3:D250,4, FALSE),""), "")</f>
        <v/>
      </c>
      <c r="J152" s="2" t="str">
        <f>IF(AND(A152&lt;&gt;"",I152&lt;&gt;""), SUMIFS(B152:I152,B1:I1,"&lt;&gt;",B2:I2,"&lt;&gt;Exame",B2:I2,"&lt;&gt;exame",B2:I2,"&lt;&gt;Nota",B2:I2,"&lt;&gt;Total"),"")</f>
        <v/>
      </c>
      <c r="K152" s="2" t="str">
        <f>IF(AND(A152&lt;&gt;"",J152&lt;&gt;""),ROUND(J152,0),"")</f>
        <v/>
      </c>
    </row>
    <row r="153" spans="2:11" x14ac:dyDescent="0.3">
      <c r="B153" s="2" t="str">
        <f>IFERROR(IF(A153&lt;&gt;"",VLOOKUP(Alunos!A153,Exame!A3:D250,4, FALSE),""), "")</f>
        <v/>
      </c>
      <c r="C153" s="2" t="str">
        <f>IF(A153&lt;&gt;"",VLOOKUP(Alunos!A153,Agrupamentos!A3:B250,2, FALSE),"")</f>
        <v/>
      </c>
      <c r="D153" s="2" t="str">
        <f>IFERROR(IF(A153&lt;&gt;"",VLOOKUP(Alunos!C153,FDGDF!A3:D250,4, FALSE),""),"")</f>
        <v/>
      </c>
      <c r="E153" s="2" t="str">
        <f>IF(A153&lt;&gt;"",VLOOKUP(Alunos!A153,Agrupamentos!A3:B250,2, FALSE),"")</f>
        <v/>
      </c>
      <c r="F153" s="2" t="str">
        <f>IFERROR(IF(A153&lt;&gt;"",VLOOKUP(Alunos!E153,SDASD!A3:D250,4, FALSE),""),"")</f>
        <v/>
      </c>
      <c r="G153" s="2" t="str">
        <f>IF(A153&lt;&gt;"", SUMIF(B1:F1,"&lt;&gt;",B153:F153),"")</f>
        <v/>
      </c>
      <c r="H153" s="2" t="str">
        <f>IF(AND(A153&lt;&gt;"",G153&lt;&gt;""),ROUND(G153,0),"")</f>
        <v/>
      </c>
      <c r="I153" s="2" t="str">
        <f>IFERROR(IF(A153&lt;&gt;"",VLOOKUP(Alunos!A153,Recurso!A3:D250,4, FALSE),""), "")</f>
        <v/>
      </c>
      <c r="J153" s="2" t="str">
        <f>IF(AND(A153&lt;&gt;"",I153&lt;&gt;""), SUMIFS(B153:I153,B1:I1,"&lt;&gt;",B2:I2,"&lt;&gt;Exame",B2:I2,"&lt;&gt;exame",B2:I2,"&lt;&gt;Nota",B2:I2,"&lt;&gt;Total"),"")</f>
        <v/>
      </c>
      <c r="K153" s="2" t="str">
        <f>IF(AND(A153&lt;&gt;"",J153&lt;&gt;""),ROUND(J153,0),"")</f>
        <v/>
      </c>
    </row>
    <row r="154" spans="2:11" x14ac:dyDescent="0.3">
      <c r="B154" s="2" t="str">
        <f>IFERROR(IF(A154&lt;&gt;"",VLOOKUP(Alunos!A154,Exame!A3:D250,4, FALSE),""), "")</f>
        <v/>
      </c>
      <c r="C154" s="2" t="str">
        <f>IF(A154&lt;&gt;"",VLOOKUP(Alunos!A154,Agrupamentos!A3:B250,2, FALSE),"")</f>
        <v/>
      </c>
      <c r="D154" s="2" t="str">
        <f>IFERROR(IF(A154&lt;&gt;"",VLOOKUP(Alunos!C154,FDGDF!A3:D250,4, FALSE),""),"")</f>
        <v/>
      </c>
      <c r="E154" s="2" t="str">
        <f>IF(A154&lt;&gt;"",VLOOKUP(Alunos!A154,Agrupamentos!A3:B250,2, FALSE),"")</f>
        <v/>
      </c>
      <c r="F154" s="2" t="str">
        <f>IFERROR(IF(A154&lt;&gt;"",VLOOKUP(Alunos!E154,SDASD!A3:D250,4, FALSE),""),"")</f>
        <v/>
      </c>
      <c r="G154" s="2" t="str">
        <f>IF(A154&lt;&gt;"", SUMIF(B1:F1,"&lt;&gt;",B154:F154),"")</f>
        <v/>
      </c>
      <c r="H154" s="2" t="str">
        <f>IF(AND(A154&lt;&gt;"",G154&lt;&gt;""),ROUND(G154,0),"")</f>
        <v/>
      </c>
      <c r="I154" s="2" t="str">
        <f>IFERROR(IF(A154&lt;&gt;"",VLOOKUP(Alunos!A154,Recurso!A3:D250,4, FALSE),""), "")</f>
        <v/>
      </c>
      <c r="J154" s="2" t="str">
        <f>IF(AND(A154&lt;&gt;"",I154&lt;&gt;""), SUMIFS(B154:I154,B1:I1,"&lt;&gt;",B2:I2,"&lt;&gt;Exame",B2:I2,"&lt;&gt;exame",B2:I2,"&lt;&gt;Nota",B2:I2,"&lt;&gt;Total"),"")</f>
        <v/>
      </c>
      <c r="K154" s="2" t="str">
        <f>IF(AND(A154&lt;&gt;"",J154&lt;&gt;""),ROUND(J154,0),"")</f>
        <v/>
      </c>
    </row>
    <row r="155" spans="2:11" x14ac:dyDescent="0.3">
      <c r="B155" s="2" t="str">
        <f>IFERROR(IF(A155&lt;&gt;"",VLOOKUP(Alunos!A155,Exame!A3:D250,4, FALSE),""), "")</f>
        <v/>
      </c>
      <c r="C155" s="2" t="str">
        <f>IF(A155&lt;&gt;"",VLOOKUP(Alunos!A155,Agrupamentos!A3:B250,2, FALSE),"")</f>
        <v/>
      </c>
      <c r="D155" s="2" t="str">
        <f>IFERROR(IF(A155&lt;&gt;"",VLOOKUP(Alunos!C155,FDGDF!A3:D250,4, FALSE),""),"")</f>
        <v/>
      </c>
      <c r="E155" s="2" t="str">
        <f>IF(A155&lt;&gt;"",VLOOKUP(Alunos!A155,Agrupamentos!A3:B250,2, FALSE),"")</f>
        <v/>
      </c>
      <c r="F155" s="2" t="str">
        <f>IFERROR(IF(A155&lt;&gt;"",VLOOKUP(Alunos!E155,SDASD!A3:D250,4, FALSE),""),"")</f>
        <v/>
      </c>
      <c r="G155" s="2" t="str">
        <f>IF(A155&lt;&gt;"", SUMIF(B1:F1,"&lt;&gt;",B155:F155),"")</f>
        <v/>
      </c>
      <c r="H155" s="2" t="str">
        <f>IF(AND(A155&lt;&gt;"",G155&lt;&gt;""),ROUND(G155,0),"")</f>
        <v/>
      </c>
      <c r="I155" s="2" t="str">
        <f>IFERROR(IF(A155&lt;&gt;"",VLOOKUP(Alunos!A155,Recurso!A3:D250,4, FALSE),""), "")</f>
        <v/>
      </c>
      <c r="J155" s="2" t="str">
        <f>IF(AND(A155&lt;&gt;"",I155&lt;&gt;""), SUMIFS(B155:I155,B1:I1,"&lt;&gt;",B2:I2,"&lt;&gt;Exame",B2:I2,"&lt;&gt;exame",B2:I2,"&lt;&gt;Nota",B2:I2,"&lt;&gt;Total"),"")</f>
        <v/>
      </c>
      <c r="K155" s="2" t="str">
        <f>IF(AND(A155&lt;&gt;"",J155&lt;&gt;""),ROUND(J155,0),"")</f>
        <v/>
      </c>
    </row>
    <row r="156" spans="2:11" x14ac:dyDescent="0.3">
      <c r="B156" s="2" t="str">
        <f>IFERROR(IF(A156&lt;&gt;"",VLOOKUP(Alunos!A156,Exame!A3:D250,4, FALSE),""), "")</f>
        <v/>
      </c>
      <c r="C156" s="2" t="str">
        <f>IF(A156&lt;&gt;"",VLOOKUP(Alunos!A156,Agrupamentos!A3:B250,2, FALSE),"")</f>
        <v/>
      </c>
      <c r="D156" s="2" t="str">
        <f>IFERROR(IF(A156&lt;&gt;"",VLOOKUP(Alunos!C156,FDGDF!A3:D250,4, FALSE),""),"")</f>
        <v/>
      </c>
      <c r="E156" s="2" t="str">
        <f>IF(A156&lt;&gt;"",VLOOKUP(Alunos!A156,Agrupamentos!A3:B250,2, FALSE),"")</f>
        <v/>
      </c>
      <c r="F156" s="2" t="str">
        <f>IFERROR(IF(A156&lt;&gt;"",VLOOKUP(Alunos!E156,SDASD!A3:D250,4, FALSE),""),"")</f>
        <v/>
      </c>
      <c r="G156" s="2" t="str">
        <f>IF(A156&lt;&gt;"", SUMIF(B1:F1,"&lt;&gt;",B156:F156),"")</f>
        <v/>
      </c>
      <c r="H156" s="2" t="str">
        <f>IF(AND(A156&lt;&gt;"",G156&lt;&gt;""),ROUND(G156,0),"")</f>
        <v/>
      </c>
      <c r="I156" s="2" t="str">
        <f>IFERROR(IF(A156&lt;&gt;"",VLOOKUP(Alunos!A156,Recurso!A3:D250,4, FALSE),""), "")</f>
        <v/>
      </c>
      <c r="J156" s="2" t="str">
        <f>IF(AND(A156&lt;&gt;"",I156&lt;&gt;""), SUMIFS(B156:I156,B1:I1,"&lt;&gt;",B2:I2,"&lt;&gt;Exame",B2:I2,"&lt;&gt;exame",B2:I2,"&lt;&gt;Nota",B2:I2,"&lt;&gt;Total"),"")</f>
        <v/>
      </c>
      <c r="K156" s="2" t="str">
        <f>IF(AND(A156&lt;&gt;"",J156&lt;&gt;""),ROUND(J156,0),"")</f>
        <v/>
      </c>
    </row>
    <row r="157" spans="2:11" x14ac:dyDescent="0.3">
      <c r="B157" s="2" t="str">
        <f>IFERROR(IF(A157&lt;&gt;"",VLOOKUP(Alunos!A157,Exame!A3:D250,4, FALSE),""), "")</f>
        <v/>
      </c>
      <c r="C157" s="2" t="str">
        <f>IF(A157&lt;&gt;"",VLOOKUP(Alunos!A157,Agrupamentos!A3:B250,2, FALSE),"")</f>
        <v/>
      </c>
      <c r="D157" s="2" t="str">
        <f>IFERROR(IF(A157&lt;&gt;"",VLOOKUP(Alunos!C157,FDGDF!A3:D250,4, FALSE),""),"")</f>
        <v/>
      </c>
      <c r="E157" s="2" t="str">
        <f>IF(A157&lt;&gt;"",VLOOKUP(Alunos!A157,Agrupamentos!A3:B250,2, FALSE),"")</f>
        <v/>
      </c>
      <c r="F157" s="2" t="str">
        <f>IFERROR(IF(A157&lt;&gt;"",VLOOKUP(Alunos!E157,SDASD!A3:D250,4, FALSE),""),"")</f>
        <v/>
      </c>
      <c r="G157" s="2" t="str">
        <f>IF(A157&lt;&gt;"", SUMIF(B1:F1,"&lt;&gt;",B157:F157),"")</f>
        <v/>
      </c>
      <c r="H157" s="2" t="str">
        <f>IF(AND(A157&lt;&gt;"",G157&lt;&gt;""),ROUND(G157,0),"")</f>
        <v/>
      </c>
      <c r="I157" s="2" t="str">
        <f>IFERROR(IF(A157&lt;&gt;"",VLOOKUP(Alunos!A157,Recurso!A3:D250,4, FALSE),""), "")</f>
        <v/>
      </c>
      <c r="J157" s="2" t="str">
        <f>IF(AND(A157&lt;&gt;"",I157&lt;&gt;""), SUMIFS(B157:I157,B1:I1,"&lt;&gt;",B2:I2,"&lt;&gt;Exame",B2:I2,"&lt;&gt;exame",B2:I2,"&lt;&gt;Nota",B2:I2,"&lt;&gt;Total"),"")</f>
        <v/>
      </c>
      <c r="K157" s="2" t="str">
        <f>IF(AND(A157&lt;&gt;"",J157&lt;&gt;""),ROUND(J157,0),"")</f>
        <v/>
      </c>
    </row>
    <row r="158" spans="2:11" x14ac:dyDescent="0.3">
      <c r="B158" s="2" t="str">
        <f>IFERROR(IF(A158&lt;&gt;"",VLOOKUP(Alunos!A158,Exame!A3:D250,4, FALSE),""), "")</f>
        <v/>
      </c>
      <c r="C158" s="2" t="str">
        <f>IF(A158&lt;&gt;"",VLOOKUP(Alunos!A158,Agrupamentos!A3:B250,2, FALSE),"")</f>
        <v/>
      </c>
      <c r="D158" s="2" t="str">
        <f>IFERROR(IF(A158&lt;&gt;"",VLOOKUP(Alunos!C158,FDGDF!A3:D250,4, FALSE),""),"")</f>
        <v/>
      </c>
      <c r="E158" s="2" t="str">
        <f>IF(A158&lt;&gt;"",VLOOKUP(Alunos!A158,Agrupamentos!A3:B250,2, FALSE),"")</f>
        <v/>
      </c>
      <c r="F158" s="2" t="str">
        <f>IFERROR(IF(A158&lt;&gt;"",VLOOKUP(Alunos!E158,SDASD!A3:D250,4, FALSE),""),"")</f>
        <v/>
      </c>
      <c r="G158" s="2" t="str">
        <f>IF(A158&lt;&gt;"", SUMIF(B1:F1,"&lt;&gt;",B158:F158),"")</f>
        <v/>
      </c>
      <c r="H158" s="2" t="str">
        <f>IF(AND(A158&lt;&gt;"",G158&lt;&gt;""),ROUND(G158,0),"")</f>
        <v/>
      </c>
      <c r="I158" s="2" t="str">
        <f>IFERROR(IF(A158&lt;&gt;"",VLOOKUP(Alunos!A158,Recurso!A3:D250,4, FALSE),""), "")</f>
        <v/>
      </c>
      <c r="J158" s="2" t="str">
        <f>IF(AND(A158&lt;&gt;"",I158&lt;&gt;""), SUMIFS(B158:I158,B1:I1,"&lt;&gt;",B2:I2,"&lt;&gt;Exame",B2:I2,"&lt;&gt;exame",B2:I2,"&lt;&gt;Nota",B2:I2,"&lt;&gt;Total"),"")</f>
        <v/>
      </c>
      <c r="K158" s="2" t="str">
        <f>IF(AND(A158&lt;&gt;"",J158&lt;&gt;""),ROUND(J158,0),"")</f>
        <v/>
      </c>
    </row>
    <row r="159" spans="2:11" x14ac:dyDescent="0.3">
      <c r="B159" s="2" t="str">
        <f>IFERROR(IF(A159&lt;&gt;"",VLOOKUP(Alunos!A159,Exame!A3:D250,4, FALSE),""), "")</f>
        <v/>
      </c>
      <c r="C159" s="2" t="str">
        <f>IF(A159&lt;&gt;"",VLOOKUP(Alunos!A159,Agrupamentos!A3:B250,2, FALSE),"")</f>
        <v/>
      </c>
      <c r="D159" s="2" t="str">
        <f>IFERROR(IF(A159&lt;&gt;"",VLOOKUP(Alunos!C159,FDGDF!A3:D250,4, FALSE),""),"")</f>
        <v/>
      </c>
      <c r="E159" s="2" t="str">
        <f>IF(A159&lt;&gt;"",VLOOKUP(Alunos!A159,Agrupamentos!A3:B250,2, FALSE),"")</f>
        <v/>
      </c>
      <c r="F159" s="2" t="str">
        <f>IFERROR(IF(A159&lt;&gt;"",VLOOKUP(Alunos!E159,SDASD!A3:D250,4, FALSE),""),"")</f>
        <v/>
      </c>
      <c r="G159" s="2" t="str">
        <f>IF(A159&lt;&gt;"", SUMIF(B1:F1,"&lt;&gt;",B159:F159),"")</f>
        <v/>
      </c>
      <c r="H159" s="2" t="str">
        <f>IF(AND(A159&lt;&gt;"",G159&lt;&gt;""),ROUND(G159,0),"")</f>
        <v/>
      </c>
      <c r="I159" s="2" t="str">
        <f>IFERROR(IF(A159&lt;&gt;"",VLOOKUP(Alunos!A159,Recurso!A3:D250,4, FALSE),""), "")</f>
        <v/>
      </c>
      <c r="J159" s="2" t="str">
        <f>IF(AND(A159&lt;&gt;"",I159&lt;&gt;""), SUMIFS(B159:I159,B1:I1,"&lt;&gt;",B2:I2,"&lt;&gt;Exame",B2:I2,"&lt;&gt;exame",B2:I2,"&lt;&gt;Nota",B2:I2,"&lt;&gt;Total"),"")</f>
        <v/>
      </c>
      <c r="K159" s="2" t="str">
        <f>IF(AND(A159&lt;&gt;"",J159&lt;&gt;""),ROUND(J159,0),"")</f>
        <v/>
      </c>
    </row>
    <row r="160" spans="2:11" x14ac:dyDescent="0.3">
      <c r="B160" s="2" t="str">
        <f>IFERROR(IF(A160&lt;&gt;"",VLOOKUP(Alunos!A160,Exame!A3:D250,4, FALSE),""), "")</f>
        <v/>
      </c>
      <c r="C160" s="2" t="str">
        <f>IF(A160&lt;&gt;"",VLOOKUP(Alunos!A160,Agrupamentos!A3:B250,2, FALSE),"")</f>
        <v/>
      </c>
      <c r="D160" s="2" t="str">
        <f>IFERROR(IF(A160&lt;&gt;"",VLOOKUP(Alunos!C160,FDGDF!A3:D250,4, FALSE),""),"")</f>
        <v/>
      </c>
      <c r="E160" s="2" t="str">
        <f>IF(A160&lt;&gt;"",VLOOKUP(Alunos!A160,Agrupamentos!A3:B250,2, FALSE),"")</f>
        <v/>
      </c>
      <c r="F160" s="2" t="str">
        <f>IFERROR(IF(A160&lt;&gt;"",VLOOKUP(Alunos!E160,SDASD!A3:D250,4, FALSE),""),"")</f>
        <v/>
      </c>
      <c r="G160" s="2" t="str">
        <f>IF(A160&lt;&gt;"", SUMIF(B1:F1,"&lt;&gt;",B160:F160),"")</f>
        <v/>
      </c>
      <c r="H160" s="2" t="str">
        <f>IF(AND(A160&lt;&gt;"",G160&lt;&gt;""),ROUND(G160,0),"")</f>
        <v/>
      </c>
      <c r="I160" s="2" t="str">
        <f>IFERROR(IF(A160&lt;&gt;"",VLOOKUP(Alunos!A160,Recurso!A3:D250,4, FALSE),""), "")</f>
        <v/>
      </c>
      <c r="J160" s="2" t="str">
        <f>IF(AND(A160&lt;&gt;"",I160&lt;&gt;""), SUMIFS(B160:I160,B1:I1,"&lt;&gt;",B2:I2,"&lt;&gt;Exame",B2:I2,"&lt;&gt;exame",B2:I2,"&lt;&gt;Nota",B2:I2,"&lt;&gt;Total"),"")</f>
        <v/>
      </c>
      <c r="K160" s="2" t="str">
        <f>IF(AND(A160&lt;&gt;"",J160&lt;&gt;""),ROUND(J160,0),"")</f>
        <v/>
      </c>
    </row>
    <row r="161" spans="2:11" x14ac:dyDescent="0.3">
      <c r="B161" s="2" t="str">
        <f>IFERROR(IF(A161&lt;&gt;"",VLOOKUP(Alunos!A161,Exame!A3:D250,4, FALSE),""), "")</f>
        <v/>
      </c>
      <c r="C161" s="2" t="str">
        <f>IF(A161&lt;&gt;"",VLOOKUP(Alunos!A161,Agrupamentos!A3:B250,2, FALSE),"")</f>
        <v/>
      </c>
      <c r="D161" s="2" t="str">
        <f>IFERROR(IF(A161&lt;&gt;"",VLOOKUP(Alunos!C161,FDGDF!A3:D250,4, FALSE),""),"")</f>
        <v/>
      </c>
      <c r="E161" s="2" t="str">
        <f>IF(A161&lt;&gt;"",VLOOKUP(Alunos!A161,Agrupamentos!A3:B250,2, FALSE),"")</f>
        <v/>
      </c>
      <c r="F161" s="2" t="str">
        <f>IFERROR(IF(A161&lt;&gt;"",VLOOKUP(Alunos!E161,SDASD!A3:D250,4, FALSE),""),"")</f>
        <v/>
      </c>
      <c r="G161" s="2" t="str">
        <f>IF(A161&lt;&gt;"", SUMIF(B1:F1,"&lt;&gt;",B161:F161),"")</f>
        <v/>
      </c>
      <c r="H161" s="2" t="str">
        <f>IF(AND(A161&lt;&gt;"",G161&lt;&gt;""),ROUND(G161,0),"")</f>
        <v/>
      </c>
      <c r="I161" s="2" t="str">
        <f>IFERROR(IF(A161&lt;&gt;"",VLOOKUP(Alunos!A161,Recurso!A3:D250,4, FALSE),""), "")</f>
        <v/>
      </c>
      <c r="J161" s="2" t="str">
        <f>IF(AND(A161&lt;&gt;"",I161&lt;&gt;""), SUMIFS(B161:I161,B1:I1,"&lt;&gt;",B2:I2,"&lt;&gt;Exame",B2:I2,"&lt;&gt;exame",B2:I2,"&lt;&gt;Nota",B2:I2,"&lt;&gt;Total"),"")</f>
        <v/>
      </c>
      <c r="K161" s="2" t="str">
        <f>IF(AND(A161&lt;&gt;"",J161&lt;&gt;""),ROUND(J161,0),"")</f>
        <v/>
      </c>
    </row>
    <row r="162" spans="2:11" x14ac:dyDescent="0.3">
      <c r="B162" s="2" t="str">
        <f>IFERROR(IF(A162&lt;&gt;"",VLOOKUP(Alunos!A162,Exame!A3:D250,4, FALSE),""), "")</f>
        <v/>
      </c>
      <c r="C162" s="2" t="str">
        <f>IF(A162&lt;&gt;"",VLOOKUP(Alunos!A162,Agrupamentos!A3:B250,2, FALSE),"")</f>
        <v/>
      </c>
      <c r="D162" s="2" t="str">
        <f>IFERROR(IF(A162&lt;&gt;"",VLOOKUP(Alunos!C162,FDGDF!A3:D250,4, FALSE),""),"")</f>
        <v/>
      </c>
      <c r="E162" s="2" t="str">
        <f>IF(A162&lt;&gt;"",VLOOKUP(Alunos!A162,Agrupamentos!A3:B250,2, FALSE),"")</f>
        <v/>
      </c>
      <c r="F162" s="2" t="str">
        <f>IFERROR(IF(A162&lt;&gt;"",VLOOKUP(Alunos!E162,SDASD!A3:D250,4, FALSE),""),"")</f>
        <v/>
      </c>
      <c r="G162" s="2" t="str">
        <f>IF(A162&lt;&gt;"", SUMIF(B1:F1,"&lt;&gt;",B162:F162),"")</f>
        <v/>
      </c>
      <c r="H162" s="2" t="str">
        <f>IF(AND(A162&lt;&gt;"",G162&lt;&gt;""),ROUND(G162,0),"")</f>
        <v/>
      </c>
      <c r="I162" s="2" t="str">
        <f>IFERROR(IF(A162&lt;&gt;"",VLOOKUP(Alunos!A162,Recurso!A3:D250,4, FALSE),""), "")</f>
        <v/>
      </c>
      <c r="J162" s="2" t="str">
        <f>IF(AND(A162&lt;&gt;"",I162&lt;&gt;""), SUMIFS(B162:I162,B1:I1,"&lt;&gt;",B2:I2,"&lt;&gt;Exame",B2:I2,"&lt;&gt;exame",B2:I2,"&lt;&gt;Nota",B2:I2,"&lt;&gt;Total"),"")</f>
        <v/>
      </c>
      <c r="K162" s="2" t="str">
        <f>IF(AND(A162&lt;&gt;"",J162&lt;&gt;""),ROUND(J162,0),"")</f>
        <v/>
      </c>
    </row>
    <row r="163" spans="2:11" x14ac:dyDescent="0.3">
      <c r="B163" s="2" t="str">
        <f>IFERROR(IF(A163&lt;&gt;"",VLOOKUP(Alunos!A163,Exame!A3:D250,4, FALSE),""), "")</f>
        <v/>
      </c>
      <c r="C163" s="2" t="str">
        <f>IF(A163&lt;&gt;"",VLOOKUP(Alunos!A163,Agrupamentos!A3:B250,2, FALSE),"")</f>
        <v/>
      </c>
      <c r="D163" s="2" t="str">
        <f>IFERROR(IF(A163&lt;&gt;"",VLOOKUP(Alunos!C163,FDGDF!A3:D250,4, FALSE),""),"")</f>
        <v/>
      </c>
      <c r="E163" s="2" t="str">
        <f>IF(A163&lt;&gt;"",VLOOKUP(Alunos!A163,Agrupamentos!A3:B250,2, FALSE),"")</f>
        <v/>
      </c>
      <c r="F163" s="2" t="str">
        <f>IFERROR(IF(A163&lt;&gt;"",VLOOKUP(Alunos!E163,SDASD!A3:D250,4, FALSE),""),"")</f>
        <v/>
      </c>
      <c r="G163" s="2" t="str">
        <f>IF(A163&lt;&gt;"", SUMIF(B1:F1,"&lt;&gt;",B163:F163),"")</f>
        <v/>
      </c>
      <c r="H163" s="2" t="str">
        <f>IF(AND(A163&lt;&gt;"",G163&lt;&gt;""),ROUND(G163,0),"")</f>
        <v/>
      </c>
      <c r="I163" s="2" t="str">
        <f>IFERROR(IF(A163&lt;&gt;"",VLOOKUP(Alunos!A163,Recurso!A3:D250,4, FALSE),""), "")</f>
        <v/>
      </c>
      <c r="J163" s="2" t="str">
        <f>IF(AND(A163&lt;&gt;"",I163&lt;&gt;""), SUMIFS(B163:I163,B1:I1,"&lt;&gt;",B2:I2,"&lt;&gt;Exame",B2:I2,"&lt;&gt;exame",B2:I2,"&lt;&gt;Nota",B2:I2,"&lt;&gt;Total"),"")</f>
        <v/>
      </c>
      <c r="K163" s="2" t="str">
        <f>IF(AND(A163&lt;&gt;"",J163&lt;&gt;""),ROUND(J163,0),"")</f>
        <v/>
      </c>
    </row>
    <row r="164" spans="2:11" x14ac:dyDescent="0.3">
      <c r="B164" s="2" t="str">
        <f>IFERROR(IF(A164&lt;&gt;"",VLOOKUP(Alunos!A164,Exame!A3:D250,4, FALSE),""), "")</f>
        <v/>
      </c>
      <c r="C164" s="2" t="str">
        <f>IF(A164&lt;&gt;"",VLOOKUP(Alunos!A164,Agrupamentos!A3:B250,2, FALSE),"")</f>
        <v/>
      </c>
      <c r="D164" s="2" t="str">
        <f>IFERROR(IF(A164&lt;&gt;"",VLOOKUP(Alunos!C164,FDGDF!A3:D250,4, FALSE),""),"")</f>
        <v/>
      </c>
      <c r="E164" s="2" t="str">
        <f>IF(A164&lt;&gt;"",VLOOKUP(Alunos!A164,Agrupamentos!A3:B250,2, FALSE),"")</f>
        <v/>
      </c>
      <c r="F164" s="2" t="str">
        <f>IFERROR(IF(A164&lt;&gt;"",VLOOKUP(Alunos!E164,SDASD!A3:D250,4, FALSE),""),"")</f>
        <v/>
      </c>
      <c r="G164" s="2" t="str">
        <f>IF(A164&lt;&gt;"", SUMIF(B1:F1,"&lt;&gt;",B164:F164),"")</f>
        <v/>
      </c>
      <c r="H164" s="2" t="str">
        <f>IF(AND(A164&lt;&gt;"",G164&lt;&gt;""),ROUND(G164,0),"")</f>
        <v/>
      </c>
      <c r="I164" s="2" t="str">
        <f>IFERROR(IF(A164&lt;&gt;"",VLOOKUP(Alunos!A164,Recurso!A3:D250,4, FALSE),""), "")</f>
        <v/>
      </c>
      <c r="J164" s="2" t="str">
        <f>IF(AND(A164&lt;&gt;"",I164&lt;&gt;""), SUMIFS(B164:I164,B1:I1,"&lt;&gt;",B2:I2,"&lt;&gt;Exame",B2:I2,"&lt;&gt;exame",B2:I2,"&lt;&gt;Nota",B2:I2,"&lt;&gt;Total"),"")</f>
        <v/>
      </c>
      <c r="K164" s="2" t="str">
        <f>IF(AND(A164&lt;&gt;"",J164&lt;&gt;""),ROUND(J164,0),"")</f>
        <v/>
      </c>
    </row>
    <row r="165" spans="2:11" x14ac:dyDescent="0.3">
      <c r="B165" s="2" t="str">
        <f>IFERROR(IF(A165&lt;&gt;"",VLOOKUP(Alunos!A165,Exame!A3:D250,4, FALSE),""), "")</f>
        <v/>
      </c>
      <c r="C165" s="2" t="str">
        <f>IF(A165&lt;&gt;"",VLOOKUP(Alunos!A165,Agrupamentos!A3:B250,2, FALSE),"")</f>
        <v/>
      </c>
      <c r="D165" s="2" t="str">
        <f>IFERROR(IF(A165&lt;&gt;"",VLOOKUP(Alunos!C165,FDGDF!A3:D250,4, FALSE),""),"")</f>
        <v/>
      </c>
      <c r="E165" s="2" t="str">
        <f>IF(A165&lt;&gt;"",VLOOKUP(Alunos!A165,Agrupamentos!A3:B250,2, FALSE),"")</f>
        <v/>
      </c>
      <c r="F165" s="2" t="str">
        <f>IFERROR(IF(A165&lt;&gt;"",VLOOKUP(Alunos!E165,SDASD!A3:D250,4, FALSE),""),"")</f>
        <v/>
      </c>
      <c r="G165" s="2" t="str">
        <f>IF(A165&lt;&gt;"", SUMIF(B1:F1,"&lt;&gt;",B165:F165),"")</f>
        <v/>
      </c>
      <c r="H165" s="2" t="str">
        <f>IF(AND(A165&lt;&gt;"",G165&lt;&gt;""),ROUND(G165,0),"")</f>
        <v/>
      </c>
      <c r="I165" s="2" t="str">
        <f>IFERROR(IF(A165&lt;&gt;"",VLOOKUP(Alunos!A165,Recurso!A3:D250,4, FALSE),""), "")</f>
        <v/>
      </c>
      <c r="J165" s="2" t="str">
        <f>IF(AND(A165&lt;&gt;"",I165&lt;&gt;""), SUMIFS(B165:I165,B1:I1,"&lt;&gt;",B2:I2,"&lt;&gt;Exame",B2:I2,"&lt;&gt;exame",B2:I2,"&lt;&gt;Nota",B2:I2,"&lt;&gt;Total"),"")</f>
        <v/>
      </c>
      <c r="K165" s="2" t="str">
        <f>IF(AND(A165&lt;&gt;"",J165&lt;&gt;""),ROUND(J165,0),"")</f>
        <v/>
      </c>
    </row>
    <row r="166" spans="2:11" x14ac:dyDescent="0.3">
      <c r="B166" s="2" t="str">
        <f>IFERROR(IF(A166&lt;&gt;"",VLOOKUP(Alunos!A166,Exame!A3:D250,4, FALSE),""), "")</f>
        <v/>
      </c>
      <c r="C166" s="2" t="str">
        <f>IF(A166&lt;&gt;"",VLOOKUP(Alunos!A166,Agrupamentos!A3:B250,2, FALSE),"")</f>
        <v/>
      </c>
      <c r="D166" s="2" t="str">
        <f>IFERROR(IF(A166&lt;&gt;"",VLOOKUP(Alunos!C166,FDGDF!A3:D250,4, FALSE),""),"")</f>
        <v/>
      </c>
      <c r="E166" s="2" t="str">
        <f>IF(A166&lt;&gt;"",VLOOKUP(Alunos!A166,Agrupamentos!A3:B250,2, FALSE),"")</f>
        <v/>
      </c>
      <c r="F166" s="2" t="str">
        <f>IFERROR(IF(A166&lt;&gt;"",VLOOKUP(Alunos!E166,SDASD!A3:D250,4, FALSE),""),"")</f>
        <v/>
      </c>
      <c r="G166" s="2" t="str">
        <f>IF(A166&lt;&gt;"", SUMIF(B1:F1,"&lt;&gt;",B166:F166),"")</f>
        <v/>
      </c>
      <c r="H166" s="2" t="str">
        <f>IF(AND(A166&lt;&gt;"",G166&lt;&gt;""),ROUND(G166,0),"")</f>
        <v/>
      </c>
      <c r="I166" s="2" t="str">
        <f>IFERROR(IF(A166&lt;&gt;"",VLOOKUP(Alunos!A166,Recurso!A3:D250,4, FALSE),""), "")</f>
        <v/>
      </c>
      <c r="J166" s="2" t="str">
        <f>IF(AND(A166&lt;&gt;"",I166&lt;&gt;""), SUMIFS(B166:I166,B1:I1,"&lt;&gt;",B2:I2,"&lt;&gt;Exame",B2:I2,"&lt;&gt;exame",B2:I2,"&lt;&gt;Nota",B2:I2,"&lt;&gt;Total"),"")</f>
        <v/>
      </c>
      <c r="K166" s="2" t="str">
        <f>IF(AND(A166&lt;&gt;"",J166&lt;&gt;""),ROUND(J166,0),"")</f>
        <v/>
      </c>
    </row>
    <row r="167" spans="2:11" x14ac:dyDescent="0.3">
      <c r="B167" s="2" t="str">
        <f>IFERROR(IF(A167&lt;&gt;"",VLOOKUP(Alunos!A167,Exame!A3:D250,4, FALSE),""), "")</f>
        <v/>
      </c>
      <c r="C167" s="2" t="str">
        <f>IF(A167&lt;&gt;"",VLOOKUP(Alunos!A167,Agrupamentos!A3:B250,2, FALSE),"")</f>
        <v/>
      </c>
      <c r="D167" s="2" t="str">
        <f>IFERROR(IF(A167&lt;&gt;"",VLOOKUP(Alunos!C167,FDGDF!A3:D250,4, FALSE),""),"")</f>
        <v/>
      </c>
      <c r="E167" s="2" t="str">
        <f>IF(A167&lt;&gt;"",VLOOKUP(Alunos!A167,Agrupamentos!A3:B250,2, FALSE),"")</f>
        <v/>
      </c>
      <c r="F167" s="2" t="str">
        <f>IFERROR(IF(A167&lt;&gt;"",VLOOKUP(Alunos!E167,SDASD!A3:D250,4, FALSE),""),"")</f>
        <v/>
      </c>
      <c r="G167" s="2" t="str">
        <f>IF(A167&lt;&gt;"", SUMIF(B1:F1,"&lt;&gt;",B167:F167),"")</f>
        <v/>
      </c>
      <c r="H167" s="2" t="str">
        <f>IF(AND(A167&lt;&gt;"",G167&lt;&gt;""),ROUND(G167,0),"")</f>
        <v/>
      </c>
      <c r="I167" s="2" t="str">
        <f>IFERROR(IF(A167&lt;&gt;"",VLOOKUP(Alunos!A167,Recurso!A3:D250,4, FALSE),""), "")</f>
        <v/>
      </c>
      <c r="J167" s="2" t="str">
        <f>IF(AND(A167&lt;&gt;"",I167&lt;&gt;""), SUMIFS(B167:I167,B1:I1,"&lt;&gt;",B2:I2,"&lt;&gt;Exame",B2:I2,"&lt;&gt;exame",B2:I2,"&lt;&gt;Nota",B2:I2,"&lt;&gt;Total"),"")</f>
        <v/>
      </c>
      <c r="K167" s="2" t="str">
        <f>IF(AND(A167&lt;&gt;"",J167&lt;&gt;""),ROUND(J167,0),"")</f>
        <v/>
      </c>
    </row>
    <row r="168" spans="2:11" x14ac:dyDescent="0.3">
      <c r="B168" s="2" t="str">
        <f>IFERROR(IF(A168&lt;&gt;"",VLOOKUP(Alunos!A168,Exame!A3:D250,4, FALSE),""), "")</f>
        <v/>
      </c>
      <c r="C168" s="2" t="str">
        <f>IF(A168&lt;&gt;"",VLOOKUP(Alunos!A168,Agrupamentos!A3:B250,2, FALSE),"")</f>
        <v/>
      </c>
      <c r="D168" s="2" t="str">
        <f>IFERROR(IF(A168&lt;&gt;"",VLOOKUP(Alunos!C168,FDGDF!A3:D250,4, FALSE),""),"")</f>
        <v/>
      </c>
      <c r="E168" s="2" t="str">
        <f>IF(A168&lt;&gt;"",VLOOKUP(Alunos!A168,Agrupamentos!A3:B250,2, FALSE),"")</f>
        <v/>
      </c>
      <c r="F168" s="2" t="str">
        <f>IFERROR(IF(A168&lt;&gt;"",VLOOKUP(Alunos!E168,SDASD!A3:D250,4, FALSE),""),"")</f>
        <v/>
      </c>
      <c r="G168" s="2" t="str">
        <f>IF(A168&lt;&gt;"", SUMIF(B1:F1,"&lt;&gt;",B168:F168),"")</f>
        <v/>
      </c>
      <c r="H168" s="2" t="str">
        <f>IF(AND(A168&lt;&gt;"",G168&lt;&gt;""),ROUND(G168,0),"")</f>
        <v/>
      </c>
      <c r="I168" s="2" t="str">
        <f>IFERROR(IF(A168&lt;&gt;"",VLOOKUP(Alunos!A168,Recurso!A3:D250,4, FALSE),""), "")</f>
        <v/>
      </c>
      <c r="J168" s="2" t="str">
        <f>IF(AND(A168&lt;&gt;"",I168&lt;&gt;""), SUMIFS(B168:I168,B1:I1,"&lt;&gt;",B2:I2,"&lt;&gt;Exame",B2:I2,"&lt;&gt;exame",B2:I2,"&lt;&gt;Nota",B2:I2,"&lt;&gt;Total"),"")</f>
        <v/>
      </c>
      <c r="K168" s="2" t="str">
        <f>IF(AND(A168&lt;&gt;"",J168&lt;&gt;""),ROUND(J168,0),"")</f>
        <v/>
      </c>
    </row>
    <row r="169" spans="2:11" x14ac:dyDescent="0.3">
      <c r="B169" s="2" t="str">
        <f>IFERROR(IF(A169&lt;&gt;"",VLOOKUP(Alunos!A169,Exame!A3:D250,4, FALSE),""), "")</f>
        <v/>
      </c>
      <c r="C169" s="2" t="str">
        <f>IF(A169&lt;&gt;"",VLOOKUP(Alunos!A169,Agrupamentos!A3:B250,2, FALSE),"")</f>
        <v/>
      </c>
      <c r="D169" s="2" t="str">
        <f>IFERROR(IF(A169&lt;&gt;"",VLOOKUP(Alunos!C169,FDGDF!A3:D250,4, FALSE),""),"")</f>
        <v/>
      </c>
      <c r="E169" s="2" t="str">
        <f>IF(A169&lt;&gt;"",VLOOKUP(Alunos!A169,Agrupamentos!A3:B250,2, FALSE),"")</f>
        <v/>
      </c>
      <c r="F169" s="2" t="str">
        <f>IFERROR(IF(A169&lt;&gt;"",VLOOKUP(Alunos!E169,SDASD!A3:D250,4, FALSE),""),"")</f>
        <v/>
      </c>
      <c r="G169" s="2" t="str">
        <f>IF(A169&lt;&gt;"", SUMIF(B1:F1,"&lt;&gt;",B169:F169),"")</f>
        <v/>
      </c>
      <c r="H169" s="2" t="str">
        <f>IF(AND(A169&lt;&gt;"",G169&lt;&gt;""),ROUND(G169,0),"")</f>
        <v/>
      </c>
      <c r="I169" s="2" t="str">
        <f>IFERROR(IF(A169&lt;&gt;"",VLOOKUP(Alunos!A169,Recurso!A3:D250,4, FALSE),""), "")</f>
        <v/>
      </c>
      <c r="J169" s="2" t="str">
        <f>IF(AND(A169&lt;&gt;"",I169&lt;&gt;""), SUMIFS(B169:I169,B1:I1,"&lt;&gt;",B2:I2,"&lt;&gt;Exame",B2:I2,"&lt;&gt;exame",B2:I2,"&lt;&gt;Nota",B2:I2,"&lt;&gt;Total"),"")</f>
        <v/>
      </c>
      <c r="K169" s="2" t="str">
        <f>IF(AND(A169&lt;&gt;"",J169&lt;&gt;""),ROUND(J169,0),"")</f>
        <v/>
      </c>
    </row>
    <row r="170" spans="2:11" x14ac:dyDescent="0.3">
      <c r="B170" s="2" t="str">
        <f>IFERROR(IF(A170&lt;&gt;"",VLOOKUP(Alunos!A170,Exame!A3:D250,4, FALSE),""), "")</f>
        <v/>
      </c>
      <c r="C170" s="2" t="str">
        <f>IF(A170&lt;&gt;"",VLOOKUP(Alunos!A170,Agrupamentos!A3:B250,2, FALSE),"")</f>
        <v/>
      </c>
      <c r="D170" s="2" t="str">
        <f>IFERROR(IF(A170&lt;&gt;"",VLOOKUP(Alunos!C170,FDGDF!A3:D250,4, FALSE),""),"")</f>
        <v/>
      </c>
      <c r="E170" s="2" t="str">
        <f>IF(A170&lt;&gt;"",VLOOKUP(Alunos!A170,Agrupamentos!A3:B250,2, FALSE),"")</f>
        <v/>
      </c>
      <c r="F170" s="2" t="str">
        <f>IFERROR(IF(A170&lt;&gt;"",VLOOKUP(Alunos!E170,SDASD!A3:D250,4, FALSE),""),"")</f>
        <v/>
      </c>
      <c r="G170" s="2" t="str">
        <f>IF(A170&lt;&gt;"", SUMIF(B1:F1,"&lt;&gt;",B170:F170),"")</f>
        <v/>
      </c>
      <c r="H170" s="2" t="str">
        <f>IF(AND(A170&lt;&gt;"",G170&lt;&gt;""),ROUND(G170,0),"")</f>
        <v/>
      </c>
      <c r="I170" s="2" t="str">
        <f>IFERROR(IF(A170&lt;&gt;"",VLOOKUP(Alunos!A170,Recurso!A3:D250,4, FALSE),""), "")</f>
        <v/>
      </c>
      <c r="J170" s="2" t="str">
        <f>IF(AND(A170&lt;&gt;"",I170&lt;&gt;""), SUMIFS(B170:I170,B1:I1,"&lt;&gt;",B2:I2,"&lt;&gt;Exame",B2:I2,"&lt;&gt;exame",B2:I2,"&lt;&gt;Nota",B2:I2,"&lt;&gt;Total"),"")</f>
        <v/>
      </c>
      <c r="K170" s="2" t="str">
        <f>IF(AND(A170&lt;&gt;"",J170&lt;&gt;""),ROUND(J170,0),"")</f>
        <v/>
      </c>
    </row>
    <row r="171" spans="2:11" x14ac:dyDescent="0.3">
      <c r="B171" s="2" t="str">
        <f>IFERROR(IF(A171&lt;&gt;"",VLOOKUP(Alunos!A171,Exame!A3:D250,4, FALSE),""), "")</f>
        <v/>
      </c>
      <c r="C171" s="2" t="str">
        <f>IF(A171&lt;&gt;"",VLOOKUP(Alunos!A171,Agrupamentos!A3:B250,2, FALSE),"")</f>
        <v/>
      </c>
      <c r="D171" s="2" t="str">
        <f>IFERROR(IF(A171&lt;&gt;"",VLOOKUP(Alunos!C171,FDGDF!A3:D250,4, FALSE),""),"")</f>
        <v/>
      </c>
      <c r="E171" s="2" t="str">
        <f>IF(A171&lt;&gt;"",VLOOKUP(Alunos!A171,Agrupamentos!A3:B250,2, FALSE),"")</f>
        <v/>
      </c>
      <c r="F171" s="2" t="str">
        <f>IFERROR(IF(A171&lt;&gt;"",VLOOKUP(Alunos!E171,SDASD!A3:D250,4, FALSE),""),"")</f>
        <v/>
      </c>
      <c r="G171" s="2" t="str">
        <f>IF(A171&lt;&gt;"", SUMIF(B1:F1,"&lt;&gt;",B171:F171),"")</f>
        <v/>
      </c>
      <c r="H171" s="2" t="str">
        <f>IF(AND(A171&lt;&gt;"",G171&lt;&gt;""),ROUND(G171,0),"")</f>
        <v/>
      </c>
      <c r="I171" s="2" t="str">
        <f>IFERROR(IF(A171&lt;&gt;"",VLOOKUP(Alunos!A171,Recurso!A3:D250,4, FALSE),""), "")</f>
        <v/>
      </c>
      <c r="J171" s="2" t="str">
        <f>IF(AND(A171&lt;&gt;"",I171&lt;&gt;""), SUMIFS(B171:I171,B1:I1,"&lt;&gt;",B2:I2,"&lt;&gt;Exame",B2:I2,"&lt;&gt;exame",B2:I2,"&lt;&gt;Nota",B2:I2,"&lt;&gt;Total"),"")</f>
        <v/>
      </c>
      <c r="K171" s="2" t="str">
        <f>IF(AND(A171&lt;&gt;"",J171&lt;&gt;""),ROUND(J171,0),"")</f>
        <v/>
      </c>
    </row>
    <row r="172" spans="2:11" x14ac:dyDescent="0.3">
      <c r="B172" s="2" t="str">
        <f>IFERROR(IF(A172&lt;&gt;"",VLOOKUP(Alunos!A172,Exame!A3:D250,4, FALSE),""), "")</f>
        <v/>
      </c>
      <c r="C172" s="2" t="str">
        <f>IF(A172&lt;&gt;"",VLOOKUP(Alunos!A172,Agrupamentos!A3:B250,2, FALSE),"")</f>
        <v/>
      </c>
      <c r="D172" s="2" t="str">
        <f>IFERROR(IF(A172&lt;&gt;"",VLOOKUP(Alunos!C172,FDGDF!A3:D250,4, FALSE),""),"")</f>
        <v/>
      </c>
      <c r="E172" s="2" t="str">
        <f>IF(A172&lt;&gt;"",VLOOKUP(Alunos!A172,Agrupamentos!A3:B250,2, FALSE),"")</f>
        <v/>
      </c>
      <c r="F172" s="2" t="str">
        <f>IFERROR(IF(A172&lt;&gt;"",VLOOKUP(Alunos!E172,SDASD!A3:D250,4, FALSE),""),"")</f>
        <v/>
      </c>
      <c r="G172" s="2" t="str">
        <f>IF(A172&lt;&gt;"", SUMIF(B1:F1,"&lt;&gt;",B172:F172),"")</f>
        <v/>
      </c>
      <c r="H172" s="2" t="str">
        <f>IF(AND(A172&lt;&gt;"",G172&lt;&gt;""),ROUND(G172,0),"")</f>
        <v/>
      </c>
      <c r="I172" s="2" t="str">
        <f>IFERROR(IF(A172&lt;&gt;"",VLOOKUP(Alunos!A172,Recurso!A3:D250,4, FALSE),""), "")</f>
        <v/>
      </c>
      <c r="J172" s="2" t="str">
        <f>IF(AND(A172&lt;&gt;"",I172&lt;&gt;""), SUMIFS(B172:I172,B1:I1,"&lt;&gt;",B2:I2,"&lt;&gt;Exame",B2:I2,"&lt;&gt;exame",B2:I2,"&lt;&gt;Nota",B2:I2,"&lt;&gt;Total"),"")</f>
        <v/>
      </c>
      <c r="K172" s="2" t="str">
        <f>IF(AND(A172&lt;&gt;"",J172&lt;&gt;""),ROUND(J172,0),"")</f>
        <v/>
      </c>
    </row>
    <row r="173" spans="2:11" x14ac:dyDescent="0.3">
      <c r="B173" s="2" t="str">
        <f>IFERROR(IF(A173&lt;&gt;"",VLOOKUP(Alunos!A173,Exame!A3:D250,4, FALSE),""), "")</f>
        <v/>
      </c>
      <c r="C173" s="2" t="str">
        <f>IF(A173&lt;&gt;"",VLOOKUP(Alunos!A173,Agrupamentos!A3:B250,2, FALSE),"")</f>
        <v/>
      </c>
      <c r="D173" s="2" t="str">
        <f>IFERROR(IF(A173&lt;&gt;"",VLOOKUP(Alunos!C173,FDGDF!A3:D250,4, FALSE),""),"")</f>
        <v/>
      </c>
      <c r="E173" s="2" t="str">
        <f>IF(A173&lt;&gt;"",VLOOKUP(Alunos!A173,Agrupamentos!A3:B250,2, FALSE),"")</f>
        <v/>
      </c>
      <c r="F173" s="2" t="str">
        <f>IFERROR(IF(A173&lt;&gt;"",VLOOKUP(Alunos!E173,SDASD!A3:D250,4, FALSE),""),"")</f>
        <v/>
      </c>
      <c r="G173" s="2" t="str">
        <f>IF(A173&lt;&gt;"", SUMIF(B1:F1,"&lt;&gt;",B173:F173),"")</f>
        <v/>
      </c>
      <c r="H173" s="2" t="str">
        <f>IF(AND(A173&lt;&gt;"",G173&lt;&gt;""),ROUND(G173,0),"")</f>
        <v/>
      </c>
      <c r="I173" s="2" t="str">
        <f>IFERROR(IF(A173&lt;&gt;"",VLOOKUP(Alunos!A173,Recurso!A3:D250,4, FALSE),""), "")</f>
        <v/>
      </c>
      <c r="J173" s="2" t="str">
        <f>IF(AND(A173&lt;&gt;"",I173&lt;&gt;""), SUMIFS(B173:I173,B1:I1,"&lt;&gt;",B2:I2,"&lt;&gt;Exame",B2:I2,"&lt;&gt;exame",B2:I2,"&lt;&gt;Nota",B2:I2,"&lt;&gt;Total"),"")</f>
        <v/>
      </c>
      <c r="K173" s="2" t="str">
        <f>IF(AND(A173&lt;&gt;"",J173&lt;&gt;""),ROUND(J173,0),"")</f>
        <v/>
      </c>
    </row>
    <row r="174" spans="2:11" x14ac:dyDescent="0.3">
      <c r="B174" s="2" t="str">
        <f>IFERROR(IF(A174&lt;&gt;"",VLOOKUP(Alunos!A174,Exame!A3:D250,4, FALSE),""), "")</f>
        <v/>
      </c>
      <c r="C174" s="2" t="str">
        <f>IF(A174&lt;&gt;"",VLOOKUP(Alunos!A174,Agrupamentos!A3:B250,2, FALSE),"")</f>
        <v/>
      </c>
      <c r="D174" s="2" t="str">
        <f>IFERROR(IF(A174&lt;&gt;"",VLOOKUP(Alunos!C174,FDGDF!A3:D250,4, FALSE),""),"")</f>
        <v/>
      </c>
      <c r="E174" s="2" t="str">
        <f>IF(A174&lt;&gt;"",VLOOKUP(Alunos!A174,Agrupamentos!A3:B250,2, FALSE),"")</f>
        <v/>
      </c>
      <c r="F174" s="2" t="str">
        <f>IFERROR(IF(A174&lt;&gt;"",VLOOKUP(Alunos!E174,SDASD!A3:D250,4, FALSE),""),"")</f>
        <v/>
      </c>
      <c r="G174" s="2" t="str">
        <f>IF(A174&lt;&gt;"", SUMIF(B1:F1,"&lt;&gt;",B174:F174),"")</f>
        <v/>
      </c>
      <c r="H174" s="2" t="str">
        <f>IF(AND(A174&lt;&gt;"",G174&lt;&gt;""),ROUND(G174,0),"")</f>
        <v/>
      </c>
      <c r="I174" s="2" t="str">
        <f>IFERROR(IF(A174&lt;&gt;"",VLOOKUP(Alunos!A174,Recurso!A3:D250,4, FALSE),""), "")</f>
        <v/>
      </c>
      <c r="J174" s="2" t="str">
        <f>IF(AND(A174&lt;&gt;"",I174&lt;&gt;""), SUMIFS(B174:I174,B1:I1,"&lt;&gt;",B2:I2,"&lt;&gt;Exame",B2:I2,"&lt;&gt;exame",B2:I2,"&lt;&gt;Nota",B2:I2,"&lt;&gt;Total"),"")</f>
        <v/>
      </c>
      <c r="K174" s="2" t="str">
        <f>IF(AND(A174&lt;&gt;"",J174&lt;&gt;""),ROUND(J174,0),"")</f>
        <v/>
      </c>
    </row>
    <row r="175" spans="2:11" x14ac:dyDescent="0.3">
      <c r="B175" s="2" t="str">
        <f>IFERROR(IF(A175&lt;&gt;"",VLOOKUP(Alunos!A175,Exame!A3:D250,4, FALSE),""), "")</f>
        <v/>
      </c>
      <c r="C175" s="2" t="str">
        <f>IF(A175&lt;&gt;"",VLOOKUP(Alunos!A175,Agrupamentos!A3:B250,2, FALSE),"")</f>
        <v/>
      </c>
      <c r="D175" s="2" t="str">
        <f>IFERROR(IF(A175&lt;&gt;"",VLOOKUP(Alunos!C175,FDGDF!A3:D250,4, FALSE),""),"")</f>
        <v/>
      </c>
      <c r="E175" s="2" t="str">
        <f>IF(A175&lt;&gt;"",VLOOKUP(Alunos!A175,Agrupamentos!A3:B250,2, FALSE),"")</f>
        <v/>
      </c>
      <c r="F175" s="2" t="str">
        <f>IFERROR(IF(A175&lt;&gt;"",VLOOKUP(Alunos!E175,SDASD!A3:D250,4, FALSE),""),"")</f>
        <v/>
      </c>
      <c r="G175" s="2" t="str">
        <f>IF(A175&lt;&gt;"", SUMIF(B1:F1,"&lt;&gt;",B175:F175),"")</f>
        <v/>
      </c>
      <c r="H175" s="2" t="str">
        <f>IF(AND(A175&lt;&gt;"",G175&lt;&gt;""),ROUND(G175,0),"")</f>
        <v/>
      </c>
      <c r="I175" s="2" t="str">
        <f>IFERROR(IF(A175&lt;&gt;"",VLOOKUP(Alunos!A175,Recurso!A3:D250,4, FALSE),""), "")</f>
        <v/>
      </c>
      <c r="J175" s="2" t="str">
        <f>IF(AND(A175&lt;&gt;"",I175&lt;&gt;""), SUMIFS(B175:I175,B1:I1,"&lt;&gt;",B2:I2,"&lt;&gt;Exame",B2:I2,"&lt;&gt;exame",B2:I2,"&lt;&gt;Nota",B2:I2,"&lt;&gt;Total"),"")</f>
        <v/>
      </c>
      <c r="K175" s="2" t="str">
        <f>IF(AND(A175&lt;&gt;"",J175&lt;&gt;""),ROUND(J175,0),"")</f>
        <v/>
      </c>
    </row>
    <row r="176" spans="2:11" x14ac:dyDescent="0.3">
      <c r="B176" s="2" t="str">
        <f>IFERROR(IF(A176&lt;&gt;"",VLOOKUP(Alunos!A176,Exame!A3:D250,4, FALSE),""), "")</f>
        <v/>
      </c>
      <c r="C176" s="2" t="str">
        <f>IF(A176&lt;&gt;"",VLOOKUP(Alunos!A176,Agrupamentos!A3:B250,2, FALSE),"")</f>
        <v/>
      </c>
      <c r="D176" s="2" t="str">
        <f>IFERROR(IF(A176&lt;&gt;"",VLOOKUP(Alunos!C176,FDGDF!A3:D250,4, FALSE),""),"")</f>
        <v/>
      </c>
      <c r="E176" s="2" t="str">
        <f>IF(A176&lt;&gt;"",VLOOKUP(Alunos!A176,Agrupamentos!A3:B250,2, FALSE),"")</f>
        <v/>
      </c>
      <c r="F176" s="2" t="str">
        <f>IFERROR(IF(A176&lt;&gt;"",VLOOKUP(Alunos!E176,SDASD!A3:D250,4, FALSE),""),"")</f>
        <v/>
      </c>
      <c r="G176" s="2" t="str">
        <f>IF(A176&lt;&gt;"", SUMIF(B1:F1,"&lt;&gt;",B176:F176),"")</f>
        <v/>
      </c>
      <c r="H176" s="2" t="str">
        <f>IF(AND(A176&lt;&gt;"",G176&lt;&gt;""),ROUND(G176,0),"")</f>
        <v/>
      </c>
      <c r="I176" s="2" t="str">
        <f>IFERROR(IF(A176&lt;&gt;"",VLOOKUP(Alunos!A176,Recurso!A3:D250,4, FALSE),""), "")</f>
        <v/>
      </c>
      <c r="J176" s="2" t="str">
        <f>IF(AND(A176&lt;&gt;"",I176&lt;&gt;""), SUMIFS(B176:I176,B1:I1,"&lt;&gt;",B2:I2,"&lt;&gt;Exame",B2:I2,"&lt;&gt;exame",B2:I2,"&lt;&gt;Nota",B2:I2,"&lt;&gt;Total"),"")</f>
        <v/>
      </c>
      <c r="K176" s="2" t="str">
        <f>IF(AND(A176&lt;&gt;"",J176&lt;&gt;""),ROUND(J176,0),"")</f>
        <v/>
      </c>
    </row>
    <row r="177" spans="2:11" x14ac:dyDescent="0.3">
      <c r="B177" s="2" t="str">
        <f>IFERROR(IF(A177&lt;&gt;"",VLOOKUP(Alunos!A177,Exame!A3:D250,4, FALSE),""), "")</f>
        <v/>
      </c>
      <c r="C177" s="2" t="str">
        <f>IF(A177&lt;&gt;"",VLOOKUP(Alunos!A177,Agrupamentos!A3:B250,2, FALSE),"")</f>
        <v/>
      </c>
      <c r="D177" s="2" t="str">
        <f>IFERROR(IF(A177&lt;&gt;"",VLOOKUP(Alunos!C177,FDGDF!A3:D250,4, FALSE),""),"")</f>
        <v/>
      </c>
      <c r="E177" s="2" t="str">
        <f>IF(A177&lt;&gt;"",VLOOKUP(Alunos!A177,Agrupamentos!A3:B250,2, FALSE),"")</f>
        <v/>
      </c>
      <c r="F177" s="2" t="str">
        <f>IFERROR(IF(A177&lt;&gt;"",VLOOKUP(Alunos!E177,SDASD!A3:D250,4, FALSE),""),"")</f>
        <v/>
      </c>
      <c r="G177" s="2" t="str">
        <f>IF(A177&lt;&gt;"", SUMIF(B1:F1,"&lt;&gt;",B177:F177),"")</f>
        <v/>
      </c>
      <c r="H177" s="2" t="str">
        <f>IF(AND(A177&lt;&gt;"",G177&lt;&gt;""),ROUND(G177,0),"")</f>
        <v/>
      </c>
      <c r="I177" s="2" t="str">
        <f>IFERROR(IF(A177&lt;&gt;"",VLOOKUP(Alunos!A177,Recurso!A3:D250,4, FALSE),""), "")</f>
        <v/>
      </c>
      <c r="J177" s="2" t="str">
        <f>IF(AND(A177&lt;&gt;"",I177&lt;&gt;""), SUMIFS(B177:I177,B1:I1,"&lt;&gt;",B2:I2,"&lt;&gt;Exame",B2:I2,"&lt;&gt;exame",B2:I2,"&lt;&gt;Nota",B2:I2,"&lt;&gt;Total"),"")</f>
        <v/>
      </c>
      <c r="K177" s="2" t="str">
        <f>IF(AND(A177&lt;&gt;"",J177&lt;&gt;""),ROUND(J177,0),"")</f>
        <v/>
      </c>
    </row>
    <row r="178" spans="2:11" x14ac:dyDescent="0.3">
      <c r="B178" s="2" t="str">
        <f>IFERROR(IF(A178&lt;&gt;"",VLOOKUP(Alunos!A178,Exame!A3:D250,4, FALSE),""), "")</f>
        <v/>
      </c>
      <c r="C178" s="2" t="str">
        <f>IF(A178&lt;&gt;"",VLOOKUP(Alunos!A178,Agrupamentos!A3:B250,2, FALSE),"")</f>
        <v/>
      </c>
      <c r="D178" s="2" t="str">
        <f>IFERROR(IF(A178&lt;&gt;"",VLOOKUP(Alunos!C178,FDGDF!A3:D250,4, FALSE),""),"")</f>
        <v/>
      </c>
      <c r="E178" s="2" t="str">
        <f>IF(A178&lt;&gt;"",VLOOKUP(Alunos!A178,Agrupamentos!A3:B250,2, FALSE),"")</f>
        <v/>
      </c>
      <c r="F178" s="2" t="str">
        <f>IFERROR(IF(A178&lt;&gt;"",VLOOKUP(Alunos!E178,SDASD!A3:D250,4, FALSE),""),"")</f>
        <v/>
      </c>
      <c r="G178" s="2" t="str">
        <f>IF(A178&lt;&gt;"", SUMIF(B1:F1,"&lt;&gt;",B178:F178),"")</f>
        <v/>
      </c>
      <c r="H178" s="2" t="str">
        <f>IF(AND(A178&lt;&gt;"",G178&lt;&gt;""),ROUND(G178,0),"")</f>
        <v/>
      </c>
      <c r="I178" s="2" t="str">
        <f>IFERROR(IF(A178&lt;&gt;"",VLOOKUP(Alunos!A178,Recurso!A3:D250,4, FALSE),""), "")</f>
        <v/>
      </c>
      <c r="J178" s="2" t="str">
        <f>IF(AND(A178&lt;&gt;"",I178&lt;&gt;""), SUMIFS(B178:I178,B1:I1,"&lt;&gt;",B2:I2,"&lt;&gt;Exame",B2:I2,"&lt;&gt;exame",B2:I2,"&lt;&gt;Nota",B2:I2,"&lt;&gt;Total"),"")</f>
        <v/>
      </c>
      <c r="K178" s="2" t="str">
        <f>IF(AND(A178&lt;&gt;"",J178&lt;&gt;""),ROUND(J178,0),"")</f>
        <v/>
      </c>
    </row>
    <row r="179" spans="2:11" x14ac:dyDescent="0.3">
      <c r="B179" s="2" t="str">
        <f>IFERROR(IF(A179&lt;&gt;"",VLOOKUP(Alunos!A179,Exame!A3:D250,4, FALSE),""), "")</f>
        <v/>
      </c>
      <c r="C179" s="2" t="str">
        <f>IF(A179&lt;&gt;"",VLOOKUP(Alunos!A179,Agrupamentos!A3:B250,2, FALSE),"")</f>
        <v/>
      </c>
      <c r="D179" s="2" t="str">
        <f>IFERROR(IF(A179&lt;&gt;"",VLOOKUP(Alunos!C179,FDGDF!A3:D250,4, FALSE),""),"")</f>
        <v/>
      </c>
      <c r="E179" s="2" t="str">
        <f>IF(A179&lt;&gt;"",VLOOKUP(Alunos!A179,Agrupamentos!A3:B250,2, FALSE),"")</f>
        <v/>
      </c>
      <c r="F179" s="2" t="str">
        <f>IFERROR(IF(A179&lt;&gt;"",VLOOKUP(Alunos!E179,SDASD!A3:D250,4, FALSE),""),"")</f>
        <v/>
      </c>
      <c r="G179" s="2" t="str">
        <f>IF(A179&lt;&gt;"", SUMIF(B1:F1,"&lt;&gt;",B179:F179),"")</f>
        <v/>
      </c>
      <c r="H179" s="2" t="str">
        <f>IF(AND(A179&lt;&gt;"",G179&lt;&gt;""),ROUND(G179,0),"")</f>
        <v/>
      </c>
      <c r="I179" s="2" t="str">
        <f>IFERROR(IF(A179&lt;&gt;"",VLOOKUP(Alunos!A179,Recurso!A3:D250,4, FALSE),""), "")</f>
        <v/>
      </c>
      <c r="J179" s="2" t="str">
        <f>IF(AND(A179&lt;&gt;"",I179&lt;&gt;""), SUMIFS(B179:I179,B1:I1,"&lt;&gt;",B2:I2,"&lt;&gt;Exame",B2:I2,"&lt;&gt;exame",B2:I2,"&lt;&gt;Nota",B2:I2,"&lt;&gt;Total"),"")</f>
        <v/>
      </c>
      <c r="K179" s="2" t="str">
        <f>IF(AND(A179&lt;&gt;"",J179&lt;&gt;""),ROUND(J179,0),"")</f>
        <v/>
      </c>
    </row>
    <row r="180" spans="2:11" x14ac:dyDescent="0.3">
      <c r="B180" s="2" t="str">
        <f>IFERROR(IF(A180&lt;&gt;"",VLOOKUP(Alunos!A180,Exame!A3:D250,4, FALSE),""), "")</f>
        <v/>
      </c>
      <c r="C180" s="2" t="str">
        <f>IF(A180&lt;&gt;"",VLOOKUP(Alunos!A180,Agrupamentos!A3:B250,2, FALSE),"")</f>
        <v/>
      </c>
      <c r="D180" s="2" t="str">
        <f>IFERROR(IF(A180&lt;&gt;"",VLOOKUP(Alunos!C180,FDGDF!A3:D250,4, FALSE),""),"")</f>
        <v/>
      </c>
      <c r="E180" s="2" t="str">
        <f>IF(A180&lt;&gt;"",VLOOKUP(Alunos!A180,Agrupamentos!A3:B250,2, FALSE),"")</f>
        <v/>
      </c>
      <c r="F180" s="2" t="str">
        <f>IFERROR(IF(A180&lt;&gt;"",VLOOKUP(Alunos!E180,SDASD!A3:D250,4, FALSE),""),"")</f>
        <v/>
      </c>
      <c r="G180" s="2" t="str">
        <f>IF(A180&lt;&gt;"", SUMIF(B1:F1,"&lt;&gt;",B180:F180),"")</f>
        <v/>
      </c>
      <c r="H180" s="2" t="str">
        <f>IF(AND(A180&lt;&gt;"",G180&lt;&gt;""),ROUND(G180,0),"")</f>
        <v/>
      </c>
      <c r="I180" s="2" t="str">
        <f>IFERROR(IF(A180&lt;&gt;"",VLOOKUP(Alunos!A180,Recurso!A3:D250,4, FALSE),""), "")</f>
        <v/>
      </c>
      <c r="J180" s="2" t="str">
        <f>IF(AND(A180&lt;&gt;"",I180&lt;&gt;""), SUMIFS(B180:I180,B1:I1,"&lt;&gt;",B2:I2,"&lt;&gt;Exame",B2:I2,"&lt;&gt;exame",B2:I2,"&lt;&gt;Nota",B2:I2,"&lt;&gt;Total"),"")</f>
        <v/>
      </c>
      <c r="K180" s="2" t="str">
        <f>IF(AND(A180&lt;&gt;"",J180&lt;&gt;""),ROUND(J180,0),"")</f>
        <v/>
      </c>
    </row>
    <row r="181" spans="2:11" x14ac:dyDescent="0.3">
      <c r="B181" s="2" t="str">
        <f>IFERROR(IF(A181&lt;&gt;"",VLOOKUP(Alunos!A181,Exame!A3:D250,4, FALSE),""), "")</f>
        <v/>
      </c>
      <c r="C181" s="2" t="str">
        <f>IF(A181&lt;&gt;"",VLOOKUP(Alunos!A181,Agrupamentos!A3:B250,2, FALSE),"")</f>
        <v/>
      </c>
      <c r="D181" s="2" t="str">
        <f>IFERROR(IF(A181&lt;&gt;"",VLOOKUP(Alunos!C181,FDGDF!A3:D250,4, FALSE),""),"")</f>
        <v/>
      </c>
      <c r="E181" s="2" t="str">
        <f>IF(A181&lt;&gt;"",VLOOKUP(Alunos!A181,Agrupamentos!A3:B250,2, FALSE),"")</f>
        <v/>
      </c>
      <c r="F181" s="2" t="str">
        <f>IFERROR(IF(A181&lt;&gt;"",VLOOKUP(Alunos!E181,SDASD!A3:D250,4, FALSE),""),"")</f>
        <v/>
      </c>
      <c r="G181" s="2" t="str">
        <f>IF(A181&lt;&gt;"", SUMIF(B1:F1,"&lt;&gt;",B181:F181),"")</f>
        <v/>
      </c>
      <c r="H181" s="2" t="str">
        <f>IF(AND(A181&lt;&gt;"",G181&lt;&gt;""),ROUND(G181,0),"")</f>
        <v/>
      </c>
      <c r="I181" s="2" t="str">
        <f>IFERROR(IF(A181&lt;&gt;"",VLOOKUP(Alunos!A181,Recurso!A3:D250,4, FALSE),""), "")</f>
        <v/>
      </c>
      <c r="J181" s="2" t="str">
        <f>IF(AND(A181&lt;&gt;"",I181&lt;&gt;""), SUMIFS(B181:I181,B1:I1,"&lt;&gt;",B2:I2,"&lt;&gt;Exame",B2:I2,"&lt;&gt;exame",B2:I2,"&lt;&gt;Nota",B2:I2,"&lt;&gt;Total"),"")</f>
        <v/>
      </c>
      <c r="K181" s="2" t="str">
        <f>IF(AND(A181&lt;&gt;"",J181&lt;&gt;""),ROUND(J181,0),"")</f>
        <v/>
      </c>
    </row>
    <row r="182" spans="2:11" x14ac:dyDescent="0.3">
      <c r="B182" s="2" t="str">
        <f>IFERROR(IF(A182&lt;&gt;"",VLOOKUP(Alunos!A182,Exame!A3:D250,4, FALSE),""), "")</f>
        <v/>
      </c>
      <c r="C182" s="2" t="str">
        <f>IF(A182&lt;&gt;"",VLOOKUP(Alunos!A182,Agrupamentos!A3:B250,2, FALSE),"")</f>
        <v/>
      </c>
      <c r="D182" s="2" t="str">
        <f>IFERROR(IF(A182&lt;&gt;"",VLOOKUP(Alunos!C182,FDGDF!A3:D250,4, FALSE),""),"")</f>
        <v/>
      </c>
      <c r="E182" s="2" t="str">
        <f>IF(A182&lt;&gt;"",VLOOKUP(Alunos!A182,Agrupamentos!A3:B250,2, FALSE),"")</f>
        <v/>
      </c>
      <c r="F182" s="2" t="str">
        <f>IFERROR(IF(A182&lt;&gt;"",VLOOKUP(Alunos!E182,SDASD!A3:D250,4, FALSE),""),"")</f>
        <v/>
      </c>
      <c r="G182" s="2" t="str">
        <f>IF(A182&lt;&gt;"", SUMIF(B1:F1,"&lt;&gt;",B182:F182),"")</f>
        <v/>
      </c>
      <c r="H182" s="2" t="str">
        <f>IF(AND(A182&lt;&gt;"",G182&lt;&gt;""),ROUND(G182,0),"")</f>
        <v/>
      </c>
      <c r="I182" s="2" t="str">
        <f>IFERROR(IF(A182&lt;&gt;"",VLOOKUP(Alunos!A182,Recurso!A3:D250,4, FALSE),""), "")</f>
        <v/>
      </c>
      <c r="J182" s="2" t="str">
        <f>IF(AND(A182&lt;&gt;"",I182&lt;&gt;""), SUMIFS(B182:I182,B1:I1,"&lt;&gt;",B2:I2,"&lt;&gt;Exame",B2:I2,"&lt;&gt;exame",B2:I2,"&lt;&gt;Nota",B2:I2,"&lt;&gt;Total"),"")</f>
        <v/>
      </c>
      <c r="K182" s="2" t="str">
        <f>IF(AND(A182&lt;&gt;"",J182&lt;&gt;""),ROUND(J182,0),"")</f>
        <v/>
      </c>
    </row>
    <row r="183" spans="2:11" x14ac:dyDescent="0.3">
      <c r="B183" s="2" t="str">
        <f>IFERROR(IF(A183&lt;&gt;"",VLOOKUP(Alunos!A183,Exame!A3:D250,4, FALSE),""), "")</f>
        <v/>
      </c>
      <c r="C183" s="2" t="str">
        <f>IF(A183&lt;&gt;"",VLOOKUP(Alunos!A183,Agrupamentos!A3:B250,2, FALSE),"")</f>
        <v/>
      </c>
      <c r="D183" s="2" t="str">
        <f>IFERROR(IF(A183&lt;&gt;"",VLOOKUP(Alunos!C183,FDGDF!A3:D250,4, FALSE),""),"")</f>
        <v/>
      </c>
      <c r="E183" s="2" t="str">
        <f>IF(A183&lt;&gt;"",VLOOKUP(Alunos!A183,Agrupamentos!A3:B250,2, FALSE),"")</f>
        <v/>
      </c>
      <c r="F183" s="2" t="str">
        <f>IFERROR(IF(A183&lt;&gt;"",VLOOKUP(Alunos!E183,SDASD!A3:D250,4, FALSE),""),"")</f>
        <v/>
      </c>
      <c r="G183" s="2" t="str">
        <f>IF(A183&lt;&gt;"", SUMIF(B1:F1,"&lt;&gt;",B183:F183),"")</f>
        <v/>
      </c>
      <c r="H183" s="2" t="str">
        <f>IF(AND(A183&lt;&gt;"",G183&lt;&gt;""),ROUND(G183,0),"")</f>
        <v/>
      </c>
      <c r="I183" s="2" t="str">
        <f>IFERROR(IF(A183&lt;&gt;"",VLOOKUP(Alunos!A183,Recurso!A3:D250,4, FALSE),""), "")</f>
        <v/>
      </c>
      <c r="J183" s="2" t="str">
        <f>IF(AND(A183&lt;&gt;"",I183&lt;&gt;""), SUMIFS(B183:I183,B1:I1,"&lt;&gt;",B2:I2,"&lt;&gt;Exame",B2:I2,"&lt;&gt;exame",B2:I2,"&lt;&gt;Nota",B2:I2,"&lt;&gt;Total"),"")</f>
        <v/>
      </c>
      <c r="K183" s="2" t="str">
        <f>IF(AND(A183&lt;&gt;"",J183&lt;&gt;""),ROUND(J183,0),"")</f>
        <v/>
      </c>
    </row>
    <row r="184" spans="2:11" x14ac:dyDescent="0.3">
      <c r="B184" s="2" t="str">
        <f>IFERROR(IF(A184&lt;&gt;"",VLOOKUP(Alunos!A184,Exame!A3:D250,4, FALSE),""), "")</f>
        <v/>
      </c>
      <c r="C184" s="2" t="str">
        <f>IF(A184&lt;&gt;"",VLOOKUP(Alunos!A184,Agrupamentos!A3:B250,2, FALSE),"")</f>
        <v/>
      </c>
      <c r="D184" s="2" t="str">
        <f>IFERROR(IF(A184&lt;&gt;"",VLOOKUP(Alunos!C184,FDGDF!A3:D250,4, FALSE),""),"")</f>
        <v/>
      </c>
      <c r="E184" s="2" t="str">
        <f>IF(A184&lt;&gt;"",VLOOKUP(Alunos!A184,Agrupamentos!A3:B250,2, FALSE),"")</f>
        <v/>
      </c>
      <c r="F184" s="2" t="str">
        <f>IFERROR(IF(A184&lt;&gt;"",VLOOKUP(Alunos!E184,SDASD!A3:D250,4, FALSE),""),"")</f>
        <v/>
      </c>
      <c r="G184" s="2" t="str">
        <f>IF(A184&lt;&gt;"", SUMIF(B1:F1,"&lt;&gt;",B184:F184),"")</f>
        <v/>
      </c>
      <c r="H184" s="2" t="str">
        <f>IF(AND(A184&lt;&gt;"",G184&lt;&gt;""),ROUND(G184,0),"")</f>
        <v/>
      </c>
      <c r="I184" s="2" t="str">
        <f>IFERROR(IF(A184&lt;&gt;"",VLOOKUP(Alunos!A184,Recurso!A3:D250,4, FALSE),""), "")</f>
        <v/>
      </c>
      <c r="J184" s="2" t="str">
        <f>IF(AND(A184&lt;&gt;"",I184&lt;&gt;""), SUMIFS(B184:I184,B1:I1,"&lt;&gt;",B2:I2,"&lt;&gt;Exame",B2:I2,"&lt;&gt;exame",B2:I2,"&lt;&gt;Nota",B2:I2,"&lt;&gt;Total"),"")</f>
        <v/>
      </c>
      <c r="K184" s="2" t="str">
        <f>IF(AND(A184&lt;&gt;"",J184&lt;&gt;""),ROUND(J184,0),"")</f>
        <v/>
      </c>
    </row>
    <row r="185" spans="2:11" x14ac:dyDescent="0.3">
      <c r="B185" s="2" t="str">
        <f>IFERROR(IF(A185&lt;&gt;"",VLOOKUP(Alunos!A185,Exame!A3:D250,4, FALSE),""), "")</f>
        <v/>
      </c>
      <c r="C185" s="2" t="str">
        <f>IF(A185&lt;&gt;"",VLOOKUP(Alunos!A185,Agrupamentos!A3:B250,2, FALSE),"")</f>
        <v/>
      </c>
      <c r="D185" s="2" t="str">
        <f>IFERROR(IF(A185&lt;&gt;"",VLOOKUP(Alunos!C185,FDGDF!A3:D250,4, FALSE),""),"")</f>
        <v/>
      </c>
      <c r="E185" s="2" t="str">
        <f>IF(A185&lt;&gt;"",VLOOKUP(Alunos!A185,Agrupamentos!A3:B250,2, FALSE),"")</f>
        <v/>
      </c>
      <c r="F185" s="2" t="str">
        <f>IFERROR(IF(A185&lt;&gt;"",VLOOKUP(Alunos!E185,SDASD!A3:D250,4, FALSE),""),"")</f>
        <v/>
      </c>
      <c r="G185" s="2" t="str">
        <f>IF(A185&lt;&gt;"", SUMIF(B1:F1,"&lt;&gt;",B185:F185),"")</f>
        <v/>
      </c>
      <c r="H185" s="2" t="str">
        <f>IF(AND(A185&lt;&gt;"",G185&lt;&gt;""),ROUND(G185,0),"")</f>
        <v/>
      </c>
      <c r="I185" s="2" t="str">
        <f>IFERROR(IF(A185&lt;&gt;"",VLOOKUP(Alunos!A185,Recurso!A3:D250,4, FALSE),""), "")</f>
        <v/>
      </c>
      <c r="J185" s="2" t="str">
        <f>IF(AND(A185&lt;&gt;"",I185&lt;&gt;""), SUMIFS(B185:I185,B1:I1,"&lt;&gt;",B2:I2,"&lt;&gt;Exame",B2:I2,"&lt;&gt;exame",B2:I2,"&lt;&gt;Nota",B2:I2,"&lt;&gt;Total"),"")</f>
        <v/>
      </c>
      <c r="K185" s="2" t="str">
        <f>IF(AND(A185&lt;&gt;"",J185&lt;&gt;""),ROUND(J185,0),"")</f>
        <v/>
      </c>
    </row>
    <row r="186" spans="2:11" x14ac:dyDescent="0.3">
      <c r="B186" s="2" t="str">
        <f>IFERROR(IF(A186&lt;&gt;"",VLOOKUP(Alunos!A186,Exame!A3:D250,4, FALSE),""), "")</f>
        <v/>
      </c>
      <c r="C186" s="2" t="str">
        <f>IF(A186&lt;&gt;"",VLOOKUP(Alunos!A186,Agrupamentos!A3:B250,2, FALSE),"")</f>
        <v/>
      </c>
      <c r="D186" s="2" t="str">
        <f>IFERROR(IF(A186&lt;&gt;"",VLOOKUP(Alunos!C186,FDGDF!A3:D250,4, FALSE),""),"")</f>
        <v/>
      </c>
      <c r="E186" s="2" t="str">
        <f>IF(A186&lt;&gt;"",VLOOKUP(Alunos!A186,Agrupamentos!A3:B250,2, FALSE),"")</f>
        <v/>
      </c>
      <c r="F186" s="2" t="str">
        <f>IFERROR(IF(A186&lt;&gt;"",VLOOKUP(Alunos!E186,SDASD!A3:D250,4, FALSE),""),"")</f>
        <v/>
      </c>
      <c r="G186" s="2" t="str">
        <f>IF(A186&lt;&gt;"", SUMIF(B1:F1,"&lt;&gt;",B186:F186),"")</f>
        <v/>
      </c>
      <c r="H186" s="2" t="str">
        <f>IF(AND(A186&lt;&gt;"",G186&lt;&gt;""),ROUND(G186,0),"")</f>
        <v/>
      </c>
      <c r="I186" s="2" t="str">
        <f>IFERROR(IF(A186&lt;&gt;"",VLOOKUP(Alunos!A186,Recurso!A3:D250,4, FALSE),""), "")</f>
        <v/>
      </c>
      <c r="J186" s="2" t="str">
        <f>IF(AND(A186&lt;&gt;"",I186&lt;&gt;""), SUMIFS(B186:I186,B1:I1,"&lt;&gt;",B2:I2,"&lt;&gt;Exame",B2:I2,"&lt;&gt;exame",B2:I2,"&lt;&gt;Nota",B2:I2,"&lt;&gt;Total"),"")</f>
        <v/>
      </c>
      <c r="K186" s="2" t="str">
        <f>IF(AND(A186&lt;&gt;"",J186&lt;&gt;""),ROUND(J186,0),"")</f>
        <v/>
      </c>
    </row>
    <row r="187" spans="2:11" x14ac:dyDescent="0.3">
      <c r="B187" s="2" t="str">
        <f>IFERROR(IF(A187&lt;&gt;"",VLOOKUP(Alunos!A187,Exame!A3:D250,4, FALSE),""), "")</f>
        <v/>
      </c>
      <c r="C187" s="2" t="str">
        <f>IF(A187&lt;&gt;"",VLOOKUP(Alunos!A187,Agrupamentos!A3:B250,2, FALSE),"")</f>
        <v/>
      </c>
      <c r="D187" s="2" t="str">
        <f>IFERROR(IF(A187&lt;&gt;"",VLOOKUP(Alunos!C187,FDGDF!A3:D250,4, FALSE),""),"")</f>
        <v/>
      </c>
      <c r="E187" s="2" t="str">
        <f>IF(A187&lt;&gt;"",VLOOKUP(Alunos!A187,Agrupamentos!A3:B250,2, FALSE),"")</f>
        <v/>
      </c>
      <c r="F187" s="2" t="str">
        <f>IFERROR(IF(A187&lt;&gt;"",VLOOKUP(Alunos!E187,SDASD!A3:D250,4, FALSE),""),"")</f>
        <v/>
      </c>
      <c r="G187" s="2" t="str">
        <f>IF(A187&lt;&gt;"", SUMIF(B1:F1,"&lt;&gt;",B187:F187),"")</f>
        <v/>
      </c>
      <c r="H187" s="2" t="str">
        <f>IF(AND(A187&lt;&gt;"",G187&lt;&gt;""),ROUND(G187,0),"")</f>
        <v/>
      </c>
      <c r="I187" s="2" t="str">
        <f>IFERROR(IF(A187&lt;&gt;"",VLOOKUP(Alunos!A187,Recurso!A3:D250,4, FALSE),""), "")</f>
        <v/>
      </c>
      <c r="J187" s="2" t="str">
        <f>IF(AND(A187&lt;&gt;"",I187&lt;&gt;""), SUMIFS(B187:I187,B1:I1,"&lt;&gt;",B2:I2,"&lt;&gt;Exame",B2:I2,"&lt;&gt;exame",B2:I2,"&lt;&gt;Nota",B2:I2,"&lt;&gt;Total"),"")</f>
        <v/>
      </c>
      <c r="K187" s="2" t="str">
        <f>IF(AND(A187&lt;&gt;"",J187&lt;&gt;""),ROUND(J187,0),"")</f>
        <v/>
      </c>
    </row>
    <row r="188" spans="2:11" x14ac:dyDescent="0.3">
      <c r="B188" s="2" t="str">
        <f>IFERROR(IF(A188&lt;&gt;"",VLOOKUP(Alunos!A188,Exame!A3:D250,4, FALSE),""), "")</f>
        <v/>
      </c>
      <c r="C188" s="2" t="str">
        <f>IF(A188&lt;&gt;"",VLOOKUP(Alunos!A188,Agrupamentos!A3:B250,2, FALSE),"")</f>
        <v/>
      </c>
      <c r="D188" s="2" t="str">
        <f>IFERROR(IF(A188&lt;&gt;"",VLOOKUP(Alunos!C188,FDGDF!A3:D250,4, FALSE),""),"")</f>
        <v/>
      </c>
      <c r="E188" s="2" t="str">
        <f>IF(A188&lt;&gt;"",VLOOKUP(Alunos!A188,Agrupamentos!A3:B250,2, FALSE),"")</f>
        <v/>
      </c>
      <c r="F188" s="2" t="str">
        <f>IFERROR(IF(A188&lt;&gt;"",VLOOKUP(Alunos!E188,SDASD!A3:D250,4, FALSE),""),"")</f>
        <v/>
      </c>
      <c r="G188" s="2" t="str">
        <f>IF(A188&lt;&gt;"", SUMIF(B1:F1,"&lt;&gt;",B188:F188),"")</f>
        <v/>
      </c>
      <c r="H188" s="2" t="str">
        <f>IF(AND(A188&lt;&gt;"",G188&lt;&gt;""),ROUND(G188,0),"")</f>
        <v/>
      </c>
      <c r="I188" s="2" t="str">
        <f>IFERROR(IF(A188&lt;&gt;"",VLOOKUP(Alunos!A188,Recurso!A3:D250,4, FALSE),""), "")</f>
        <v/>
      </c>
      <c r="J188" s="2" t="str">
        <f>IF(AND(A188&lt;&gt;"",I188&lt;&gt;""), SUMIFS(B188:I188,B1:I1,"&lt;&gt;",B2:I2,"&lt;&gt;Exame",B2:I2,"&lt;&gt;exame",B2:I2,"&lt;&gt;Nota",B2:I2,"&lt;&gt;Total"),"")</f>
        <v/>
      </c>
      <c r="K188" s="2" t="str">
        <f>IF(AND(A188&lt;&gt;"",J188&lt;&gt;""),ROUND(J188,0),"")</f>
        <v/>
      </c>
    </row>
    <row r="189" spans="2:11" x14ac:dyDescent="0.3">
      <c r="B189" s="2" t="str">
        <f>IFERROR(IF(A189&lt;&gt;"",VLOOKUP(Alunos!A189,Exame!A3:D250,4, FALSE),""), "")</f>
        <v/>
      </c>
      <c r="C189" s="2" t="str">
        <f>IF(A189&lt;&gt;"",VLOOKUP(Alunos!A189,Agrupamentos!A3:B250,2, FALSE),"")</f>
        <v/>
      </c>
      <c r="D189" s="2" t="str">
        <f>IFERROR(IF(A189&lt;&gt;"",VLOOKUP(Alunos!C189,FDGDF!A3:D250,4, FALSE),""),"")</f>
        <v/>
      </c>
      <c r="E189" s="2" t="str">
        <f>IF(A189&lt;&gt;"",VLOOKUP(Alunos!A189,Agrupamentos!A3:B250,2, FALSE),"")</f>
        <v/>
      </c>
      <c r="F189" s="2" t="str">
        <f>IFERROR(IF(A189&lt;&gt;"",VLOOKUP(Alunos!E189,SDASD!A3:D250,4, FALSE),""),"")</f>
        <v/>
      </c>
      <c r="G189" s="2" t="str">
        <f>IF(A189&lt;&gt;"", SUMIF(B1:F1,"&lt;&gt;",B189:F189),"")</f>
        <v/>
      </c>
      <c r="H189" s="2" t="str">
        <f>IF(AND(A189&lt;&gt;"",G189&lt;&gt;""),ROUND(G189,0),"")</f>
        <v/>
      </c>
      <c r="I189" s="2" t="str">
        <f>IFERROR(IF(A189&lt;&gt;"",VLOOKUP(Alunos!A189,Recurso!A3:D250,4, FALSE),""), "")</f>
        <v/>
      </c>
      <c r="J189" s="2" t="str">
        <f>IF(AND(A189&lt;&gt;"",I189&lt;&gt;""), SUMIFS(B189:I189,B1:I1,"&lt;&gt;",B2:I2,"&lt;&gt;Exame",B2:I2,"&lt;&gt;exame",B2:I2,"&lt;&gt;Nota",B2:I2,"&lt;&gt;Total"),"")</f>
        <v/>
      </c>
      <c r="K189" s="2" t="str">
        <f>IF(AND(A189&lt;&gt;"",J189&lt;&gt;""),ROUND(J189,0),"")</f>
        <v/>
      </c>
    </row>
    <row r="190" spans="2:11" x14ac:dyDescent="0.3">
      <c r="B190" s="2" t="str">
        <f>IFERROR(IF(A190&lt;&gt;"",VLOOKUP(Alunos!A190,Exame!A3:D250,4, FALSE),""), "")</f>
        <v/>
      </c>
      <c r="C190" s="2" t="str">
        <f>IF(A190&lt;&gt;"",VLOOKUP(Alunos!A190,Agrupamentos!A3:B250,2, FALSE),"")</f>
        <v/>
      </c>
      <c r="D190" s="2" t="str">
        <f>IFERROR(IF(A190&lt;&gt;"",VLOOKUP(Alunos!C190,FDGDF!A3:D250,4, FALSE),""),"")</f>
        <v/>
      </c>
      <c r="E190" s="2" t="str">
        <f>IF(A190&lt;&gt;"",VLOOKUP(Alunos!A190,Agrupamentos!A3:B250,2, FALSE),"")</f>
        <v/>
      </c>
      <c r="F190" s="2" t="str">
        <f>IFERROR(IF(A190&lt;&gt;"",VLOOKUP(Alunos!E190,SDASD!A3:D250,4, FALSE),""),"")</f>
        <v/>
      </c>
      <c r="G190" s="2" t="str">
        <f>IF(A190&lt;&gt;"", SUMIF(B1:F1,"&lt;&gt;",B190:F190),"")</f>
        <v/>
      </c>
      <c r="H190" s="2" t="str">
        <f>IF(AND(A190&lt;&gt;"",G190&lt;&gt;""),ROUND(G190,0),"")</f>
        <v/>
      </c>
      <c r="I190" s="2" t="str">
        <f>IFERROR(IF(A190&lt;&gt;"",VLOOKUP(Alunos!A190,Recurso!A3:D250,4, FALSE),""), "")</f>
        <v/>
      </c>
      <c r="J190" s="2" t="str">
        <f>IF(AND(A190&lt;&gt;"",I190&lt;&gt;""), SUMIFS(B190:I190,B1:I1,"&lt;&gt;",B2:I2,"&lt;&gt;Exame",B2:I2,"&lt;&gt;exame",B2:I2,"&lt;&gt;Nota",B2:I2,"&lt;&gt;Total"),"")</f>
        <v/>
      </c>
      <c r="K190" s="2" t="str">
        <f>IF(AND(A190&lt;&gt;"",J190&lt;&gt;""),ROUND(J190,0),"")</f>
        <v/>
      </c>
    </row>
    <row r="191" spans="2:11" x14ac:dyDescent="0.3">
      <c r="B191" s="2" t="str">
        <f>IFERROR(IF(A191&lt;&gt;"",VLOOKUP(Alunos!A191,Exame!A3:D250,4, FALSE),""), "")</f>
        <v/>
      </c>
      <c r="C191" s="2" t="str">
        <f>IF(A191&lt;&gt;"",VLOOKUP(Alunos!A191,Agrupamentos!A3:B250,2, FALSE),"")</f>
        <v/>
      </c>
      <c r="D191" s="2" t="str">
        <f>IFERROR(IF(A191&lt;&gt;"",VLOOKUP(Alunos!C191,FDGDF!A3:D250,4, FALSE),""),"")</f>
        <v/>
      </c>
      <c r="E191" s="2" t="str">
        <f>IF(A191&lt;&gt;"",VLOOKUP(Alunos!A191,Agrupamentos!A3:B250,2, FALSE),"")</f>
        <v/>
      </c>
      <c r="F191" s="2" t="str">
        <f>IFERROR(IF(A191&lt;&gt;"",VLOOKUP(Alunos!E191,SDASD!A3:D250,4, FALSE),""),"")</f>
        <v/>
      </c>
      <c r="G191" s="2" t="str">
        <f>IF(A191&lt;&gt;"", SUMIF(B1:F1,"&lt;&gt;",B191:F191),"")</f>
        <v/>
      </c>
      <c r="H191" s="2" t="str">
        <f>IF(AND(A191&lt;&gt;"",G191&lt;&gt;""),ROUND(G191,0),"")</f>
        <v/>
      </c>
      <c r="I191" s="2" t="str">
        <f>IFERROR(IF(A191&lt;&gt;"",VLOOKUP(Alunos!A191,Recurso!A3:D250,4, FALSE),""), "")</f>
        <v/>
      </c>
      <c r="J191" s="2" t="str">
        <f>IF(AND(A191&lt;&gt;"",I191&lt;&gt;""), SUMIFS(B191:I191,B1:I1,"&lt;&gt;",B2:I2,"&lt;&gt;Exame",B2:I2,"&lt;&gt;exame",B2:I2,"&lt;&gt;Nota",B2:I2,"&lt;&gt;Total"),"")</f>
        <v/>
      </c>
      <c r="K191" s="2" t="str">
        <f>IF(AND(A191&lt;&gt;"",J191&lt;&gt;""),ROUND(J191,0),"")</f>
        <v/>
      </c>
    </row>
    <row r="192" spans="2:11" x14ac:dyDescent="0.3">
      <c r="B192" s="2" t="str">
        <f>IFERROR(IF(A192&lt;&gt;"",VLOOKUP(Alunos!A192,Exame!A3:D250,4, FALSE),""), "")</f>
        <v/>
      </c>
      <c r="C192" s="2" t="str">
        <f>IF(A192&lt;&gt;"",VLOOKUP(Alunos!A192,Agrupamentos!A3:B250,2, FALSE),"")</f>
        <v/>
      </c>
      <c r="D192" s="2" t="str">
        <f>IFERROR(IF(A192&lt;&gt;"",VLOOKUP(Alunos!C192,FDGDF!A3:D250,4, FALSE),""),"")</f>
        <v/>
      </c>
      <c r="E192" s="2" t="str">
        <f>IF(A192&lt;&gt;"",VLOOKUP(Alunos!A192,Agrupamentos!A3:B250,2, FALSE),"")</f>
        <v/>
      </c>
      <c r="F192" s="2" t="str">
        <f>IFERROR(IF(A192&lt;&gt;"",VLOOKUP(Alunos!E192,SDASD!A3:D250,4, FALSE),""),"")</f>
        <v/>
      </c>
      <c r="G192" s="2" t="str">
        <f>IF(A192&lt;&gt;"", SUMIF(B1:F1,"&lt;&gt;",B192:F192),"")</f>
        <v/>
      </c>
      <c r="H192" s="2" t="str">
        <f>IF(AND(A192&lt;&gt;"",G192&lt;&gt;""),ROUND(G192,0),"")</f>
        <v/>
      </c>
      <c r="I192" s="2" t="str">
        <f>IFERROR(IF(A192&lt;&gt;"",VLOOKUP(Alunos!A192,Recurso!A3:D250,4, FALSE),""), "")</f>
        <v/>
      </c>
      <c r="J192" s="2" t="str">
        <f>IF(AND(A192&lt;&gt;"",I192&lt;&gt;""), SUMIFS(B192:I192,B1:I1,"&lt;&gt;",B2:I2,"&lt;&gt;Exame",B2:I2,"&lt;&gt;exame",B2:I2,"&lt;&gt;Nota",B2:I2,"&lt;&gt;Total"),"")</f>
        <v/>
      </c>
      <c r="K192" s="2" t="str">
        <f>IF(AND(A192&lt;&gt;"",J192&lt;&gt;""),ROUND(J192,0),"")</f>
        <v/>
      </c>
    </row>
    <row r="193" spans="2:11" x14ac:dyDescent="0.3">
      <c r="B193" s="2" t="str">
        <f>IFERROR(IF(A193&lt;&gt;"",VLOOKUP(Alunos!A193,Exame!A3:D250,4, FALSE),""), "")</f>
        <v/>
      </c>
      <c r="C193" s="2" t="str">
        <f>IF(A193&lt;&gt;"",VLOOKUP(Alunos!A193,Agrupamentos!A3:B250,2, FALSE),"")</f>
        <v/>
      </c>
      <c r="D193" s="2" t="str">
        <f>IFERROR(IF(A193&lt;&gt;"",VLOOKUP(Alunos!C193,FDGDF!A3:D250,4, FALSE),""),"")</f>
        <v/>
      </c>
      <c r="E193" s="2" t="str">
        <f>IF(A193&lt;&gt;"",VLOOKUP(Alunos!A193,Agrupamentos!A3:B250,2, FALSE),"")</f>
        <v/>
      </c>
      <c r="F193" s="2" t="str">
        <f>IFERROR(IF(A193&lt;&gt;"",VLOOKUP(Alunos!E193,SDASD!A3:D250,4, FALSE),""),"")</f>
        <v/>
      </c>
      <c r="G193" s="2" t="str">
        <f>IF(A193&lt;&gt;"", SUMIF(B1:F1,"&lt;&gt;",B193:F193),"")</f>
        <v/>
      </c>
      <c r="H193" s="2" t="str">
        <f>IF(AND(A193&lt;&gt;"",G193&lt;&gt;""),ROUND(G193,0),"")</f>
        <v/>
      </c>
      <c r="I193" s="2" t="str">
        <f>IFERROR(IF(A193&lt;&gt;"",VLOOKUP(Alunos!A193,Recurso!A3:D250,4, FALSE),""), "")</f>
        <v/>
      </c>
      <c r="J193" s="2" t="str">
        <f>IF(AND(A193&lt;&gt;"",I193&lt;&gt;""), SUMIFS(B193:I193,B1:I1,"&lt;&gt;",B2:I2,"&lt;&gt;Exame",B2:I2,"&lt;&gt;exame",B2:I2,"&lt;&gt;Nota",B2:I2,"&lt;&gt;Total"),"")</f>
        <v/>
      </c>
      <c r="K193" s="2" t="str">
        <f>IF(AND(A193&lt;&gt;"",J193&lt;&gt;""),ROUND(J193,0),"")</f>
        <v/>
      </c>
    </row>
    <row r="194" spans="2:11" x14ac:dyDescent="0.3">
      <c r="B194" s="2" t="str">
        <f>IFERROR(IF(A194&lt;&gt;"",VLOOKUP(Alunos!A194,Exame!A3:D250,4, FALSE),""), "")</f>
        <v/>
      </c>
      <c r="C194" s="2" t="str">
        <f>IF(A194&lt;&gt;"",VLOOKUP(Alunos!A194,Agrupamentos!A3:B250,2, FALSE),"")</f>
        <v/>
      </c>
      <c r="D194" s="2" t="str">
        <f>IFERROR(IF(A194&lt;&gt;"",VLOOKUP(Alunos!C194,FDGDF!A3:D250,4, FALSE),""),"")</f>
        <v/>
      </c>
      <c r="E194" s="2" t="str">
        <f>IF(A194&lt;&gt;"",VLOOKUP(Alunos!A194,Agrupamentos!A3:B250,2, FALSE),"")</f>
        <v/>
      </c>
      <c r="F194" s="2" t="str">
        <f>IFERROR(IF(A194&lt;&gt;"",VLOOKUP(Alunos!E194,SDASD!A3:D250,4, FALSE),""),"")</f>
        <v/>
      </c>
      <c r="G194" s="2" t="str">
        <f>IF(A194&lt;&gt;"", SUMIF(B1:F1,"&lt;&gt;",B194:F194),"")</f>
        <v/>
      </c>
      <c r="H194" s="2" t="str">
        <f>IF(AND(A194&lt;&gt;"",G194&lt;&gt;""),ROUND(G194,0),"")</f>
        <v/>
      </c>
      <c r="I194" s="2" t="str">
        <f>IFERROR(IF(A194&lt;&gt;"",VLOOKUP(Alunos!A194,Recurso!A3:D250,4, FALSE),""), "")</f>
        <v/>
      </c>
      <c r="J194" s="2" t="str">
        <f>IF(AND(A194&lt;&gt;"",I194&lt;&gt;""), SUMIFS(B194:I194,B1:I1,"&lt;&gt;",B2:I2,"&lt;&gt;Exame",B2:I2,"&lt;&gt;exame",B2:I2,"&lt;&gt;Nota",B2:I2,"&lt;&gt;Total"),"")</f>
        <v/>
      </c>
      <c r="K194" s="2" t="str">
        <f>IF(AND(A194&lt;&gt;"",J194&lt;&gt;""),ROUND(J194,0),"")</f>
        <v/>
      </c>
    </row>
    <row r="195" spans="2:11" x14ac:dyDescent="0.3">
      <c r="B195" s="2" t="str">
        <f>IFERROR(IF(A195&lt;&gt;"",VLOOKUP(Alunos!A195,Exame!A3:D250,4, FALSE),""), "")</f>
        <v/>
      </c>
      <c r="C195" s="2" t="str">
        <f>IF(A195&lt;&gt;"",VLOOKUP(Alunos!A195,Agrupamentos!A3:B250,2, FALSE),"")</f>
        <v/>
      </c>
      <c r="D195" s="2" t="str">
        <f>IFERROR(IF(A195&lt;&gt;"",VLOOKUP(Alunos!C195,FDGDF!A3:D250,4, FALSE),""),"")</f>
        <v/>
      </c>
      <c r="E195" s="2" t="str">
        <f>IF(A195&lt;&gt;"",VLOOKUP(Alunos!A195,Agrupamentos!A3:B250,2, FALSE),"")</f>
        <v/>
      </c>
      <c r="F195" s="2" t="str">
        <f>IFERROR(IF(A195&lt;&gt;"",VLOOKUP(Alunos!E195,SDASD!A3:D250,4, FALSE),""),"")</f>
        <v/>
      </c>
      <c r="G195" s="2" t="str">
        <f>IF(A195&lt;&gt;"", SUMIF(B1:F1,"&lt;&gt;",B195:F195),"")</f>
        <v/>
      </c>
      <c r="H195" s="2" t="str">
        <f>IF(AND(A195&lt;&gt;"",G195&lt;&gt;""),ROUND(G195,0),"")</f>
        <v/>
      </c>
      <c r="I195" s="2" t="str">
        <f>IFERROR(IF(A195&lt;&gt;"",VLOOKUP(Alunos!A195,Recurso!A3:D250,4, FALSE),""), "")</f>
        <v/>
      </c>
      <c r="J195" s="2" t="str">
        <f>IF(AND(A195&lt;&gt;"",I195&lt;&gt;""), SUMIFS(B195:I195,B1:I1,"&lt;&gt;",B2:I2,"&lt;&gt;Exame",B2:I2,"&lt;&gt;exame",B2:I2,"&lt;&gt;Nota",B2:I2,"&lt;&gt;Total"),"")</f>
        <v/>
      </c>
      <c r="K195" s="2" t="str">
        <f>IF(AND(A195&lt;&gt;"",J195&lt;&gt;""),ROUND(J195,0),"")</f>
        <v/>
      </c>
    </row>
    <row r="196" spans="2:11" x14ac:dyDescent="0.3">
      <c r="B196" s="2" t="str">
        <f>IFERROR(IF(A196&lt;&gt;"",VLOOKUP(Alunos!A196,Exame!A3:D250,4, FALSE),""), "")</f>
        <v/>
      </c>
      <c r="C196" s="2" t="str">
        <f>IF(A196&lt;&gt;"",VLOOKUP(Alunos!A196,Agrupamentos!A3:B250,2, FALSE),"")</f>
        <v/>
      </c>
      <c r="D196" s="2" t="str">
        <f>IFERROR(IF(A196&lt;&gt;"",VLOOKUP(Alunos!C196,FDGDF!A3:D250,4, FALSE),""),"")</f>
        <v/>
      </c>
      <c r="E196" s="2" t="str">
        <f>IF(A196&lt;&gt;"",VLOOKUP(Alunos!A196,Agrupamentos!A3:B250,2, FALSE),"")</f>
        <v/>
      </c>
      <c r="F196" s="2" t="str">
        <f>IFERROR(IF(A196&lt;&gt;"",VLOOKUP(Alunos!E196,SDASD!A3:D250,4, FALSE),""),"")</f>
        <v/>
      </c>
      <c r="G196" s="2" t="str">
        <f>IF(A196&lt;&gt;"", SUMIF(B1:F1,"&lt;&gt;",B196:F196),"")</f>
        <v/>
      </c>
      <c r="H196" s="2" t="str">
        <f>IF(AND(A196&lt;&gt;"",G196&lt;&gt;""),ROUND(G196,0),"")</f>
        <v/>
      </c>
      <c r="I196" s="2" t="str">
        <f>IFERROR(IF(A196&lt;&gt;"",VLOOKUP(Alunos!A196,Recurso!A3:D250,4, FALSE),""), "")</f>
        <v/>
      </c>
      <c r="J196" s="2" t="str">
        <f>IF(AND(A196&lt;&gt;"",I196&lt;&gt;""), SUMIFS(B196:I196,B1:I1,"&lt;&gt;",B2:I2,"&lt;&gt;Exame",B2:I2,"&lt;&gt;exame",B2:I2,"&lt;&gt;Nota",B2:I2,"&lt;&gt;Total"),"")</f>
        <v/>
      </c>
      <c r="K196" s="2" t="str">
        <f>IF(AND(A196&lt;&gt;"",J196&lt;&gt;""),ROUND(J196,0),"")</f>
        <v/>
      </c>
    </row>
    <row r="197" spans="2:11" x14ac:dyDescent="0.3">
      <c r="B197" s="2" t="str">
        <f>IFERROR(IF(A197&lt;&gt;"",VLOOKUP(Alunos!A197,Exame!A3:D250,4, FALSE),""), "")</f>
        <v/>
      </c>
      <c r="C197" s="2" t="str">
        <f>IF(A197&lt;&gt;"",VLOOKUP(Alunos!A197,Agrupamentos!A3:B250,2, FALSE),"")</f>
        <v/>
      </c>
      <c r="D197" s="2" t="str">
        <f>IFERROR(IF(A197&lt;&gt;"",VLOOKUP(Alunos!C197,FDGDF!A3:D250,4, FALSE),""),"")</f>
        <v/>
      </c>
      <c r="E197" s="2" t="str">
        <f>IF(A197&lt;&gt;"",VLOOKUP(Alunos!A197,Agrupamentos!A3:B250,2, FALSE),"")</f>
        <v/>
      </c>
      <c r="F197" s="2" t="str">
        <f>IFERROR(IF(A197&lt;&gt;"",VLOOKUP(Alunos!E197,SDASD!A3:D250,4, FALSE),""),"")</f>
        <v/>
      </c>
      <c r="G197" s="2" t="str">
        <f>IF(A197&lt;&gt;"", SUMIF(B1:F1,"&lt;&gt;",B197:F197),"")</f>
        <v/>
      </c>
      <c r="H197" s="2" t="str">
        <f>IF(AND(A197&lt;&gt;"",G197&lt;&gt;""),ROUND(G197,0),"")</f>
        <v/>
      </c>
      <c r="I197" s="2" t="str">
        <f>IFERROR(IF(A197&lt;&gt;"",VLOOKUP(Alunos!A197,Recurso!A3:D250,4, FALSE),""), "")</f>
        <v/>
      </c>
      <c r="J197" s="2" t="str">
        <f>IF(AND(A197&lt;&gt;"",I197&lt;&gt;""), SUMIFS(B197:I197,B1:I1,"&lt;&gt;",B2:I2,"&lt;&gt;Exame",B2:I2,"&lt;&gt;exame",B2:I2,"&lt;&gt;Nota",B2:I2,"&lt;&gt;Total"),"")</f>
        <v/>
      </c>
      <c r="K197" s="2" t="str">
        <f>IF(AND(A197&lt;&gt;"",J197&lt;&gt;""),ROUND(J197,0),"")</f>
        <v/>
      </c>
    </row>
    <row r="198" spans="2:11" x14ac:dyDescent="0.3">
      <c r="B198" s="2" t="str">
        <f>IFERROR(IF(A198&lt;&gt;"",VLOOKUP(Alunos!A198,Exame!A3:D250,4, FALSE),""), "")</f>
        <v/>
      </c>
      <c r="C198" s="2" t="str">
        <f>IF(A198&lt;&gt;"",VLOOKUP(Alunos!A198,Agrupamentos!A3:B250,2, FALSE),"")</f>
        <v/>
      </c>
      <c r="D198" s="2" t="str">
        <f>IFERROR(IF(A198&lt;&gt;"",VLOOKUP(Alunos!C198,FDGDF!A3:D250,4, FALSE),""),"")</f>
        <v/>
      </c>
      <c r="E198" s="2" t="str">
        <f>IF(A198&lt;&gt;"",VLOOKUP(Alunos!A198,Agrupamentos!A3:B250,2, FALSE),"")</f>
        <v/>
      </c>
      <c r="F198" s="2" t="str">
        <f>IFERROR(IF(A198&lt;&gt;"",VLOOKUP(Alunos!E198,SDASD!A3:D250,4, FALSE),""),"")</f>
        <v/>
      </c>
      <c r="G198" s="2" t="str">
        <f>IF(A198&lt;&gt;"", SUMIF(B1:F1,"&lt;&gt;",B198:F198),"")</f>
        <v/>
      </c>
      <c r="H198" s="2" t="str">
        <f>IF(AND(A198&lt;&gt;"",G198&lt;&gt;""),ROUND(G198,0),"")</f>
        <v/>
      </c>
      <c r="I198" s="2" t="str">
        <f>IFERROR(IF(A198&lt;&gt;"",VLOOKUP(Alunos!A198,Recurso!A3:D250,4, FALSE),""), "")</f>
        <v/>
      </c>
      <c r="J198" s="2" t="str">
        <f>IF(AND(A198&lt;&gt;"",I198&lt;&gt;""), SUMIFS(B198:I198,B1:I1,"&lt;&gt;",B2:I2,"&lt;&gt;Exame",B2:I2,"&lt;&gt;exame",B2:I2,"&lt;&gt;Nota",B2:I2,"&lt;&gt;Total"),"")</f>
        <v/>
      </c>
      <c r="K198" s="2" t="str">
        <f>IF(AND(A198&lt;&gt;"",J198&lt;&gt;""),ROUND(J198,0),"")</f>
        <v/>
      </c>
    </row>
    <row r="199" spans="2:11" x14ac:dyDescent="0.3">
      <c r="B199" s="2" t="str">
        <f>IFERROR(IF(A199&lt;&gt;"",VLOOKUP(Alunos!A199,Exame!A3:D250,4, FALSE),""), "")</f>
        <v/>
      </c>
      <c r="C199" s="2" t="str">
        <f>IF(A199&lt;&gt;"",VLOOKUP(Alunos!A199,Agrupamentos!A3:B250,2, FALSE),"")</f>
        <v/>
      </c>
      <c r="D199" s="2" t="str">
        <f>IFERROR(IF(A199&lt;&gt;"",VLOOKUP(Alunos!C199,FDGDF!A3:D250,4, FALSE),""),"")</f>
        <v/>
      </c>
      <c r="E199" s="2" t="str">
        <f>IF(A199&lt;&gt;"",VLOOKUP(Alunos!A199,Agrupamentos!A3:B250,2, FALSE),"")</f>
        <v/>
      </c>
      <c r="F199" s="2" t="str">
        <f>IFERROR(IF(A199&lt;&gt;"",VLOOKUP(Alunos!E199,SDASD!A3:D250,4, FALSE),""),"")</f>
        <v/>
      </c>
      <c r="G199" s="2" t="str">
        <f>IF(A199&lt;&gt;"", SUMIF(B1:F1,"&lt;&gt;",B199:F199),"")</f>
        <v/>
      </c>
      <c r="H199" s="2" t="str">
        <f>IF(AND(A199&lt;&gt;"",G199&lt;&gt;""),ROUND(G199,0),"")</f>
        <v/>
      </c>
      <c r="I199" s="2" t="str">
        <f>IFERROR(IF(A199&lt;&gt;"",VLOOKUP(Alunos!A199,Recurso!A3:D250,4, FALSE),""), "")</f>
        <v/>
      </c>
      <c r="J199" s="2" t="str">
        <f>IF(AND(A199&lt;&gt;"",I199&lt;&gt;""), SUMIFS(B199:I199,B1:I1,"&lt;&gt;",B2:I2,"&lt;&gt;Exame",B2:I2,"&lt;&gt;exame",B2:I2,"&lt;&gt;Nota",B2:I2,"&lt;&gt;Total"),"")</f>
        <v/>
      </c>
      <c r="K199" s="2" t="str">
        <f>IF(AND(A199&lt;&gt;"",J199&lt;&gt;""),ROUND(J199,0),"")</f>
        <v/>
      </c>
    </row>
    <row r="200" spans="2:11" x14ac:dyDescent="0.3">
      <c r="B200" s="2" t="str">
        <f>IFERROR(IF(A200&lt;&gt;"",VLOOKUP(Alunos!A200,Exame!A3:D250,4, FALSE),""), "")</f>
        <v/>
      </c>
      <c r="C200" s="2" t="str">
        <f>IF(A200&lt;&gt;"",VLOOKUP(Alunos!A200,Agrupamentos!A3:B250,2, FALSE),"")</f>
        <v/>
      </c>
      <c r="D200" s="2" t="str">
        <f>IFERROR(IF(A200&lt;&gt;"",VLOOKUP(Alunos!C200,FDGDF!A3:D250,4, FALSE),""),"")</f>
        <v/>
      </c>
      <c r="E200" s="2" t="str">
        <f>IF(A200&lt;&gt;"",VLOOKUP(Alunos!A200,Agrupamentos!A3:B250,2, FALSE),"")</f>
        <v/>
      </c>
      <c r="F200" s="2" t="str">
        <f>IFERROR(IF(A200&lt;&gt;"",VLOOKUP(Alunos!E200,SDASD!A3:D250,4, FALSE),""),"")</f>
        <v/>
      </c>
      <c r="G200" s="2" t="str">
        <f>IF(A200&lt;&gt;"", SUMIF(B1:F1,"&lt;&gt;",B200:F200),"")</f>
        <v/>
      </c>
      <c r="H200" s="2" t="str">
        <f>IF(AND(A200&lt;&gt;"",G200&lt;&gt;""),ROUND(G200,0),"")</f>
        <v/>
      </c>
      <c r="I200" s="2" t="str">
        <f>IFERROR(IF(A200&lt;&gt;"",VLOOKUP(Alunos!A200,Recurso!A3:D250,4, FALSE),""), "")</f>
        <v/>
      </c>
      <c r="J200" s="2" t="str">
        <f>IF(AND(A200&lt;&gt;"",I200&lt;&gt;""), SUMIFS(B200:I200,B1:I1,"&lt;&gt;",B2:I2,"&lt;&gt;Exame",B2:I2,"&lt;&gt;exame",B2:I2,"&lt;&gt;Nota",B2:I2,"&lt;&gt;Total"),"")</f>
        <v/>
      </c>
      <c r="K200" s="2" t="str">
        <f>IF(AND(A200&lt;&gt;"",J200&lt;&gt;""),ROUND(J200,0),"")</f>
        <v/>
      </c>
    </row>
    <row r="201" spans="2:11" x14ac:dyDescent="0.3">
      <c r="B201" s="2" t="str">
        <f>IFERROR(IF(A201&lt;&gt;"",VLOOKUP(Alunos!A201,Exame!A3:D250,4, FALSE),""), "")</f>
        <v/>
      </c>
      <c r="C201" s="2" t="str">
        <f>IF(A201&lt;&gt;"",VLOOKUP(Alunos!A201,Agrupamentos!A3:B250,2, FALSE),"")</f>
        <v/>
      </c>
      <c r="D201" s="2" t="str">
        <f>IFERROR(IF(A201&lt;&gt;"",VLOOKUP(Alunos!C201,FDGDF!A3:D250,4, FALSE),""),"")</f>
        <v/>
      </c>
      <c r="E201" s="2" t="str">
        <f>IF(A201&lt;&gt;"",VLOOKUP(Alunos!A201,Agrupamentos!A3:B250,2, FALSE),"")</f>
        <v/>
      </c>
      <c r="F201" s="2" t="str">
        <f>IFERROR(IF(A201&lt;&gt;"",VLOOKUP(Alunos!E201,SDASD!A3:D250,4, FALSE),""),"")</f>
        <v/>
      </c>
      <c r="G201" s="2" t="str">
        <f>IF(A201&lt;&gt;"", SUMIF(B1:F1,"&lt;&gt;",B201:F201),"")</f>
        <v/>
      </c>
      <c r="H201" s="2" t="str">
        <f>IF(AND(A201&lt;&gt;"",G201&lt;&gt;""),ROUND(G201,0),"")</f>
        <v/>
      </c>
      <c r="I201" s="2" t="str">
        <f>IFERROR(IF(A201&lt;&gt;"",VLOOKUP(Alunos!A201,Recurso!A3:D250,4, FALSE),""), "")</f>
        <v/>
      </c>
      <c r="J201" s="2" t="str">
        <f>IF(AND(A201&lt;&gt;"",I201&lt;&gt;""), SUMIFS(B201:I201,B1:I1,"&lt;&gt;",B2:I2,"&lt;&gt;Exame",B2:I2,"&lt;&gt;exame",B2:I2,"&lt;&gt;Nota",B2:I2,"&lt;&gt;Total"),"")</f>
        <v/>
      </c>
      <c r="K201" s="2" t="str">
        <f>IF(AND(A201&lt;&gt;"",J201&lt;&gt;""),ROUND(J201,0),"")</f>
        <v/>
      </c>
    </row>
    <row r="202" spans="2:11" x14ac:dyDescent="0.3">
      <c r="B202" s="2" t="str">
        <f>IFERROR(IF(A202&lt;&gt;"",VLOOKUP(Alunos!A202,Exame!A3:D250,4, FALSE),""), "")</f>
        <v/>
      </c>
      <c r="C202" s="2" t="str">
        <f>IF(A202&lt;&gt;"",VLOOKUP(Alunos!A202,Agrupamentos!A3:B250,2, FALSE),"")</f>
        <v/>
      </c>
      <c r="D202" s="2" t="str">
        <f>IFERROR(IF(A202&lt;&gt;"",VLOOKUP(Alunos!C202,FDGDF!A3:D250,4, FALSE),""),"")</f>
        <v/>
      </c>
      <c r="E202" s="2" t="str">
        <f>IF(A202&lt;&gt;"",VLOOKUP(Alunos!A202,Agrupamentos!A3:B250,2, FALSE),"")</f>
        <v/>
      </c>
      <c r="F202" s="2" t="str">
        <f>IFERROR(IF(A202&lt;&gt;"",VLOOKUP(Alunos!E202,SDASD!A3:D250,4, FALSE),""),"")</f>
        <v/>
      </c>
      <c r="G202" s="2" t="str">
        <f>IF(A202&lt;&gt;"", SUMIF(B1:F1,"&lt;&gt;",B202:F202),"")</f>
        <v/>
      </c>
      <c r="H202" s="2" t="str">
        <f>IF(AND(A202&lt;&gt;"",G202&lt;&gt;""),ROUND(G202,0),"")</f>
        <v/>
      </c>
      <c r="I202" s="2" t="str">
        <f>IFERROR(IF(A202&lt;&gt;"",VLOOKUP(Alunos!A202,Recurso!A3:D250,4, FALSE),""), "")</f>
        <v/>
      </c>
      <c r="J202" s="2" t="str">
        <f>IF(AND(A202&lt;&gt;"",I202&lt;&gt;""), SUMIFS(B202:I202,B1:I1,"&lt;&gt;",B2:I2,"&lt;&gt;Exame",B2:I2,"&lt;&gt;exame",B2:I2,"&lt;&gt;Nota",B2:I2,"&lt;&gt;Total"),"")</f>
        <v/>
      </c>
      <c r="K202" s="2" t="str">
        <f>IF(AND(A202&lt;&gt;"",J202&lt;&gt;""),ROUND(J202,0),"")</f>
        <v/>
      </c>
    </row>
    <row r="203" spans="2:11" x14ac:dyDescent="0.3">
      <c r="B203" s="2" t="str">
        <f>IFERROR(IF(A203&lt;&gt;"",VLOOKUP(Alunos!A203,Exame!A3:D250,4, FALSE),""), "")</f>
        <v/>
      </c>
      <c r="C203" s="2" t="str">
        <f>IF(A203&lt;&gt;"",VLOOKUP(Alunos!A203,Agrupamentos!A3:B250,2, FALSE),"")</f>
        <v/>
      </c>
      <c r="D203" s="2" t="str">
        <f>IFERROR(IF(A203&lt;&gt;"",VLOOKUP(Alunos!C203,FDGDF!A3:D250,4, FALSE),""),"")</f>
        <v/>
      </c>
      <c r="E203" s="2" t="str">
        <f>IF(A203&lt;&gt;"",VLOOKUP(Alunos!A203,Agrupamentos!A3:B250,2, FALSE),"")</f>
        <v/>
      </c>
      <c r="F203" s="2" t="str">
        <f>IFERROR(IF(A203&lt;&gt;"",VLOOKUP(Alunos!E203,SDASD!A3:D250,4, FALSE),""),"")</f>
        <v/>
      </c>
      <c r="G203" s="2" t="str">
        <f>IF(A203&lt;&gt;"", SUMIF(B1:F1,"&lt;&gt;",B203:F203),"")</f>
        <v/>
      </c>
      <c r="H203" s="2" t="str">
        <f>IF(AND(A203&lt;&gt;"",G203&lt;&gt;""),ROUND(G203,0),"")</f>
        <v/>
      </c>
      <c r="I203" s="2" t="str">
        <f>IFERROR(IF(A203&lt;&gt;"",VLOOKUP(Alunos!A203,Recurso!A3:D250,4, FALSE),""), "")</f>
        <v/>
      </c>
      <c r="J203" s="2" t="str">
        <f>IF(AND(A203&lt;&gt;"",I203&lt;&gt;""), SUMIFS(B203:I203,B1:I1,"&lt;&gt;",B2:I2,"&lt;&gt;Exame",B2:I2,"&lt;&gt;exame",B2:I2,"&lt;&gt;Nota",B2:I2,"&lt;&gt;Total"),"")</f>
        <v/>
      </c>
      <c r="K203" s="2" t="str">
        <f>IF(AND(A203&lt;&gt;"",J203&lt;&gt;""),ROUND(J203,0),"")</f>
        <v/>
      </c>
    </row>
    <row r="204" spans="2:11" x14ac:dyDescent="0.3">
      <c r="B204" s="2" t="str">
        <f>IFERROR(IF(A204&lt;&gt;"",VLOOKUP(Alunos!A204,Exame!A3:D250,4, FALSE),""), "")</f>
        <v/>
      </c>
      <c r="C204" s="2" t="str">
        <f>IF(A204&lt;&gt;"",VLOOKUP(Alunos!A204,Agrupamentos!A3:B250,2, FALSE),"")</f>
        <v/>
      </c>
      <c r="D204" s="2" t="str">
        <f>IFERROR(IF(A204&lt;&gt;"",VLOOKUP(Alunos!C204,FDGDF!A3:D250,4, FALSE),""),"")</f>
        <v/>
      </c>
      <c r="E204" s="2" t="str">
        <f>IF(A204&lt;&gt;"",VLOOKUP(Alunos!A204,Agrupamentos!A3:B250,2, FALSE),"")</f>
        <v/>
      </c>
      <c r="F204" s="2" t="str">
        <f>IFERROR(IF(A204&lt;&gt;"",VLOOKUP(Alunos!E204,SDASD!A3:D250,4, FALSE),""),"")</f>
        <v/>
      </c>
      <c r="G204" s="2" t="str">
        <f>IF(A204&lt;&gt;"", SUMIF(B1:F1,"&lt;&gt;",B204:F204),"")</f>
        <v/>
      </c>
      <c r="H204" s="2" t="str">
        <f>IF(AND(A204&lt;&gt;"",G204&lt;&gt;""),ROUND(G204,0),"")</f>
        <v/>
      </c>
      <c r="I204" s="2" t="str">
        <f>IFERROR(IF(A204&lt;&gt;"",VLOOKUP(Alunos!A204,Recurso!A3:D250,4, FALSE),""), "")</f>
        <v/>
      </c>
      <c r="J204" s="2" t="str">
        <f>IF(AND(A204&lt;&gt;"",I204&lt;&gt;""), SUMIFS(B204:I204,B1:I1,"&lt;&gt;",B2:I2,"&lt;&gt;Exame",B2:I2,"&lt;&gt;exame",B2:I2,"&lt;&gt;Nota",B2:I2,"&lt;&gt;Total"),"")</f>
        <v/>
      </c>
      <c r="K204" s="2" t="str">
        <f>IF(AND(A204&lt;&gt;"",J204&lt;&gt;""),ROUND(J204,0),"")</f>
        <v/>
      </c>
    </row>
    <row r="205" spans="2:11" x14ac:dyDescent="0.3">
      <c r="B205" s="2" t="str">
        <f>IFERROR(IF(A205&lt;&gt;"",VLOOKUP(Alunos!A205,Exame!A3:D250,4, FALSE),""), "")</f>
        <v/>
      </c>
      <c r="C205" s="2" t="str">
        <f>IF(A205&lt;&gt;"",VLOOKUP(Alunos!A205,Agrupamentos!A3:B250,2, FALSE),"")</f>
        <v/>
      </c>
      <c r="D205" s="2" t="str">
        <f>IFERROR(IF(A205&lt;&gt;"",VLOOKUP(Alunos!C205,FDGDF!A3:D250,4, FALSE),""),"")</f>
        <v/>
      </c>
      <c r="E205" s="2" t="str">
        <f>IF(A205&lt;&gt;"",VLOOKUP(Alunos!A205,Agrupamentos!A3:B250,2, FALSE),"")</f>
        <v/>
      </c>
      <c r="F205" s="2" t="str">
        <f>IFERROR(IF(A205&lt;&gt;"",VLOOKUP(Alunos!E205,SDASD!A3:D250,4, FALSE),""),"")</f>
        <v/>
      </c>
      <c r="G205" s="2" t="str">
        <f>IF(A205&lt;&gt;"", SUMIF(B1:F1,"&lt;&gt;",B205:F205),"")</f>
        <v/>
      </c>
      <c r="H205" s="2" t="str">
        <f>IF(AND(A205&lt;&gt;"",G205&lt;&gt;""),ROUND(G205,0),"")</f>
        <v/>
      </c>
      <c r="I205" s="2" t="str">
        <f>IFERROR(IF(A205&lt;&gt;"",VLOOKUP(Alunos!A205,Recurso!A3:D250,4, FALSE),""), "")</f>
        <v/>
      </c>
      <c r="J205" s="2" t="str">
        <f>IF(AND(A205&lt;&gt;"",I205&lt;&gt;""), SUMIFS(B205:I205,B1:I1,"&lt;&gt;",B2:I2,"&lt;&gt;Exame",B2:I2,"&lt;&gt;exame",B2:I2,"&lt;&gt;Nota",B2:I2,"&lt;&gt;Total"),"")</f>
        <v/>
      </c>
      <c r="K205" s="2" t="str">
        <f>IF(AND(A205&lt;&gt;"",J205&lt;&gt;""),ROUND(J205,0),"")</f>
        <v/>
      </c>
    </row>
    <row r="206" spans="2:11" x14ac:dyDescent="0.3">
      <c r="B206" s="2" t="str">
        <f>IFERROR(IF(A206&lt;&gt;"",VLOOKUP(Alunos!A206,Exame!A3:D250,4, FALSE),""), "")</f>
        <v/>
      </c>
      <c r="C206" s="2" t="str">
        <f>IF(A206&lt;&gt;"",VLOOKUP(Alunos!A206,Agrupamentos!A3:B250,2, FALSE),"")</f>
        <v/>
      </c>
      <c r="D206" s="2" t="str">
        <f>IFERROR(IF(A206&lt;&gt;"",VLOOKUP(Alunos!C206,FDGDF!A3:D250,4, FALSE),""),"")</f>
        <v/>
      </c>
      <c r="E206" s="2" t="str">
        <f>IF(A206&lt;&gt;"",VLOOKUP(Alunos!A206,Agrupamentos!A3:B250,2, FALSE),"")</f>
        <v/>
      </c>
      <c r="F206" s="2" t="str">
        <f>IFERROR(IF(A206&lt;&gt;"",VLOOKUP(Alunos!E206,SDASD!A3:D250,4, FALSE),""),"")</f>
        <v/>
      </c>
      <c r="G206" s="2" t="str">
        <f>IF(A206&lt;&gt;"", SUMIF(B1:F1,"&lt;&gt;",B206:F206),"")</f>
        <v/>
      </c>
      <c r="H206" s="2" t="str">
        <f>IF(AND(A206&lt;&gt;"",G206&lt;&gt;""),ROUND(G206,0),"")</f>
        <v/>
      </c>
      <c r="I206" s="2" t="str">
        <f>IFERROR(IF(A206&lt;&gt;"",VLOOKUP(Alunos!A206,Recurso!A3:D250,4, FALSE),""), "")</f>
        <v/>
      </c>
      <c r="J206" s="2" t="str">
        <f>IF(AND(A206&lt;&gt;"",I206&lt;&gt;""), SUMIFS(B206:I206,B1:I1,"&lt;&gt;",B2:I2,"&lt;&gt;Exame",B2:I2,"&lt;&gt;exame",B2:I2,"&lt;&gt;Nota",B2:I2,"&lt;&gt;Total"),"")</f>
        <v/>
      </c>
      <c r="K206" s="2" t="str">
        <f>IF(AND(A206&lt;&gt;"",J206&lt;&gt;""),ROUND(J206,0),"")</f>
        <v/>
      </c>
    </row>
    <row r="207" spans="2:11" x14ac:dyDescent="0.3">
      <c r="B207" s="2" t="str">
        <f>IFERROR(IF(A207&lt;&gt;"",VLOOKUP(Alunos!A207,Exame!A3:D250,4, FALSE),""), "")</f>
        <v/>
      </c>
      <c r="C207" s="2" t="str">
        <f>IF(A207&lt;&gt;"",VLOOKUP(Alunos!A207,Agrupamentos!A3:B250,2, FALSE),"")</f>
        <v/>
      </c>
      <c r="D207" s="2" t="str">
        <f>IFERROR(IF(A207&lt;&gt;"",VLOOKUP(Alunos!C207,FDGDF!A3:D250,4, FALSE),""),"")</f>
        <v/>
      </c>
      <c r="E207" s="2" t="str">
        <f>IF(A207&lt;&gt;"",VLOOKUP(Alunos!A207,Agrupamentos!A3:B250,2, FALSE),"")</f>
        <v/>
      </c>
      <c r="F207" s="2" t="str">
        <f>IFERROR(IF(A207&lt;&gt;"",VLOOKUP(Alunos!E207,SDASD!A3:D250,4, FALSE),""),"")</f>
        <v/>
      </c>
      <c r="G207" s="2" t="str">
        <f>IF(A207&lt;&gt;"", SUMIF(B1:F1,"&lt;&gt;",B207:F207),"")</f>
        <v/>
      </c>
      <c r="H207" s="2" t="str">
        <f>IF(AND(A207&lt;&gt;"",G207&lt;&gt;""),ROUND(G207,0),"")</f>
        <v/>
      </c>
      <c r="I207" s="2" t="str">
        <f>IFERROR(IF(A207&lt;&gt;"",VLOOKUP(Alunos!A207,Recurso!A3:D250,4, FALSE),""), "")</f>
        <v/>
      </c>
      <c r="J207" s="2" t="str">
        <f>IF(AND(A207&lt;&gt;"",I207&lt;&gt;""), SUMIFS(B207:I207,B1:I1,"&lt;&gt;",B2:I2,"&lt;&gt;Exame",B2:I2,"&lt;&gt;exame",B2:I2,"&lt;&gt;Nota",B2:I2,"&lt;&gt;Total"),"")</f>
        <v/>
      </c>
      <c r="K207" s="2" t="str">
        <f>IF(AND(A207&lt;&gt;"",J207&lt;&gt;""),ROUND(J207,0),"")</f>
        <v/>
      </c>
    </row>
    <row r="208" spans="2:11" x14ac:dyDescent="0.3">
      <c r="B208" s="2" t="str">
        <f>IFERROR(IF(A208&lt;&gt;"",VLOOKUP(Alunos!A208,Exame!A3:D250,4, FALSE),""), "")</f>
        <v/>
      </c>
      <c r="C208" s="2" t="str">
        <f>IF(A208&lt;&gt;"",VLOOKUP(Alunos!A208,Agrupamentos!A3:B250,2, FALSE),"")</f>
        <v/>
      </c>
      <c r="D208" s="2" t="str">
        <f>IFERROR(IF(A208&lt;&gt;"",VLOOKUP(Alunos!C208,FDGDF!A3:D250,4, FALSE),""),"")</f>
        <v/>
      </c>
      <c r="E208" s="2" t="str">
        <f>IF(A208&lt;&gt;"",VLOOKUP(Alunos!A208,Agrupamentos!A3:B250,2, FALSE),"")</f>
        <v/>
      </c>
      <c r="F208" s="2" t="str">
        <f>IFERROR(IF(A208&lt;&gt;"",VLOOKUP(Alunos!E208,SDASD!A3:D250,4, FALSE),""),"")</f>
        <v/>
      </c>
      <c r="G208" s="2" t="str">
        <f>IF(A208&lt;&gt;"", SUMIF(B1:F1,"&lt;&gt;",B208:F208),"")</f>
        <v/>
      </c>
      <c r="H208" s="2" t="str">
        <f>IF(AND(A208&lt;&gt;"",G208&lt;&gt;""),ROUND(G208,0),"")</f>
        <v/>
      </c>
      <c r="I208" s="2" t="str">
        <f>IFERROR(IF(A208&lt;&gt;"",VLOOKUP(Alunos!A208,Recurso!A3:D250,4, FALSE),""), "")</f>
        <v/>
      </c>
      <c r="J208" s="2" t="str">
        <f>IF(AND(A208&lt;&gt;"",I208&lt;&gt;""), SUMIFS(B208:I208,B1:I1,"&lt;&gt;",B2:I2,"&lt;&gt;Exame",B2:I2,"&lt;&gt;exame",B2:I2,"&lt;&gt;Nota",B2:I2,"&lt;&gt;Total"),"")</f>
        <v/>
      </c>
      <c r="K208" s="2" t="str">
        <f>IF(AND(A208&lt;&gt;"",J208&lt;&gt;""),ROUND(J208,0),"")</f>
        <v/>
      </c>
    </row>
    <row r="209" spans="2:11" x14ac:dyDescent="0.3">
      <c r="B209" s="2" t="str">
        <f>IFERROR(IF(A209&lt;&gt;"",VLOOKUP(Alunos!A209,Exame!A3:D250,4, FALSE),""), "")</f>
        <v/>
      </c>
      <c r="C209" s="2" t="str">
        <f>IF(A209&lt;&gt;"",VLOOKUP(Alunos!A209,Agrupamentos!A3:B250,2, FALSE),"")</f>
        <v/>
      </c>
      <c r="D209" s="2" t="str">
        <f>IFERROR(IF(A209&lt;&gt;"",VLOOKUP(Alunos!C209,FDGDF!A3:D250,4, FALSE),""),"")</f>
        <v/>
      </c>
      <c r="E209" s="2" t="str">
        <f>IF(A209&lt;&gt;"",VLOOKUP(Alunos!A209,Agrupamentos!A3:B250,2, FALSE),"")</f>
        <v/>
      </c>
      <c r="F209" s="2" t="str">
        <f>IFERROR(IF(A209&lt;&gt;"",VLOOKUP(Alunos!E209,SDASD!A3:D250,4, FALSE),""),"")</f>
        <v/>
      </c>
      <c r="G209" s="2" t="str">
        <f>IF(A209&lt;&gt;"", SUMIF(B1:F1,"&lt;&gt;",B209:F209),"")</f>
        <v/>
      </c>
      <c r="H209" s="2" t="str">
        <f>IF(AND(A209&lt;&gt;"",G209&lt;&gt;""),ROUND(G209,0),"")</f>
        <v/>
      </c>
      <c r="I209" s="2" t="str">
        <f>IFERROR(IF(A209&lt;&gt;"",VLOOKUP(Alunos!A209,Recurso!A3:D250,4, FALSE),""), "")</f>
        <v/>
      </c>
      <c r="J209" s="2" t="str">
        <f>IF(AND(A209&lt;&gt;"",I209&lt;&gt;""), SUMIFS(B209:I209,B1:I1,"&lt;&gt;",B2:I2,"&lt;&gt;Exame",B2:I2,"&lt;&gt;exame",B2:I2,"&lt;&gt;Nota",B2:I2,"&lt;&gt;Total"),"")</f>
        <v/>
      </c>
      <c r="K209" s="2" t="str">
        <f>IF(AND(A209&lt;&gt;"",J209&lt;&gt;""),ROUND(J209,0),"")</f>
        <v/>
      </c>
    </row>
    <row r="210" spans="2:11" x14ac:dyDescent="0.3">
      <c r="B210" s="2" t="str">
        <f>IFERROR(IF(A210&lt;&gt;"",VLOOKUP(Alunos!A210,Exame!A3:D250,4, FALSE),""), "")</f>
        <v/>
      </c>
      <c r="C210" s="2" t="str">
        <f>IF(A210&lt;&gt;"",VLOOKUP(Alunos!A210,Agrupamentos!A3:B250,2, FALSE),"")</f>
        <v/>
      </c>
      <c r="D210" s="2" t="str">
        <f>IFERROR(IF(A210&lt;&gt;"",VLOOKUP(Alunos!C210,FDGDF!A3:D250,4, FALSE),""),"")</f>
        <v/>
      </c>
      <c r="E210" s="2" t="str">
        <f>IF(A210&lt;&gt;"",VLOOKUP(Alunos!A210,Agrupamentos!A3:B250,2, FALSE),"")</f>
        <v/>
      </c>
      <c r="F210" s="2" t="str">
        <f>IFERROR(IF(A210&lt;&gt;"",VLOOKUP(Alunos!E210,SDASD!A3:D250,4, FALSE),""),"")</f>
        <v/>
      </c>
      <c r="G210" s="2" t="str">
        <f>IF(A210&lt;&gt;"", SUMIF(B1:F1,"&lt;&gt;",B210:F210),"")</f>
        <v/>
      </c>
      <c r="H210" s="2" t="str">
        <f>IF(AND(A210&lt;&gt;"",G210&lt;&gt;""),ROUND(G210,0),"")</f>
        <v/>
      </c>
      <c r="I210" s="2" t="str">
        <f>IFERROR(IF(A210&lt;&gt;"",VLOOKUP(Alunos!A210,Recurso!A3:D250,4, FALSE),""), "")</f>
        <v/>
      </c>
      <c r="J210" s="2" t="str">
        <f>IF(AND(A210&lt;&gt;"",I210&lt;&gt;""), SUMIFS(B210:I210,B1:I1,"&lt;&gt;",B2:I2,"&lt;&gt;Exame",B2:I2,"&lt;&gt;exame",B2:I2,"&lt;&gt;Nota",B2:I2,"&lt;&gt;Total"),"")</f>
        <v/>
      </c>
      <c r="K210" s="2" t="str">
        <f>IF(AND(A210&lt;&gt;"",J210&lt;&gt;""),ROUND(J210,0),"")</f>
        <v/>
      </c>
    </row>
    <row r="211" spans="2:11" x14ac:dyDescent="0.3">
      <c r="B211" s="2" t="str">
        <f>IFERROR(IF(A211&lt;&gt;"",VLOOKUP(Alunos!A211,Exame!A3:D250,4, FALSE),""), "")</f>
        <v/>
      </c>
      <c r="C211" s="2" t="str">
        <f>IF(A211&lt;&gt;"",VLOOKUP(Alunos!A211,Agrupamentos!A3:B250,2, FALSE),"")</f>
        <v/>
      </c>
      <c r="D211" s="2" t="str">
        <f>IFERROR(IF(A211&lt;&gt;"",VLOOKUP(Alunos!C211,FDGDF!A3:D250,4, FALSE),""),"")</f>
        <v/>
      </c>
      <c r="E211" s="2" t="str">
        <f>IF(A211&lt;&gt;"",VLOOKUP(Alunos!A211,Agrupamentos!A3:B250,2, FALSE),"")</f>
        <v/>
      </c>
      <c r="F211" s="2" t="str">
        <f>IFERROR(IF(A211&lt;&gt;"",VLOOKUP(Alunos!E211,SDASD!A3:D250,4, FALSE),""),"")</f>
        <v/>
      </c>
      <c r="G211" s="2" t="str">
        <f>IF(A211&lt;&gt;"", SUMIF(B1:F1,"&lt;&gt;",B211:F211),"")</f>
        <v/>
      </c>
      <c r="H211" s="2" t="str">
        <f>IF(AND(A211&lt;&gt;"",G211&lt;&gt;""),ROUND(G211,0),"")</f>
        <v/>
      </c>
      <c r="I211" s="2" t="str">
        <f>IFERROR(IF(A211&lt;&gt;"",VLOOKUP(Alunos!A211,Recurso!A3:D250,4, FALSE),""), "")</f>
        <v/>
      </c>
      <c r="J211" s="2" t="str">
        <f>IF(AND(A211&lt;&gt;"",I211&lt;&gt;""), SUMIFS(B211:I211,B1:I1,"&lt;&gt;",B2:I2,"&lt;&gt;Exame",B2:I2,"&lt;&gt;exame",B2:I2,"&lt;&gt;Nota",B2:I2,"&lt;&gt;Total"),"")</f>
        <v/>
      </c>
      <c r="K211" s="2" t="str">
        <f>IF(AND(A211&lt;&gt;"",J211&lt;&gt;""),ROUND(J211,0),"")</f>
        <v/>
      </c>
    </row>
    <row r="212" spans="2:11" x14ac:dyDescent="0.3">
      <c r="B212" s="2" t="str">
        <f>IFERROR(IF(A212&lt;&gt;"",VLOOKUP(Alunos!A212,Exame!A3:D250,4, FALSE),""), "")</f>
        <v/>
      </c>
      <c r="C212" s="2" t="str">
        <f>IF(A212&lt;&gt;"",VLOOKUP(Alunos!A212,Agrupamentos!A3:B250,2, FALSE),"")</f>
        <v/>
      </c>
      <c r="D212" s="2" t="str">
        <f>IFERROR(IF(A212&lt;&gt;"",VLOOKUP(Alunos!C212,FDGDF!A3:D250,4, FALSE),""),"")</f>
        <v/>
      </c>
      <c r="E212" s="2" t="str">
        <f>IF(A212&lt;&gt;"",VLOOKUP(Alunos!A212,Agrupamentos!A3:B250,2, FALSE),"")</f>
        <v/>
      </c>
      <c r="F212" s="2" t="str">
        <f>IFERROR(IF(A212&lt;&gt;"",VLOOKUP(Alunos!E212,SDASD!A3:D250,4, FALSE),""),"")</f>
        <v/>
      </c>
      <c r="G212" s="2" t="str">
        <f>IF(A212&lt;&gt;"", SUMIF(B1:F1,"&lt;&gt;",B212:F212),"")</f>
        <v/>
      </c>
      <c r="H212" s="2" t="str">
        <f>IF(AND(A212&lt;&gt;"",G212&lt;&gt;""),ROUND(G212,0),"")</f>
        <v/>
      </c>
      <c r="I212" s="2" t="str">
        <f>IFERROR(IF(A212&lt;&gt;"",VLOOKUP(Alunos!A212,Recurso!A3:D250,4, FALSE),""), "")</f>
        <v/>
      </c>
      <c r="J212" s="2" t="str">
        <f>IF(AND(A212&lt;&gt;"",I212&lt;&gt;""), SUMIFS(B212:I212,B1:I1,"&lt;&gt;",B2:I2,"&lt;&gt;Exame",B2:I2,"&lt;&gt;exame",B2:I2,"&lt;&gt;Nota",B2:I2,"&lt;&gt;Total"),"")</f>
        <v/>
      </c>
      <c r="K212" s="2" t="str">
        <f>IF(AND(A212&lt;&gt;"",J212&lt;&gt;""),ROUND(J212,0),"")</f>
        <v/>
      </c>
    </row>
    <row r="213" spans="2:11" x14ac:dyDescent="0.3">
      <c r="B213" s="2" t="str">
        <f>IFERROR(IF(A213&lt;&gt;"",VLOOKUP(Alunos!A213,Exame!A3:D250,4, FALSE),""), "")</f>
        <v/>
      </c>
      <c r="C213" s="2" t="str">
        <f>IF(A213&lt;&gt;"",VLOOKUP(Alunos!A213,Agrupamentos!A3:B250,2, FALSE),"")</f>
        <v/>
      </c>
      <c r="D213" s="2" t="str">
        <f>IFERROR(IF(A213&lt;&gt;"",VLOOKUP(Alunos!C213,FDGDF!A3:D250,4, FALSE),""),"")</f>
        <v/>
      </c>
      <c r="E213" s="2" t="str">
        <f>IF(A213&lt;&gt;"",VLOOKUP(Alunos!A213,Agrupamentos!A3:B250,2, FALSE),"")</f>
        <v/>
      </c>
      <c r="F213" s="2" t="str">
        <f>IFERROR(IF(A213&lt;&gt;"",VLOOKUP(Alunos!E213,SDASD!A3:D250,4, FALSE),""),"")</f>
        <v/>
      </c>
      <c r="G213" s="2" t="str">
        <f>IF(A213&lt;&gt;"", SUMIF(B1:F1,"&lt;&gt;",B213:F213),"")</f>
        <v/>
      </c>
      <c r="H213" s="2" t="str">
        <f>IF(AND(A213&lt;&gt;"",G213&lt;&gt;""),ROUND(G213,0),"")</f>
        <v/>
      </c>
      <c r="I213" s="2" t="str">
        <f>IFERROR(IF(A213&lt;&gt;"",VLOOKUP(Alunos!A213,Recurso!A3:D250,4, FALSE),""), "")</f>
        <v/>
      </c>
      <c r="J213" s="2" t="str">
        <f>IF(AND(A213&lt;&gt;"",I213&lt;&gt;""), SUMIFS(B213:I213,B1:I1,"&lt;&gt;",B2:I2,"&lt;&gt;Exame",B2:I2,"&lt;&gt;exame",B2:I2,"&lt;&gt;Nota",B2:I2,"&lt;&gt;Total"),"")</f>
        <v/>
      </c>
      <c r="K213" s="2" t="str">
        <f>IF(AND(A213&lt;&gt;"",J213&lt;&gt;""),ROUND(J213,0),"")</f>
        <v/>
      </c>
    </row>
    <row r="214" spans="2:11" x14ac:dyDescent="0.3">
      <c r="B214" s="2" t="str">
        <f>IFERROR(IF(A214&lt;&gt;"",VLOOKUP(Alunos!A214,Exame!A3:D250,4, FALSE),""), "")</f>
        <v/>
      </c>
      <c r="C214" s="2" t="str">
        <f>IF(A214&lt;&gt;"",VLOOKUP(Alunos!A214,Agrupamentos!A3:B250,2, FALSE),"")</f>
        <v/>
      </c>
      <c r="D214" s="2" t="str">
        <f>IFERROR(IF(A214&lt;&gt;"",VLOOKUP(Alunos!C214,FDGDF!A3:D250,4, FALSE),""),"")</f>
        <v/>
      </c>
      <c r="E214" s="2" t="str">
        <f>IF(A214&lt;&gt;"",VLOOKUP(Alunos!A214,Agrupamentos!A3:B250,2, FALSE),"")</f>
        <v/>
      </c>
      <c r="F214" s="2" t="str">
        <f>IFERROR(IF(A214&lt;&gt;"",VLOOKUP(Alunos!E214,SDASD!A3:D250,4, FALSE),""),"")</f>
        <v/>
      </c>
      <c r="G214" s="2" t="str">
        <f>IF(A214&lt;&gt;"", SUMIF(B1:F1,"&lt;&gt;",B214:F214),"")</f>
        <v/>
      </c>
      <c r="H214" s="2" t="str">
        <f>IF(AND(A214&lt;&gt;"",G214&lt;&gt;""),ROUND(G214,0),"")</f>
        <v/>
      </c>
      <c r="I214" s="2" t="str">
        <f>IFERROR(IF(A214&lt;&gt;"",VLOOKUP(Alunos!A214,Recurso!A3:D250,4, FALSE),""), "")</f>
        <v/>
      </c>
      <c r="J214" s="2" t="str">
        <f>IF(AND(A214&lt;&gt;"",I214&lt;&gt;""), SUMIFS(B214:I214,B1:I1,"&lt;&gt;",B2:I2,"&lt;&gt;Exame",B2:I2,"&lt;&gt;exame",B2:I2,"&lt;&gt;Nota",B2:I2,"&lt;&gt;Total"),"")</f>
        <v/>
      </c>
      <c r="K214" s="2" t="str">
        <f>IF(AND(A214&lt;&gt;"",J214&lt;&gt;""),ROUND(J214,0),"")</f>
        <v/>
      </c>
    </row>
    <row r="215" spans="2:11" x14ac:dyDescent="0.3">
      <c r="B215" s="2" t="str">
        <f>IFERROR(IF(A215&lt;&gt;"",VLOOKUP(Alunos!A215,Exame!A3:D250,4, FALSE),""), "")</f>
        <v/>
      </c>
      <c r="C215" s="2" t="str">
        <f>IF(A215&lt;&gt;"",VLOOKUP(Alunos!A215,Agrupamentos!A3:B250,2, FALSE),"")</f>
        <v/>
      </c>
      <c r="D215" s="2" t="str">
        <f>IFERROR(IF(A215&lt;&gt;"",VLOOKUP(Alunos!C215,FDGDF!A3:D250,4, FALSE),""),"")</f>
        <v/>
      </c>
      <c r="E215" s="2" t="str">
        <f>IF(A215&lt;&gt;"",VLOOKUP(Alunos!A215,Agrupamentos!A3:B250,2, FALSE),"")</f>
        <v/>
      </c>
      <c r="F215" s="2" t="str">
        <f>IFERROR(IF(A215&lt;&gt;"",VLOOKUP(Alunos!E215,SDASD!A3:D250,4, FALSE),""),"")</f>
        <v/>
      </c>
      <c r="G215" s="2" t="str">
        <f>IF(A215&lt;&gt;"", SUMIF(B1:F1,"&lt;&gt;",B215:F215),"")</f>
        <v/>
      </c>
      <c r="H215" s="2" t="str">
        <f>IF(AND(A215&lt;&gt;"",G215&lt;&gt;""),ROUND(G215,0),"")</f>
        <v/>
      </c>
      <c r="I215" s="2" t="str">
        <f>IFERROR(IF(A215&lt;&gt;"",VLOOKUP(Alunos!A215,Recurso!A3:D250,4, FALSE),""), "")</f>
        <v/>
      </c>
      <c r="J215" s="2" t="str">
        <f>IF(AND(A215&lt;&gt;"",I215&lt;&gt;""), SUMIFS(B215:I215,B1:I1,"&lt;&gt;",B2:I2,"&lt;&gt;Exame",B2:I2,"&lt;&gt;exame",B2:I2,"&lt;&gt;Nota",B2:I2,"&lt;&gt;Total"),"")</f>
        <v/>
      </c>
      <c r="K215" s="2" t="str">
        <f>IF(AND(A215&lt;&gt;"",J215&lt;&gt;""),ROUND(J215,0),"")</f>
        <v/>
      </c>
    </row>
    <row r="216" spans="2:11" x14ac:dyDescent="0.3">
      <c r="B216" s="2" t="str">
        <f>IFERROR(IF(A216&lt;&gt;"",VLOOKUP(Alunos!A216,Exame!A3:D250,4, FALSE),""), "")</f>
        <v/>
      </c>
      <c r="C216" s="2" t="str">
        <f>IF(A216&lt;&gt;"",VLOOKUP(Alunos!A216,Agrupamentos!A3:B250,2, FALSE),"")</f>
        <v/>
      </c>
      <c r="D216" s="2" t="str">
        <f>IFERROR(IF(A216&lt;&gt;"",VLOOKUP(Alunos!C216,FDGDF!A3:D250,4, FALSE),""),"")</f>
        <v/>
      </c>
      <c r="E216" s="2" t="str">
        <f>IF(A216&lt;&gt;"",VLOOKUP(Alunos!A216,Agrupamentos!A3:B250,2, FALSE),"")</f>
        <v/>
      </c>
      <c r="F216" s="2" t="str">
        <f>IFERROR(IF(A216&lt;&gt;"",VLOOKUP(Alunos!E216,SDASD!A3:D250,4, FALSE),""),"")</f>
        <v/>
      </c>
      <c r="G216" s="2" t="str">
        <f>IF(A216&lt;&gt;"", SUMIF(B1:F1,"&lt;&gt;",B216:F216),"")</f>
        <v/>
      </c>
      <c r="H216" s="2" t="str">
        <f>IF(AND(A216&lt;&gt;"",G216&lt;&gt;""),ROUND(G216,0),"")</f>
        <v/>
      </c>
      <c r="I216" s="2" t="str">
        <f>IFERROR(IF(A216&lt;&gt;"",VLOOKUP(Alunos!A216,Recurso!A3:D250,4, FALSE),""), "")</f>
        <v/>
      </c>
      <c r="J216" s="2" t="str">
        <f>IF(AND(A216&lt;&gt;"",I216&lt;&gt;""), SUMIFS(B216:I216,B1:I1,"&lt;&gt;",B2:I2,"&lt;&gt;Exame",B2:I2,"&lt;&gt;exame",B2:I2,"&lt;&gt;Nota",B2:I2,"&lt;&gt;Total"),"")</f>
        <v/>
      </c>
      <c r="K216" s="2" t="str">
        <f>IF(AND(A216&lt;&gt;"",J216&lt;&gt;""),ROUND(J216,0),"")</f>
        <v/>
      </c>
    </row>
    <row r="217" spans="2:11" x14ac:dyDescent="0.3">
      <c r="B217" s="2" t="str">
        <f>IFERROR(IF(A217&lt;&gt;"",VLOOKUP(Alunos!A217,Exame!A3:D250,4, FALSE),""), "")</f>
        <v/>
      </c>
      <c r="C217" s="2" t="str">
        <f>IF(A217&lt;&gt;"",VLOOKUP(Alunos!A217,Agrupamentos!A3:B250,2, FALSE),"")</f>
        <v/>
      </c>
      <c r="D217" s="2" t="str">
        <f>IFERROR(IF(A217&lt;&gt;"",VLOOKUP(Alunos!C217,FDGDF!A3:D250,4, FALSE),""),"")</f>
        <v/>
      </c>
      <c r="E217" s="2" t="str">
        <f>IF(A217&lt;&gt;"",VLOOKUP(Alunos!A217,Agrupamentos!A3:B250,2, FALSE),"")</f>
        <v/>
      </c>
      <c r="F217" s="2" t="str">
        <f>IFERROR(IF(A217&lt;&gt;"",VLOOKUP(Alunos!E217,SDASD!A3:D250,4, FALSE),""),"")</f>
        <v/>
      </c>
      <c r="G217" s="2" t="str">
        <f>IF(A217&lt;&gt;"", SUMIF(B1:F1,"&lt;&gt;",B217:F217),"")</f>
        <v/>
      </c>
      <c r="H217" s="2" t="str">
        <f>IF(AND(A217&lt;&gt;"",G217&lt;&gt;""),ROUND(G217,0),"")</f>
        <v/>
      </c>
      <c r="I217" s="2" t="str">
        <f>IFERROR(IF(A217&lt;&gt;"",VLOOKUP(Alunos!A217,Recurso!A3:D250,4, FALSE),""), "")</f>
        <v/>
      </c>
      <c r="J217" s="2" t="str">
        <f>IF(AND(A217&lt;&gt;"",I217&lt;&gt;""), SUMIFS(B217:I217,B1:I1,"&lt;&gt;",B2:I2,"&lt;&gt;Exame",B2:I2,"&lt;&gt;exame",B2:I2,"&lt;&gt;Nota",B2:I2,"&lt;&gt;Total"),"")</f>
        <v/>
      </c>
      <c r="K217" s="2" t="str">
        <f>IF(AND(A217&lt;&gt;"",J217&lt;&gt;""),ROUND(J217,0),"")</f>
        <v/>
      </c>
    </row>
    <row r="218" spans="2:11" x14ac:dyDescent="0.3">
      <c r="B218" s="2" t="str">
        <f>IFERROR(IF(A218&lt;&gt;"",VLOOKUP(Alunos!A218,Exame!A3:D250,4, FALSE),""), "")</f>
        <v/>
      </c>
      <c r="C218" s="2" t="str">
        <f>IF(A218&lt;&gt;"",VLOOKUP(Alunos!A218,Agrupamentos!A3:B250,2, FALSE),"")</f>
        <v/>
      </c>
      <c r="D218" s="2" t="str">
        <f>IFERROR(IF(A218&lt;&gt;"",VLOOKUP(Alunos!C218,FDGDF!A3:D250,4, FALSE),""),"")</f>
        <v/>
      </c>
      <c r="E218" s="2" t="str">
        <f>IF(A218&lt;&gt;"",VLOOKUP(Alunos!A218,Agrupamentos!A3:B250,2, FALSE),"")</f>
        <v/>
      </c>
      <c r="F218" s="2" t="str">
        <f>IFERROR(IF(A218&lt;&gt;"",VLOOKUP(Alunos!E218,SDASD!A3:D250,4, FALSE),""),"")</f>
        <v/>
      </c>
      <c r="G218" s="2" t="str">
        <f>IF(A218&lt;&gt;"", SUMIF(B1:F1,"&lt;&gt;",B218:F218),"")</f>
        <v/>
      </c>
      <c r="H218" s="2" t="str">
        <f>IF(AND(A218&lt;&gt;"",G218&lt;&gt;""),ROUND(G218,0),"")</f>
        <v/>
      </c>
      <c r="I218" s="2" t="str">
        <f>IFERROR(IF(A218&lt;&gt;"",VLOOKUP(Alunos!A218,Recurso!A3:D250,4, FALSE),""), "")</f>
        <v/>
      </c>
      <c r="J218" s="2" t="str">
        <f>IF(AND(A218&lt;&gt;"",I218&lt;&gt;""), SUMIFS(B218:I218,B1:I1,"&lt;&gt;",B2:I2,"&lt;&gt;Exame",B2:I2,"&lt;&gt;exame",B2:I2,"&lt;&gt;Nota",B2:I2,"&lt;&gt;Total"),"")</f>
        <v/>
      </c>
      <c r="K218" s="2" t="str">
        <f>IF(AND(A218&lt;&gt;"",J218&lt;&gt;""),ROUND(J218,0),"")</f>
        <v/>
      </c>
    </row>
    <row r="219" spans="2:11" x14ac:dyDescent="0.3">
      <c r="B219" s="2" t="str">
        <f>IFERROR(IF(A219&lt;&gt;"",VLOOKUP(Alunos!A219,Exame!A3:D250,4, FALSE),""), "")</f>
        <v/>
      </c>
      <c r="C219" s="2" t="str">
        <f>IF(A219&lt;&gt;"",VLOOKUP(Alunos!A219,Agrupamentos!A3:B250,2, FALSE),"")</f>
        <v/>
      </c>
      <c r="D219" s="2" t="str">
        <f>IFERROR(IF(A219&lt;&gt;"",VLOOKUP(Alunos!C219,FDGDF!A3:D250,4, FALSE),""),"")</f>
        <v/>
      </c>
      <c r="E219" s="2" t="str">
        <f>IF(A219&lt;&gt;"",VLOOKUP(Alunos!A219,Agrupamentos!A3:B250,2, FALSE),"")</f>
        <v/>
      </c>
      <c r="F219" s="2" t="str">
        <f>IFERROR(IF(A219&lt;&gt;"",VLOOKUP(Alunos!E219,SDASD!A3:D250,4, FALSE),""),"")</f>
        <v/>
      </c>
      <c r="G219" s="2" t="str">
        <f>IF(A219&lt;&gt;"", SUMIF(B1:F1,"&lt;&gt;",B219:F219),"")</f>
        <v/>
      </c>
      <c r="H219" s="2" t="str">
        <f>IF(AND(A219&lt;&gt;"",G219&lt;&gt;""),ROUND(G219,0),"")</f>
        <v/>
      </c>
      <c r="I219" s="2" t="str">
        <f>IFERROR(IF(A219&lt;&gt;"",VLOOKUP(Alunos!A219,Recurso!A3:D250,4, FALSE),""), "")</f>
        <v/>
      </c>
      <c r="J219" s="2" t="str">
        <f>IF(AND(A219&lt;&gt;"",I219&lt;&gt;""), SUMIFS(B219:I219,B1:I1,"&lt;&gt;",B2:I2,"&lt;&gt;Exame",B2:I2,"&lt;&gt;exame",B2:I2,"&lt;&gt;Nota",B2:I2,"&lt;&gt;Total"),"")</f>
        <v/>
      </c>
      <c r="K219" s="2" t="str">
        <f>IF(AND(A219&lt;&gt;"",J219&lt;&gt;""),ROUND(J219,0),"")</f>
        <v/>
      </c>
    </row>
    <row r="220" spans="2:11" x14ac:dyDescent="0.3">
      <c r="B220" s="2" t="str">
        <f>IFERROR(IF(A220&lt;&gt;"",VLOOKUP(Alunos!A220,Exame!A3:D250,4, FALSE),""), "")</f>
        <v/>
      </c>
      <c r="C220" s="2" t="str">
        <f>IF(A220&lt;&gt;"",VLOOKUP(Alunos!A220,Agrupamentos!A3:B250,2, FALSE),"")</f>
        <v/>
      </c>
      <c r="D220" s="2" t="str">
        <f>IFERROR(IF(A220&lt;&gt;"",VLOOKUP(Alunos!C220,FDGDF!A3:D250,4, FALSE),""),"")</f>
        <v/>
      </c>
      <c r="E220" s="2" t="str">
        <f>IF(A220&lt;&gt;"",VLOOKUP(Alunos!A220,Agrupamentos!A3:B250,2, FALSE),"")</f>
        <v/>
      </c>
      <c r="F220" s="2" t="str">
        <f>IFERROR(IF(A220&lt;&gt;"",VLOOKUP(Alunos!E220,SDASD!A3:D250,4, FALSE),""),"")</f>
        <v/>
      </c>
      <c r="G220" s="2" t="str">
        <f>IF(A220&lt;&gt;"", SUMIF(B1:F1,"&lt;&gt;",B220:F220),"")</f>
        <v/>
      </c>
      <c r="H220" s="2" t="str">
        <f>IF(AND(A220&lt;&gt;"",G220&lt;&gt;""),ROUND(G220,0),"")</f>
        <v/>
      </c>
      <c r="I220" s="2" t="str">
        <f>IFERROR(IF(A220&lt;&gt;"",VLOOKUP(Alunos!A220,Recurso!A3:D250,4, FALSE),""), "")</f>
        <v/>
      </c>
      <c r="J220" s="2" t="str">
        <f>IF(AND(A220&lt;&gt;"",I220&lt;&gt;""), SUMIFS(B220:I220,B1:I1,"&lt;&gt;",B2:I2,"&lt;&gt;Exame",B2:I2,"&lt;&gt;exame",B2:I2,"&lt;&gt;Nota",B2:I2,"&lt;&gt;Total"),"")</f>
        <v/>
      </c>
      <c r="K220" s="2" t="str">
        <f>IF(AND(A220&lt;&gt;"",J220&lt;&gt;""),ROUND(J220,0),"")</f>
        <v/>
      </c>
    </row>
    <row r="221" spans="2:11" x14ac:dyDescent="0.3">
      <c r="B221" s="2" t="str">
        <f>IFERROR(IF(A221&lt;&gt;"",VLOOKUP(Alunos!A221,Exame!A3:D250,4, FALSE),""), "")</f>
        <v/>
      </c>
      <c r="C221" s="2" t="str">
        <f>IF(A221&lt;&gt;"",VLOOKUP(Alunos!A221,Agrupamentos!A3:B250,2, FALSE),"")</f>
        <v/>
      </c>
      <c r="D221" s="2" t="str">
        <f>IFERROR(IF(A221&lt;&gt;"",VLOOKUP(Alunos!C221,FDGDF!A3:D250,4, FALSE),""),"")</f>
        <v/>
      </c>
      <c r="E221" s="2" t="str">
        <f>IF(A221&lt;&gt;"",VLOOKUP(Alunos!A221,Agrupamentos!A3:B250,2, FALSE),"")</f>
        <v/>
      </c>
      <c r="F221" s="2" t="str">
        <f>IFERROR(IF(A221&lt;&gt;"",VLOOKUP(Alunos!E221,SDASD!A3:D250,4, FALSE),""),"")</f>
        <v/>
      </c>
      <c r="G221" s="2" t="str">
        <f>IF(A221&lt;&gt;"", SUMIF(B1:F1,"&lt;&gt;",B221:F221),"")</f>
        <v/>
      </c>
      <c r="H221" s="2" t="str">
        <f>IF(AND(A221&lt;&gt;"",G221&lt;&gt;""),ROUND(G221,0),"")</f>
        <v/>
      </c>
      <c r="I221" s="2" t="str">
        <f>IFERROR(IF(A221&lt;&gt;"",VLOOKUP(Alunos!A221,Recurso!A3:D250,4, FALSE),""), "")</f>
        <v/>
      </c>
      <c r="J221" s="2" t="str">
        <f>IF(AND(A221&lt;&gt;"",I221&lt;&gt;""), SUMIFS(B221:I221,B1:I1,"&lt;&gt;",B2:I2,"&lt;&gt;Exame",B2:I2,"&lt;&gt;exame",B2:I2,"&lt;&gt;Nota",B2:I2,"&lt;&gt;Total"),"")</f>
        <v/>
      </c>
      <c r="K221" s="2" t="str">
        <f>IF(AND(A221&lt;&gt;"",J221&lt;&gt;""),ROUND(J221,0),"")</f>
        <v/>
      </c>
    </row>
    <row r="222" spans="2:11" x14ac:dyDescent="0.3">
      <c r="B222" s="2" t="str">
        <f>IFERROR(IF(A222&lt;&gt;"",VLOOKUP(Alunos!A222,Exame!A3:D250,4, FALSE),""), "")</f>
        <v/>
      </c>
      <c r="C222" s="2" t="str">
        <f>IF(A222&lt;&gt;"",VLOOKUP(Alunos!A222,Agrupamentos!A3:B250,2, FALSE),"")</f>
        <v/>
      </c>
      <c r="D222" s="2" t="str">
        <f>IFERROR(IF(A222&lt;&gt;"",VLOOKUP(Alunos!C222,FDGDF!A3:D250,4, FALSE),""),"")</f>
        <v/>
      </c>
      <c r="E222" s="2" t="str">
        <f>IF(A222&lt;&gt;"",VLOOKUP(Alunos!A222,Agrupamentos!A3:B250,2, FALSE),"")</f>
        <v/>
      </c>
      <c r="F222" s="2" t="str">
        <f>IFERROR(IF(A222&lt;&gt;"",VLOOKUP(Alunos!E222,SDASD!A3:D250,4, FALSE),""),"")</f>
        <v/>
      </c>
      <c r="G222" s="2" t="str">
        <f>IF(A222&lt;&gt;"", SUMIF(B1:F1,"&lt;&gt;",B222:F222),"")</f>
        <v/>
      </c>
      <c r="H222" s="2" t="str">
        <f>IF(AND(A222&lt;&gt;"",G222&lt;&gt;""),ROUND(G222,0),"")</f>
        <v/>
      </c>
      <c r="I222" s="2" t="str">
        <f>IFERROR(IF(A222&lt;&gt;"",VLOOKUP(Alunos!A222,Recurso!A3:D250,4, FALSE),""), "")</f>
        <v/>
      </c>
      <c r="J222" s="2" t="str">
        <f>IF(AND(A222&lt;&gt;"",I222&lt;&gt;""), SUMIFS(B222:I222,B1:I1,"&lt;&gt;",B2:I2,"&lt;&gt;Exame",B2:I2,"&lt;&gt;exame",B2:I2,"&lt;&gt;Nota",B2:I2,"&lt;&gt;Total"),"")</f>
        <v/>
      </c>
      <c r="K222" s="2" t="str">
        <f>IF(AND(A222&lt;&gt;"",J222&lt;&gt;""),ROUND(J222,0),"")</f>
        <v/>
      </c>
    </row>
    <row r="223" spans="2:11" x14ac:dyDescent="0.3">
      <c r="B223" s="2" t="str">
        <f>IFERROR(IF(A223&lt;&gt;"",VLOOKUP(Alunos!A223,Exame!A3:D250,4, FALSE),""), "")</f>
        <v/>
      </c>
      <c r="C223" s="2" t="str">
        <f>IF(A223&lt;&gt;"",VLOOKUP(Alunos!A223,Agrupamentos!A3:B250,2, FALSE),"")</f>
        <v/>
      </c>
      <c r="D223" s="2" t="str">
        <f>IFERROR(IF(A223&lt;&gt;"",VLOOKUP(Alunos!C223,FDGDF!A3:D250,4, FALSE),""),"")</f>
        <v/>
      </c>
      <c r="E223" s="2" t="str">
        <f>IF(A223&lt;&gt;"",VLOOKUP(Alunos!A223,Agrupamentos!A3:B250,2, FALSE),"")</f>
        <v/>
      </c>
      <c r="F223" s="2" t="str">
        <f>IFERROR(IF(A223&lt;&gt;"",VLOOKUP(Alunos!E223,SDASD!A3:D250,4, FALSE),""),"")</f>
        <v/>
      </c>
      <c r="G223" s="2" t="str">
        <f>IF(A223&lt;&gt;"", SUMIF(B1:F1,"&lt;&gt;",B223:F223),"")</f>
        <v/>
      </c>
      <c r="H223" s="2" t="str">
        <f>IF(AND(A223&lt;&gt;"",G223&lt;&gt;""),ROUND(G223,0),"")</f>
        <v/>
      </c>
      <c r="I223" s="2" t="str">
        <f>IFERROR(IF(A223&lt;&gt;"",VLOOKUP(Alunos!A223,Recurso!A3:D250,4, FALSE),""), "")</f>
        <v/>
      </c>
      <c r="J223" s="2" t="str">
        <f>IF(AND(A223&lt;&gt;"",I223&lt;&gt;""), SUMIFS(B223:I223,B1:I1,"&lt;&gt;",B2:I2,"&lt;&gt;Exame",B2:I2,"&lt;&gt;exame",B2:I2,"&lt;&gt;Nota",B2:I2,"&lt;&gt;Total"),"")</f>
        <v/>
      </c>
      <c r="K223" s="2" t="str">
        <f>IF(AND(A223&lt;&gt;"",J223&lt;&gt;""),ROUND(J223,0),"")</f>
        <v/>
      </c>
    </row>
    <row r="224" spans="2:11" x14ac:dyDescent="0.3">
      <c r="B224" s="2" t="str">
        <f>IFERROR(IF(A224&lt;&gt;"",VLOOKUP(Alunos!A224,Exame!A3:D250,4, FALSE),""), "")</f>
        <v/>
      </c>
      <c r="C224" s="2" t="str">
        <f>IF(A224&lt;&gt;"",VLOOKUP(Alunos!A224,Agrupamentos!A3:B250,2, FALSE),"")</f>
        <v/>
      </c>
      <c r="D224" s="2" t="str">
        <f>IFERROR(IF(A224&lt;&gt;"",VLOOKUP(Alunos!C224,FDGDF!A3:D250,4, FALSE),""),"")</f>
        <v/>
      </c>
      <c r="E224" s="2" t="str">
        <f>IF(A224&lt;&gt;"",VLOOKUP(Alunos!A224,Agrupamentos!A3:B250,2, FALSE),"")</f>
        <v/>
      </c>
      <c r="F224" s="2" t="str">
        <f>IFERROR(IF(A224&lt;&gt;"",VLOOKUP(Alunos!E224,SDASD!A3:D250,4, FALSE),""),"")</f>
        <v/>
      </c>
      <c r="G224" s="2" t="str">
        <f>IF(A224&lt;&gt;"", SUMIF(B1:F1,"&lt;&gt;",B224:F224),"")</f>
        <v/>
      </c>
      <c r="H224" s="2" t="str">
        <f>IF(AND(A224&lt;&gt;"",G224&lt;&gt;""),ROUND(G224,0),"")</f>
        <v/>
      </c>
      <c r="I224" s="2" t="str">
        <f>IFERROR(IF(A224&lt;&gt;"",VLOOKUP(Alunos!A224,Recurso!A3:D250,4, FALSE),""), "")</f>
        <v/>
      </c>
      <c r="J224" s="2" t="str">
        <f>IF(AND(A224&lt;&gt;"",I224&lt;&gt;""), SUMIFS(B224:I224,B1:I1,"&lt;&gt;",B2:I2,"&lt;&gt;Exame",B2:I2,"&lt;&gt;exame",B2:I2,"&lt;&gt;Nota",B2:I2,"&lt;&gt;Total"),"")</f>
        <v/>
      </c>
      <c r="K224" s="2" t="str">
        <f>IF(AND(A224&lt;&gt;"",J224&lt;&gt;""),ROUND(J224,0),"")</f>
        <v/>
      </c>
    </row>
    <row r="225" spans="2:11" x14ac:dyDescent="0.3">
      <c r="B225" s="2" t="str">
        <f>IFERROR(IF(A225&lt;&gt;"",VLOOKUP(Alunos!A225,Exame!A3:D250,4, FALSE),""), "")</f>
        <v/>
      </c>
      <c r="C225" s="2" t="str">
        <f>IF(A225&lt;&gt;"",VLOOKUP(Alunos!A225,Agrupamentos!A3:B250,2, FALSE),"")</f>
        <v/>
      </c>
      <c r="D225" s="2" t="str">
        <f>IFERROR(IF(A225&lt;&gt;"",VLOOKUP(Alunos!C225,FDGDF!A3:D250,4, FALSE),""),"")</f>
        <v/>
      </c>
      <c r="E225" s="2" t="str">
        <f>IF(A225&lt;&gt;"",VLOOKUP(Alunos!A225,Agrupamentos!A3:B250,2, FALSE),"")</f>
        <v/>
      </c>
      <c r="F225" s="2" t="str">
        <f>IFERROR(IF(A225&lt;&gt;"",VLOOKUP(Alunos!E225,SDASD!A3:D250,4, FALSE),""),"")</f>
        <v/>
      </c>
      <c r="G225" s="2" t="str">
        <f>IF(A225&lt;&gt;"", SUMIF(B1:F1,"&lt;&gt;",B225:F225),"")</f>
        <v/>
      </c>
      <c r="H225" s="2" t="str">
        <f>IF(AND(A225&lt;&gt;"",G225&lt;&gt;""),ROUND(G225,0),"")</f>
        <v/>
      </c>
      <c r="I225" s="2" t="str">
        <f>IFERROR(IF(A225&lt;&gt;"",VLOOKUP(Alunos!A225,Recurso!A3:D250,4, FALSE),""), "")</f>
        <v/>
      </c>
      <c r="J225" s="2" t="str">
        <f>IF(AND(A225&lt;&gt;"",I225&lt;&gt;""), SUMIFS(B225:I225,B1:I1,"&lt;&gt;",B2:I2,"&lt;&gt;Exame",B2:I2,"&lt;&gt;exame",B2:I2,"&lt;&gt;Nota",B2:I2,"&lt;&gt;Total"),"")</f>
        <v/>
      </c>
      <c r="K225" s="2" t="str">
        <f>IF(AND(A225&lt;&gt;"",J225&lt;&gt;""),ROUND(J225,0),"")</f>
        <v/>
      </c>
    </row>
    <row r="226" spans="2:11" x14ac:dyDescent="0.3">
      <c r="B226" s="2" t="str">
        <f>IFERROR(IF(A226&lt;&gt;"",VLOOKUP(Alunos!A226,Exame!A3:D250,4, FALSE),""), "")</f>
        <v/>
      </c>
      <c r="C226" s="2" t="str">
        <f>IF(A226&lt;&gt;"",VLOOKUP(Alunos!A226,Agrupamentos!A3:B250,2, FALSE),"")</f>
        <v/>
      </c>
      <c r="D226" s="2" t="str">
        <f>IFERROR(IF(A226&lt;&gt;"",VLOOKUP(Alunos!C226,FDGDF!A3:D250,4, FALSE),""),"")</f>
        <v/>
      </c>
      <c r="E226" s="2" t="str">
        <f>IF(A226&lt;&gt;"",VLOOKUP(Alunos!A226,Agrupamentos!A3:B250,2, FALSE),"")</f>
        <v/>
      </c>
      <c r="F226" s="2" t="str">
        <f>IFERROR(IF(A226&lt;&gt;"",VLOOKUP(Alunos!E226,SDASD!A3:D250,4, FALSE),""),"")</f>
        <v/>
      </c>
      <c r="G226" s="2" t="str">
        <f>IF(A226&lt;&gt;"", SUMIF(B1:F1,"&lt;&gt;",B226:F226),"")</f>
        <v/>
      </c>
      <c r="H226" s="2" t="str">
        <f>IF(AND(A226&lt;&gt;"",G226&lt;&gt;""),ROUND(G226,0),"")</f>
        <v/>
      </c>
      <c r="I226" s="2" t="str">
        <f>IFERROR(IF(A226&lt;&gt;"",VLOOKUP(Alunos!A226,Recurso!A3:D250,4, FALSE),""), "")</f>
        <v/>
      </c>
      <c r="J226" s="2" t="str">
        <f>IF(AND(A226&lt;&gt;"",I226&lt;&gt;""), SUMIFS(B226:I226,B1:I1,"&lt;&gt;",B2:I2,"&lt;&gt;Exame",B2:I2,"&lt;&gt;exame",B2:I2,"&lt;&gt;Nota",B2:I2,"&lt;&gt;Total"),"")</f>
        <v/>
      </c>
      <c r="K226" s="2" t="str">
        <f>IF(AND(A226&lt;&gt;"",J226&lt;&gt;""),ROUND(J226,0),"")</f>
        <v/>
      </c>
    </row>
    <row r="227" spans="2:11" x14ac:dyDescent="0.3">
      <c r="B227" s="2" t="str">
        <f>IFERROR(IF(A227&lt;&gt;"",VLOOKUP(Alunos!A227,Exame!A3:D250,4, FALSE),""), "")</f>
        <v/>
      </c>
      <c r="C227" s="2" t="str">
        <f>IF(A227&lt;&gt;"",VLOOKUP(Alunos!A227,Agrupamentos!A3:B250,2, FALSE),"")</f>
        <v/>
      </c>
      <c r="D227" s="2" t="str">
        <f>IFERROR(IF(A227&lt;&gt;"",VLOOKUP(Alunos!C227,FDGDF!A3:D250,4, FALSE),""),"")</f>
        <v/>
      </c>
      <c r="E227" s="2" t="str">
        <f>IF(A227&lt;&gt;"",VLOOKUP(Alunos!A227,Agrupamentos!A3:B250,2, FALSE),"")</f>
        <v/>
      </c>
      <c r="F227" s="2" t="str">
        <f>IFERROR(IF(A227&lt;&gt;"",VLOOKUP(Alunos!E227,SDASD!A3:D250,4, FALSE),""),"")</f>
        <v/>
      </c>
      <c r="G227" s="2" t="str">
        <f>IF(A227&lt;&gt;"", SUMIF(B1:F1,"&lt;&gt;",B227:F227),"")</f>
        <v/>
      </c>
      <c r="H227" s="2" t="str">
        <f>IF(AND(A227&lt;&gt;"",G227&lt;&gt;""),ROUND(G227,0),"")</f>
        <v/>
      </c>
      <c r="I227" s="2" t="str">
        <f>IFERROR(IF(A227&lt;&gt;"",VLOOKUP(Alunos!A227,Recurso!A3:D250,4, FALSE),""), "")</f>
        <v/>
      </c>
      <c r="J227" s="2" t="str">
        <f>IF(AND(A227&lt;&gt;"",I227&lt;&gt;""), SUMIFS(B227:I227,B1:I1,"&lt;&gt;",B2:I2,"&lt;&gt;Exame",B2:I2,"&lt;&gt;exame",B2:I2,"&lt;&gt;Nota",B2:I2,"&lt;&gt;Total"),"")</f>
        <v/>
      </c>
      <c r="K227" s="2" t="str">
        <f>IF(AND(A227&lt;&gt;"",J227&lt;&gt;""),ROUND(J227,0),"")</f>
        <v/>
      </c>
    </row>
    <row r="228" spans="2:11" x14ac:dyDescent="0.3">
      <c r="B228" s="2" t="str">
        <f>IFERROR(IF(A228&lt;&gt;"",VLOOKUP(Alunos!A228,Exame!A3:D250,4, FALSE),""), "")</f>
        <v/>
      </c>
      <c r="C228" s="2" t="str">
        <f>IF(A228&lt;&gt;"",VLOOKUP(Alunos!A228,Agrupamentos!A3:B250,2, FALSE),"")</f>
        <v/>
      </c>
      <c r="D228" s="2" t="str">
        <f>IFERROR(IF(A228&lt;&gt;"",VLOOKUP(Alunos!C228,FDGDF!A3:D250,4, FALSE),""),"")</f>
        <v/>
      </c>
      <c r="E228" s="2" t="str">
        <f>IF(A228&lt;&gt;"",VLOOKUP(Alunos!A228,Agrupamentos!A3:B250,2, FALSE),"")</f>
        <v/>
      </c>
      <c r="F228" s="2" t="str">
        <f>IFERROR(IF(A228&lt;&gt;"",VLOOKUP(Alunos!E228,SDASD!A3:D250,4, FALSE),""),"")</f>
        <v/>
      </c>
      <c r="G228" s="2" t="str">
        <f>IF(A228&lt;&gt;"", SUMIF(B1:F1,"&lt;&gt;",B228:F228),"")</f>
        <v/>
      </c>
      <c r="H228" s="2" t="str">
        <f>IF(AND(A228&lt;&gt;"",G228&lt;&gt;""),ROUND(G228,0),"")</f>
        <v/>
      </c>
      <c r="I228" s="2" t="str">
        <f>IFERROR(IF(A228&lt;&gt;"",VLOOKUP(Alunos!A228,Recurso!A3:D250,4, FALSE),""), "")</f>
        <v/>
      </c>
      <c r="J228" s="2" t="str">
        <f>IF(AND(A228&lt;&gt;"",I228&lt;&gt;""), SUMIFS(B228:I228,B1:I1,"&lt;&gt;",B2:I2,"&lt;&gt;Exame",B2:I2,"&lt;&gt;exame",B2:I2,"&lt;&gt;Nota",B2:I2,"&lt;&gt;Total"),"")</f>
        <v/>
      </c>
      <c r="K228" s="2" t="str">
        <f>IF(AND(A228&lt;&gt;"",J228&lt;&gt;""),ROUND(J228,0),"")</f>
        <v/>
      </c>
    </row>
    <row r="229" spans="2:11" x14ac:dyDescent="0.3">
      <c r="B229" s="2" t="str">
        <f>IFERROR(IF(A229&lt;&gt;"",VLOOKUP(Alunos!A229,Exame!A3:D250,4, FALSE),""), "")</f>
        <v/>
      </c>
      <c r="C229" s="2" t="str">
        <f>IF(A229&lt;&gt;"",VLOOKUP(Alunos!A229,Agrupamentos!A3:B250,2, FALSE),"")</f>
        <v/>
      </c>
      <c r="D229" s="2" t="str">
        <f>IFERROR(IF(A229&lt;&gt;"",VLOOKUP(Alunos!C229,FDGDF!A3:D250,4, FALSE),""),"")</f>
        <v/>
      </c>
      <c r="E229" s="2" t="str">
        <f>IF(A229&lt;&gt;"",VLOOKUP(Alunos!A229,Agrupamentos!A3:B250,2, FALSE),"")</f>
        <v/>
      </c>
      <c r="F229" s="2" t="str">
        <f>IFERROR(IF(A229&lt;&gt;"",VLOOKUP(Alunos!E229,SDASD!A3:D250,4, FALSE),""),"")</f>
        <v/>
      </c>
      <c r="G229" s="2" t="str">
        <f>IF(A229&lt;&gt;"", SUMIF(B1:F1,"&lt;&gt;",B229:F229),"")</f>
        <v/>
      </c>
      <c r="H229" s="2" t="str">
        <f>IF(AND(A229&lt;&gt;"",G229&lt;&gt;""),ROUND(G229,0),"")</f>
        <v/>
      </c>
      <c r="I229" s="2" t="str">
        <f>IFERROR(IF(A229&lt;&gt;"",VLOOKUP(Alunos!A229,Recurso!A3:D250,4, FALSE),""), "")</f>
        <v/>
      </c>
      <c r="J229" s="2" t="str">
        <f>IF(AND(A229&lt;&gt;"",I229&lt;&gt;""), SUMIFS(B229:I229,B1:I1,"&lt;&gt;",B2:I2,"&lt;&gt;Exame",B2:I2,"&lt;&gt;exame",B2:I2,"&lt;&gt;Nota",B2:I2,"&lt;&gt;Total"),"")</f>
        <v/>
      </c>
      <c r="K229" s="2" t="str">
        <f>IF(AND(A229&lt;&gt;"",J229&lt;&gt;""),ROUND(J229,0),"")</f>
        <v/>
      </c>
    </row>
    <row r="230" spans="2:11" x14ac:dyDescent="0.3">
      <c r="B230" s="2" t="str">
        <f>IFERROR(IF(A230&lt;&gt;"",VLOOKUP(Alunos!A230,Exame!A3:D250,4, FALSE),""), "")</f>
        <v/>
      </c>
      <c r="C230" s="2" t="str">
        <f>IF(A230&lt;&gt;"",VLOOKUP(Alunos!A230,Agrupamentos!A3:B250,2, FALSE),"")</f>
        <v/>
      </c>
      <c r="D230" s="2" t="str">
        <f>IFERROR(IF(A230&lt;&gt;"",VLOOKUP(Alunos!C230,FDGDF!A3:D250,4, FALSE),""),"")</f>
        <v/>
      </c>
      <c r="E230" s="2" t="str">
        <f>IF(A230&lt;&gt;"",VLOOKUP(Alunos!A230,Agrupamentos!A3:B250,2, FALSE),"")</f>
        <v/>
      </c>
      <c r="F230" s="2" t="str">
        <f>IFERROR(IF(A230&lt;&gt;"",VLOOKUP(Alunos!E230,SDASD!A3:D250,4, FALSE),""),"")</f>
        <v/>
      </c>
      <c r="G230" s="2" t="str">
        <f>IF(A230&lt;&gt;"", SUMIF(B1:F1,"&lt;&gt;",B230:F230),"")</f>
        <v/>
      </c>
      <c r="H230" s="2" t="str">
        <f>IF(AND(A230&lt;&gt;"",G230&lt;&gt;""),ROUND(G230,0),"")</f>
        <v/>
      </c>
      <c r="I230" s="2" t="str">
        <f>IFERROR(IF(A230&lt;&gt;"",VLOOKUP(Alunos!A230,Recurso!A3:D250,4, FALSE),""), "")</f>
        <v/>
      </c>
      <c r="J230" s="2" t="str">
        <f>IF(AND(A230&lt;&gt;"",I230&lt;&gt;""), SUMIFS(B230:I230,B1:I1,"&lt;&gt;",B2:I2,"&lt;&gt;Exame",B2:I2,"&lt;&gt;exame",B2:I2,"&lt;&gt;Nota",B2:I2,"&lt;&gt;Total"),"")</f>
        <v/>
      </c>
      <c r="K230" s="2" t="str">
        <f>IF(AND(A230&lt;&gt;"",J230&lt;&gt;""),ROUND(J230,0),"")</f>
        <v/>
      </c>
    </row>
    <row r="231" spans="2:11" x14ac:dyDescent="0.3">
      <c r="B231" s="2" t="str">
        <f>IFERROR(IF(A231&lt;&gt;"",VLOOKUP(Alunos!A231,Exame!A3:D250,4, FALSE),""), "")</f>
        <v/>
      </c>
      <c r="C231" s="2" t="str">
        <f>IF(A231&lt;&gt;"",VLOOKUP(Alunos!A231,Agrupamentos!A3:B250,2, FALSE),"")</f>
        <v/>
      </c>
      <c r="D231" s="2" t="str">
        <f>IFERROR(IF(A231&lt;&gt;"",VLOOKUP(Alunos!C231,FDGDF!A3:D250,4, FALSE),""),"")</f>
        <v/>
      </c>
      <c r="E231" s="2" t="str">
        <f>IF(A231&lt;&gt;"",VLOOKUP(Alunos!A231,Agrupamentos!A3:B250,2, FALSE),"")</f>
        <v/>
      </c>
      <c r="F231" s="2" t="str">
        <f>IFERROR(IF(A231&lt;&gt;"",VLOOKUP(Alunos!E231,SDASD!A3:D250,4, FALSE),""),"")</f>
        <v/>
      </c>
      <c r="G231" s="2" t="str">
        <f>IF(A231&lt;&gt;"", SUMIF(B1:F1,"&lt;&gt;",B231:F231),"")</f>
        <v/>
      </c>
      <c r="H231" s="2" t="str">
        <f>IF(AND(A231&lt;&gt;"",G231&lt;&gt;""),ROUND(G231,0),"")</f>
        <v/>
      </c>
      <c r="I231" s="2" t="str">
        <f>IFERROR(IF(A231&lt;&gt;"",VLOOKUP(Alunos!A231,Recurso!A3:D250,4, FALSE),""), "")</f>
        <v/>
      </c>
      <c r="J231" s="2" t="str">
        <f>IF(AND(A231&lt;&gt;"",I231&lt;&gt;""), SUMIFS(B231:I231,B1:I1,"&lt;&gt;",B2:I2,"&lt;&gt;Exame",B2:I2,"&lt;&gt;exame",B2:I2,"&lt;&gt;Nota",B2:I2,"&lt;&gt;Total"),"")</f>
        <v/>
      </c>
      <c r="K231" s="2" t="str">
        <f>IF(AND(A231&lt;&gt;"",J231&lt;&gt;""),ROUND(J231,0),"")</f>
        <v/>
      </c>
    </row>
    <row r="232" spans="2:11" x14ac:dyDescent="0.3">
      <c r="B232" s="2" t="str">
        <f>IFERROR(IF(A232&lt;&gt;"",VLOOKUP(Alunos!A232,Exame!A3:D250,4, FALSE),""), "")</f>
        <v/>
      </c>
      <c r="C232" s="2" t="str">
        <f>IF(A232&lt;&gt;"",VLOOKUP(Alunos!A232,Agrupamentos!A3:B250,2, FALSE),"")</f>
        <v/>
      </c>
      <c r="D232" s="2" t="str">
        <f>IFERROR(IF(A232&lt;&gt;"",VLOOKUP(Alunos!C232,FDGDF!A3:D250,4, FALSE),""),"")</f>
        <v/>
      </c>
      <c r="E232" s="2" t="str">
        <f>IF(A232&lt;&gt;"",VLOOKUP(Alunos!A232,Agrupamentos!A3:B250,2, FALSE),"")</f>
        <v/>
      </c>
      <c r="F232" s="2" t="str">
        <f>IFERROR(IF(A232&lt;&gt;"",VLOOKUP(Alunos!E232,SDASD!A3:D250,4, FALSE),""),"")</f>
        <v/>
      </c>
      <c r="G232" s="2" t="str">
        <f>IF(A232&lt;&gt;"", SUMIF(B1:F1,"&lt;&gt;",B232:F232),"")</f>
        <v/>
      </c>
      <c r="H232" s="2" t="str">
        <f>IF(AND(A232&lt;&gt;"",G232&lt;&gt;""),ROUND(G232,0),"")</f>
        <v/>
      </c>
      <c r="I232" s="2" t="str">
        <f>IFERROR(IF(A232&lt;&gt;"",VLOOKUP(Alunos!A232,Recurso!A3:D250,4, FALSE),""), "")</f>
        <v/>
      </c>
      <c r="J232" s="2" t="str">
        <f>IF(AND(A232&lt;&gt;"",I232&lt;&gt;""), SUMIFS(B232:I232,B1:I1,"&lt;&gt;",B2:I2,"&lt;&gt;Exame",B2:I2,"&lt;&gt;exame",B2:I2,"&lt;&gt;Nota",B2:I2,"&lt;&gt;Total"),"")</f>
        <v/>
      </c>
      <c r="K232" s="2" t="str">
        <f>IF(AND(A232&lt;&gt;"",J232&lt;&gt;""),ROUND(J232,0),"")</f>
        <v/>
      </c>
    </row>
    <row r="233" spans="2:11" x14ac:dyDescent="0.3">
      <c r="B233" s="2" t="str">
        <f>IFERROR(IF(A233&lt;&gt;"",VLOOKUP(Alunos!A233,Exame!A3:D250,4, FALSE),""), "")</f>
        <v/>
      </c>
      <c r="C233" s="2" t="str">
        <f>IF(A233&lt;&gt;"",VLOOKUP(Alunos!A233,Agrupamentos!A3:B250,2, FALSE),"")</f>
        <v/>
      </c>
      <c r="D233" s="2" t="str">
        <f>IFERROR(IF(A233&lt;&gt;"",VLOOKUP(Alunos!C233,FDGDF!A3:D250,4, FALSE),""),"")</f>
        <v/>
      </c>
      <c r="E233" s="2" t="str">
        <f>IF(A233&lt;&gt;"",VLOOKUP(Alunos!A233,Agrupamentos!A3:B250,2, FALSE),"")</f>
        <v/>
      </c>
      <c r="F233" s="2" t="str">
        <f>IFERROR(IF(A233&lt;&gt;"",VLOOKUP(Alunos!E233,SDASD!A3:D250,4, FALSE),""),"")</f>
        <v/>
      </c>
      <c r="G233" s="2" t="str">
        <f>IF(A233&lt;&gt;"", SUMIF(B1:F1,"&lt;&gt;",B233:F233),"")</f>
        <v/>
      </c>
      <c r="H233" s="2" t="str">
        <f>IF(AND(A233&lt;&gt;"",G233&lt;&gt;""),ROUND(G233,0),"")</f>
        <v/>
      </c>
      <c r="I233" s="2" t="str">
        <f>IFERROR(IF(A233&lt;&gt;"",VLOOKUP(Alunos!A233,Recurso!A3:D250,4, FALSE),""), "")</f>
        <v/>
      </c>
      <c r="J233" s="2" t="str">
        <f>IF(AND(A233&lt;&gt;"",I233&lt;&gt;""), SUMIFS(B233:I233,B1:I1,"&lt;&gt;",B2:I2,"&lt;&gt;Exame",B2:I2,"&lt;&gt;exame",B2:I2,"&lt;&gt;Nota",B2:I2,"&lt;&gt;Total"),"")</f>
        <v/>
      </c>
      <c r="K233" s="2" t="str">
        <f>IF(AND(A233&lt;&gt;"",J233&lt;&gt;""),ROUND(J233,0),"")</f>
        <v/>
      </c>
    </row>
    <row r="234" spans="2:11" x14ac:dyDescent="0.3">
      <c r="B234" s="2" t="str">
        <f>IFERROR(IF(A234&lt;&gt;"",VLOOKUP(Alunos!A234,Exame!A3:D250,4, FALSE),""), "")</f>
        <v/>
      </c>
      <c r="C234" s="2" t="str">
        <f>IF(A234&lt;&gt;"",VLOOKUP(Alunos!A234,Agrupamentos!A3:B250,2, FALSE),"")</f>
        <v/>
      </c>
      <c r="D234" s="2" t="str">
        <f>IFERROR(IF(A234&lt;&gt;"",VLOOKUP(Alunos!C234,FDGDF!A3:D250,4, FALSE),""),"")</f>
        <v/>
      </c>
      <c r="E234" s="2" t="str">
        <f>IF(A234&lt;&gt;"",VLOOKUP(Alunos!A234,Agrupamentos!A3:B250,2, FALSE),"")</f>
        <v/>
      </c>
      <c r="F234" s="2" t="str">
        <f>IFERROR(IF(A234&lt;&gt;"",VLOOKUP(Alunos!E234,SDASD!A3:D250,4, FALSE),""),"")</f>
        <v/>
      </c>
      <c r="G234" s="2" t="str">
        <f>IF(A234&lt;&gt;"", SUMIF(B1:F1,"&lt;&gt;",B234:F234),"")</f>
        <v/>
      </c>
      <c r="H234" s="2" t="str">
        <f>IF(AND(A234&lt;&gt;"",G234&lt;&gt;""),ROUND(G234,0),"")</f>
        <v/>
      </c>
      <c r="I234" s="2" t="str">
        <f>IFERROR(IF(A234&lt;&gt;"",VLOOKUP(Alunos!A234,Recurso!A3:D250,4, FALSE),""), "")</f>
        <v/>
      </c>
      <c r="J234" s="2" t="str">
        <f>IF(AND(A234&lt;&gt;"",I234&lt;&gt;""), SUMIFS(B234:I234,B1:I1,"&lt;&gt;",B2:I2,"&lt;&gt;Exame",B2:I2,"&lt;&gt;exame",B2:I2,"&lt;&gt;Nota",B2:I2,"&lt;&gt;Total"),"")</f>
        <v/>
      </c>
      <c r="K234" s="2" t="str">
        <f>IF(AND(A234&lt;&gt;"",J234&lt;&gt;""),ROUND(J234,0),"")</f>
        <v/>
      </c>
    </row>
    <row r="235" spans="2:11" x14ac:dyDescent="0.3">
      <c r="B235" s="2" t="str">
        <f>IFERROR(IF(A235&lt;&gt;"",VLOOKUP(Alunos!A235,Exame!A3:D250,4, FALSE),""), "")</f>
        <v/>
      </c>
      <c r="C235" s="2" t="str">
        <f>IF(A235&lt;&gt;"",VLOOKUP(Alunos!A235,Agrupamentos!A3:B250,2, FALSE),"")</f>
        <v/>
      </c>
      <c r="D235" s="2" t="str">
        <f>IFERROR(IF(A235&lt;&gt;"",VLOOKUP(Alunos!C235,FDGDF!A3:D250,4, FALSE),""),"")</f>
        <v/>
      </c>
      <c r="E235" s="2" t="str">
        <f>IF(A235&lt;&gt;"",VLOOKUP(Alunos!A235,Agrupamentos!A3:B250,2, FALSE),"")</f>
        <v/>
      </c>
      <c r="F235" s="2" t="str">
        <f>IFERROR(IF(A235&lt;&gt;"",VLOOKUP(Alunos!E235,SDASD!A3:D250,4, FALSE),""),"")</f>
        <v/>
      </c>
      <c r="G235" s="2" t="str">
        <f>IF(A235&lt;&gt;"", SUMIF(B1:F1,"&lt;&gt;",B235:F235),"")</f>
        <v/>
      </c>
      <c r="H235" s="2" t="str">
        <f>IF(AND(A235&lt;&gt;"",G235&lt;&gt;""),ROUND(G235,0),"")</f>
        <v/>
      </c>
      <c r="I235" s="2" t="str">
        <f>IFERROR(IF(A235&lt;&gt;"",VLOOKUP(Alunos!A235,Recurso!A3:D250,4, FALSE),""), "")</f>
        <v/>
      </c>
      <c r="J235" s="2" t="str">
        <f>IF(AND(A235&lt;&gt;"",I235&lt;&gt;""), SUMIFS(B235:I235,B1:I1,"&lt;&gt;",B2:I2,"&lt;&gt;Exame",B2:I2,"&lt;&gt;exame",B2:I2,"&lt;&gt;Nota",B2:I2,"&lt;&gt;Total"),"")</f>
        <v/>
      </c>
      <c r="K235" s="2" t="str">
        <f>IF(AND(A235&lt;&gt;"",J235&lt;&gt;""),ROUND(J235,0),"")</f>
        <v/>
      </c>
    </row>
    <row r="236" spans="2:11" x14ac:dyDescent="0.3">
      <c r="B236" s="2" t="str">
        <f>IFERROR(IF(A236&lt;&gt;"",VLOOKUP(Alunos!A236,Exame!A3:D250,4, FALSE),""), "")</f>
        <v/>
      </c>
      <c r="C236" s="2" t="str">
        <f>IF(A236&lt;&gt;"",VLOOKUP(Alunos!A236,Agrupamentos!A3:B250,2, FALSE),"")</f>
        <v/>
      </c>
      <c r="D236" s="2" t="str">
        <f>IFERROR(IF(A236&lt;&gt;"",VLOOKUP(Alunos!C236,FDGDF!A3:D250,4, FALSE),""),"")</f>
        <v/>
      </c>
      <c r="E236" s="2" t="str">
        <f>IF(A236&lt;&gt;"",VLOOKUP(Alunos!A236,Agrupamentos!A3:B250,2, FALSE),"")</f>
        <v/>
      </c>
      <c r="F236" s="2" t="str">
        <f>IFERROR(IF(A236&lt;&gt;"",VLOOKUP(Alunos!E236,SDASD!A3:D250,4, FALSE),""),"")</f>
        <v/>
      </c>
      <c r="G236" s="2" t="str">
        <f>IF(A236&lt;&gt;"", SUMIF(B1:F1,"&lt;&gt;",B236:F236),"")</f>
        <v/>
      </c>
      <c r="H236" s="2" t="str">
        <f>IF(AND(A236&lt;&gt;"",G236&lt;&gt;""),ROUND(G236,0),"")</f>
        <v/>
      </c>
      <c r="I236" s="2" t="str">
        <f>IFERROR(IF(A236&lt;&gt;"",VLOOKUP(Alunos!A236,Recurso!A3:D250,4, FALSE),""), "")</f>
        <v/>
      </c>
      <c r="J236" s="2" t="str">
        <f>IF(AND(A236&lt;&gt;"",I236&lt;&gt;""), SUMIFS(B236:I236,B1:I1,"&lt;&gt;",B2:I2,"&lt;&gt;Exame",B2:I2,"&lt;&gt;exame",B2:I2,"&lt;&gt;Nota",B2:I2,"&lt;&gt;Total"),"")</f>
        <v/>
      </c>
      <c r="K236" s="2" t="str">
        <f>IF(AND(A236&lt;&gt;"",J236&lt;&gt;""),ROUND(J236,0),"")</f>
        <v/>
      </c>
    </row>
    <row r="237" spans="2:11" x14ac:dyDescent="0.3">
      <c r="B237" s="2" t="str">
        <f>IFERROR(IF(A237&lt;&gt;"",VLOOKUP(Alunos!A237,Exame!A3:D250,4, FALSE),""), "")</f>
        <v/>
      </c>
      <c r="C237" s="2" t="str">
        <f>IF(A237&lt;&gt;"",VLOOKUP(Alunos!A237,Agrupamentos!A3:B250,2, FALSE),"")</f>
        <v/>
      </c>
      <c r="D237" s="2" t="str">
        <f>IFERROR(IF(A237&lt;&gt;"",VLOOKUP(Alunos!C237,FDGDF!A3:D250,4, FALSE),""),"")</f>
        <v/>
      </c>
      <c r="E237" s="2" t="str">
        <f>IF(A237&lt;&gt;"",VLOOKUP(Alunos!A237,Agrupamentos!A3:B250,2, FALSE),"")</f>
        <v/>
      </c>
      <c r="F237" s="2" t="str">
        <f>IFERROR(IF(A237&lt;&gt;"",VLOOKUP(Alunos!E237,SDASD!A3:D250,4, FALSE),""),"")</f>
        <v/>
      </c>
      <c r="G237" s="2" t="str">
        <f>IF(A237&lt;&gt;"", SUMIF(B1:F1,"&lt;&gt;",B237:F237),"")</f>
        <v/>
      </c>
      <c r="H237" s="2" t="str">
        <f>IF(AND(A237&lt;&gt;"",G237&lt;&gt;""),ROUND(G237,0),"")</f>
        <v/>
      </c>
      <c r="I237" s="2" t="str">
        <f>IFERROR(IF(A237&lt;&gt;"",VLOOKUP(Alunos!A237,Recurso!A3:D250,4, FALSE),""), "")</f>
        <v/>
      </c>
      <c r="J237" s="2" t="str">
        <f>IF(AND(A237&lt;&gt;"",I237&lt;&gt;""), SUMIFS(B237:I237,B1:I1,"&lt;&gt;",B2:I2,"&lt;&gt;Exame",B2:I2,"&lt;&gt;exame",B2:I2,"&lt;&gt;Nota",B2:I2,"&lt;&gt;Total"),"")</f>
        <v/>
      </c>
      <c r="K237" s="2" t="str">
        <f>IF(AND(A237&lt;&gt;"",J237&lt;&gt;""),ROUND(J237,0),"")</f>
        <v/>
      </c>
    </row>
    <row r="238" spans="2:11" x14ac:dyDescent="0.3">
      <c r="B238" s="2" t="str">
        <f>IFERROR(IF(A238&lt;&gt;"",VLOOKUP(Alunos!A238,Exame!A3:D250,4, FALSE),""), "")</f>
        <v/>
      </c>
      <c r="C238" s="2" t="str">
        <f>IF(A238&lt;&gt;"",VLOOKUP(Alunos!A238,Agrupamentos!A3:B250,2, FALSE),"")</f>
        <v/>
      </c>
      <c r="D238" s="2" t="str">
        <f>IFERROR(IF(A238&lt;&gt;"",VLOOKUP(Alunos!C238,FDGDF!A3:D250,4, FALSE),""),"")</f>
        <v/>
      </c>
      <c r="E238" s="2" t="str">
        <f>IF(A238&lt;&gt;"",VLOOKUP(Alunos!A238,Agrupamentos!A3:B250,2, FALSE),"")</f>
        <v/>
      </c>
      <c r="F238" s="2" t="str">
        <f>IFERROR(IF(A238&lt;&gt;"",VLOOKUP(Alunos!E238,SDASD!A3:D250,4, FALSE),""),"")</f>
        <v/>
      </c>
      <c r="G238" s="2" t="str">
        <f>IF(A238&lt;&gt;"", SUMIF(B1:F1,"&lt;&gt;",B238:F238),"")</f>
        <v/>
      </c>
      <c r="H238" s="2" t="str">
        <f>IF(AND(A238&lt;&gt;"",G238&lt;&gt;""),ROUND(G238,0),"")</f>
        <v/>
      </c>
      <c r="I238" s="2" t="str">
        <f>IFERROR(IF(A238&lt;&gt;"",VLOOKUP(Alunos!A238,Recurso!A3:D250,4, FALSE),""), "")</f>
        <v/>
      </c>
      <c r="J238" s="2" t="str">
        <f>IF(AND(A238&lt;&gt;"",I238&lt;&gt;""), SUMIFS(B238:I238,B1:I1,"&lt;&gt;",B2:I2,"&lt;&gt;Exame",B2:I2,"&lt;&gt;exame",B2:I2,"&lt;&gt;Nota",B2:I2,"&lt;&gt;Total"),"")</f>
        <v/>
      </c>
      <c r="K238" s="2" t="str">
        <f>IF(AND(A238&lt;&gt;"",J238&lt;&gt;""),ROUND(J238,0),"")</f>
        <v/>
      </c>
    </row>
    <row r="239" spans="2:11" x14ac:dyDescent="0.3">
      <c r="B239" s="2" t="str">
        <f>IFERROR(IF(A239&lt;&gt;"",VLOOKUP(Alunos!A239,Exame!A3:D250,4, FALSE),""), "")</f>
        <v/>
      </c>
      <c r="C239" s="2" t="str">
        <f>IF(A239&lt;&gt;"",VLOOKUP(Alunos!A239,Agrupamentos!A3:B250,2, FALSE),"")</f>
        <v/>
      </c>
      <c r="D239" s="2" t="str">
        <f>IFERROR(IF(A239&lt;&gt;"",VLOOKUP(Alunos!C239,FDGDF!A3:D250,4, FALSE),""),"")</f>
        <v/>
      </c>
      <c r="E239" s="2" t="str">
        <f>IF(A239&lt;&gt;"",VLOOKUP(Alunos!A239,Agrupamentos!A3:B250,2, FALSE),"")</f>
        <v/>
      </c>
      <c r="F239" s="2" t="str">
        <f>IFERROR(IF(A239&lt;&gt;"",VLOOKUP(Alunos!E239,SDASD!A3:D250,4, FALSE),""),"")</f>
        <v/>
      </c>
      <c r="G239" s="2" t="str">
        <f>IF(A239&lt;&gt;"", SUMIF(B1:F1,"&lt;&gt;",B239:F239),"")</f>
        <v/>
      </c>
      <c r="H239" s="2" t="str">
        <f>IF(AND(A239&lt;&gt;"",G239&lt;&gt;""),ROUND(G239,0),"")</f>
        <v/>
      </c>
      <c r="I239" s="2" t="str">
        <f>IFERROR(IF(A239&lt;&gt;"",VLOOKUP(Alunos!A239,Recurso!A3:D250,4, FALSE),""), "")</f>
        <v/>
      </c>
      <c r="J239" s="2" t="str">
        <f>IF(AND(A239&lt;&gt;"",I239&lt;&gt;""), SUMIFS(B239:I239,B1:I1,"&lt;&gt;",B2:I2,"&lt;&gt;Exame",B2:I2,"&lt;&gt;exame",B2:I2,"&lt;&gt;Nota",B2:I2,"&lt;&gt;Total"),"")</f>
        <v/>
      </c>
      <c r="K239" s="2" t="str">
        <f>IF(AND(A239&lt;&gt;"",J239&lt;&gt;""),ROUND(J239,0),"")</f>
        <v/>
      </c>
    </row>
    <row r="240" spans="2:11" x14ac:dyDescent="0.3">
      <c r="B240" s="2" t="str">
        <f>IFERROR(IF(A240&lt;&gt;"",VLOOKUP(Alunos!A240,Exame!A3:D250,4, FALSE),""), "")</f>
        <v/>
      </c>
      <c r="C240" s="2" t="str">
        <f>IF(A240&lt;&gt;"",VLOOKUP(Alunos!A240,Agrupamentos!A3:B250,2, FALSE),"")</f>
        <v/>
      </c>
      <c r="D240" s="2" t="str">
        <f>IFERROR(IF(A240&lt;&gt;"",VLOOKUP(Alunos!C240,FDGDF!A3:D250,4, FALSE),""),"")</f>
        <v/>
      </c>
      <c r="E240" s="2" t="str">
        <f>IF(A240&lt;&gt;"",VLOOKUP(Alunos!A240,Agrupamentos!A3:B250,2, FALSE),"")</f>
        <v/>
      </c>
      <c r="F240" s="2" t="str">
        <f>IFERROR(IF(A240&lt;&gt;"",VLOOKUP(Alunos!E240,SDASD!A3:D250,4, FALSE),""),"")</f>
        <v/>
      </c>
      <c r="G240" s="2" t="str">
        <f>IF(A240&lt;&gt;"", SUMIF(B1:F1,"&lt;&gt;",B240:F240),"")</f>
        <v/>
      </c>
      <c r="H240" s="2" t="str">
        <f>IF(AND(A240&lt;&gt;"",G240&lt;&gt;""),ROUND(G240,0),"")</f>
        <v/>
      </c>
      <c r="I240" s="2" t="str">
        <f>IFERROR(IF(A240&lt;&gt;"",VLOOKUP(Alunos!A240,Recurso!A3:D250,4, FALSE),""), "")</f>
        <v/>
      </c>
      <c r="J240" s="2" t="str">
        <f>IF(AND(A240&lt;&gt;"",I240&lt;&gt;""), SUMIFS(B240:I240,B1:I1,"&lt;&gt;",B2:I2,"&lt;&gt;Exame",B2:I2,"&lt;&gt;exame",B2:I2,"&lt;&gt;Nota",B2:I2,"&lt;&gt;Total"),"")</f>
        <v/>
      </c>
      <c r="K240" s="2" t="str">
        <f>IF(AND(A240&lt;&gt;"",J240&lt;&gt;""),ROUND(J240,0),"")</f>
        <v/>
      </c>
    </row>
    <row r="241" spans="2:11" x14ac:dyDescent="0.3">
      <c r="B241" s="2" t="str">
        <f>IFERROR(IF(A241&lt;&gt;"",VLOOKUP(Alunos!A241,Exame!A3:D250,4, FALSE),""), "")</f>
        <v/>
      </c>
      <c r="C241" s="2" t="str">
        <f>IF(A241&lt;&gt;"",VLOOKUP(Alunos!A241,Agrupamentos!A3:B250,2, FALSE),"")</f>
        <v/>
      </c>
      <c r="D241" s="2" t="str">
        <f>IFERROR(IF(A241&lt;&gt;"",VLOOKUP(Alunos!C241,FDGDF!A3:D250,4, FALSE),""),"")</f>
        <v/>
      </c>
      <c r="E241" s="2" t="str">
        <f>IF(A241&lt;&gt;"",VLOOKUP(Alunos!A241,Agrupamentos!A3:B250,2, FALSE),"")</f>
        <v/>
      </c>
      <c r="F241" s="2" t="str">
        <f>IFERROR(IF(A241&lt;&gt;"",VLOOKUP(Alunos!E241,SDASD!A3:D250,4, FALSE),""),"")</f>
        <v/>
      </c>
      <c r="G241" s="2" t="str">
        <f>IF(A241&lt;&gt;"", SUMIF(B1:F1,"&lt;&gt;",B241:F241),"")</f>
        <v/>
      </c>
      <c r="H241" s="2" t="str">
        <f>IF(AND(A241&lt;&gt;"",G241&lt;&gt;""),ROUND(G241,0),"")</f>
        <v/>
      </c>
      <c r="I241" s="2" t="str">
        <f>IFERROR(IF(A241&lt;&gt;"",VLOOKUP(Alunos!A241,Recurso!A3:D250,4, FALSE),""), "")</f>
        <v/>
      </c>
      <c r="J241" s="2" t="str">
        <f>IF(AND(A241&lt;&gt;"",I241&lt;&gt;""), SUMIFS(B241:I241,B1:I1,"&lt;&gt;",B2:I2,"&lt;&gt;Exame",B2:I2,"&lt;&gt;exame",B2:I2,"&lt;&gt;Nota",B2:I2,"&lt;&gt;Total"),"")</f>
        <v/>
      </c>
      <c r="K241" s="2" t="str">
        <f>IF(AND(A241&lt;&gt;"",J241&lt;&gt;""),ROUND(J241,0),"")</f>
        <v/>
      </c>
    </row>
    <row r="242" spans="2:11" x14ac:dyDescent="0.3">
      <c r="B242" s="2" t="str">
        <f>IFERROR(IF(A242&lt;&gt;"",VLOOKUP(Alunos!A242,Exame!A3:D250,4, FALSE),""), "")</f>
        <v/>
      </c>
      <c r="C242" s="2" t="str">
        <f>IF(A242&lt;&gt;"",VLOOKUP(Alunos!A242,Agrupamentos!A3:B250,2, FALSE),"")</f>
        <v/>
      </c>
      <c r="D242" s="2" t="str">
        <f>IFERROR(IF(A242&lt;&gt;"",VLOOKUP(Alunos!C242,FDGDF!A3:D250,4, FALSE),""),"")</f>
        <v/>
      </c>
      <c r="E242" s="2" t="str">
        <f>IF(A242&lt;&gt;"",VLOOKUP(Alunos!A242,Agrupamentos!A3:B250,2, FALSE),"")</f>
        <v/>
      </c>
      <c r="F242" s="2" t="str">
        <f>IFERROR(IF(A242&lt;&gt;"",VLOOKUP(Alunos!E242,SDASD!A3:D250,4, FALSE),""),"")</f>
        <v/>
      </c>
      <c r="G242" s="2" t="str">
        <f>IF(A242&lt;&gt;"", SUMIF(B1:F1,"&lt;&gt;",B242:F242),"")</f>
        <v/>
      </c>
      <c r="H242" s="2" t="str">
        <f>IF(AND(A242&lt;&gt;"",G242&lt;&gt;""),ROUND(G242,0),"")</f>
        <v/>
      </c>
      <c r="I242" s="2" t="str">
        <f>IFERROR(IF(A242&lt;&gt;"",VLOOKUP(Alunos!A242,Recurso!A3:D250,4, FALSE),""), "")</f>
        <v/>
      </c>
      <c r="J242" s="2" t="str">
        <f>IF(AND(A242&lt;&gt;"",I242&lt;&gt;""), SUMIFS(B242:I242,B1:I1,"&lt;&gt;",B2:I2,"&lt;&gt;Exame",B2:I2,"&lt;&gt;exame",B2:I2,"&lt;&gt;Nota",B2:I2,"&lt;&gt;Total"),"")</f>
        <v/>
      </c>
      <c r="K242" s="2" t="str">
        <f>IF(AND(A242&lt;&gt;"",J242&lt;&gt;""),ROUND(J242,0),"")</f>
        <v/>
      </c>
    </row>
    <row r="243" spans="2:11" x14ac:dyDescent="0.3">
      <c r="B243" s="2" t="str">
        <f>IFERROR(IF(A243&lt;&gt;"",VLOOKUP(Alunos!A243,Exame!A3:D250,4, FALSE),""), "")</f>
        <v/>
      </c>
      <c r="C243" s="2" t="str">
        <f>IF(A243&lt;&gt;"",VLOOKUP(Alunos!A243,Agrupamentos!A3:B250,2, FALSE),"")</f>
        <v/>
      </c>
      <c r="D243" s="2" t="str">
        <f>IFERROR(IF(A243&lt;&gt;"",VLOOKUP(Alunos!C243,FDGDF!A3:D250,4, FALSE),""),"")</f>
        <v/>
      </c>
      <c r="E243" s="2" t="str">
        <f>IF(A243&lt;&gt;"",VLOOKUP(Alunos!A243,Agrupamentos!A3:B250,2, FALSE),"")</f>
        <v/>
      </c>
      <c r="F243" s="2" t="str">
        <f>IFERROR(IF(A243&lt;&gt;"",VLOOKUP(Alunos!E243,SDASD!A3:D250,4, FALSE),""),"")</f>
        <v/>
      </c>
      <c r="G243" s="2" t="str">
        <f>IF(A243&lt;&gt;"", SUMIF(B1:F1,"&lt;&gt;",B243:F243),"")</f>
        <v/>
      </c>
      <c r="H243" s="2" t="str">
        <f>IF(AND(A243&lt;&gt;"",G243&lt;&gt;""),ROUND(G243,0),"")</f>
        <v/>
      </c>
      <c r="I243" s="2" t="str">
        <f>IFERROR(IF(A243&lt;&gt;"",VLOOKUP(Alunos!A243,Recurso!A3:D250,4, FALSE),""), "")</f>
        <v/>
      </c>
      <c r="J243" s="2" t="str">
        <f>IF(AND(A243&lt;&gt;"",I243&lt;&gt;""), SUMIFS(B243:I243,B1:I1,"&lt;&gt;",B2:I2,"&lt;&gt;Exame",B2:I2,"&lt;&gt;exame",B2:I2,"&lt;&gt;Nota",B2:I2,"&lt;&gt;Total"),"")</f>
        <v/>
      </c>
      <c r="K243" s="2" t="str">
        <f>IF(AND(A243&lt;&gt;"",J243&lt;&gt;""),ROUND(J243,0),"")</f>
        <v/>
      </c>
    </row>
    <row r="244" spans="2:11" x14ac:dyDescent="0.3">
      <c r="B244" s="2" t="str">
        <f>IFERROR(IF(A244&lt;&gt;"",VLOOKUP(Alunos!A244,Exame!A3:D250,4, FALSE),""), "")</f>
        <v/>
      </c>
      <c r="C244" s="2" t="str">
        <f>IF(A244&lt;&gt;"",VLOOKUP(Alunos!A244,Agrupamentos!A3:B250,2, FALSE),"")</f>
        <v/>
      </c>
      <c r="D244" s="2" t="str">
        <f>IFERROR(IF(A244&lt;&gt;"",VLOOKUP(Alunos!C244,FDGDF!A3:D250,4, FALSE),""),"")</f>
        <v/>
      </c>
      <c r="E244" s="2" t="str">
        <f>IF(A244&lt;&gt;"",VLOOKUP(Alunos!A244,Agrupamentos!A3:B250,2, FALSE),"")</f>
        <v/>
      </c>
      <c r="F244" s="2" t="str">
        <f>IFERROR(IF(A244&lt;&gt;"",VLOOKUP(Alunos!E244,SDASD!A3:D250,4, FALSE),""),"")</f>
        <v/>
      </c>
      <c r="G244" s="2" t="str">
        <f>IF(A244&lt;&gt;"", SUMIF(B1:F1,"&lt;&gt;",B244:F244),"")</f>
        <v/>
      </c>
      <c r="H244" s="2" t="str">
        <f>IF(AND(A244&lt;&gt;"",G244&lt;&gt;""),ROUND(G244,0),"")</f>
        <v/>
      </c>
      <c r="I244" s="2" t="str">
        <f>IFERROR(IF(A244&lt;&gt;"",VLOOKUP(Alunos!A244,Recurso!A3:D250,4, FALSE),""), "")</f>
        <v/>
      </c>
      <c r="J244" s="2" t="str">
        <f>IF(AND(A244&lt;&gt;"",I244&lt;&gt;""), SUMIFS(B244:I244,B1:I1,"&lt;&gt;",B2:I2,"&lt;&gt;Exame",B2:I2,"&lt;&gt;exame",B2:I2,"&lt;&gt;Nota",B2:I2,"&lt;&gt;Total"),"")</f>
        <v/>
      </c>
      <c r="K244" s="2" t="str">
        <f>IF(AND(A244&lt;&gt;"",J244&lt;&gt;""),ROUND(J244,0),"")</f>
        <v/>
      </c>
    </row>
    <row r="245" spans="2:11" x14ac:dyDescent="0.3">
      <c r="B245" s="2" t="str">
        <f>IFERROR(IF(A245&lt;&gt;"",VLOOKUP(Alunos!A245,Exame!A3:D250,4, FALSE),""), "")</f>
        <v/>
      </c>
      <c r="C245" s="2" t="str">
        <f>IF(A245&lt;&gt;"",VLOOKUP(Alunos!A245,Agrupamentos!A3:B250,2, FALSE),"")</f>
        <v/>
      </c>
      <c r="D245" s="2" t="str">
        <f>IFERROR(IF(A245&lt;&gt;"",VLOOKUP(Alunos!C245,FDGDF!A3:D250,4, FALSE),""),"")</f>
        <v/>
      </c>
      <c r="E245" s="2" t="str">
        <f>IF(A245&lt;&gt;"",VLOOKUP(Alunos!A245,Agrupamentos!A3:B250,2, FALSE),"")</f>
        <v/>
      </c>
      <c r="F245" s="2" t="str">
        <f>IFERROR(IF(A245&lt;&gt;"",VLOOKUP(Alunos!E245,SDASD!A3:D250,4, FALSE),""),"")</f>
        <v/>
      </c>
      <c r="G245" s="2" t="str">
        <f>IF(A245&lt;&gt;"", SUMIF(B1:F1,"&lt;&gt;",B245:F245),"")</f>
        <v/>
      </c>
      <c r="H245" s="2" t="str">
        <f>IF(AND(A245&lt;&gt;"",G245&lt;&gt;""),ROUND(G245,0),"")</f>
        <v/>
      </c>
      <c r="I245" s="2" t="str">
        <f>IFERROR(IF(A245&lt;&gt;"",VLOOKUP(Alunos!A245,Recurso!A3:D250,4, FALSE),""), "")</f>
        <v/>
      </c>
      <c r="J245" s="2" t="str">
        <f>IF(AND(A245&lt;&gt;"",I245&lt;&gt;""), SUMIFS(B245:I245,B1:I1,"&lt;&gt;",B2:I2,"&lt;&gt;Exame",B2:I2,"&lt;&gt;exame",B2:I2,"&lt;&gt;Nota",B2:I2,"&lt;&gt;Total"),"")</f>
        <v/>
      </c>
      <c r="K245" s="2" t="str">
        <f>IF(AND(A245&lt;&gt;"",J245&lt;&gt;""),ROUND(J245,0),"")</f>
        <v/>
      </c>
    </row>
    <row r="246" spans="2:11" x14ac:dyDescent="0.3">
      <c r="B246" s="2" t="str">
        <f>IFERROR(IF(A246&lt;&gt;"",VLOOKUP(Alunos!A246,Exame!A3:D250,4, FALSE),""), "")</f>
        <v/>
      </c>
      <c r="C246" s="2" t="str">
        <f>IF(A246&lt;&gt;"",VLOOKUP(Alunos!A246,Agrupamentos!A3:B250,2, FALSE),"")</f>
        <v/>
      </c>
      <c r="D246" s="2" t="str">
        <f>IFERROR(IF(A246&lt;&gt;"",VLOOKUP(Alunos!C246,FDGDF!A3:D250,4, FALSE),""),"")</f>
        <v/>
      </c>
      <c r="E246" s="2" t="str">
        <f>IF(A246&lt;&gt;"",VLOOKUP(Alunos!A246,Agrupamentos!A3:B250,2, FALSE),"")</f>
        <v/>
      </c>
      <c r="F246" s="2" t="str">
        <f>IFERROR(IF(A246&lt;&gt;"",VLOOKUP(Alunos!E246,SDASD!A3:D250,4, FALSE),""),"")</f>
        <v/>
      </c>
      <c r="G246" s="2" t="str">
        <f>IF(A246&lt;&gt;"", SUMIF(B1:F1,"&lt;&gt;",B246:F246),"")</f>
        <v/>
      </c>
      <c r="H246" s="2" t="str">
        <f>IF(AND(A246&lt;&gt;"",G246&lt;&gt;""),ROUND(G246,0),"")</f>
        <v/>
      </c>
      <c r="I246" s="2" t="str">
        <f>IFERROR(IF(A246&lt;&gt;"",VLOOKUP(Alunos!A246,Recurso!A3:D250,4, FALSE),""), "")</f>
        <v/>
      </c>
      <c r="J246" s="2" t="str">
        <f>IF(AND(A246&lt;&gt;"",I246&lt;&gt;""), SUMIFS(B246:I246,B1:I1,"&lt;&gt;",B2:I2,"&lt;&gt;Exame",B2:I2,"&lt;&gt;exame",B2:I2,"&lt;&gt;Nota",B2:I2,"&lt;&gt;Total"),"")</f>
        <v/>
      </c>
      <c r="K246" s="2" t="str">
        <f>IF(AND(A246&lt;&gt;"",J246&lt;&gt;""),ROUND(J246,0),"")</f>
        <v/>
      </c>
    </row>
    <row r="247" spans="2:11" x14ac:dyDescent="0.3">
      <c r="B247" s="2" t="str">
        <f>IFERROR(IF(A247&lt;&gt;"",VLOOKUP(Alunos!A247,Exame!A3:D250,4, FALSE),""), "")</f>
        <v/>
      </c>
      <c r="C247" s="2" t="str">
        <f>IF(A247&lt;&gt;"",VLOOKUP(Alunos!A247,Agrupamentos!A3:B250,2, FALSE),"")</f>
        <v/>
      </c>
      <c r="D247" s="2" t="str">
        <f>IFERROR(IF(A247&lt;&gt;"",VLOOKUP(Alunos!C247,FDGDF!A3:D250,4, FALSE),""),"")</f>
        <v/>
      </c>
      <c r="E247" s="2" t="str">
        <f>IF(A247&lt;&gt;"",VLOOKUP(Alunos!A247,Agrupamentos!A3:B250,2, FALSE),"")</f>
        <v/>
      </c>
      <c r="F247" s="2" t="str">
        <f>IFERROR(IF(A247&lt;&gt;"",VLOOKUP(Alunos!E247,SDASD!A3:D250,4, FALSE),""),"")</f>
        <v/>
      </c>
      <c r="G247" s="2" t="str">
        <f>IF(A247&lt;&gt;"", SUMIF(B1:F1,"&lt;&gt;",B247:F247),"")</f>
        <v/>
      </c>
      <c r="H247" s="2" t="str">
        <f>IF(AND(A247&lt;&gt;"",G247&lt;&gt;""),ROUND(G247,0),"")</f>
        <v/>
      </c>
      <c r="I247" s="2" t="str">
        <f>IFERROR(IF(A247&lt;&gt;"",VLOOKUP(Alunos!A247,Recurso!A3:D250,4, FALSE),""), "")</f>
        <v/>
      </c>
      <c r="J247" s="2" t="str">
        <f>IF(AND(A247&lt;&gt;"",I247&lt;&gt;""), SUMIFS(B247:I247,B1:I1,"&lt;&gt;",B2:I2,"&lt;&gt;Exame",B2:I2,"&lt;&gt;exame",B2:I2,"&lt;&gt;Nota",B2:I2,"&lt;&gt;Total"),"")</f>
        <v/>
      </c>
      <c r="K247" s="2" t="str">
        <f>IF(AND(A247&lt;&gt;"",J247&lt;&gt;""),ROUND(J247,0),"")</f>
        <v/>
      </c>
    </row>
    <row r="248" spans="2:11" x14ac:dyDescent="0.3">
      <c r="B248" s="2" t="str">
        <f>IFERROR(IF(A248&lt;&gt;"",VLOOKUP(Alunos!A248,Exame!A3:D250,4, FALSE),""), "")</f>
        <v/>
      </c>
      <c r="C248" s="2" t="str">
        <f>IF(A248&lt;&gt;"",VLOOKUP(Alunos!A248,Agrupamentos!A3:B250,2, FALSE),"")</f>
        <v/>
      </c>
      <c r="D248" s="2" t="str">
        <f>IFERROR(IF(A248&lt;&gt;"",VLOOKUP(Alunos!C248,FDGDF!A3:D250,4, FALSE),""),"")</f>
        <v/>
      </c>
      <c r="E248" s="2" t="str">
        <f>IF(A248&lt;&gt;"",VLOOKUP(Alunos!A248,Agrupamentos!A3:B250,2, FALSE),"")</f>
        <v/>
      </c>
      <c r="F248" s="2" t="str">
        <f>IFERROR(IF(A248&lt;&gt;"",VLOOKUP(Alunos!E248,SDASD!A3:D250,4, FALSE),""),"")</f>
        <v/>
      </c>
      <c r="G248" s="2" t="str">
        <f>IF(A248&lt;&gt;"", SUMIF(B1:F1,"&lt;&gt;",B248:F248),"")</f>
        <v/>
      </c>
      <c r="H248" s="2" t="str">
        <f>IF(AND(A248&lt;&gt;"",G248&lt;&gt;""),ROUND(G248,0),"")</f>
        <v/>
      </c>
      <c r="I248" s="2" t="str">
        <f>IFERROR(IF(A248&lt;&gt;"",VLOOKUP(Alunos!A248,Recurso!A3:D250,4, FALSE),""), "")</f>
        <v/>
      </c>
      <c r="J248" s="2" t="str">
        <f>IF(AND(A248&lt;&gt;"",I248&lt;&gt;""), SUMIFS(B248:I248,B1:I1,"&lt;&gt;",B2:I2,"&lt;&gt;Exame",B2:I2,"&lt;&gt;exame",B2:I2,"&lt;&gt;Nota",B2:I2,"&lt;&gt;Total"),"")</f>
        <v/>
      </c>
      <c r="K248" s="2" t="str">
        <f>IF(AND(A248&lt;&gt;"",J248&lt;&gt;""),ROUND(J248,0),"")</f>
        <v/>
      </c>
    </row>
    <row r="249" spans="2:11" x14ac:dyDescent="0.3">
      <c r="B249" s="2" t="str">
        <f>IFERROR(IF(A249&lt;&gt;"",VLOOKUP(Alunos!A249,Exame!A3:D250,4, FALSE),""), "")</f>
        <v/>
      </c>
      <c r="C249" s="2" t="str">
        <f>IF(A249&lt;&gt;"",VLOOKUP(Alunos!A249,Agrupamentos!A3:B250,2, FALSE),"")</f>
        <v/>
      </c>
      <c r="D249" s="2" t="str">
        <f>IFERROR(IF(A249&lt;&gt;"",VLOOKUP(Alunos!C249,FDGDF!A3:D250,4, FALSE),""),"")</f>
        <v/>
      </c>
      <c r="E249" s="2" t="str">
        <f>IF(A249&lt;&gt;"",VLOOKUP(Alunos!A249,Agrupamentos!A3:B250,2, FALSE),"")</f>
        <v/>
      </c>
      <c r="F249" s="2" t="str">
        <f>IFERROR(IF(A249&lt;&gt;"",VLOOKUP(Alunos!E249,SDASD!A3:D250,4, FALSE),""),"")</f>
        <v/>
      </c>
      <c r="G249" s="2" t="str">
        <f>IF(A249&lt;&gt;"", SUMIF(B1:F1,"&lt;&gt;",B249:F249),"")</f>
        <v/>
      </c>
      <c r="H249" s="2" t="str">
        <f>IF(AND(A249&lt;&gt;"",G249&lt;&gt;""),ROUND(G249,0),"")</f>
        <v/>
      </c>
      <c r="I249" s="2" t="str">
        <f>IFERROR(IF(A249&lt;&gt;"",VLOOKUP(Alunos!A249,Recurso!A3:D250,4, FALSE),""), "")</f>
        <v/>
      </c>
      <c r="J249" s="2" t="str">
        <f>IF(AND(A249&lt;&gt;"",I249&lt;&gt;""), SUMIFS(B249:I249,B1:I1,"&lt;&gt;",B2:I2,"&lt;&gt;Exame",B2:I2,"&lt;&gt;exame",B2:I2,"&lt;&gt;Nota",B2:I2,"&lt;&gt;Total"),"")</f>
        <v/>
      </c>
      <c r="K249" s="2" t="str">
        <f>IF(AND(A249&lt;&gt;"",J249&lt;&gt;""),ROUND(J249,0),"")</f>
        <v/>
      </c>
    </row>
    <row r="250" spans="2:11" x14ac:dyDescent="0.3">
      <c r="B250" s="2" t="str">
        <f>IFERROR(IF(A250&lt;&gt;"",VLOOKUP(Alunos!A250,Exame!A3:D250,4, FALSE),""), "")</f>
        <v/>
      </c>
      <c r="C250" s="2" t="str">
        <f>IF(A250&lt;&gt;"",VLOOKUP(Alunos!A250,Agrupamentos!A3:B250,2, FALSE),"")</f>
        <v/>
      </c>
      <c r="D250" s="2" t="str">
        <f>IFERROR(IF(A250&lt;&gt;"",VLOOKUP(Alunos!C250,FDGDF!A3:D250,4, FALSE),""),"")</f>
        <v/>
      </c>
      <c r="E250" s="2" t="str">
        <f>IF(A250&lt;&gt;"",VLOOKUP(Alunos!A250,Agrupamentos!A3:B250,2, FALSE),"")</f>
        <v/>
      </c>
      <c r="F250" s="2" t="str">
        <f>IFERROR(IF(A250&lt;&gt;"",VLOOKUP(Alunos!E250,SDASD!A3:D250,4, FALSE),""),"")</f>
        <v/>
      </c>
      <c r="G250" s="2" t="str">
        <f>IF(A250&lt;&gt;"", SUMIF(B1:F1,"&lt;&gt;",B250:F250),"")</f>
        <v/>
      </c>
      <c r="H250" s="2" t="str">
        <f>IF(AND(A250&lt;&gt;"",G250&lt;&gt;""),ROUND(G250,0),"")</f>
        <v/>
      </c>
      <c r="I250" s="2" t="str">
        <f>IFERROR(IF(A250&lt;&gt;"",VLOOKUP(Alunos!A250,Recurso!A3:D250,4, FALSE),""), "")</f>
        <v/>
      </c>
      <c r="J250" s="2" t="str">
        <f>IF(AND(A250&lt;&gt;"",I250&lt;&gt;""), SUMIFS(B250:I250,B1:I1,"&lt;&gt;",B2:I2,"&lt;&gt;Exame",B2:I2,"&lt;&gt;exame",B2:I2,"&lt;&gt;Nota",B2:I2,"&lt;&gt;Total"),"")</f>
        <v/>
      </c>
      <c r="K250" s="2" t="str">
        <f>IF(AND(A250&lt;&gt;"",J250&lt;&gt;""),ROUND(J250,0),"")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412DA-3DAA-4EF1-A7F1-65D579C5C175}">
  <sheetPr codeName="Folha22"/>
  <dimension ref="A1:ZZ250"/>
  <sheetViews>
    <sheetView workbookViewId="0"/>
  </sheetViews>
  <sheetFormatPr defaultRowHeight="14.4" x14ac:dyDescent="0.3"/>
  <cols>
    <col min="1" max="1" width="35.77734375" style="2" customWidth="1"/>
    <col min="2" max="2" width="7.6640625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4</v>
      </c>
      <c r="C1" s="8">
        <v>4</v>
      </c>
      <c r="D1" s="8">
        <v>12</v>
      </c>
    </row>
    <row r="2" spans="1:4" x14ac:dyDescent="0.3">
      <c r="A2" s="7" t="s">
        <v>10</v>
      </c>
      <c r="B2" s="7" t="s">
        <v>22</v>
      </c>
      <c r="C2" s="7" t="s">
        <v>12</v>
      </c>
      <c r="D2" s="7" t="s">
        <v>13</v>
      </c>
    </row>
    <row r="3" spans="1:4" x14ac:dyDescent="0.3">
      <c r="C3" s="2" t="str">
        <f>IF(A3&lt;&gt;"",SUM(B3),"")</f>
        <v/>
      </c>
      <c r="D3" s="2" t="str">
        <f>IF(A3&lt;&gt;"",(SDASD!D1*SDASD!C3)/SDASD!C1, "")</f>
        <v/>
      </c>
    </row>
    <row r="4" spans="1:4" x14ac:dyDescent="0.3">
      <c r="C4" s="2" t="str">
        <f>IF(A4&lt;&gt;"",SUM(B4),"")</f>
        <v/>
      </c>
      <c r="D4" s="2" t="str">
        <f>IF(A4&lt;&gt;"",(SDASD!D1*SDASD!C4)/SDASD!C1, "")</f>
        <v/>
      </c>
    </row>
    <row r="5" spans="1:4" x14ac:dyDescent="0.3">
      <c r="C5" s="2" t="str">
        <f>IF(A5&lt;&gt;"",SUM(B5),"")</f>
        <v/>
      </c>
      <c r="D5" s="2" t="str">
        <f>IF(A5&lt;&gt;"",(SDASD!D1*SDASD!C5)/SDASD!C1, "")</f>
        <v/>
      </c>
    </row>
    <row r="6" spans="1:4" x14ac:dyDescent="0.3">
      <c r="C6" s="2" t="str">
        <f>IF(A6&lt;&gt;"",SUM(B6),"")</f>
        <v/>
      </c>
      <c r="D6" s="2" t="str">
        <f>IF(A6&lt;&gt;"",(SDASD!D1*SDASD!C6)/SDASD!C1, "")</f>
        <v/>
      </c>
    </row>
    <row r="7" spans="1:4" x14ac:dyDescent="0.3">
      <c r="C7" s="2" t="str">
        <f>IF(A7&lt;&gt;"",SUM(B7),"")</f>
        <v/>
      </c>
      <c r="D7" s="2" t="str">
        <f>IF(A7&lt;&gt;"",(SDASD!D1*SDASD!C7)/SDASD!C1, "")</f>
        <v/>
      </c>
    </row>
    <row r="8" spans="1:4" x14ac:dyDescent="0.3">
      <c r="C8" s="2" t="str">
        <f>IF(A8&lt;&gt;"",SUM(B8),"")</f>
        <v/>
      </c>
      <c r="D8" s="2" t="str">
        <f>IF(A8&lt;&gt;"",(SDASD!D1*SDASD!C8)/SDASD!C1, "")</f>
        <v/>
      </c>
    </row>
    <row r="9" spans="1:4" x14ac:dyDescent="0.3">
      <c r="C9" s="2" t="str">
        <f>IF(A9&lt;&gt;"",SUM(B9),"")</f>
        <v/>
      </c>
      <c r="D9" s="2" t="str">
        <f>IF(A9&lt;&gt;"",(SDASD!D1*SDASD!C9)/SDASD!C1, "")</f>
        <v/>
      </c>
    </row>
    <row r="10" spans="1:4" x14ac:dyDescent="0.3">
      <c r="C10" s="2" t="str">
        <f>IF(A10&lt;&gt;"",SUM(B10),"")</f>
        <v/>
      </c>
      <c r="D10" s="2" t="str">
        <f>IF(A10&lt;&gt;"",(SDASD!D1*SDASD!C10)/SDASD!C1, "")</f>
        <v/>
      </c>
    </row>
    <row r="11" spans="1:4" x14ac:dyDescent="0.3">
      <c r="C11" s="2" t="str">
        <f>IF(A11&lt;&gt;"",SUM(B11),"")</f>
        <v/>
      </c>
      <c r="D11" s="2" t="str">
        <f>IF(A11&lt;&gt;"",(SDASD!D1*SDASD!C11)/SDASD!C1, "")</f>
        <v/>
      </c>
    </row>
    <row r="12" spans="1:4" x14ac:dyDescent="0.3">
      <c r="C12" s="2" t="str">
        <f>IF(A12&lt;&gt;"",SUM(B12),"")</f>
        <v/>
      </c>
      <c r="D12" s="2" t="str">
        <f>IF(A12&lt;&gt;"",(SDASD!D1*SDASD!C12)/SDASD!C1, "")</f>
        <v/>
      </c>
    </row>
    <row r="13" spans="1:4" x14ac:dyDescent="0.3">
      <c r="C13" s="2" t="str">
        <f>IF(A13&lt;&gt;"",SUM(B13),"")</f>
        <v/>
      </c>
      <c r="D13" s="2" t="str">
        <f>IF(A13&lt;&gt;"",(SDASD!D1*SDASD!C13)/SDASD!C1, "")</f>
        <v/>
      </c>
    </row>
    <row r="14" spans="1:4" x14ac:dyDescent="0.3">
      <c r="C14" s="2" t="str">
        <f>IF(A14&lt;&gt;"",SUM(B14),"")</f>
        <v/>
      </c>
      <c r="D14" s="2" t="str">
        <f>IF(A14&lt;&gt;"",(SDASD!D1*SDASD!C14)/SDASD!C1, "")</f>
        <v/>
      </c>
    </row>
    <row r="15" spans="1:4" x14ac:dyDescent="0.3">
      <c r="C15" s="2" t="str">
        <f>IF(A15&lt;&gt;"",SUM(B15),"")</f>
        <v/>
      </c>
      <c r="D15" s="2" t="str">
        <f>IF(A15&lt;&gt;"",(SDASD!D1*SDASD!C15)/SDASD!C1, "")</f>
        <v/>
      </c>
    </row>
    <row r="16" spans="1:4" x14ac:dyDescent="0.3">
      <c r="C16" s="2" t="str">
        <f>IF(A16&lt;&gt;"",SUM(B16),"")</f>
        <v/>
      </c>
      <c r="D16" s="2" t="str">
        <f>IF(A16&lt;&gt;"",(SDASD!D1*SDASD!C16)/SDASD!C1, "")</f>
        <v/>
      </c>
    </row>
    <row r="17" spans="3:4" x14ac:dyDescent="0.3">
      <c r="C17" s="2" t="str">
        <f>IF(A17&lt;&gt;"",SUM(B17),"")</f>
        <v/>
      </c>
      <c r="D17" s="2" t="str">
        <f>IF(A17&lt;&gt;"",(SDASD!D1*SDASD!C17)/SDASD!C1, "")</f>
        <v/>
      </c>
    </row>
    <row r="18" spans="3:4" x14ac:dyDescent="0.3">
      <c r="C18" s="2" t="str">
        <f>IF(A18&lt;&gt;"",SUM(B18),"")</f>
        <v/>
      </c>
      <c r="D18" s="2" t="str">
        <f>IF(A18&lt;&gt;"",(SDASD!D1*SDASD!C18)/SDASD!C1, "")</f>
        <v/>
      </c>
    </row>
    <row r="19" spans="3:4" x14ac:dyDescent="0.3">
      <c r="C19" s="2" t="str">
        <f>IF(A19&lt;&gt;"",SUM(B19),"")</f>
        <v/>
      </c>
      <c r="D19" s="2" t="str">
        <f>IF(A19&lt;&gt;"",(SDASD!D1*SDASD!C19)/SDASD!C1, "")</f>
        <v/>
      </c>
    </row>
    <row r="20" spans="3:4" x14ac:dyDescent="0.3">
      <c r="C20" s="2" t="str">
        <f>IF(A20&lt;&gt;"",SUM(B20),"")</f>
        <v/>
      </c>
      <c r="D20" s="2" t="str">
        <f>IF(A20&lt;&gt;"",(SDASD!D1*SDASD!C20)/SDASD!C1, "")</f>
        <v/>
      </c>
    </row>
    <row r="21" spans="3:4" x14ac:dyDescent="0.3">
      <c r="C21" s="2" t="str">
        <f>IF(A21&lt;&gt;"",SUM(B21),"")</f>
        <v/>
      </c>
      <c r="D21" s="2" t="str">
        <f>IF(A21&lt;&gt;"",(SDASD!D1*SDASD!C21)/SDASD!C1, "")</f>
        <v/>
      </c>
    </row>
    <row r="22" spans="3:4" x14ac:dyDescent="0.3">
      <c r="C22" s="2" t="str">
        <f>IF(A22&lt;&gt;"",SUM(B22),"")</f>
        <v/>
      </c>
      <c r="D22" s="2" t="str">
        <f>IF(A22&lt;&gt;"",(SDASD!D1*SDASD!C22)/SDASD!C1, "")</f>
        <v/>
      </c>
    </row>
    <row r="23" spans="3:4" x14ac:dyDescent="0.3">
      <c r="C23" s="2" t="str">
        <f>IF(A23&lt;&gt;"",SUM(B23),"")</f>
        <v/>
      </c>
      <c r="D23" s="2" t="str">
        <f>IF(A23&lt;&gt;"",(SDASD!D1*SDASD!C23)/SDASD!C1, "")</f>
        <v/>
      </c>
    </row>
    <row r="24" spans="3:4" x14ac:dyDescent="0.3">
      <c r="C24" s="2" t="str">
        <f>IF(A24&lt;&gt;"",SUM(B24),"")</f>
        <v/>
      </c>
      <c r="D24" s="2" t="str">
        <f>IF(A24&lt;&gt;"",(SDASD!D1*SDASD!C24)/SDASD!C1, "")</f>
        <v/>
      </c>
    </row>
    <row r="25" spans="3:4" x14ac:dyDescent="0.3">
      <c r="C25" s="2" t="str">
        <f>IF(A25&lt;&gt;"",SUM(B25),"")</f>
        <v/>
      </c>
      <c r="D25" s="2" t="str">
        <f>IF(A25&lt;&gt;"",(SDASD!D1*SDASD!C25)/SDASD!C1, "")</f>
        <v/>
      </c>
    </row>
    <row r="26" spans="3:4" x14ac:dyDescent="0.3">
      <c r="C26" s="2" t="str">
        <f>IF(A26&lt;&gt;"",SUM(B26),"")</f>
        <v/>
      </c>
      <c r="D26" s="2" t="str">
        <f>IF(A26&lt;&gt;"",(SDASD!D1*SDASD!C26)/SDASD!C1, "")</f>
        <v/>
      </c>
    </row>
    <row r="27" spans="3:4" x14ac:dyDescent="0.3">
      <c r="C27" s="2" t="str">
        <f>IF(A27&lt;&gt;"",SUM(B27),"")</f>
        <v/>
      </c>
      <c r="D27" s="2" t="str">
        <f>IF(A27&lt;&gt;"",(SDASD!D1*SDASD!C27)/SDASD!C1, "")</f>
        <v/>
      </c>
    </row>
    <row r="28" spans="3:4" x14ac:dyDescent="0.3">
      <c r="C28" s="2" t="str">
        <f>IF(A28&lt;&gt;"",SUM(B28),"")</f>
        <v/>
      </c>
      <c r="D28" s="2" t="str">
        <f>IF(A28&lt;&gt;"",(SDASD!D1*SDASD!C28)/SDASD!C1, "")</f>
        <v/>
      </c>
    </row>
    <row r="29" spans="3:4" x14ac:dyDescent="0.3">
      <c r="C29" s="2" t="str">
        <f>IF(A29&lt;&gt;"",SUM(B29),"")</f>
        <v/>
      </c>
      <c r="D29" s="2" t="str">
        <f>IF(A29&lt;&gt;"",(SDASD!D1*SDASD!C29)/SDASD!C1, "")</f>
        <v/>
      </c>
    </row>
    <row r="30" spans="3:4" x14ac:dyDescent="0.3">
      <c r="C30" s="2" t="str">
        <f>IF(A30&lt;&gt;"",SUM(B30),"")</f>
        <v/>
      </c>
      <c r="D30" s="2" t="str">
        <f>IF(A30&lt;&gt;"",(SDASD!D1*SDASD!C30)/SDASD!C1, "")</f>
        <v/>
      </c>
    </row>
    <row r="31" spans="3:4" x14ac:dyDescent="0.3">
      <c r="C31" s="2" t="str">
        <f>IF(A31&lt;&gt;"",SUM(B31),"")</f>
        <v/>
      </c>
      <c r="D31" s="2" t="str">
        <f>IF(A31&lt;&gt;"",(SDASD!D1*SDASD!C31)/SDASD!C1, "")</f>
        <v/>
      </c>
    </row>
    <row r="32" spans="3:4" x14ac:dyDescent="0.3">
      <c r="C32" s="2" t="str">
        <f>IF(A32&lt;&gt;"",SUM(B32),"")</f>
        <v/>
      </c>
      <c r="D32" s="2" t="str">
        <f>IF(A32&lt;&gt;"",(SDASD!D1*SDASD!C32)/SDASD!C1, "")</f>
        <v/>
      </c>
    </row>
    <row r="33" spans="3:4" x14ac:dyDescent="0.3">
      <c r="C33" s="2" t="str">
        <f>IF(A33&lt;&gt;"",SUM(B33),"")</f>
        <v/>
      </c>
      <c r="D33" s="2" t="str">
        <f>IF(A33&lt;&gt;"",(SDASD!D1*SDASD!C33)/SDASD!C1, "")</f>
        <v/>
      </c>
    </row>
    <row r="34" spans="3:4" x14ac:dyDescent="0.3">
      <c r="C34" s="2" t="str">
        <f>IF(A34&lt;&gt;"",SUM(B34),"")</f>
        <v/>
      </c>
      <c r="D34" s="2" t="str">
        <f>IF(A34&lt;&gt;"",(SDASD!D1*SDASD!C34)/SDASD!C1, "")</f>
        <v/>
      </c>
    </row>
    <row r="35" spans="3:4" x14ac:dyDescent="0.3">
      <c r="C35" s="2" t="str">
        <f>IF(A35&lt;&gt;"",SUM(B35),"")</f>
        <v/>
      </c>
      <c r="D35" s="2" t="str">
        <f>IF(A35&lt;&gt;"",(SDASD!D1*SDASD!C35)/SDASD!C1, "")</f>
        <v/>
      </c>
    </row>
    <row r="36" spans="3:4" x14ac:dyDescent="0.3">
      <c r="C36" s="2" t="str">
        <f>IF(A36&lt;&gt;"",SUM(B36),"")</f>
        <v/>
      </c>
      <c r="D36" s="2" t="str">
        <f>IF(A36&lt;&gt;"",(SDASD!D1*SDASD!C36)/SDASD!C1, "")</f>
        <v/>
      </c>
    </row>
    <row r="37" spans="3:4" x14ac:dyDescent="0.3">
      <c r="C37" s="2" t="str">
        <f>IF(A37&lt;&gt;"",SUM(B37),"")</f>
        <v/>
      </c>
      <c r="D37" s="2" t="str">
        <f>IF(A37&lt;&gt;"",(SDASD!D1*SDASD!C37)/SDASD!C1, "")</f>
        <v/>
      </c>
    </row>
    <row r="38" spans="3:4" x14ac:dyDescent="0.3">
      <c r="C38" s="2" t="str">
        <f>IF(A38&lt;&gt;"",SUM(B38),"")</f>
        <v/>
      </c>
      <c r="D38" s="2" t="str">
        <f>IF(A38&lt;&gt;"",(SDASD!D1*SDASD!C38)/SDASD!C1, "")</f>
        <v/>
      </c>
    </row>
    <row r="39" spans="3:4" x14ac:dyDescent="0.3">
      <c r="C39" s="2" t="str">
        <f>IF(A39&lt;&gt;"",SUM(B39),"")</f>
        <v/>
      </c>
      <c r="D39" s="2" t="str">
        <f>IF(A39&lt;&gt;"",(SDASD!D1*SDASD!C39)/SDASD!C1, "")</f>
        <v/>
      </c>
    </row>
    <row r="40" spans="3:4" x14ac:dyDescent="0.3">
      <c r="C40" s="2" t="str">
        <f>IF(A40&lt;&gt;"",SUM(B40),"")</f>
        <v/>
      </c>
      <c r="D40" s="2" t="str">
        <f>IF(A40&lt;&gt;"",(SDASD!D1*SDASD!C40)/SDASD!C1, "")</f>
        <v/>
      </c>
    </row>
    <row r="41" spans="3:4" x14ac:dyDescent="0.3">
      <c r="C41" s="2" t="str">
        <f>IF(A41&lt;&gt;"",SUM(B41),"")</f>
        <v/>
      </c>
      <c r="D41" s="2" t="str">
        <f>IF(A41&lt;&gt;"",(SDASD!D1*SDASD!C41)/SDASD!C1, "")</f>
        <v/>
      </c>
    </row>
    <row r="42" spans="3:4" x14ac:dyDescent="0.3">
      <c r="C42" s="2" t="str">
        <f>IF(A42&lt;&gt;"",SUM(B42),"")</f>
        <v/>
      </c>
      <c r="D42" s="2" t="str">
        <f>IF(A42&lt;&gt;"",(SDASD!D1*SDASD!C42)/SDASD!C1, "")</f>
        <v/>
      </c>
    </row>
    <row r="43" spans="3:4" x14ac:dyDescent="0.3">
      <c r="C43" s="2" t="str">
        <f>IF(A43&lt;&gt;"",SUM(B43),"")</f>
        <v/>
      </c>
      <c r="D43" s="2" t="str">
        <f>IF(A43&lt;&gt;"",(SDASD!D1*SDASD!C43)/SDASD!C1, "")</f>
        <v/>
      </c>
    </row>
    <row r="44" spans="3:4" x14ac:dyDescent="0.3">
      <c r="C44" s="2" t="str">
        <f>IF(A44&lt;&gt;"",SUM(B44),"")</f>
        <v/>
      </c>
      <c r="D44" s="2" t="str">
        <f>IF(A44&lt;&gt;"",(SDASD!D1*SDASD!C44)/SDASD!C1, "")</f>
        <v/>
      </c>
    </row>
    <row r="45" spans="3:4" x14ac:dyDescent="0.3">
      <c r="C45" s="2" t="str">
        <f>IF(A45&lt;&gt;"",SUM(B45),"")</f>
        <v/>
      </c>
      <c r="D45" s="2" t="str">
        <f>IF(A45&lt;&gt;"",(SDASD!D1*SDASD!C45)/SDASD!C1, "")</f>
        <v/>
      </c>
    </row>
    <row r="46" spans="3:4" x14ac:dyDescent="0.3">
      <c r="C46" s="2" t="str">
        <f>IF(A46&lt;&gt;"",SUM(B46),"")</f>
        <v/>
      </c>
      <c r="D46" s="2" t="str">
        <f>IF(A46&lt;&gt;"",(SDASD!D1*SDASD!C46)/SDASD!C1, "")</f>
        <v/>
      </c>
    </row>
    <row r="47" spans="3:4" x14ac:dyDescent="0.3">
      <c r="C47" s="2" t="str">
        <f>IF(A47&lt;&gt;"",SUM(B47),"")</f>
        <v/>
      </c>
      <c r="D47" s="2" t="str">
        <f>IF(A47&lt;&gt;"",(SDASD!D1*SDASD!C47)/SDASD!C1, "")</f>
        <v/>
      </c>
    </row>
    <row r="48" spans="3:4" x14ac:dyDescent="0.3">
      <c r="C48" s="2" t="str">
        <f>IF(A48&lt;&gt;"",SUM(B48),"")</f>
        <v/>
      </c>
      <c r="D48" s="2" t="str">
        <f>IF(A48&lt;&gt;"",(SDASD!D1*SDASD!C48)/SDASD!C1, "")</f>
        <v/>
      </c>
    </row>
    <row r="49" spans="3:4" x14ac:dyDescent="0.3">
      <c r="C49" s="2" t="str">
        <f>IF(A49&lt;&gt;"",SUM(B49),"")</f>
        <v/>
      </c>
      <c r="D49" s="2" t="str">
        <f>IF(A49&lt;&gt;"",(SDASD!D1*SDASD!C49)/SDASD!C1, "")</f>
        <v/>
      </c>
    </row>
    <row r="50" spans="3:4" x14ac:dyDescent="0.3">
      <c r="C50" s="2" t="str">
        <f>IF(A50&lt;&gt;"",SUM(B50),"")</f>
        <v/>
      </c>
      <c r="D50" s="2" t="str">
        <f>IF(A50&lt;&gt;"",(SDASD!D1*SDASD!C50)/SDASD!C1, "")</f>
        <v/>
      </c>
    </row>
    <row r="51" spans="3:4" x14ac:dyDescent="0.3">
      <c r="C51" s="2" t="str">
        <f>IF(A51&lt;&gt;"",SUM(B51),"")</f>
        <v/>
      </c>
      <c r="D51" s="2" t="str">
        <f>IF(A51&lt;&gt;"",(SDASD!D1*SDASD!C51)/SDASD!C1, "")</f>
        <v/>
      </c>
    </row>
    <row r="52" spans="3:4" x14ac:dyDescent="0.3">
      <c r="C52" s="2" t="str">
        <f>IF(A52&lt;&gt;"",SUM(B52),"")</f>
        <v/>
      </c>
      <c r="D52" s="2" t="str">
        <f>IF(A52&lt;&gt;"",(SDASD!D1*SDASD!C52)/SDASD!C1, "")</f>
        <v/>
      </c>
    </row>
    <row r="53" spans="3:4" x14ac:dyDescent="0.3">
      <c r="C53" s="2" t="str">
        <f>IF(A53&lt;&gt;"",SUM(B53),"")</f>
        <v/>
      </c>
      <c r="D53" s="2" t="str">
        <f>IF(A53&lt;&gt;"",(SDASD!D1*SDASD!C53)/SDASD!C1, "")</f>
        <v/>
      </c>
    </row>
    <row r="54" spans="3:4" x14ac:dyDescent="0.3">
      <c r="C54" s="2" t="str">
        <f>IF(A54&lt;&gt;"",SUM(B54),"")</f>
        <v/>
      </c>
      <c r="D54" s="2" t="str">
        <f>IF(A54&lt;&gt;"",(SDASD!D1*SDASD!C54)/SDASD!C1, "")</f>
        <v/>
      </c>
    </row>
    <row r="55" spans="3:4" x14ac:dyDescent="0.3">
      <c r="C55" s="2" t="str">
        <f>IF(A55&lt;&gt;"",SUM(B55),"")</f>
        <v/>
      </c>
      <c r="D55" s="2" t="str">
        <f>IF(A55&lt;&gt;"",(SDASD!D1*SDASD!C55)/SDASD!C1, "")</f>
        <v/>
      </c>
    </row>
    <row r="56" spans="3:4" x14ac:dyDescent="0.3">
      <c r="C56" s="2" t="str">
        <f>IF(A56&lt;&gt;"",SUM(B56),"")</f>
        <v/>
      </c>
      <c r="D56" s="2" t="str">
        <f>IF(A56&lt;&gt;"",(SDASD!D1*SDASD!C56)/SDASD!C1, "")</f>
        <v/>
      </c>
    </row>
    <row r="57" spans="3:4" x14ac:dyDescent="0.3">
      <c r="C57" s="2" t="str">
        <f>IF(A57&lt;&gt;"",SUM(B57),"")</f>
        <v/>
      </c>
      <c r="D57" s="2" t="str">
        <f>IF(A57&lt;&gt;"",(SDASD!D1*SDASD!C57)/SDASD!C1, "")</f>
        <v/>
      </c>
    </row>
    <row r="58" spans="3:4" x14ac:dyDescent="0.3">
      <c r="C58" s="2" t="str">
        <f>IF(A58&lt;&gt;"",SUM(B58),"")</f>
        <v/>
      </c>
      <c r="D58" s="2" t="str">
        <f>IF(A58&lt;&gt;"",(SDASD!D1*SDASD!C58)/SDASD!C1, "")</f>
        <v/>
      </c>
    </row>
    <row r="59" spans="3:4" x14ac:dyDescent="0.3">
      <c r="C59" s="2" t="str">
        <f>IF(A59&lt;&gt;"",SUM(B59),"")</f>
        <v/>
      </c>
      <c r="D59" s="2" t="str">
        <f>IF(A59&lt;&gt;"",(SDASD!D1*SDASD!C59)/SDASD!C1, "")</f>
        <v/>
      </c>
    </row>
    <row r="60" spans="3:4" x14ac:dyDescent="0.3">
      <c r="C60" s="2" t="str">
        <f>IF(A60&lt;&gt;"",SUM(B60),"")</f>
        <v/>
      </c>
      <c r="D60" s="2" t="str">
        <f>IF(A60&lt;&gt;"",(SDASD!D1*SDASD!C60)/SDASD!C1, "")</f>
        <v/>
      </c>
    </row>
    <row r="61" spans="3:4" x14ac:dyDescent="0.3">
      <c r="C61" s="2" t="str">
        <f>IF(A61&lt;&gt;"",SUM(B61),"")</f>
        <v/>
      </c>
      <c r="D61" s="2" t="str">
        <f>IF(A61&lt;&gt;"",(SDASD!D1*SDASD!C61)/SDASD!C1, "")</f>
        <v/>
      </c>
    </row>
    <row r="62" spans="3:4" x14ac:dyDescent="0.3">
      <c r="C62" s="2" t="str">
        <f>IF(A62&lt;&gt;"",SUM(B62),"")</f>
        <v/>
      </c>
      <c r="D62" s="2" t="str">
        <f>IF(A62&lt;&gt;"",(SDASD!D1*SDASD!C62)/SDASD!C1, "")</f>
        <v/>
      </c>
    </row>
    <row r="63" spans="3:4" x14ac:dyDescent="0.3">
      <c r="C63" s="2" t="str">
        <f>IF(A63&lt;&gt;"",SUM(B63),"")</f>
        <v/>
      </c>
      <c r="D63" s="2" t="str">
        <f>IF(A63&lt;&gt;"",(SDASD!D1*SDASD!C63)/SDASD!C1, "")</f>
        <v/>
      </c>
    </row>
    <row r="64" spans="3:4" x14ac:dyDescent="0.3">
      <c r="C64" s="2" t="str">
        <f>IF(A64&lt;&gt;"",SUM(B64),"")</f>
        <v/>
      </c>
      <c r="D64" s="2" t="str">
        <f>IF(A64&lt;&gt;"",(SDASD!D1*SDASD!C64)/SDASD!C1, "")</f>
        <v/>
      </c>
    </row>
    <row r="65" spans="3:4" x14ac:dyDescent="0.3">
      <c r="C65" s="2" t="str">
        <f>IF(A65&lt;&gt;"",SUM(B65),"")</f>
        <v/>
      </c>
      <c r="D65" s="2" t="str">
        <f>IF(A65&lt;&gt;"",(SDASD!D1*SDASD!C65)/SDASD!C1, "")</f>
        <v/>
      </c>
    </row>
    <row r="66" spans="3:4" x14ac:dyDescent="0.3">
      <c r="C66" s="2" t="str">
        <f>IF(A66&lt;&gt;"",SUM(B66),"")</f>
        <v/>
      </c>
      <c r="D66" s="2" t="str">
        <f>IF(A66&lt;&gt;"",(SDASD!D1*SDASD!C66)/SDASD!C1, "")</f>
        <v/>
      </c>
    </row>
    <row r="67" spans="3:4" x14ac:dyDescent="0.3">
      <c r="C67" s="2" t="str">
        <f>IF(A67&lt;&gt;"",SUM(B67),"")</f>
        <v/>
      </c>
      <c r="D67" s="2" t="str">
        <f>IF(A67&lt;&gt;"",(SDASD!D1*SDASD!C67)/SDASD!C1, "")</f>
        <v/>
      </c>
    </row>
    <row r="68" spans="3:4" x14ac:dyDescent="0.3">
      <c r="C68" s="2" t="str">
        <f>IF(A68&lt;&gt;"",SUM(B68),"")</f>
        <v/>
      </c>
      <c r="D68" s="2" t="str">
        <f>IF(A68&lt;&gt;"",(SDASD!D1*SDASD!C68)/SDASD!C1, "")</f>
        <v/>
      </c>
    </row>
    <row r="69" spans="3:4" x14ac:dyDescent="0.3">
      <c r="C69" s="2" t="str">
        <f>IF(A69&lt;&gt;"",SUM(B69),"")</f>
        <v/>
      </c>
      <c r="D69" s="2" t="str">
        <f>IF(A69&lt;&gt;"",(SDASD!D1*SDASD!C69)/SDASD!C1, "")</f>
        <v/>
      </c>
    </row>
    <row r="70" spans="3:4" x14ac:dyDescent="0.3">
      <c r="C70" s="2" t="str">
        <f>IF(A70&lt;&gt;"",SUM(B70),"")</f>
        <v/>
      </c>
      <c r="D70" s="2" t="str">
        <f>IF(A70&lt;&gt;"",(SDASD!D1*SDASD!C70)/SDASD!C1, "")</f>
        <v/>
      </c>
    </row>
    <row r="71" spans="3:4" x14ac:dyDescent="0.3">
      <c r="C71" s="2" t="str">
        <f>IF(A71&lt;&gt;"",SUM(B71),"")</f>
        <v/>
      </c>
      <c r="D71" s="2" t="str">
        <f>IF(A71&lt;&gt;"",(SDASD!D1*SDASD!C71)/SDASD!C1, "")</f>
        <v/>
      </c>
    </row>
    <row r="72" spans="3:4" x14ac:dyDescent="0.3">
      <c r="C72" s="2" t="str">
        <f>IF(A72&lt;&gt;"",SUM(B72),"")</f>
        <v/>
      </c>
      <c r="D72" s="2" t="str">
        <f>IF(A72&lt;&gt;"",(SDASD!D1*SDASD!C72)/SDASD!C1, "")</f>
        <v/>
      </c>
    </row>
    <row r="73" spans="3:4" x14ac:dyDescent="0.3">
      <c r="C73" s="2" t="str">
        <f>IF(A73&lt;&gt;"",SUM(B73),"")</f>
        <v/>
      </c>
      <c r="D73" s="2" t="str">
        <f>IF(A73&lt;&gt;"",(SDASD!D1*SDASD!C73)/SDASD!C1, "")</f>
        <v/>
      </c>
    </row>
    <row r="74" spans="3:4" x14ac:dyDescent="0.3">
      <c r="C74" s="2" t="str">
        <f>IF(A74&lt;&gt;"",SUM(B74),"")</f>
        <v/>
      </c>
      <c r="D74" s="2" t="str">
        <f>IF(A74&lt;&gt;"",(SDASD!D1*SDASD!C74)/SDASD!C1, "")</f>
        <v/>
      </c>
    </row>
    <row r="75" spans="3:4" x14ac:dyDescent="0.3">
      <c r="C75" s="2" t="str">
        <f>IF(A75&lt;&gt;"",SUM(B75),"")</f>
        <v/>
      </c>
      <c r="D75" s="2" t="str">
        <f>IF(A75&lt;&gt;"",(SDASD!D1*SDASD!C75)/SDASD!C1, "")</f>
        <v/>
      </c>
    </row>
    <row r="76" spans="3:4" x14ac:dyDescent="0.3">
      <c r="C76" s="2" t="str">
        <f>IF(A76&lt;&gt;"",SUM(B76),"")</f>
        <v/>
      </c>
      <c r="D76" s="2" t="str">
        <f>IF(A76&lt;&gt;"",(SDASD!D1*SDASD!C76)/SDASD!C1, "")</f>
        <v/>
      </c>
    </row>
    <row r="77" spans="3:4" x14ac:dyDescent="0.3">
      <c r="C77" s="2" t="str">
        <f>IF(A77&lt;&gt;"",SUM(B77),"")</f>
        <v/>
      </c>
      <c r="D77" s="2" t="str">
        <f>IF(A77&lt;&gt;"",(SDASD!D1*SDASD!C77)/SDASD!C1, "")</f>
        <v/>
      </c>
    </row>
    <row r="78" spans="3:4" x14ac:dyDescent="0.3">
      <c r="C78" s="2" t="str">
        <f>IF(A78&lt;&gt;"",SUM(B78),"")</f>
        <v/>
      </c>
      <c r="D78" s="2" t="str">
        <f>IF(A78&lt;&gt;"",(SDASD!D1*SDASD!C78)/SDASD!C1, "")</f>
        <v/>
      </c>
    </row>
    <row r="79" spans="3:4" x14ac:dyDescent="0.3">
      <c r="C79" s="2" t="str">
        <f>IF(A79&lt;&gt;"",SUM(B79),"")</f>
        <v/>
      </c>
      <c r="D79" s="2" t="str">
        <f>IF(A79&lt;&gt;"",(SDASD!D1*SDASD!C79)/SDASD!C1, "")</f>
        <v/>
      </c>
    </row>
    <row r="80" spans="3:4" x14ac:dyDescent="0.3">
      <c r="C80" s="2" t="str">
        <f>IF(A80&lt;&gt;"",SUM(B80),"")</f>
        <v/>
      </c>
      <c r="D80" s="2" t="str">
        <f>IF(A80&lt;&gt;"",(SDASD!D1*SDASD!C80)/SDASD!C1, "")</f>
        <v/>
      </c>
    </row>
    <row r="81" spans="3:4" x14ac:dyDescent="0.3">
      <c r="C81" s="2" t="str">
        <f>IF(A81&lt;&gt;"",SUM(B81),"")</f>
        <v/>
      </c>
      <c r="D81" s="2" t="str">
        <f>IF(A81&lt;&gt;"",(SDASD!D1*SDASD!C81)/SDASD!C1, "")</f>
        <v/>
      </c>
    </row>
    <row r="82" spans="3:4" x14ac:dyDescent="0.3">
      <c r="C82" s="2" t="str">
        <f>IF(A82&lt;&gt;"",SUM(B82),"")</f>
        <v/>
      </c>
      <c r="D82" s="2" t="str">
        <f>IF(A82&lt;&gt;"",(SDASD!D1*SDASD!C82)/SDASD!C1, "")</f>
        <v/>
      </c>
    </row>
    <row r="83" spans="3:4" x14ac:dyDescent="0.3">
      <c r="C83" s="2" t="str">
        <f>IF(A83&lt;&gt;"",SUM(B83),"")</f>
        <v/>
      </c>
      <c r="D83" s="2" t="str">
        <f>IF(A83&lt;&gt;"",(SDASD!D1*SDASD!C83)/SDASD!C1, "")</f>
        <v/>
      </c>
    </row>
    <row r="84" spans="3:4" x14ac:dyDescent="0.3">
      <c r="C84" s="2" t="str">
        <f>IF(A84&lt;&gt;"",SUM(B84),"")</f>
        <v/>
      </c>
      <c r="D84" s="2" t="str">
        <f>IF(A84&lt;&gt;"",(SDASD!D1*SDASD!C84)/SDASD!C1, "")</f>
        <v/>
      </c>
    </row>
    <row r="85" spans="3:4" x14ac:dyDescent="0.3">
      <c r="C85" s="2" t="str">
        <f>IF(A85&lt;&gt;"",SUM(B85),"")</f>
        <v/>
      </c>
      <c r="D85" s="2" t="str">
        <f>IF(A85&lt;&gt;"",(SDASD!D1*SDASD!C85)/SDASD!C1, "")</f>
        <v/>
      </c>
    </row>
    <row r="86" spans="3:4" x14ac:dyDescent="0.3">
      <c r="C86" s="2" t="str">
        <f>IF(A86&lt;&gt;"",SUM(B86),"")</f>
        <v/>
      </c>
      <c r="D86" s="2" t="str">
        <f>IF(A86&lt;&gt;"",(SDASD!D1*SDASD!C86)/SDASD!C1, "")</f>
        <v/>
      </c>
    </row>
    <row r="87" spans="3:4" x14ac:dyDescent="0.3">
      <c r="C87" s="2" t="str">
        <f>IF(A87&lt;&gt;"",SUM(B87),"")</f>
        <v/>
      </c>
      <c r="D87" s="2" t="str">
        <f>IF(A87&lt;&gt;"",(SDASD!D1*SDASD!C87)/SDASD!C1, "")</f>
        <v/>
      </c>
    </row>
    <row r="88" spans="3:4" x14ac:dyDescent="0.3">
      <c r="C88" s="2" t="str">
        <f>IF(A88&lt;&gt;"",SUM(B88),"")</f>
        <v/>
      </c>
      <c r="D88" s="2" t="str">
        <f>IF(A88&lt;&gt;"",(SDASD!D1*SDASD!C88)/SDASD!C1, "")</f>
        <v/>
      </c>
    </row>
    <row r="89" spans="3:4" x14ac:dyDescent="0.3">
      <c r="C89" s="2" t="str">
        <f>IF(A89&lt;&gt;"",SUM(B89),"")</f>
        <v/>
      </c>
      <c r="D89" s="2" t="str">
        <f>IF(A89&lt;&gt;"",(SDASD!D1*SDASD!C89)/SDASD!C1, "")</f>
        <v/>
      </c>
    </row>
    <row r="90" spans="3:4" x14ac:dyDescent="0.3">
      <c r="C90" s="2" t="str">
        <f>IF(A90&lt;&gt;"",SUM(B90),"")</f>
        <v/>
      </c>
      <c r="D90" s="2" t="str">
        <f>IF(A90&lt;&gt;"",(SDASD!D1*SDASD!C90)/SDASD!C1, "")</f>
        <v/>
      </c>
    </row>
    <row r="91" spans="3:4" x14ac:dyDescent="0.3">
      <c r="C91" s="2" t="str">
        <f>IF(A91&lt;&gt;"",SUM(B91),"")</f>
        <v/>
      </c>
      <c r="D91" s="2" t="str">
        <f>IF(A91&lt;&gt;"",(SDASD!D1*SDASD!C91)/SDASD!C1, "")</f>
        <v/>
      </c>
    </row>
    <row r="92" spans="3:4" x14ac:dyDescent="0.3">
      <c r="C92" s="2" t="str">
        <f>IF(A92&lt;&gt;"",SUM(B92),"")</f>
        <v/>
      </c>
      <c r="D92" s="2" t="str">
        <f>IF(A92&lt;&gt;"",(SDASD!D1*SDASD!C92)/SDASD!C1, "")</f>
        <v/>
      </c>
    </row>
    <row r="93" spans="3:4" x14ac:dyDescent="0.3">
      <c r="C93" s="2" t="str">
        <f>IF(A93&lt;&gt;"",SUM(B93),"")</f>
        <v/>
      </c>
      <c r="D93" s="2" t="str">
        <f>IF(A93&lt;&gt;"",(SDASD!D1*SDASD!C93)/SDASD!C1, "")</f>
        <v/>
      </c>
    </row>
    <row r="94" spans="3:4" x14ac:dyDescent="0.3">
      <c r="C94" s="2" t="str">
        <f>IF(A94&lt;&gt;"",SUM(B94),"")</f>
        <v/>
      </c>
      <c r="D94" s="2" t="str">
        <f>IF(A94&lt;&gt;"",(SDASD!D1*SDASD!C94)/SDASD!C1, "")</f>
        <v/>
      </c>
    </row>
    <row r="95" spans="3:4" x14ac:dyDescent="0.3">
      <c r="C95" s="2" t="str">
        <f>IF(A95&lt;&gt;"",SUM(B95),"")</f>
        <v/>
      </c>
      <c r="D95" s="2" t="str">
        <f>IF(A95&lt;&gt;"",(SDASD!D1*SDASD!C95)/SDASD!C1, "")</f>
        <v/>
      </c>
    </row>
    <row r="96" spans="3:4" x14ac:dyDescent="0.3">
      <c r="C96" s="2" t="str">
        <f>IF(A96&lt;&gt;"",SUM(B96),"")</f>
        <v/>
      </c>
      <c r="D96" s="2" t="str">
        <f>IF(A96&lt;&gt;"",(SDASD!D1*SDASD!C96)/SDASD!C1, "")</f>
        <v/>
      </c>
    </row>
    <row r="97" spans="3:4" x14ac:dyDescent="0.3">
      <c r="C97" s="2" t="str">
        <f>IF(A97&lt;&gt;"",SUM(B97),"")</f>
        <v/>
      </c>
      <c r="D97" s="2" t="str">
        <f>IF(A97&lt;&gt;"",(SDASD!D1*SDASD!C97)/SDASD!C1, "")</f>
        <v/>
      </c>
    </row>
    <row r="98" spans="3:4" x14ac:dyDescent="0.3">
      <c r="C98" s="2" t="str">
        <f>IF(A98&lt;&gt;"",SUM(B98),"")</f>
        <v/>
      </c>
      <c r="D98" s="2" t="str">
        <f>IF(A98&lt;&gt;"",(SDASD!D1*SDASD!C98)/SDASD!C1, "")</f>
        <v/>
      </c>
    </row>
    <row r="99" spans="3:4" x14ac:dyDescent="0.3">
      <c r="C99" s="2" t="str">
        <f>IF(A99&lt;&gt;"",SUM(B99),"")</f>
        <v/>
      </c>
      <c r="D99" s="2" t="str">
        <f>IF(A99&lt;&gt;"",(SDASD!D1*SDASD!C99)/SDASD!C1, "")</f>
        <v/>
      </c>
    </row>
    <row r="100" spans="3:4" x14ac:dyDescent="0.3">
      <c r="C100" s="2" t="str">
        <f>IF(A100&lt;&gt;"",SUM(B100),"")</f>
        <v/>
      </c>
      <c r="D100" s="2" t="str">
        <f>IF(A100&lt;&gt;"",(SDASD!D1*SDASD!C100)/SDASD!C1, "")</f>
        <v/>
      </c>
    </row>
    <row r="101" spans="3:4" x14ac:dyDescent="0.3">
      <c r="C101" s="2" t="str">
        <f>IF(A101&lt;&gt;"",SUM(B101),"")</f>
        <v/>
      </c>
      <c r="D101" s="2" t="str">
        <f>IF(A101&lt;&gt;"",(SDASD!D1*SDASD!C101)/SDASD!C1, "")</f>
        <v/>
      </c>
    </row>
    <row r="102" spans="3:4" x14ac:dyDescent="0.3">
      <c r="C102" s="2" t="str">
        <f>IF(A102&lt;&gt;"",SUM(B102),"")</f>
        <v/>
      </c>
      <c r="D102" s="2" t="str">
        <f>IF(A102&lt;&gt;"",(SDASD!D1*SDASD!C102)/SDASD!C1, "")</f>
        <v/>
      </c>
    </row>
    <row r="103" spans="3:4" x14ac:dyDescent="0.3">
      <c r="C103" s="2" t="str">
        <f>IF(A103&lt;&gt;"",SUM(B103),"")</f>
        <v/>
      </c>
      <c r="D103" s="2" t="str">
        <f>IF(A103&lt;&gt;"",(SDASD!D1*SDASD!C103)/SDASD!C1, "")</f>
        <v/>
      </c>
    </row>
    <row r="104" spans="3:4" x14ac:dyDescent="0.3">
      <c r="C104" s="2" t="str">
        <f>IF(A104&lt;&gt;"",SUM(B104),"")</f>
        <v/>
      </c>
      <c r="D104" s="2" t="str">
        <f>IF(A104&lt;&gt;"",(SDASD!D1*SDASD!C104)/SDASD!C1, "")</f>
        <v/>
      </c>
    </row>
    <row r="105" spans="3:4" x14ac:dyDescent="0.3">
      <c r="C105" s="2" t="str">
        <f>IF(A105&lt;&gt;"",SUM(B105),"")</f>
        <v/>
      </c>
      <c r="D105" s="2" t="str">
        <f>IF(A105&lt;&gt;"",(SDASD!D1*SDASD!C105)/SDASD!C1, "")</f>
        <v/>
      </c>
    </row>
    <row r="106" spans="3:4" x14ac:dyDescent="0.3">
      <c r="C106" s="2" t="str">
        <f>IF(A106&lt;&gt;"",SUM(B106),"")</f>
        <v/>
      </c>
      <c r="D106" s="2" t="str">
        <f>IF(A106&lt;&gt;"",(SDASD!D1*SDASD!C106)/SDASD!C1, "")</f>
        <v/>
      </c>
    </row>
    <row r="107" spans="3:4" x14ac:dyDescent="0.3">
      <c r="C107" s="2" t="str">
        <f>IF(A107&lt;&gt;"",SUM(B107),"")</f>
        <v/>
      </c>
      <c r="D107" s="2" t="str">
        <f>IF(A107&lt;&gt;"",(SDASD!D1*SDASD!C107)/SDASD!C1, "")</f>
        <v/>
      </c>
    </row>
    <row r="108" spans="3:4" x14ac:dyDescent="0.3">
      <c r="C108" s="2" t="str">
        <f>IF(A108&lt;&gt;"",SUM(B108),"")</f>
        <v/>
      </c>
      <c r="D108" s="2" t="str">
        <f>IF(A108&lt;&gt;"",(SDASD!D1*SDASD!C108)/SDASD!C1, "")</f>
        <v/>
      </c>
    </row>
    <row r="109" spans="3:4" x14ac:dyDescent="0.3">
      <c r="C109" s="2" t="str">
        <f>IF(A109&lt;&gt;"",SUM(B109),"")</f>
        <v/>
      </c>
      <c r="D109" s="2" t="str">
        <f>IF(A109&lt;&gt;"",(SDASD!D1*SDASD!C109)/SDASD!C1, "")</f>
        <v/>
      </c>
    </row>
    <row r="110" spans="3:4" x14ac:dyDescent="0.3">
      <c r="C110" s="2" t="str">
        <f>IF(A110&lt;&gt;"",SUM(B110),"")</f>
        <v/>
      </c>
      <c r="D110" s="2" t="str">
        <f>IF(A110&lt;&gt;"",(SDASD!D1*SDASD!C110)/SDASD!C1, "")</f>
        <v/>
      </c>
    </row>
    <row r="111" spans="3:4" x14ac:dyDescent="0.3">
      <c r="C111" s="2" t="str">
        <f>IF(A111&lt;&gt;"",SUM(B111),"")</f>
        <v/>
      </c>
      <c r="D111" s="2" t="str">
        <f>IF(A111&lt;&gt;"",(SDASD!D1*SDASD!C111)/SDASD!C1, "")</f>
        <v/>
      </c>
    </row>
    <row r="112" spans="3:4" x14ac:dyDescent="0.3">
      <c r="C112" s="2" t="str">
        <f>IF(A112&lt;&gt;"",SUM(B112),"")</f>
        <v/>
      </c>
      <c r="D112" s="2" t="str">
        <f>IF(A112&lt;&gt;"",(SDASD!D1*SDASD!C112)/SDASD!C1, "")</f>
        <v/>
      </c>
    </row>
    <row r="113" spans="3:4" x14ac:dyDescent="0.3">
      <c r="C113" s="2" t="str">
        <f>IF(A113&lt;&gt;"",SUM(B113),"")</f>
        <v/>
      </c>
      <c r="D113" s="2" t="str">
        <f>IF(A113&lt;&gt;"",(SDASD!D1*SDASD!C113)/SDASD!C1, "")</f>
        <v/>
      </c>
    </row>
    <row r="114" spans="3:4" x14ac:dyDescent="0.3">
      <c r="C114" s="2" t="str">
        <f>IF(A114&lt;&gt;"",SUM(B114),"")</f>
        <v/>
      </c>
      <c r="D114" s="2" t="str">
        <f>IF(A114&lt;&gt;"",(SDASD!D1*SDASD!C114)/SDASD!C1, "")</f>
        <v/>
      </c>
    </row>
    <row r="115" spans="3:4" x14ac:dyDescent="0.3">
      <c r="C115" s="2" t="str">
        <f>IF(A115&lt;&gt;"",SUM(B115),"")</f>
        <v/>
      </c>
      <c r="D115" s="2" t="str">
        <f>IF(A115&lt;&gt;"",(SDASD!D1*SDASD!C115)/SDASD!C1, "")</f>
        <v/>
      </c>
    </row>
    <row r="116" spans="3:4" x14ac:dyDescent="0.3">
      <c r="C116" s="2" t="str">
        <f>IF(A116&lt;&gt;"",SUM(B116),"")</f>
        <v/>
      </c>
      <c r="D116" s="2" t="str">
        <f>IF(A116&lt;&gt;"",(SDASD!D1*SDASD!C116)/SDASD!C1, "")</f>
        <v/>
      </c>
    </row>
    <row r="117" spans="3:4" x14ac:dyDescent="0.3">
      <c r="C117" s="2" t="str">
        <f>IF(A117&lt;&gt;"",SUM(B117),"")</f>
        <v/>
      </c>
      <c r="D117" s="2" t="str">
        <f>IF(A117&lt;&gt;"",(SDASD!D1*SDASD!C117)/SDASD!C1, "")</f>
        <v/>
      </c>
    </row>
    <row r="118" spans="3:4" x14ac:dyDescent="0.3">
      <c r="C118" s="2" t="str">
        <f>IF(A118&lt;&gt;"",SUM(B118),"")</f>
        <v/>
      </c>
      <c r="D118" s="2" t="str">
        <f>IF(A118&lt;&gt;"",(SDASD!D1*SDASD!C118)/SDASD!C1, "")</f>
        <v/>
      </c>
    </row>
    <row r="119" spans="3:4" x14ac:dyDescent="0.3">
      <c r="C119" s="2" t="str">
        <f>IF(A119&lt;&gt;"",SUM(B119),"")</f>
        <v/>
      </c>
      <c r="D119" s="2" t="str">
        <f>IF(A119&lt;&gt;"",(SDASD!D1*SDASD!C119)/SDASD!C1, "")</f>
        <v/>
      </c>
    </row>
    <row r="120" spans="3:4" x14ac:dyDescent="0.3">
      <c r="C120" s="2" t="str">
        <f>IF(A120&lt;&gt;"",SUM(B120),"")</f>
        <v/>
      </c>
      <c r="D120" s="2" t="str">
        <f>IF(A120&lt;&gt;"",(SDASD!D1*SDASD!C120)/SDASD!C1, "")</f>
        <v/>
      </c>
    </row>
    <row r="121" spans="3:4" x14ac:dyDescent="0.3">
      <c r="C121" s="2" t="str">
        <f>IF(A121&lt;&gt;"",SUM(B121),"")</f>
        <v/>
      </c>
      <c r="D121" s="2" t="str">
        <f>IF(A121&lt;&gt;"",(SDASD!D1*SDASD!C121)/SDASD!C1, "")</f>
        <v/>
      </c>
    </row>
    <row r="122" spans="3:4" x14ac:dyDescent="0.3">
      <c r="C122" s="2" t="str">
        <f>IF(A122&lt;&gt;"",SUM(B122),"")</f>
        <v/>
      </c>
      <c r="D122" s="2" t="str">
        <f>IF(A122&lt;&gt;"",(SDASD!D1*SDASD!C122)/SDASD!C1, "")</f>
        <v/>
      </c>
    </row>
    <row r="123" spans="3:4" x14ac:dyDescent="0.3">
      <c r="C123" s="2" t="str">
        <f>IF(A123&lt;&gt;"",SUM(B123),"")</f>
        <v/>
      </c>
      <c r="D123" s="2" t="str">
        <f>IF(A123&lt;&gt;"",(SDASD!D1*SDASD!C123)/SDASD!C1, "")</f>
        <v/>
      </c>
    </row>
    <row r="124" spans="3:4" x14ac:dyDescent="0.3">
      <c r="C124" s="2" t="str">
        <f>IF(A124&lt;&gt;"",SUM(B124),"")</f>
        <v/>
      </c>
      <c r="D124" s="2" t="str">
        <f>IF(A124&lt;&gt;"",(SDASD!D1*SDASD!C124)/SDASD!C1, "")</f>
        <v/>
      </c>
    </row>
    <row r="125" spans="3:4" x14ac:dyDescent="0.3">
      <c r="C125" s="2" t="str">
        <f>IF(A125&lt;&gt;"",SUM(B125),"")</f>
        <v/>
      </c>
      <c r="D125" s="2" t="str">
        <f>IF(A125&lt;&gt;"",(SDASD!D1*SDASD!C125)/SDASD!C1, "")</f>
        <v/>
      </c>
    </row>
    <row r="126" spans="3:4" x14ac:dyDescent="0.3">
      <c r="C126" s="2" t="str">
        <f>IF(A126&lt;&gt;"",SUM(B126),"")</f>
        <v/>
      </c>
      <c r="D126" s="2" t="str">
        <f>IF(A126&lt;&gt;"",(SDASD!D1*SDASD!C126)/SDASD!C1, "")</f>
        <v/>
      </c>
    </row>
    <row r="127" spans="3:4" x14ac:dyDescent="0.3">
      <c r="C127" s="2" t="str">
        <f>IF(A127&lt;&gt;"",SUM(B127),"")</f>
        <v/>
      </c>
      <c r="D127" s="2" t="str">
        <f>IF(A127&lt;&gt;"",(SDASD!D1*SDASD!C127)/SDASD!C1, "")</f>
        <v/>
      </c>
    </row>
    <row r="128" spans="3:4" x14ac:dyDescent="0.3">
      <c r="C128" s="2" t="str">
        <f>IF(A128&lt;&gt;"",SUM(B128),"")</f>
        <v/>
      </c>
      <c r="D128" s="2" t="str">
        <f>IF(A128&lt;&gt;"",(SDASD!D1*SDASD!C128)/SDASD!C1, "")</f>
        <v/>
      </c>
    </row>
    <row r="129" spans="3:4" x14ac:dyDescent="0.3">
      <c r="C129" s="2" t="str">
        <f>IF(A129&lt;&gt;"",SUM(B129),"")</f>
        <v/>
      </c>
      <c r="D129" s="2" t="str">
        <f>IF(A129&lt;&gt;"",(SDASD!D1*SDASD!C129)/SDASD!C1, "")</f>
        <v/>
      </c>
    </row>
    <row r="130" spans="3:4" x14ac:dyDescent="0.3">
      <c r="C130" s="2" t="str">
        <f>IF(A130&lt;&gt;"",SUM(B130),"")</f>
        <v/>
      </c>
      <c r="D130" s="2" t="str">
        <f>IF(A130&lt;&gt;"",(SDASD!D1*SDASD!C130)/SDASD!C1, "")</f>
        <v/>
      </c>
    </row>
    <row r="131" spans="3:4" x14ac:dyDescent="0.3">
      <c r="C131" s="2" t="str">
        <f>IF(A131&lt;&gt;"",SUM(B131),"")</f>
        <v/>
      </c>
      <c r="D131" s="2" t="str">
        <f>IF(A131&lt;&gt;"",(SDASD!D1*SDASD!C131)/SDASD!C1, "")</f>
        <v/>
      </c>
    </row>
    <row r="132" spans="3:4" x14ac:dyDescent="0.3">
      <c r="C132" s="2" t="str">
        <f>IF(A132&lt;&gt;"",SUM(B132),"")</f>
        <v/>
      </c>
      <c r="D132" s="2" t="str">
        <f>IF(A132&lt;&gt;"",(SDASD!D1*SDASD!C132)/SDASD!C1, "")</f>
        <v/>
      </c>
    </row>
    <row r="133" spans="3:4" x14ac:dyDescent="0.3">
      <c r="C133" s="2" t="str">
        <f>IF(A133&lt;&gt;"",SUM(B133),"")</f>
        <v/>
      </c>
      <c r="D133" s="2" t="str">
        <f>IF(A133&lt;&gt;"",(SDASD!D1*SDASD!C133)/SDASD!C1, "")</f>
        <v/>
      </c>
    </row>
    <row r="134" spans="3:4" x14ac:dyDescent="0.3">
      <c r="C134" s="2" t="str">
        <f>IF(A134&lt;&gt;"",SUM(B134),"")</f>
        <v/>
      </c>
      <c r="D134" s="2" t="str">
        <f>IF(A134&lt;&gt;"",(SDASD!D1*SDASD!C134)/SDASD!C1, "")</f>
        <v/>
      </c>
    </row>
    <row r="135" spans="3:4" x14ac:dyDescent="0.3">
      <c r="C135" s="2" t="str">
        <f>IF(A135&lt;&gt;"",SUM(B135),"")</f>
        <v/>
      </c>
      <c r="D135" s="2" t="str">
        <f>IF(A135&lt;&gt;"",(SDASD!D1*SDASD!C135)/SDASD!C1, "")</f>
        <v/>
      </c>
    </row>
    <row r="136" spans="3:4" x14ac:dyDescent="0.3">
      <c r="C136" s="2" t="str">
        <f>IF(A136&lt;&gt;"",SUM(B136),"")</f>
        <v/>
      </c>
      <c r="D136" s="2" t="str">
        <f>IF(A136&lt;&gt;"",(SDASD!D1*SDASD!C136)/SDASD!C1, "")</f>
        <v/>
      </c>
    </row>
    <row r="137" spans="3:4" x14ac:dyDescent="0.3">
      <c r="C137" s="2" t="str">
        <f>IF(A137&lt;&gt;"",SUM(B137),"")</f>
        <v/>
      </c>
      <c r="D137" s="2" t="str">
        <f>IF(A137&lt;&gt;"",(SDASD!D1*SDASD!C137)/SDASD!C1, "")</f>
        <v/>
      </c>
    </row>
    <row r="138" spans="3:4" x14ac:dyDescent="0.3">
      <c r="C138" s="2" t="str">
        <f>IF(A138&lt;&gt;"",SUM(B138),"")</f>
        <v/>
      </c>
      <c r="D138" s="2" t="str">
        <f>IF(A138&lt;&gt;"",(SDASD!D1*SDASD!C138)/SDASD!C1, "")</f>
        <v/>
      </c>
    </row>
    <row r="139" spans="3:4" x14ac:dyDescent="0.3">
      <c r="C139" s="2" t="str">
        <f>IF(A139&lt;&gt;"",SUM(B139),"")</f>
        <v/>
      </c>
      <c r="D139" s="2" t="str">
        <f>IF(A139&lt;&gt;"",(SDASD!D1*SDASD!C139)/SDASD!C1, "")</f>
        <v/>
      </c>
    </row>
    <row r="140" spans="3:4" x14ac:dyDescent="0.3">
      <c r="C140" s="2" t="str">
        <f>IF(A140&lt;&gt;"",SUM(B140),"")</f>
        <v/>
      </c>
      <c r="D140" s="2" t="str">
        <f>IF(A140&lt;&gt;"",(SDASD!D1*SDASD!C140)/SDASD!C1, "")</f>
        <v/>
      </c>
    </row>
    <row r="141" spans="3:4" x14ac:dyDescent="0.3">
      <c r="C141" s="2" t="str">
        <f>IF(A141&lt;&gt;"",SUM(B141),"")</f>
        <v/>
      </c>
      <c r="D141" s="2" t="str">
        <f>IF(A141&lt;&gt;"",(SDASD!D1*SDASD!C141)/SDASD!C1, "")</f>
        <v/>
      </c>
    </row>
    <row r="142" spans="3:4" x14ac:dyDescent="0.3">
      <c r="C142" s="2" t="str">
        <f>IF(A142&lt;&gt;"",SUM(B142),"")</f>
        <v/>
      </c>
      <c r="D142" s="2" t="str">
        <f>IF(A142&lt;&gt;"",(SDASD!D1*SDASD!C142)/SDASD!C1, "")</f>
        <v/>
      </c>
    </row>
    <row r="143" spans="3:4" x14ac:dyDescent="0.3">
      <c r="C143" s="2" t="str">
        <f>IF(A143&lt;&gt;"",SUM(B143),"")</f>
        <v/>
      </c>
      <c r="D143" s="2" t="str">
        <f>IF(A143&lt;&gt;"",(SDASD!D1*SDASD!C143)/SDASD!C1, "")</f>
        <v/>
      </c>
    </row>
    <row r="144" spans="3:4" x14ac:dyDescent="0.3">
      <c r="C144" s="2" t="str">
        <f>IF(A144&lt;&gt;"",SUM(B144),"")</f>
        <v/>
      </c>
      <c r="D144" s="2" t="str">
        <f>IF(A144&lt;&gt;"",(SDASD!D1*SDASD!C144)/SDASD!C1, "")</f>
        <v/>
      </c>
    </row>
    <row r="145" spans="3:4" x14ac:dyDescent="0.3">
      <c r="C145" s="2" t="str">
        <f>IF(A145&lt;&gt;"",SUM(B145),"")</f>
        <v/>
      </c>
      <c r="D145" s="2" t="str">
        <f>IF(A145&lt;&gt;"",(SDASD!D1*SDASD!C145)/SDASD!C1, "")</f>
        <v/>
      </c>
    </row>
    <row r="146" spans="3:4" x14ac:dyDescent="0.3">
      <c r="C146" s="2" t="str">
        <f>IF(A146&lt;&gt;"",SUM(B146),"")</f>
        <v/>
      </c>
      <c r="D146" s="2" t="str">
        <f>IF(A146&lt;&gt;"",(SDASD!D1*SDASD!C146)/SDASD!C1, "")</f>
        <v/>
      </c>
    </row>
    <row r="147" spans="3:4" x14ac:dyDescent="0.3">
      <c r="C147" s="2" t="str">
        <f>IF(A147&lt;&gt;"",SUM(B147),"")</f>
        <v/>
      </c>
      <c r="D147" s="2" t="str">
        <f>IF(A147&lt;&gt;"",(SDASD!D1*SDASD!C147)/SDASD!C1, "")</f>
        <v/>
      </c>
    </row>
    <row r="148" spans="3:4" x14ac:dyDescent="0.3">
      <c r="C148" s="2" t="str">
        <f>IF(A148&lt;&gt;"",SUM(B148),"")</f>
        <v/>
      </c>
      <c r="D148" s="2" t="str">
        <f>IF(A148&lt;&gt;"",(SDASD!D1*SDASD!C148)/SDASD!C1, "")</f>
        <v/>
      </c>
    </row>
    <row r="149" spans="3:4" x14ac:dyDescent="0.3">
      <c r="C149" s="2" t="str">
        <f>IF(A149&lt;&gt;"",SUM(B149),"")</f>
        <v/>
      </c>
      <c r="D149" s="2" t="str">
        <f>IF(A149&lt;&gt;"",(SDASD!D1*SDASD!C149)/SDASD!C1, "")</f>
        <v/>
      </c>
    </row>
    <row r="150" spans="3:4" x14ac:dyDescent="0.3">
      <c r="C150" s="2" t="str">
        <f>IF(A150&lt;&gt;"",SUM(B150),"")</f>
        <v/>
      </c>
      <c r="D150" s="2" t="str">
        <f>IF(A150&lt;&gt;"",(SDASD!D1*SDASD!C150)/SDASD!C1, "")</f>
        <v/>
      </c>
    </row>
    <row r="151" spans="3:4" x14ac:dyDescent="0.3">
      <c r="C151" s="2" t="str">
        <f>IF(A151&lt;&gt;"",SUM(B151),"")</f>
        <v/>
      </c>
      <c r="D151" s="2" t="str">
        <f>IF(A151&lt;&gt;"",(SDASD!D1*SDASD!C151)/SDASD!C1, "")</f>
        <v/>
      </c>
    </row>
    <row r="152" spans="3:4" x14ac:dyDescent="0.3">
      <c r="C152" s="2" t="str">
        <f>IF(A152&lt;&gt;"",SUM(B152),"")</f>
        <v/>
      </c>
      <c r="D152" s="2" t="str">
        <f>IF(A152&lt;&gt;"",(SDASD!D1*SDASD!C152)/SDASD!C1, "")</f>
        <v/>
      </c>
    </row>
    <row r="153" spans="3:4" x14ac:dyDescent="0.3">
      <c r="C153" s="2" t="str">
        <f>IF(A153&lt;&gt;"",SUM(B153),"")</f>
        <v/>
      </c>
      <c r="D153" s="2" t="str">
        <f>IF(A153&lt;&gt;"",(SDASD!D1*SDASD!C153)/SDASD!C1, "")</f>
        <v/>
      </c>
    </row>
    <row r="154" spans="3:4" x14ac:dyDescent="0.3">
      <c r="C154" s="2" t="str">
        <f>IF(A154&lt;&gt;"",SUM(B154),"")</f>
        <v/>
      </c>
      <c r="D154" s="2" t="str">
        <f>IF(A154&lt;&gt;"",(SDASD!D1*SDASD!C154)/SDASD!C1, "")</f>
        <v/>
      </c>
    </row>
    <row r="155" spans="3:4" x14ac:dyDescent="0.3">
      <c r="C155" s="2" t="str">
        <f>IF(A155&lt;&gt;"",SUM(B155),"")</f>
        <v/>
      </c>
      <c r="D155" s="2" t="str">
        <f>IF(A155&lt;&gt;"",(SDASD!D1*SDASD!C155)/SDASD!C1, "")</f>
        <v/>
      </c>
    </row>
    <row r="156" spans="3:4" x14ac:dyDescent="0.3">
      <c r="C156" s="2" t="str">
        <f>IF(A156&lt;&gt;"",SUM(B156),"")</f>
        <v/>
      </c>
      <c r="D156" s="2" t="str">
        <f>IF(A156&lt;&gt;"",(SDASD!D1*SDASD!C156)/SDASD!C1, "")</f>
        <v/>
      </c>
    </row>
    <row r="157" spans="3:4" x14ac:dyDescent="0.3">
      <c r="C157" s="2" t="str">
        <f>IF(A157&lt;&gt;"",SUM(B157),"")</f>
        <v/>
      </c>
      <c r="D157" s="2" t="str">
        <f>IF(A157&lt;&gt;"",(SDASD!D1*SDASD!C157)/SDASD!C1, "")</f>
        <v/>
      </c>
    </row>
    <row r="158" spans="3:4" x14ac:dyDescent="0.3">
      <c r="C158" s="2" t="str">
        <f>IF(A158&lt;&gt;"",SUM(B158),"")</f>
        <v/>
      </c>
      <c r="D158" s="2" t="str">
        <f>IF(A158&lt;&gt;"",(SDASD!D1*SDASD!C158)/SDASD!C1, "")</f>
        <v/>
      </c>
    </row>
    <row r="159" spans="3:4" x14ac:dyDescent="0.3">
      <c r="C159" s="2" t="str">
        <f>IF(A159&lt;&gt;"",SUM(B159),"")</f>
        <v/>
      </c>
      <c r="D159" s="2" t="str">
        <f>IF(A159&lt;&gt;"",(SDASD!D1*SDASD!C159)/SDASD!C1, "")</f>
        <v/>
      </c>
    </row>
    <row r="160" spans="3:4" x14ac:dyDescent="0.3">
      <c r="C160" s="2" t="str">
        <f>IF(A160&lt;&gt;"",SUM(B160),"")</f>
        <v/>
      </c>
      <c r="D160" s="2" t="str">
        <f>IF(A160&lt;&gt;"",(SDASD!D1*SDASD!C160)/SDASD!C1, "")</f>
        <v/>
      </c>
    </row>
    <row r="161" spans="3:4" x14ac:dyDescent="0.3">
      <c r="C161" s="2" t="str">
        <f>IF(A161&lt;&gt;"",SUM(B161),"")</f>
        <v/>
      </c>
      <c r="D161" s="2" t="str">
        <f>IF(A161&lt;&gt;"",(SDASD!D1*SDASD!C161)/SDASD!C1, "")</f>
        <v/>
      </c>
    </row>
    <row r="162" spans="3:4" x14ac:dyDescent="0.3">
      <c r="C162" s="2" t="str">
        <f>IF(A162&lt;&gt;"",SUM(B162),"")</f>
        <v/>
      </c>
      <c r="D162" s="2" t="str">
        <f>IF(A162&lt;&gt;"",(SDASD!D1*SDASD!C162)/SDASD!C1, "")</f>
        <v/>
      </c>
    </row>
    <row r="163" spans="3:4" x14ac:dyDescent="0.3">
      <c r="C163" s="2" t="str">
        <f>IF(A163&lt;&gt;"",SUM(B163),"")</f>
        <v/>
      </c>
      <c r="D163" s="2" t="str">
        <f>IF(A163&lt;&gt;"",(SDASD!D1*SDASD!C163)/SDASD!C1, "")</f>
        <v/>
      </c>
    </row>
    <row r="164" spans="3:4" x14ac:dyDescent="0.3">
      <c r="C164" s="2" t="str">
        <f>IF(A164&lt;&gt;"",SUM(B164),"")</f>
        <v/>
      </c>
      <c r="D164" s="2" t="str">
        <f>IF(A164&lt;&gt;"",(SDASD!D1*SDASD!C164)/SDASD!C1, "")</f>
        <v/>
      </c>
    </row>
    <row r="165" spans="3:4" x14ac:dyDescent="0.3">
      <c r="C165" s="2" t="str">
        <f>IF(A165&lt;&gt;"",SUM(B165),"")</f>
        <v/>
      </c>
      <c r="D165" s="2" t="str">
        <f>IF(A165&lt;&gt;"",(SDASD!D1*SDASD!C165)/SDASD!C1, "")</f>
        <v/>
      </c>
    </row>
    <row r="166" spans="3:4" x14ac:dyDescent="0.3">
      <c r="C166" s="2" t="str">
        <f>IF(A166&lt;&gt;"",SUM(B166),"")</f>
        <v/>
      </c>
      <c r="D166" s="2" t="str">
        <f>IF(A166&lt;&gt;"",(SDASD!D1*SDASD!C166)/SDASD!C1, "")</f>
        <v/>
      </c>
    </row>
    <row r="167" spans="3:4" x14ac:dyDescent="0.3">
      <c r="C167" s="2" t="str">
        <f>IF(A167&lt;&gt;"",SUM(B167),"")</f>
        <v/>
      </c>
      <c r="D167" s="2" t="str">
        <f>IF(A167&lt;&gt;"",(SDASD!D1*SDASD!C167)/SDASD!C1, "")</f>
        <v/>
      </c>
    </row>
    <row r="168" spans="3:4" x14ac:dyDescent="0.3">
      <c r="C168" s="2" t="str">
        <f>IF(A168&lt;&gt;"",SUM(B168),"")</f>
        <v/>
      </c>
      <c r="D168" s="2" t="str">
        <f>IF(A168&lt;&gt;"",(SDASD!D1*SDASD!C168)/SDASD!C1, "")</f>
        <v/>
      </c>
    </row>
    <row r="169" spans="3:4" x14ac:dyDescent="0.3">
      <c r="C169" s="2" t="str">
        <f>IF(A169&lt;&gt;"",SUM(B169),"")</f>
        <v/>
      </c>
      <c r="D169" s="2" t="str">
        <f>IF(A169&lt;&gt;"",(SDASD!D1*SDASD!C169)/SDASD!C1, "")</f>
        <v/>
      </c>
    </row>
    <row r="170" spans="3:4" x14ac:dyDescent="0.3">
      <c r="C170" s="2" t="str">
        <f>IF(A170&lt;&gt;"",SUM(B170),"")</f>
        <v/>
      </c>
      <c r="D170" s="2" t="str">
        <f>IF(A170&lt;&gt;"",(SDASD!D1*SDASD!C170)/SDASD!C1, "")</f>
        <v/>
      </c>
    </row>
    <row r="171" spans="3:4" x14ac:dyDescent="0.3">
      <c r="C171" s="2" t="str">
        <f>IF(A171&lt;&gt;"",SUM(B171),"")</f>
        <v/>
      </c>
      <c r="D171" s="2" t="str">
        <f>IF(A171&lt;&gt;"",(SDASD!D1*SDASD!C171)/SDASD!C1, "")</f>
        <v/>
      </c>
    </row>
    <row r="172" spans="3:4" x14ac:dyDescent="0.3">
      <c r="C172" s="2" t="str">
        <f>IF(A172&lt;&gt;"",SUM(B172),"")</f>
        <v/>
      </c>
      <c r="D172" s="2" t="str">
        <f>IF(A172&lt;&gt;"",(SDASD!D1*SDASD!C172)/SDASD!C1, "")</f>
        <v/>
      </c>
    </row>
    <row r="173" spans="3:4" x14ac:dyDescent="0.3">
      <c r="C173" s="2" t="str">
        <f>IF(A173&lt;&gt;"",SUM(B173),"")</f>
        <v/>
      </c>
      <c r="D173" s="2" t="str">
        <f>IF(A173&lt;&gt;"",(SDASD!D1*SDASD!C173)/SDASD!C1, "")</f>
        <v/>
      </c>
    </row>
    <row r="174" spans="3:4" x14ac:dyDescent="0.3">
      <c r="C174" s="2" t="str">
        <f>IF(A174&lt;&gt;"",SUM(B174),"")</f>
        <v/>
      </c>
      <c r="D174" s="2" t="str">
        <f>IF(A174&lt;&gt;"",(SDASD!D1*SDASD!C174)/SDASD!C1, "")</f>
        <v/>
      </c>
    </row>
    <row r="175" spans="3:4" x14ac:dyDescent="0.3">
      <c r="C175" s="2" t="str">
        <f>IF(A175&lt;&gt;"",SUM(B175),"")</f>
        <v/>
      </c>
      <c r="D175" s="2" t="str">
        <f>IF(A175&lt;&gt;"",(SDASD!D1*SDASD!C175)/SDASD!C1, "")</f>
        <v/>
      </c>
    </row>
    <row r="176" spans="3:4" x14ac:dyDescent="0.3">
      <c r="C176" s="2" t="str">
        <f>IF(A176&lt;&gt;"",SUM(B176),"")</f>
        <v/>
      </c>
      <c r="D176" s="2" t="str">
        <f>IF(A176&lt;&gt;"",(SDASD!D1*SDASD!C176)/SDASD!C1, "")</f>
        <v/>
      </c>
    </row>
    <row r="177" spans="3:4" x14ac:dyDescent="0.3">
      <c r="C177" s="2" t="str">
        <f>IF(A177&lt;&gt;"",SUM(B177),"")</f>
        <v/>
      </c>
      <c r="D177" s="2" t="str">
        <f>IF(A177&lt;&gt;"",(SDASD!D1*SDASD!C177)/SDASD!C1, "")</f>
        <v/>
      </c>
    </row>
    <row r="178" spans="3:4" x14ac:dyDescent="0.3">
      <c r="C178" s="2" t="str">
        <f>IF(A178&lt;&gt;"",SUM(B178),"")</f>
        <v/>
      </c>
      <c r="D178" s="2" t="str">
        <f>IF(A178&lt;&gt;"",(SDASD!D1*SDASD!C178)/SDASD!C1, "")</f>
        <v/>
      </c>
    </row>
    <row r="179" spans="3:4" x14ac:dyDescent="0.3">
      <c r="C179" s="2" t="str">
        <f>IF(A179&lt;&gt;"",SUM(B179),"")</f>
        <v/>
      </c>
      <c r="D179" s="2" t="str">
        <f>IF(A179&lt;&gt;"",(SDASD!D1*SDASD!C179)/SDASD!C1, "")</f>
        <v/>
      </c>
    </row>
    <row r="180" spans="3:4" x14ac:dyDescent="0.3">
      <c r="C180" s="2" t="str">
        <f>IF(A180&lt;&gt;"",SUM(B180),"")</f>
        <v/>
      </c>
      <c r="D180" s="2" t="str">
        <f>IF(A180&lt;&gt;"",(SDASD!D1*SDASD!C180)/SDASD!C1, "")</f>
        <v/>
      </c>
    </row>
    <row r="181" spans="3:4" x14ac:dyDescent="0.3">
      <c r="C181" s="2" t="str">
        <f>IF(A181&lt;&gt;"",SUM(B181),"")</f>
        <v/>
      </c>
      <c r="D181" s="2" t="str">
        <f>IF(A181&lt;&gt;"",(SDASD!D1*SDASD!C181)/SDASD!C1, "")</f>
        <v/>
      </c>
    </row>
    <row r="182" spans="3:4" x14ac:dyDescent="0.3">
      <c r="C182" s="2" t="str">
        <f>IF(A182&lt;&gt;"",SUM(B182),"")</f>
        <v/>
      </c>
      <c r="D182" s="2" t="str">
        <f>IF(A182&lt;&gt;"",(SDASD!D1*SDASD!C182)/SDASD!C1, "")</f>
        <v/>
      </c>
    </row>
    <row r="183" spans="3:4" x14ac:dyDescent="0.3">
      <c r="C183" s="2" t="str">
        <f>IF(A183&lt;&gt;"",SUM(B183),"")</f>
        <v/>
      </c>
      <c r="D183" s="2" t="str">
        <f>IF(A183&lt;&gt;"",(SDASD!D1*SDASD!C183)/SDASD!C1, "")</f>
        <v/>
      </c>
    </row>
    <row r="184" spans="3:4" x14ac:dyDescent="0.3">
      <c r="C184" s="2" t="str">
        <f>IF(A184&lt;&gt;"",SUM(B184),"")</f>
        <v/>
      </c>
      <c r="D184" s="2" t="str">
        <f>IF(A184&lt;&gt;"",(SDASD!D1*SDASD!C184)/SDASD!C1, "")</f>
        <v/>
      </c>
    </row>
    <row r="185" spans="3:4" x14ac:dyDescent="0.3">
      <c r="C185" s="2" t="str">
        <f>IF(A185&lt;&gt;"",SUM(B185),"")</f>
        <v/>
      </c>
      <c r="D185" s="2" t="str">
        <f>IF(A185&lt;&gt;"",(SDASD!D1*SDASD!C185)/SDASD!C1, "")</f>
        <v/>
      </c>
    </row>
    <row r="186" spans="3:4" x14ac:dyDescent="0.3">
      <c r="C186" s="2" t="str">
        <f>IF(A186&lt;&gt;"",SUM(B186),"")</f>
        <v/>
      </c>
      <c r="D186" s="2" t="str">
        <f>IF(A186&lt;&gt;"",(SDASD!D1*SDASD!C186)/SDASD!C1, "")</f>
        <v/>
      </c>
    </row>
    <row r="187" spans="3:4" x14ac:dyDescent="0.3">
      <c r="C187" s="2" t="str">
        <f>IF(A187&lt;&gt;"",SUM(B187),"")</f>
        <v/>
      </c>
      <c r="D187" s="2" t="str">
        <f>IF(A187&lt;&gt;"",(SDASD!D1*SDASD!C187)/SDASD!C1, "")</f>
        <v/>
      </c>
    </row>
    <row r="188" spans="3:4" x14ac:dyDescent="0.3">
      <c r="C188" s="2" t="str">
        <f>IF(A188&lt;&gt;"",SUM(B188),"")</f>
        <v/>
      </c>
      <c r="D188" s="2" t="str">
        <f>IF(A188&lt;&gt;"",(SDASD!D1*SDASD!C188)/SDASD!C1, "")</f>
        <v/>
      </c>
    </row>
    <row r="189" spans="3:4" x14ac:dyDescent="0.3">
      <c r="C189" s="2" t="str">
        <f>IF(A189&lt;&gt;"",SUM(B189),"")</f>
        <v/>
      </c>
      <c r="D189" s="2" t="str">
        <f>IF(A189&lt;&gt;"",(SDASD!D1*SDASD!C189)/SDASD!C1, "")</f>
        <v/>
      </c>
    </row>
    <row r="190" spans="3:4" x14ac:dyDescent="0.3">
      <c r="C190" s="2" t="str">
        <f>IF(A190&lt;&gt;"",SUM(B190),"")</f>
        <v/>
      </c>
      <c r="D190" s="2" t="str">
        <f>IF(A190&lt;&gt;"",(SDASD!D1*SDASD!C190)/SDASD!C1, "")</f>
        <v/>
      </c>
    </row>
    <row r="191" spans="3:4" x14ac:dyDescent="0.3">
      <c r="C191" s="2" t="str">
        <f>IF(A191&lt;&gt;"",SUM(B191),"")</f>
        <v/>
      </c>
      <c r="D191" s="2" t="str">
        <f>IF(A191&lt;&gt;"",(SDASD!D1*SDASD!C191)/SDASD!C1, "")</f>
        <v/>
      </c>
    </row>
    <row r="192" spans="3:4" x14ac:dyDescent="0.3">
      <c r="C192" s="2" t="str">
        <f>IF(A192&lt;&gt;"",SUM(B192),"")</f>
        <v/>
      </c>
      <c r="D192" s="2" t="str">
        <f>IF(A192&lt;&gt;"",(SDASD!D1*SDASD!C192)/SDASD!C1, "")</f>
        <v/>
      </c>
    </row>
    <row r="193" spans="3:4" x14ac:dyDescent="0.3">
      <c r="C193" s="2" t="str">
        <f>IF(A193&lt;&gt;"",SUM(B193),"")</f>
        <v/>
      </c>
      <c r="D193" s="2" t="str">
        <f>IF(A193&lt;&gt;"",(SDASD!D1*SDASD!C193)/SDASD!C1, "")</f>
        <v/>
      </c>
    </row>
    <row r="194" spans="3:4" x14ac:dyDescent="0.3">
      <c r="C194" s="2" t="str">
        <f>IF(A194&lt;&gt;"",SUM(B194),"")</f>
        <v/>
      </c>
      <c r="D194" s="2" t="str">
        <f>IF(A194&lt;&gt;"",(SDASD!D1*SDASD!C194)/SDASD!C1, "")</f>
        <v/>
      </c>
    </row>
    <row r="195" spans="3:4" x14ac:dyDescent="0.3">
      <c r="C195" s="2" t="str">
        <f>IF(A195&lt;&gt;"",SUM(B195),"")</f>
        <v/>
      </c>
      <c r="D195" s="2" t="str">
        <f>IF(A195&lt;&gt;"",(SDASD!D1*SDASD!C195)/SDASD!C1, "")</f>
        <v/>
      </c>
    </row>
    <row r="196" spans="3:4" x14ac:dyDescent="0.3">
      <c r="C196" s="2" t="str">
        <f>IF(A196&lt;&gt;"",SUM(B196),"")</f>
        <v/>
      </c>
      <c r="D196" s="2" t="str">
        <f>IF(A196&lt;&gt;"",(SDASD!D1*SDASD!C196)/SDASD!C1, "")</f>
        <v/>
      </c>
    </row>
    <row r="197" spans="3:4" x14ac:dyDescent="0.3">
      <c r="C197" s="2" t="str">
        <f>IF(A197&lt;&gt;"",SUM(B197),"")</f>
        <v/>
      </c>
      <c r="D197" s="2" t="str">
        <f>IF(A197&lt;&gt;"",(SDASD!D1*SDASD!C197)/SDASD!C1, "")</f>
        <v/>
      </c>
    </row>
    <row r="198" spans="3:4" x14ac:dyDescent="0.3">
      <c r="C198" s="2" t="str">
        <f>IF(A198&lt;&gt;"",SUM(B198),"")</f>
        <v/>
      </c>
      <c r="D198" s="2" t="str">
        <f>IF(A198&lt;&gt;"",(SDASD!D1*SDASD!C198)/SDASD!C1, "")</f>
        <v/>
      </c>
    </row>
    <row r="199" spans="3:4" x14ac:dyDescent="0.3">
      <c r="C199" s="2" t="str">
        <f>IF(A199&lt;&gt;"",SUM(B199),"")</f>
        <v/>
      </c>
      <c r="D199" s="2" t="str">
        <f>IF(A199&lt;&gt;"",(SDASD!D1*SDASD!C199)/SDASD!C1, "")</f>
        <v/>
      </c>
    </row>
    <row r="200" spans="3:4" x14ac:dyDescent="0.3">
      <c r="C200" s="2" t="str">
        <f>IF(A200&lt;&gt;"",SUM(B200),"")</f>
        <v/>
      </c>
      <c r="D200" s="2" t="str">
        <f>IF(A200&lt;&gt;"",(SDASD!D1*SDASD!C200)/SDASD!C1, "")</f>
        <v/>
      </c>
    </row>
    <row r="201" spans="3:4" x14ac:dyDescent="0.3">
      <c r="C201" s="2" t="str">
        <f>IF(A201&lt;&gt;"",SUM(B201),"")</f>
        <v/>
      </c>
      <c r="D201" s="2" t="str">
        <f>IF(A201&lt;&gt;"",(SDASD!D1*SDASD!C201)/SDASD!C1, "")</f>
        <v/>
      </c>
    </row>
    <row r="202" spans="3:4" x14ac:dyDescent="0.3">
      <c r="C202" s="2" t="str">
        <f>IF(A202&lt;&gt;"",SUM(B202),"")</f>
        <v/>
      </c>
      <c r="D202" s="2" t="str">
        <f>IF(A202&lt;&gt;"",(SDASD!D1*SDASD!C202)/SDASD!C1, "")</f>
        <v/>
      </c>
    </row>
    <row r="203" spans="3:4" x14ac:dyDescent="0.3">
      <c r="C203" s="2" t="str">
        <f>IF(A203&lt;&gt;"",SUM(B203),"")</f>
        <v/>
      </c>
      <c r="D203" s="2" t="str">
        <f>IF(A203&lt;&gt;"",(SDASD!D1*SDASD!C203)/SDASD!C1, "")</f>
        <v/>
      </c>
    </row>
    <row r="204" spans="3:4" x14ac:dyDescent="0.3">
      <c r="C204" s="2" t="str">
        <f>IF(A204&lt;&gt;"",SUM(B204),"")</f>
        <v/>
      </c>
      <c r="D204" s="2" t="str">
        <f>IF(A204&lt;&gt;"",(SDASD!D1*SDASD!C204)/SDASD!C1, "")</f>
        <v/>
      </c>
    </row>
    <row r="205" spans="3:4" x14ac:dyDescent="0.3">
      <c r="C205" s="2" t="str">
        <f>IF(A205&lt;&gt;"",SUM(B205),"")</f>
        <v/>
      </c>
      <c r="D205" s="2" t="str">
        <f>IF(A205&lt;&gt;"",(SDASD!D1*SDASD!C205)/SDASD!C1, "")</f>
        <v/>
      </c>
    </row>
    <row r="206" spans="3:4" x14ac:dyDescent="0.3">
      <c r="C206" s="2" t="str">
        <f>IF(A206&lt;&gt;"",SUM(B206),"")</f>
        <v/>
      </c>
      <c r="D206" s="2" t="str">
        <f>IF(A206&lt;&gt;"",(SDASD!D1*SDASD!C206)/SDASD!C1, "")</f>
        <v/>
      </c>
    </row>
    <row r="207" spans="3:4" x14ac:dyDescent="0.3">
      <c r="C207" s="2" t="str">
        <f>IF(A207&lt;&gt;"",SUM(B207),"")</f>
        <v/>
      </c>
      <c r="D207" s="2" t="str">
        <f>IF(A207&lt;&gt;"",(SDASD!D1*SDASD!C207)/SDASD!C1, "")</f>
        <v/>
      </c>
    </row>
    <row r="208" spans="3:4" x14ac:dyDescent="0.3">
      <c r="C208" s="2" t="str">
        <f>IF(A208&lt;&gt;"",SUM(B208),"")</f>
        <v/>
      </c>
      <c r="D208" s="2" t="str">
        <f>IF(A208&lt;&gt;"",(SDASD!D1*SDASD!C208)/SDASD!C1, "")</f>
        <v/>
      </c>
    </row>
    <row r="209" spans="3:4" x14ac:dyDescent="0.3">
      <c r="C209" s="2" t="str">
        <f>IF(A209&lt;&gt;"",SUM(B209),"")</f>
        <v/>
      </c>
      <c r="D209" s="2" t="str">
        <f>IF(A209&lt;&gt;"",(SDASD!D1*SDASD!C209)/SDASD!C1, "")</f>
        <v/>
      </c>
    </row>
    <row r="210" spans="3:4" x14ac:dyDescent="0.3">
      <c r="C210" s="2" t="str">
        <f>IF(A210&lt;&gt;"",SUM(B210),"")</f>
        <v/>
      </c>
      <c r="D210" s="2" t="str">
        <f>IF(A210&lt;&gt;"",(SDASD!D1*SDASD!C210)/SDASD!C1, "")</f>
        <v/>
      </c>
    </row>
    <row r="211" spans="3:4" x14ac:dyDescent="0.3">
      <c r="C211" s="2" t="str">
        <f>IF(A211&lt;&gt;"",SUM(B211),"")</f>
        <v/>
      </c>
      <c r="D211" s="2" t="str">
        <f>IF(A211&lt;&gt;"",(SDASD!D1*SDASD!C211)/SDASD!C1, "")</f>
        <v/>
      </c>
    </row>
    <row r="212" spans="3:4" x14ac:dyDescent="0.3">
      <c r="C212" s="2" t="str">
        <f>IF(A212&lt;&gt;"",SUM(B212),"")</f>
        <v/>
      </c>
      <c r="D212" s="2" t="str">
        <f>IF(A212&lt;&gt;"",(SDASD!D1*SDASD!C212)/SDASD!C1, "")</f>
        <v/>
      </c>
    </row>
    <row r="213" spans="3:4" x14ac:dyDescent="0.3">
      <c r="C213" s="2" t="str">
        <f>IF(A213&lt;&gt;"",SUM(B213),"")</f>
        <v/>
      </c>
      <c r="D213" s="2" t="str">
        <f>IF(A213&lt;&gt;"",(SDASD!D1*SDASD!C213)/SDASD!C1, "")</f>
        <v/>
      </c>
    </row>
    <row r="214" spans="3:4" x14ac:dyDescent="0.3">
      <c r="C214" s="2" t="str">
        <f>IF(A214&lt;&gt;"",SUM(B214),"")</f>
        <v/>
      </c>
      <c r="D214" s="2" t="str">
        <f>IF(A214&lt;&gt;"",(SDASD!D1*SDASD!C214)/SDASD!C1, "")</f>
        <v/>
      </c>
    </row>
    <row r="215" spans="3:4" x14ac:dyDescent="0.3">
      <c r="C215" s="2" t="str">
        <f>IF(A215&lt;&gt;"",SUM(B215),"")</f>
        <v/>
      </c>
      <c r="D215" s="2" t="str">
        <f>IF(A215&lt;&gt;"",(SDASD!D1*SDASD!C215)/SDASD!C1, "")</f>
        <v/>
      </c>
    </row>
    <row r="216" spans="3:4" x14ac:dyDescent="0.3">
      <c r="C216" s="2" t="str">
        <f>IF(A216&lt;&gt;"",SUM(B216),"")</f>
        <v/>
      </c>
      <c r="D216" s="2" t="str">
        <f>IF(A216&lt;&gt;"",(SDASD!D1*SDASD!C216)/SDASD!C1, "")</f>
        <v/>
      </c>
    </row>
    <row r="217" spans="3:4" x14ac:dyDescent="0.3">
      <c r="C217" s="2" t="str">
        <f>IF(A217&lt;&gt;"",SUM(B217),"")</f>
        <v/>
      </c>
      <c r="D217" s="2" t="str">
        <f>IF(A217&lt;&gt;"",(SDASD!D1*SDASD!C217)/SDASD!C1, "")</f>
        <v/>
      </c>
    </row>
    <row r="218" spans="3:4" x14ac:dyDescent="0.3">
      <c r="C218" s="2" t="str">
        <f>IF(A218&lt;&gt;"",SUM(B218),"")</f>
        <v/>
      </c>
      <c r="D218" s="2" t="str">
        <f>IF(A218&lt;&gt;"",(SDASD!D1*SDASD!C218)/SDASD!C1, "")</f>
        <v/>
      </c>
    </row>
    <row r="219" spans="3:4" x14ac:dyDescent="0.3">
      <c r="C219" s="2" t="str">
        <f>IF(A219&lt;&gt;"",SUM(B219),"")</f>
        <v/>
      </c>
      <c r="D219" s="2" t="str">
        <f>IF(A219&lt;&gt;"",(SDASD!D1*SDASD!C219)/SDASD!C1, "")</f>
        <v/>
      </c>
    </row>
    <row r="220" spans="3:4" x14ac:dyDescent="0.3">
      <c r="C220" s="2" t="str">
        <f>IF(A220&lt;&gt;"",SUM(B220),"")</f>
        <v/>
      </c>
      <c r="D220" s="2" t="str">
        <f>IF(A220&lt;&gt;"",(SDASD!D1*SDASD!C220)/SDASD!C1, "")</f>
        <v/>
      </c>
    </row>
    <row r="221" spans="3:4" x14ac:dyDescent="0.3">
      <c r="C221" s="2" t="str">
        <f>IF(A221&lt;&gt;"",SUM(B221),"")</f>
        <v/>
      </c>
      <c r="D221" s="2" t="str">
        <f>IF(A221&lt;&gt;"",(SDASD!D1*SDASD!C221)/SDASD!C1, "")</f>
        <v/>
      </c>
    </row>
    <row r="222" spans="3:4" x14ac:dyDescent="0.3">
      <c r="C222" s="2" t="str">
        <f>IF(A222&lt;&gt;"",SUM(B222),"")</f>
        <v/>
      </c>
      <c r="D222" s="2" t="str">
        <f>IF(A222&lt;&gt;"",(SDASD!D1*SDASD!C222)/SDASD!C1, "")</f>
        <v/>
      </c>
    </row>
    <row r="223" spans="3:4" x14ac:dyDescent="0.3">
      <c r="C223" s="2" t="str">
        <f>IF(A223&lt;&gt;"",SUM(B223),"")</f>
        <v/>
      </c>
      <c r="D223" s="2" t="str">
        <f>IF(A223&lt;&gt;"",(SDASD!D1*SDASD!C223)/SDASD!C1, "")</f>
        <v/>
      </c>
    </row>
    <row r="224" spans="3:4" x14ac:dyDescent="0.3">
      <c r="C224" s="2" t="str">
        <f>IF(A224&lt;&gt;"",SUM(B224),"")</f>
        <v/>
      </c>
      <c r="D224" s="2" t="str">
        <f>IF(A224&lt;&gt;"",(SDASD!D1*SDASD!C224)/SDASD!C1, "")</f>
        <v/>
      </c>
    </row>
    <row r="225" spans="3:4" x14ac:dyDescent="0.3">
      <c r="C225" s="2" t="str">
        <f>IF(A225&lt;&gt;"",SUM(B225),"")</f>
        <v/>
      </c>
      <c r="D225" s="2" t="str">
        <f>IF(A225&lt;&gt;"",(SDASD!D1*SDASD!C225)/SDASD!C1, "")</f>
        <v/>
      </c>
    </row>
    <row r="226" spans="3:4" x14ac:dyDescent="0.3">
      <c r="C226" s="2" t="str">
        <f>IF(A226&lt;&gt;"",SUM(B226),"")</f>
        <v/>
      </c>
      <c r="D226" s="2" t="str">
        <f>IF(A226&lt;&gt;"",(SDASD!D1*SDASD!C226)/SDASD!C1, "")</f>
        <v/>
      </c>
    </row>
    <row r="227" spans="3:4" x14ac:dyDescent="0.3">
      <c r="C227" s="2" t="str">
        <f>IF(A227&lt;&gt;"",SUM(B227),"")</f>
        <v/>
      </c>
      <c r="D227" s="2" t="str">
        <f>IF(A227&lt;&gt;"",(SDASD!D1*SDASD!C227)/SDASD!C1, "")</f>
        <v/>
      </c>
    </row>
    <row r="228" spans="3:4" x14ac:dyDescent="0.3">
      <c r="C228" s="2" t="str">
        <f>IF(A228&lt;&gt;"",SUM(B228),"")</f>
        <v/>
      </c>
      <c r="D228" s="2" t="str">
        <f>IF(A228&lt;&gt;"",(SDASD!D1*SDASD!C228)/SDASD!C1, "")</f>
        <v/>
      </c>
    </row>
    <row r="229" spans="3:4" x14ac:dyDescent="0.3">
      <c r="C229" s="2" t="str">
        <f>IF(A229&lt;&gt;"",SUM(B229),"")</f>
        <v/>
      </c>
      <c r="D229" s="2" t="str">
        <f>IF(A229&lt;&gt;"",(SDASD!D1*SDASD!C229)/SDASD!C1, "")</f>
        <v/>
      </c>
    </row>
    <row r="230" spans="3:4" x14ac:dyDescent="0.3">
      <c r="C230" s="2" t="str">
        <f>IF(A230&lt;&gt;"",SUM(B230),"")</f>
        <v/>
      </c>
      <c r="D230" s="2" t="str">
        <f>IF(A230&lt;&gt;"",(SDASD!D1*SDASD!C230)/SDASD!C1, "")</f>
        <v/>
      </c>
    </row>
    <row r="231" spans="3:4" x14ac:dyDescent="0.3">
      <c r="C231" s="2" t="str">
        <f>IF(A231&lt;&gt;"",SUM(B231),"")</f>
        <v/>
      </c>
      <c r="D231" s="2" t="str">
        <f>IF(A231&lt;&gt;"",(SDASD!D1*SDASD!C231)/SDASD!C1, "")</f>
        <v/>
      </c>
    </row>
    <row r="232" spans="3:4" x14ac:dyDescent="0.3">
      <c r="C232" s="2" t="str">
        <f>IF(A232&lt;&gt;"",SUM(B232),"")</f>
        <v/>
      </c>
      <c r="D232" s="2" t="str">
        <f>IF(A232&lt;&gt;"",(SDASD!D1*SDASD!C232)/SDASD!C1, "")</f>
        <v/>
      </c>
    </row>
    <row r="233" spans="3:4" x14ac:dyDescent="0.3">
      <c r="C233" s="2" t="str">
        <f>IF(A233&lt;&gt;"",SUM(B233),"")</f>
        <v/>
      </c>
      <c r="D233" s="2" t="str">
        <f>IF(A233&lt;&gt;"",(SDASD!D1*SDASD!C233)/SDASD!C1, "")</f>
        <v/>
      </c>
    </row>
    <row r="234" spans="3:4" x14ac:dyDescent="0.3">
      <c r="C234" s="2" t="str">
        <f>IF(A234&lt;&gt;"",SUM(B234),"")</f>
        <v/>
      </c>
      <c r="D234" s="2" t="str">
        <f>IF(A234&lt;&gt;"",(SDASD!D1*SDASD!C234)/SDASD!C1, "")</f>
        <v/>
      </c>
    </row>
    <row r="235" spans="3:4" x14ac:dyDescent="0.3">
      <c r="C235" s="2" t="str">
        <f>IF(A235&lt;&gt;"",SUM(B235),"")</f>
        <v/>
      </c>
      <c r="D235" s="2" t="str">
        <f>IF(A235&lt;&gt;"",(SDASD!D1*SDASD!C235)/SDASD!C1, "")</f>
        <v/>
      </c>
    </row>
    <row r="236" spans="3:4" x14ac:dyDescent="0.3">
      <c r="C236" s="2" t="str">
        <f>IF(A236&lt;&gt;"",SUM(B236),"")</f>
        <v/>
      </c>
      <c r="D236" s="2" t="str">
        <f>IF(A236&lt;&gt;"",(SDASD!D1*SDASD!C236)/SDASD!C1, "")</f>
        <v/>
      </c>
    </row>
    <row r="237" spans="3:4" x14ac:dyDescent="0.3">
      <c r="C237" s="2" t="str">
        <f>IF(A237&lt;&gt;"",SUM(B237),"")</f>
        <v/>
      </c>
      <c r="D237" s="2" t="str">
        <f>IF(A237&lt;&gt;"",(SDASD!D1*SDASD!C237)/SDASD!C1, "")</f>
        <v/>
      </c>
    </row>
    <row r="238" spans="3:4" x14ac:dyDescent="0.3">
      <c r="C238" s="2" t="str">
        <f>IF(A238&lt;&gt;"",SUM(B238),"")</f>
        <v/>
      </c>
      <c r="D238" s="2" t="str">
        <f>IF(A238&lt;&gt;"",(SDASD!D1*SDASD!C238)/SDASD!C1, "")</f>
        <v/>
      </c>
    </row>
    <row r="239" spans="3:4" x14ac:dyDescent="0.3">
      <c r="C239" s="2" t="str">
        <f>IF(A239&lt;&gt;"",SUM(B239),"")</f>
        <v/>
      </c>
      <c r="D239" s="2" t="str">
        <f>IF(A239&lt;&gt;"",(SDASD!D1*SDASD!C239)/SDASD!C1, "")</f>
        <v/>
      </c>
    </row>
    <row r="240" spans="3:4" x14ac:dyDescent="0.3">
      <c r="C240" s="2" t="str">
        <f>IF(A240&lt;&gt;"",SUM(B240),"")</f>
        <v/>
      </c>
      <c r="D240" s="2" t="str">
        <f>IF(A240&lt;&gt;"",(SDASD!D1*SDASD!C240)/SDASD!C1, "")</f>
        <v/>
      </c>
    </row>
    <row r="241" spans="3:4" x14ac:dyDescent="0.3">
      <c r="C241" s="2" t="str">
        <f>IF(A241&lt;&gt;"",SUM(B241),"")</f>
        <v/>
      </c>
      <c r="D241" s="2" t="str">
        <f>IF(A241&lt;&gt;"",(SDASD!D1*SDASD!C241)/SDASD!C1, "")</f>
        <v/>
      </c>
    </row>
    <row r="242" spans="3:4" x14ac:dyDescent="0.3">
      <c r="C242" s="2" t="str">
        <f>IF(A242&lt;&gt;"",SUM(B242),"")</f>
        <v/>
      </c>
      <c r="D242" s="2" t="str">
        <f>IF(A242&lt;&gt;"",(SDASD!D1*SDASD!C242)/SDASD!C1, "")</f>
        <v/>
      </c>
    </row>
    <row r="243" spans="3:4" x14ac:dyDescent="0.3">
      <c r="C243" s="2" t="str">
        <f>IF(A243&lt;&gt;"",SUM(B243),"")</f>
        <v/>
      </c>
      <c r="D243" s="2" t="str">
        <f>IF(A243&lt;&gt;"",(SDASD!D1*SDASD!C243)/SDASD!C1, "")</f>
        <v/>
      </c>
    </row>
    <row r="244" spans="3:4" x14ac:dyDescent="0.3">
      <c r="C244" s="2" t="str">
        <f>IF(A244&lt;&gt;"",SUM(B244),"")</f>
        <v/>
      </c>
      <c r="D244" s="2" t="str">
        <f>IF(A244&lt;&gt;"",(SDASD!D1*SDASD!C244)/SDASD!C1, "")</f>
        <v/>
      </c>
    </row>
    <row r="245" spans="3:4" x14ac:dyDescent="0.3">
      <c r="C245" s="2" t="str">
        <f>IF(A245&lt;&gt;"",SUM(B245),"")</f>
        <v/>
      </c>
      <c r="D245" s="2" t="str">
        <f>IF(A245&lt;&gt;"",(SDASD!D1*SDASD!C245)/SDASD!C1, "")</f>
        <v/>
      </c>
    </row>
    <row r="246" spans="3:4" x14ac:dyDescent="0.3">
      <c r="C246" s="2" t="str">
        <f>IF(A246&lt;&gt;"",SUM(B246),"")</f>
        <v/>
      </c>
      <c r="D246" s="2" t="str">
        <f>IF(A246&lt;&gt;"",(SDASD!D1*SDASD!C246)/SDASD!C1, "")</f>
        <v/>
      </c>
    </row>
    <row r="247" spans="3:4" x14ac:dyDescent="0.3">
      <c r="C247" s="2" t="str">
        <f>IF(A247&lt;&gt;"",SUM(B247),"")</f>
        <v/>
      </c>
      <c r="D247" s="2" t="str">
        <f>IF(A247&lt;&gt;"",(SDASD!D1*SDASD!C247)/SDASD!C1, "")</f>
        <v/>
      </c>
    </row>
    <row r="248" spans="3:4" x14ac:dyDescent="0.3">
      <c r="C248" s="2" t="str">
        <f>IF(A248&lt;&gt;"",SUM(B248),"")</f>
        <v/>
      </c>
      <c r="D248" s="2" t="str">
        <f>IF(A248&lt;&gt;"",(SDASD!D1*SDASD!C248)/SDASD!C1, "")</f>
        <v/>
      </c>
    </row>
    <row r="249" spans="3:4" x14ac:dyDescent="0.3">
      <c r="C249" s="2" t="str">
        <f>IF(A249&lt;&gt;"",SUM(B249),"")</f>
        <v/>
      </c>
      <c r="D249" s="2" t="str">
        <f>IF(A249&lt;&gt;"",(SDASD!D1*SDASD!C249)/SDASD!C1, "")</f>
        <v/>
      </c>
    </row>
    <row r="250" spans="3:4" x14ac:dyDescent="0.3">
      <c r="C250" s="2" t="str">
        <f>IF(A250&lt;&gt;"",SUM(B250),"")</f>
        <v/>
      </c>
      <c r="D250" s="2" t="str">
        <f>IF(A250&lt;&gt;"",(SDASD!D1*SDASD!C250)/SDASD!C1, "")</f>
        <v/>
      </c>
    </row>
  </sheetData>
  <conditionalFormatting sqref="B3">
    <cfRule type="cellIs" dxfId="247" priority="1" stopIfTrue="1" operator="greaterThan">
      <formula>4</formula>
    </cfRule>
  </conditionalFormatting>
  <conditionalFormatting sqref="B4">
    <cfRule type="cellIs" dxfId="246" priority="2" stopIfTrue="1" operator="greaterThan">
      <formula>4</formula>
    </cfRule>
  </conditionalFormatting>
  <conditionalFormatting sqref="B5">
    <cfRule type="cellIs" dxfId="245" priority="3" stopIfTrue="1" operator="greaterThan">
      <formula>4</formula>
    </cfRule>
  </conditionalFormatting>
  <conditionalFormatting sqref="B6">
    <cfRule type="cellIs" dxfId="244" priority="4" stopIfTrue="1" operator="greaterThan">
      <formula>4</formula>
    </cfRule>
  </conditionalFormatting>
  <conditionalFormatting sqref="B7">
    <cfRule type="cellIs" dxfId="243" priority="5" stopIfTrue="1" operator="greaterThan">
      <formula>4</formula>
    </cfRule>
  </conditionalFormatting>
  <conditionalFormatting sqref="B8">
    <cfRule type="cellIs" dxfId="242" priority="6" stopIfTrue="1" operator="greaterThan">
      <formula>4</formula>
    </cfRule>
  </conditionalFormatting>
  <conditionalFormatting sqref="B9">
    <cfRule type="cellIs" dxfId="241" priority="7" stopIfTrue="1" operator="greaterThan">
      <formula>4</formula>
    </cfRule>
  </conditionalFormatting>
  <conditionalFormatting sqref="B10">
    <cfRule type="cellIs" dxfId="240" priority="8" stopIfTrue="1" operator="greaterThan">
      <formula>4</formula>
    </cfRule>
  </conditionalFormatting>
  <conditionalFormatting sqref="B11">
    <cfRule type="cellIs" dxfId="239" priority="9" stopIfTrue="1" operator="greaterThan">
      <formula>4</formula>
    </cfRule>
  </conditionalFormatting>
  <conditionalFormatting sqref="B12">
    <cfRule type="cellIs" dxfId="238" priority="10" stopIfTrue="1" operator="greaterThan">
      <formula>4</formula>
    </cfRule>
  </conditionalFormatting>
  <conditionalFormatting sqref="B13">
    <cfRule type="cellIs" dxfId="237" priority="11" stopIfTrue="1" operator="greaterThan">
      <formula>4</formula>
    </cfRule>
  </conditionalFormatting>
  <conditionalFormatting sqref="B14">
    <cfRule type="cellIs" dxfId="236" priority="12" stopIfTrue="1" operator="greaterThan">
      <formula>4</formula>
    </cfRule>
  </conditionalFormatting>
  <conditionalFormatting sqref="B15">
    <cfRule type="cellIs" dxfId="235" priority="13" stopIfTrue="1" operator="greaterThan">
      <formula>4</formula>
    </cfRule>
  </conditionalFormatting>
  <conditionalFormatting sqref="B16">
    <cfRule type="cellIs" dxfId="234" priority="14" stopIfTrue="1" operator="greaterThan">
      <formula>4</formula>
    </cfRule>
  </conditionalFormatting>
  <conditionalFormatting sqref="B17">
    <cfRule type="cellIs" dxfId="233" priority="15" stopIfTrue="1" operator="greaterThan">
      <formula>4</formula>
    </cfRule>
  </conditionalFormatting>
  <conditionalFormatting sqref="B18">
    <cfRule type="cellIs" dxfId="232" priority="16" stopIfTrue="1" operator="greaterThan">
      <formula>4</formula>
    </cfRule>
  </conditionalFormatting>
  <conditionalFormatting sqref="B19">
    <cfRule type="cellIs" dxfId="231" priority="17" stopIfTrue="1" operator="greaterThan">
      <formula>4</formula>
    </cfRule>
  </conditionalFormatting>
  <conditionalFormatting sqref="B20">
    <cfRule type="cellIs" dxfId="230" priority="18" stopIfTrue="1" operator="greaterThan">
      <formula>4</formula>
    </cfRule>
  </conditionalFormatting>
  <conditionalFormatting sqref="B21">
    <cfRule type="cellIs" dxfId="229" priority="19" stopIfTrue="1" operator="greaterThan">
      <formula>4</formula>
    </cfRule>
  </conditionalFormatting>
  <conditionalFormatting sqref="B22">
    <cfRule type="cellIs" dxfId="228" priority="20" stopIfTrue="1" operator="greaterThan">
      <formula>4</formula>
    </cfRule>
  </conditionalFormatting>
  <conditionalFormatting sqref="B23">
    <cfRule type="cellIs" dxfId="227" priority="21" stopIfTrue="1" operator="greaterThan">
      <formula>4</formula>
    </cfRule>
  </conditionalFormatting>
  <conditionalFormatting sqref="B24">
    <cfRule type="cellIs" dxfId="226" priority="22" stopIfTrue="1" operator="greaterThan">
      <formula>4</formula>
    </cfRule>
  </conditionalFormatting>
  <conditionalFormatting sqref="B25">
    <cfRule type="cellIs" dxfId="225" priority="23" stopIfTrue="1" operator="greaterThan">
      <formula>4</formula>
    </cfRule>
  </conditionalFormatting>
  <conditionalFormatting sqref="B26">
    <cfRule type="cellIs" dxfId="224" priority="24" stopIfTrue="1" operator="greaterThan">
      <formula>4</formula>
    </cfRule>
  </conditionalFormatting>
  <conditionalFormatting sqref="B27">
    <cfRule type="cellIs" dxfId="223" priority="25" stopIfTrue="1" operator="greaterThan">
      <formula>4</formula>
    </cfRule>
  </conditionalFormatting>
  <conditionalFormatting sqref="B28">
    <cfRule type="cellIs" dxfId="222" priority="26" stopIfTrue="1" operator="greaterThan">
      <formula>4</formula>
    </cfRule>
  </conditionalFormatting>
  <conditionalFormatting sqref="B29">
    <cfRule type="cellIs" dxfId="221" priority="27" stopIfTrue="1" operator="greaterThan">
      <formula>4</formula>
    </cfRule>
  </conditionalFormatting>
  <conditionalFormatting sqref="B30">
    <cfRule type="cellIs" dxfId="220" priority="28" stopIfTrue="1" operator="greaterThan">
      <formula>4</formula>
    </cfRule>
  </conditionalFormatting>
  <conditionalFormatting sqref="B31">
    <cfRule type="cellIs" dxfId="219" priority="29" stopIfTrue="1" operator="greaterThan">
      <formula>4</formula>
    </cfRule>
  </conditionalFormatting>
  <conditionalFormatting sqref="B32">
    <cfRule type="cellIs" dxfId="218" priority="30" stopIfTrue="1" operator="greaterThan">
      <formula>4</formula>
    </cfRule>
  </conditionalFormatting>
  <conditionalFormatting sqref="B33">
    <cfRule type="cellIs" dxfId="217" priority="31" stopIfTrue="1" operator="greaterThan">
      <formula>4</formula>
    </cfRule>
  </conditionalFormatting>
  <conditionalFormatting sqref="B34">
    <cfRule type="cellIs" dxfId="216" priority="32" stopIfTrue="1" operator="greaterThan">
      <formula>4</formula>
    </cfRule>
  </conditionalFormatting>
  <conditionalFormatting sqref="B35">
    <cfRule type="cellIs" dxfId="215" priority="33" stopIfTrue="1" operator="greaterThan">
      <formula>4</formula>
    </cfRule>
  </conditionalFormatting>
  <conditionalFormatting sqref="B36">
    <cfRule type="cellIs" dxfId="214" priority="34" stopIfTrue="1" operator="greaterThan">
      <formula>4</formula>
    </cfRule>
  </conditionalFormatting>
  <conditionalFormatting sqref="B37">
    <cfRule type="cellIs" dxfId="213" priority="35" stopIfTrue="1" operator="greaterThan">
      <formula>4</formula>
    </cfRule>
  </conditionalFormatting>
  <conditionalFormatting sqref="B38">
    <cfRule type="cellIs" dxfId="212" priority="36" stopIfTrue="1" operator="greaterThan">
      <formula>4</formula>
    </cfRule>
  </conditionalFormatting>
  <conditionalFormatting sqref="B39">
    <cfRule type="cellIs" dxfId="211" priority="37" stopIfTrue="1" operator="greaterThan">
      <formula>4</formula>
    </cfRule>
  </conditionalFormatting>
  <conditionalFormatting sqref="B40">
    <cfRule type="cellIs" dxfId="210" priority="38" stopIfTrue="1" operator="greaterThan">
      <formula>4</formula>
    </cfRule>
  </conditionalFormatting>
  <conditionalFormatting sqref="B41">
    <cfRule type="cellIs" dxfId="209" priority="39" stopIfTrue="1" operator="greaterThan">
      <formula>4</formula>
    </cfRule>
  </conditionalFormatting>
  <conditionalFormatting sqref="B42">
    <cfRule type="cellIs" dxfId="208" priority="40" stopIfTrue="1" operator="greaterThan">
      <formula>4</formula>
    </cfRule>
  </conditionalFormatting>
  <conditionalFormatting sqref="B43">
    <cfRule type="cellIs" dxfId="207" priority="41" stopIfTrue="1" operator="greaterThan">
      <formula>4</formula>
    </cfRule>
  </conditionalFormatting>
  <conditionalFormatting sqref="B44">
    <cfRule type="cellIs" dxfId="206" priority="42" stopIfTrue="1" operator="greaterThan">
      <formula>4</formula>
    </cfRule>
  </conditionalFormatting>
  <conditionalFormatting sqref="B45">
    <cfRule type="cellIs" dxfId="205" priority="43" stopIfTrue="1" operator="greaterThan">
      <formula>4</formula>
    </cfRule>
  </conditionalFormatting>
  <conditionalFormatting sqref="B46">
    <cfRule type="cellIs" dxfId="204" priority="44" stopIfTrue="1" operator="greaterThan">
      <formula>4</formula>
    </cfRule>
  </conditionalFormatting>
  <conditionalFormatting sqref="B47">
    <cfRule type="cellIs" dxfId="203" priority="45" stopIfTrue="1" operator="greaterThan">
      <formula>4</formula>
    </cfRule>
  </conditionalFormatting>
  <conditionalFormatting sqref="B48">
    <cfRule type="cellIs" dxfId="202" priority="46" stopIfTrue="1" operator="greaterThan">
      <formula>4</formula>
    </cfRule>
  </conditionalFormatting>
  <conditionalFormatting sqref="B49">
    <cfRule type="cellIs" dxfId="201" priority="47" stopIfTrue="1" operator="greaterThan">
      <formula>4</formula>
    </cfRule>
  </conditionalFormatting>
  <conditionalFormatting sqref="B50">
    <cfRule type="cellIs" dxfId="200" priority="48" stopIfTrue="1" operator="greaterThan">
      <formula>4</formula>
    </cfRule>
  </conditionalFormatting>
  <conditionalFormatting sqref="B51">
    <cfRule type="cellIs" dxfId="199" priority="49" stopIfTrue="1" operator="greaterThan">
      <formula>4</formula>
    </cfRule>
  </conditionalFormatting>
  <conditionalFormatting sqref="B52">
    <cfRule type="cellIs" dxfId="198" priority="50" stopIfTrue="1" operator="greaterThan">
      <formula>4</formula>
    </cfRule>
  </conditionalFormatting>
  <conditionalFormatting sqref="B53">
    <cfRule type="cellIs" dxfId="197" priority="51" stopIfTrue="1" operator="greaterThan">
      <formula>4</formula>
    </cfRule>
  </conditionalFormatting>
  <conditionalFormatting sqref="B54">
    <cfRule type="cellIs" dxfId="196" priority="52" stopIfTrue="1" operator="greaterThan">
      <formula>4</formula>
    </cfRule>
  </conditionalFormatting>
  <conditionalFormatting sqref="B55">
    <cfRule type="cellIs" dxfId="195" priority="53" stopIfTrue="1" operator="greaterThan">
      <formula>4</formula>
    </cfRule>
  </conditionalFormatting>
  <conditionalFormatting sqref="B56">
    <cfRule type="cellIs" dxfId="194" priority="54" stopIfTrue="1" operator="greaterThan">
      <formula>4</formula>
    </cfRule>
  </conditionalFormatting>
  <conditionalFormatting sqref="B57">
    <cfRule type="cellIs" dxfId="193" priority="55" stopIfTrue="1" operator="greaterThan">
      <formula>4</formula>
    </cfRule>
  </conditionalFormatting>
  <conditionalFormatting sqref="B58">
    <cfRule type="cellIs" dxfId="192" priority="56" stopIfTrue="1" operator="greaterThan">
      <formula>4</formula>
    </cfRule>
  </conditionalFormatting>
  <conditionalFormatting sqref="B59">
    <cfRule type="cellIs" dxfId="191" priority="57" stopIfTrue="1" operator="greaterThan">
      <formula>4</formula>
    </cfRule>
  </conditionalFormatting>
  <conditionalFormatting sqref="B60">
    <cfRule type="cellIs" dxfId="190" priority="58" stopIfTrue="1" operator="greaterThan">
      <formula>4</formula>
    </cfRule>
  </conditionalFormatting>
  <conditionalFormatting sqref="B61">
    <cfRule type="cellIs" dxfId="189" priority="59" stopIfTrue="1" operator="greaterThan">
      <formula>4</formula>
    </cfRule>
  </conditionalFormatting>
  <conditionalFormatting sqref="B62">
    <cfRule type="cellIs" dxfId="188" priority="60" stopIfTrue="1" operator="greaterThan">
      <formula>4</formula>
    </cfRule>
  </conditionalFormatting>
  <conditionalFormatting sqref="B63">
    <cfRule type="cellIs" dxfId="187" priority="61" stopIfTrue="1" operator="greaterThan">
      <formula>4</formula>
    </cfRule>
  </conditionalFormatting>
  <conditionalFormatting sqref="B64">
    <cfRule type="cellIs" dxfId="186" priority="62" stopIfTrue="1" operator="greaterThan">
      <formula>4</formula>
    </cfRule>
  </conditionalFormatting>
  <conditionalFormatting sqref="B65">
    <cfRule type="cellIs" dxfId="185" priority="63" stopIfTrue="1" operator="greaterThan">
      <formula>4</formula>
    </cfRule>
  </conditionalFormatting>
  <conditionalFormatting sqref="B66">
    <cfRule type="cellIs" dxfId="184" priority="64" stopIfTrue="1" operator="greaterThan">
      <formula>4</formula>
    </cfRule>
  </conditionalFormatting>
  <conditionalFormatting sqref="B67">
    <cfRule type="cellIs" dxfId="183" priority="65" stopIfTrue="1" operator="greaterThan">
      <formula>4</formula>
    </cfRule>
  </conditionalFormatting>
  <conditionalFormatting sqref="B68">
    <cfRule type="cellIs" dxfId="182" priority="66" stopIfTrue="1" operator="greaterThan">
      <formula>4</formula>
    </cfRule>
  </conditionalFormatting>
  <conditionalFormatting sqref="B69">
    <cfRule type="cellIs" dxfId="181" priority="67" stopIfTrue="1" operator="greaterThan">
      <formula>4</formula>
    </cfRule>
  </conditionalFormatting>
  <conditionalFormatting sqref="B70">
    <cfRule type="cellIs" dxfId="180" priority="68" stopIfTrue="1" operator="greaterThan">
      <formula>4</formula>
    </cfRule>
  </conditionalFormatting>
  <conditionalFormatting sqref="B71">
    <cfRule type="cellIs" dxfId="179" priority="69" stopIfTrue="1" operator="greaterThan">
      <formula>4</formula>
    </cfRule>
  </conditionalFormatting>
  <conditionalFormatting sqref="B72">
    <cfRule type="cellIs" dxfId="178" priority="70" stopIfTrue="1" operator="greaterThan">
      <formula>4</formula>
    </cfRule>
  </conditionalFormatting>
  <conditionalFormatting sqref="B73">
    <cfRule type="cellIs" dxfId="177" priority="71" stopIfTrue="1" operator="greaterThan">
      <formula>4</formula>
    </cfRule>
  </conditionalFormatting>
  <conditionalFormatting sqref="B74">
    <cfRule type="cellIs" dxfId="176" priority="72" stopIfTrue="1" operator="greaterThan">
      <formula>4</formula>
    </cfRule>
  </conditionalFormatting>
  <conditionalFormatting sqref="B75">
    <cfRule type="cellIs" dxfId="175" priority="73" stopIfTrue="1" operator="greaterThan">
      <formula>4</formula>
    </cfRule>
  </conditionalFormatting>
  <conditionalFormatting sqref="B76">
    <cfRule type="cellIs" dxfId="174" priority="74" stopIfTrue="1" operator="greaterThan">
      <formula>4</formula>
    </cfRule>
  </conditionalFormatting>
  <conditionalFormatting sqref="B77">
    <cfRule type="cellIs" dxfId="173" priority="75" stopIfTrue="1" operator="greaterThan">
      <formula>4</formula>
    </cfRule>
  </conditionalFormatting>
  <conditionalFormatting sqref="B78">
    <cfRule type="cellIs" dxfId="172" priority="76" stopIfTrue="1" operator="greaterThan">
      <formula>4</formula>
    </cfRule>
  </conditionalFormatting>
  <conditionalFormatting sqref="B79">
    <cfRule type="cellIs" dxfId="171" priority="77" stopIfTrue="1" operator="greaterThan">
      <formula>4</formula>
    </cfRule>
  </conditionalFormatting>
  <conditionalFormatting sqref="B80">
    <cfRule type="cellIs" dxfId="170" priority="78" stopIfTrue="1" operator="greaterThan">
      <formula>4</formula>
    </cfRule>
  </conditionalFormatting>
  <conditionalFormatting sqref="B81">
    <cfRule type="cellIs" dxfId="169" priority="79" stopIfTrue="1" operator="greaterThan">
      <formula>4</formula>
    </cfRule>
  </conditionalFormatting>
  <conditionalFormatting sqref="B82">
    <cfRule type="cellIs" dxfId="168" priority="80" stopIfTrue="1" operator="greaterThan">
      <formula>4</formula>
    </cfRule>
  </conditionalFormatting>
  <conditionalFormatting sqref="B83">
    <cfRule type="cellIs" dxfId="167" priority="81" stopIfTrue="1" operator="greaterThan">
      <formula>4</formula>
    </cfRule>
  </conditionalFormatting>
  <conditionalFormatting sqref="B84">
    <cfRule type="cellIs" dxfId="166" priority="82" stopIfTrue="1" operator="greaterThan">
      <formula>4</formula>
    </cfRule>
  </conditionalFormatting>
  <conditionalFormatting sqref="B85">
    <cfRule type="cellIs" dxfId="165" priority="83" stopIfTrue="1" operator="greaterThan">
      <formula>4</formula>
    </cfRule>
  </conditionalFormatting>
  <conditionalFormatting sqref="B86">
    <cfRule type="cellIs" dxfId="164" priority="84" stopIfTrue="1" operator="greaterThan">
      <formula>4</formula>
    </cfRule>
  </conditionalFormatting>
  <conditionalFormatting sqref="B87">
    <cfRule type="cellIs" dxfId="163" priority="85" stopIfTrue="1" operator="greaterThan">
      <formula>4</formula>
    </cfRule>
  </conditionalFormatting>
  <conditionalFormatting sqref="B88">
    <cfRule type="cellIs" dxfId="162" priority="86" stopIfTrue="1" operator="greaterThan">
      <formula>4</formula>
    </cfRule>
  </conditionalFormatting>
  <conditionalFormatting sqref="B89">
    <cfRule type="cellIs" dxfId="161" priority="87" stopIfTrue="1" operator="greaterThan">
      <formula>4</formula>
    </cfRule>
  </conditionalFormatting>
  <conditionalFormatting sqref="B90">
    <cfRule type="cellIs" dxfId="160" priority="88" stopIfTrue="1" operator="greaterThan">
      <formula>4</formula>
    </cfRule>
  </conditionalFormatting>
  <conditionalFormatting sqref="B91">
    <cfRule type="cellIs" dxfId="159" priority="89" stopIfTrue="1" operator="greaterThan">
      <formula>4</formula>
    </cfRule>
  </conditionalFormatting>
  <conditionalFormatting sqref="B92">
    <cfRule type="cellIs" dxfId="158" priority="90" stopIfTrue="1" operator="greaterThan">
      <formula>4</formula>
    </cfRule>
  </conditionalFormatting>
  <conditionalFormatting sqref="B93">
    <cfRule type="cellIs" dxfId="157" priority="91" stopIfTrue="1" operator="greaterThan">
      <formula>4</formula>
    </cfRule>
  </conditionalFormatting>
  <conditionalFormatting sqref="B94">
    <cfRule type="cellIs" dxfId="156" priority="92" stopIfTrue="1" operator="greaterThan">
      <formula>4</formula>
    </cfRule>
  </conditionalFormatting>
  <conditionalFormatting sqref="B95">
    <cfRule type="cellIs" dxfId="155" priority="93" stopIfTrue="1" operator="greaterThan">
      <formula>4</formula>
    </cfRule>
  </conditionalFormatting>
  <conditionalFormatting sqref="B96">
    <cfRule type="cellIs" dxfId="154" priority="94" stopIfTrue="1" operator="greaterThan">
      <formula>4</formula>
    </cfRule>
  </conditionalFormatting>
  <conditionalFormatting sqref="B97">
    <cfRule type="cellIs" dxfId="153" priority="95" stopIfTrue="1" operator="greaterThan">
      <formula>4</formula>
    </cfRule>
  </conditionalFormatting>
  <conditionalFormatting sqref="B98">
    <cfRule type="cellIs" dxfId="152" priority="96" stopIfTrue="1" operator="greaterThan">
      <formula>4</formula>
    </cfRule>
  </conditionalFormatting>
  <conditionalFormatting sqref="B99">
    <cfRule type="cellIs" dxfId="151" priority="97" stopIfTrue="1" operator="greaterThan">
      <formula>4</formula>
    </cfRule>
  </conditionalFormatting>
  <conditionalFormatting sqref="B100">
    <cfRule type="cellIs" dxfId="150" priority="98" stopIfTrue="1" operator="greaterThan">
      <formula>4</formula>
    </cfRule>
  </conditionalFormatting>
  <conditionalFormatting sqref="B101">
    <cfRule type="cellIs" dxfId="149" priority="99" stopIfTrue="1" operator="greaterThan">
      <formula>4</formula>
    </cfRule>
  </conditionalFormatting>
  <conditionalFormatting sqref="B102">
    <cfRule type="cellIs" dxfId="148" priority="100" stopIfTrue="1" operator="greaterThan">
      <formula>4</formula>
    </cfRule>
  </conditionalFormatting>
  <conditionalFormatting sqref="B103">
    <cfRule type="cellIs" dxfId="147" priority="101" stopIfTrue="1" operator="greaterThan">
      <formula>4</formula>
    </cfRule>
  </conditionalFormatting>
  <conditionalFormatting sqref="B104">
    <cfRule type="cellIs" dxfId="146" priority="102" stopIfTrue="1" operator="greaterThan">
      <formula>4</formula>
    </cfRule>
  </conditionalFormatting>
  <conditionalFormatting sqref="B105">
    <cfRule type="cellIs" dxfId="145" priority="103" stopIfTrue="1" operator="greaterThan">
      <formula>4</formula>
    </cfRule>
  </conditionalFormatting>
  <conditionalFormatting sqref="B106">
    <cfRule type="cellIs" dxfId="144" priority="104" stopIfTrue="1" operator="greaterThan">
      <formula>4</formula>
    </cfRule>
  </conditionalFormatting>
  <conditionalFormatting sqref="B107">
    <cfRule type="cellIs" dxfId="143" priority="105" stopIfTrue="1" operator="greaterThan">
      <formula>4</formula>
    </cfRule>
  </conditionalFormatting>
  <conditionalFormatting sqref="B108">
    <cfRule type="cellIs" dxfId="142" priority="106" stopIfTrue="1" operator="greaterThan">
      <formula>4</formula>
    </cfRule>
  </conditionalFormatting>
  <conditionalFormatting sqref="B109">
    <cfRule type="cellIs" dxfId="141" priority="107" stopIfTrue="1" operator="greaterThan">
      <formula>4</formula>
    </cfRule>
  </conditionalFormatting>
  <conditionalFormatting sqref="B110">
    <cfRule type="cellIs" dxfId="140" priority="108" stopIfTrue="1" operator="greaterThan">
      <formula>4</formula>
    </cfRule>
  </conditionalFormatting>
  <conditionalFormatting sqref="B111">
    <cfRule type="cellIs" dxfId="139" priority="109" stopIfTrue="1" operator="greaterThan">
      <formula>4</formula>
    </cfRule>
  </conditionalFormatting>
  <conditionalFormatting sqref="B112">
    <cfRule type="cellIs" dxfId="138" priority="110" stopIfTrue="1" operator="greaterThan">
      <formula>4</formula>
    </cfRule>
  </conditionalFormatting>
  <conditionalFormatting sqref="B113">
    <cfRule type="cellIs" dxfId="137" priority="111" stopIfTrue="1" operator="greaterThan">
      <formula>4</formula>
    </cfRule>
  </conditionalFormatting>
  <conditionalFormatting sqref="B114">
    <cfRule type="cellIs" dxfId="136" priority="112" stopIfTrue="1" operator="greaterThan">
      <formula>4</formula>
    </cfRule>
  </conditionalFormatting>
  <conditionalFormatting sqref="B115">
    <cfRule type="cellIs" dxfId="135" priority="113" stopIfTrue="1" operator="greaterThan">
      <formula>4</formula>
    </cfRule>
  </conditionalFormatting>
  <conditionalFormatting sqref="B116">
    <cfRule type="cellIs" dxfId="134" priority="114" stopIfTrue="1" operator="greaterThan">
      <formula>4</formula>
    </cfRule>
  </conditionalFormatting>
  <conditionalFormatting sqref="B117">
    <cfRule type="cellIs" dxfId="133" priority="115" stopIfTrue="1" operator="greaterThan">
      <formula>4</formula>
    </cfRule>
  </conditionalFormatting>
  <conditionalFormatting sqref="B118">
    <cfRule type="cellIs" dxfId="132" priority="116" stopIfTrue="1" operator="greaterThan">
      <formula>4</formula>
    </cfRule>
  </conditionalFormatting>
  <conditionalFormatting sqref="B119">
    <cfRule type="cellIs" dxfId="131" priority="117" stopIfTrue="1" operator="greaterThan">
      <formula>4</formula>
    </cfRule>
  </conditionalFormatting>
  <conditionalFormatting sqref="B120">
    <cfRule type="cellIs" dxfId="130" priority="118" stopIfTrue="1" operator="greaterThan">
      <formula>4</formula>
    </cfRule>
  </conditionalFormatting>
  <conditionalFormatting sqref="B121">
    <cfRule type="cellIs" dxfId="129" priority="119" stopIfTrue="1" operator="greaterThan">
      <formula>4</formula>
    </cfRule>
  </conditionalFormatting>
  <conditionalFormatting sqref="B122">
    <cfRule type="cellIs" dxfId="128" priority="120" stopIfTrue="1" operator="greaterThan">
      <formula>4</formula>
    </cfRule>
  </conditionalFormatting>
  <conditionalFormatting sqref="B123">
    <cfRule type="cellIs" dxfId="127" priority="121" stopIfTrue="1" operator="greaterThan">
      <formula>4</formula>
    </cfRule>
  </conditionalFormatting>
  <conditionalFormatting sqref="B124">
    <cfRule type="cellIs" dxfId="126" priority="122" stopIfTrue="1" operator="greaterThan">
      <formula>4</formula>
    </cfRule>
  </conditionalFormatting>
  <conditionalFormatting sqref="B125">
    <cfRule type="cellIs" dxfId="125" priority="123" stopIfTrue="1" operator="greaterThan">
      <formula>4</formula>
    </cfRule>
  </conditionalFormatting>
  <conditionalFormatting sqref="B126">
    <cfRule type="cellIs" dxfId="124" priority="124" stopIfTrue="1" operator="greaterThan">
      <formula>4</formula>
    </cfRule>
  </conditionalFormatting>
  <conditionalFormatting sqref="B127">
    <cfRule type="cellIs" dxfId="123" priority="125" stopIfTrue="1" operator="greaterThan">
      <formula>4</formula>
    </cfRule>
  </conditionalFormatting>
  <conditionalFormatting sqref="B128">
    <cfRule type="cellIs" dxfId="122" priority="126" stopIfTrue="1" operator="greaterThan">
      <formula>4</formula>
    </cfRule>
  </conditionalFormatting>
  <conditionalFormatting sqref="B129">
    <cfRule type="cellIs" dxfId="121" priority="127" stopIfTrue="1" operator="greaterThan">
      <formula>4</formula>
    </cfRule>
  </conditionalFormatting>
  <conditionalFormatting sqref="B130">
    <cfRule type="cellIs" dxfId="120" priority="128" stopIfTrue="1" operator="greaterThan">
      <formula>4</formula>
    </cfRule>
  </conditionalFormatting>
  <conditionalFormatting sqref="B131">
    <cfRule type="cellIs" dxfId="119" priority="129" stopIfTrue="1" operator="greaterThan">
      <formula>4</formula>
    </cfRule>
  </conditionalFormatting>
  <conditionalFormatting sqref="B132">
    <cfRule type="cellIs" dxfId="118" priority="130" stopIfTrue="1" operator="greaterThan">
      <formula>4</formula>
    </cfRule>
  </conditionalFormatting>
  <conditionalFormatting sqref="B133">
    <cfRule type="cellIs" dxfId="117" priority="131" stopIfTrue="1" operator="greaterThan">
      <formula>4</formula>
    </cfRule>
  </conditionalFormatting>
  <conditionalFormatting sqref="B134">
    <cfRule type="cellIs" dxfId="116" priority="132" stopIfTrue="1" operator="greaterThan">
      <formula>4</formula>
    </cfRule>
  </conditionalFormatting>
  <conditionalFormatting sqref="B135">
    <cfRule type="cellIs" dxfId="115" priority="133" stopIfTrue="1" operator="greaterThan">
      <formula>4</formula>
    </cfRule>
  </conditionalFormatting>
  <conditionalFormatting sqref="B136">
    <cfRule type="cellIs" dxfId="114" priority="134" stopIfTrue="1" operator="greaterThan">
      <formula>4</formula>
    </cfRule>
  </conditionalFormatting>
  <conditionalFormatting sqref="B137">
    <cfRule type="cellIs" dxfId="113" priority="135" stopIfTrue="1" operator="greaterThan">
      <formula>4</formula>
    </cfRule>
  </conditionalFormatting>
  <conditionalFormatting sqref="B138">
    <cfRule type="cellIs" dxfId="112" priority="136" stopIfTrue="1" operator="greaterThan">
      <formula>4</formula>
    </cfRule>
  </conditionalFormatting>
  <conditionalFormatting sqref="B139">
    <cfRule type="cellIs" dxfId="111" priority="137" stopIfTrue="1" operator="greaterThan">
      <formula>4</formula>
    </cfRule>
  </conditionalFormatting>
  <conditionalFormatting sqref="B140">
    <cfRule type="cellIs" dxfId="110" priority="138" stopIfTrue="1" operator="greaterThan">
      <formula>4</formula>
    </cfRule>
  </conditionalFormatting>
  <conditionalFormatting sqref="B141">
    <cfRule type="cellIs" dxfId="109" priority="139" stopIfTrue="1" operator="greaterThan">
      <formula>4</formula>
    </cfRule>
  </conditionalFormatting>
  <conditionalFormatting sqref="B142">
    <cfRule type="cellIs" dxfId="108" priority="140" stopIfTrue="1" operator="greaterThan">
      <formula>4</formula>
    </cfRule>
  </conditionalFormatting>
  <conditionalFormatting sqref="B143">
    <cfRule type="cellIs" dxfId="107" priority="141" stopIfTrue="1" operator="greaterThan">
      <formula>4</formula>
    </cfRule>
  </conditionalFormatting>
  <conditionalFormatting sqref="B144">
    <cfRule type="cellIs" dxfId="106" priority="142" stopIfTrue="1" operator="greaterThan">
      <formula>4</formula>
    </cfRule>
  </conditionalFormatting>
  <conditionalFormatting sqref="B145">
    <cfRule type="cellIs" dxfId="105" priority="143" stopIfTrue="1" operator="greaterThan">
      <formula>4</formula>
    </cfRule>
  </conditionalFormatting>
  <conditionalFormatting sqref="B146">
    <cfRule type="cellIs" dxfId="104" priority="144" stopIfTrue="1" operator="greaterThan">
      <formula>4</formula>
    </cfRule>
  </conditionalFormatting>
  <conditionalFormatting sqref="B147">
    <cfRule type="cellIs" dxfId="103" priority="145" stopIfTrue="1" operator="greaterThan">
      <formula>4</formula>
    </cfRule>
  </conditionalFormatting>
  <conditionalFormatting sqref="B148">
    <cfRule type="cellIs" dxfId="102" priority="146" stopIfTrue="1" operator="greaterThan">
      <formula>4</formula>
    </cfRule>
  </conditionalFormatting>
  <conditionalFormatting sqref="B149">
    <cfRule type="cellIs" dxfId="101" priority="147" stopIfTrue="1" operator="greaterThan">
      <formula>4</formula>
    </cfRule>
  </conditionalFormatting>
  <conditionalFormatting sqref="B150">
    <cfRule type="cellIs" dxfId="100" priority="148" stopIfTrue="1" operator="greaterThan">
      <formula>4</formula>
    </cfRule>
  </conditionalFormatting>
  <conditionalFormatting sqref="B151">
    <cfRule type="cellIs" dxfId="99" priority="149" stopIfTrue="1" operator="greaterThan">
      <formula>4</formula>
    </cfRule>
  </conditionalFormatting>
  <conditionalFormatting sqref="B152">
    <cfRule type="cellIs" dxfId="98" priority="150" stopIfTrue="1" operator="greaterThan">
      <formula>4</formula>
    </cfRule>
  </conditionalFormatting>
  <conditionalFormatting sqref="B153">
    <cfRule type="cellIs" dxfId="97" priority="151" stopIfTrue="1" operator="greaterThan">
      <formula>4</formula>
    </cfRule>
  </conditionalFormatting>
  <conditionalFormatting sqref="B154">
    <cfRule type="cellIs" dxfId="96" priority="152" stopIfTrue="1" operator="greaterThan">
      <formula>4</formula>
    </cfRule>
  </conditionalFormatting>
  <conditionalFormatting sqref="B155">
    <cfRule type="cellIs" dxfId="95" priority="153" stopIfTrue="1" operator="greaterThan">
      <formula>4</formula>
    </cfRule>
  </conditionalFormatting>
  <conditionalFormatting sqref="B156">
    <cfRule type="cellIs" dxfId="94" priority="154" stopIfTrue="1" operator="greaterThan">
      <formula>4</formula>
    </cfRule>
  </conditionalFormatting>
  <conditionalFormatting sqref="B157">
    <cfRule type="cellIs" dxfId="93" priority="155" stopIfTrue="1" operator="greaterThan">
      <formula>4</formula>
    </cfRule>
  </conditionalFormatting>
  <conditionalFormatting sqref="B158">
    <cfRule type="cellIs" dxfId="92" priority="156" stopIfTrue="1" operator="greaterThan">
      <formula>4</formula>
    </cfRule>
  </conditionalFormatting>
  <conditionalFormatting sqref="B159">
    <cfRule type="cellIs" dxfId="91" priority="157" stopIfTrue="1" operator="greaterThan">
      <formula>4</formula>
    </cfRule>
  </conditionalFormatting>
  <conditionalFormatting sqref="B160">
    <cfRule type="cellIs" dxfId="90" priority="158" stopIfTrue="1" operator="greaterThan">
      <formula>4</formula>
    </cfRule>
  </conditionalFormatting>
  <conditionalFormatting sqref="B161">
    <cfRule type="cellIs" dxfId="89" priority="159" stopIfTrue="1" operator="greaterThan">
      <formula>4</formula>
    </cfRule>
  </conditionalFormatting>
  <conditionalFormatting sqref="B162">
    <cfRule type="cellIs" dxfId="88" priority="160" stopIfTrue="1" operator="greaterThan">
      <formula>4</formula>
    </cfRule>
  </conditionalFormatting>
  <conditionalFormatting sqref="B163">
    <cfRule type="cellIs" dxfId="87" priority="161" stopIfTrue="1" operator="greaterThan">
      <formula>4</formula>
    </cfRule>
  </conditionalFormatting>
  <conditionalFormatting sqref="B164">
    <cfRule type="cellIs" dxfId="86" priority="162" stopIfTrue="1" operator="greaterThan">
      <formula>4</formula>
    </cfRule>
  </conditionalFormatting>
  <conditionalFormatting sqref="B165">
    <cfRule type="cellIs" dxfId="85" priority="163" stopIfTrue="1" operator="greaterThan">
      <formula>4</formula>
    </cfRule>
  </conditionalFormatting>
  <conditionalFormatting sqref="B166">
    <cfRule type="cellIs" dxfId="84" priority="164" stopIfTrue="1" operator="greaterThan">
      <formula>4</formula>
    </cfRule>
  </conditionalFormatting>
  <conditionalFormatting sqref="B167">
    <cfRule type="cellIs" dxfId="83" priority="165" stopIfTrue="1" operator="greaterThan">
      <formula>4</formula>
    </cfRule>
  </conditionalFormatting>
  <conditionalFormatting sqref="B168">
    <cfRule type="cellIs" dxfId="82" priority="166" stopIfTrue="1" operator="greaterThan">
      <formula>4</formula>
    </cfRule>
  </conditionalFormatting>
  <conditionalFormatting sqref="B169">
    <cfRule type="cellIs" dxfId="81" priority="167" stopIfTrue="1" operator="greaterThan">
      <formula>4</formula>
    </cfRule>
  </conditionalFormatting>
  <conditionalFormatting sqref="B170">
    <cfRule type="cellIs" dxfId="80" priority="168" stopIfTrue="1" operator="greaterThan">
      <formula>4</formula>
    </cfRule>
  </conditionalFormatting>
  <conditionalFormatting sqref="B171">
    <cfRule type="cellIs" dxfId="79" priority="169" stopIfTrue="1" operator="greaterThan">
      <formula>4</formula>
    </cfRule>
  </conditionalFormatting>
  <conditionalFormatting sqref="B172">
    <cfRule type="cellIs" dxfId="78" priority="170" stopIfTrue="1" operator="greaterThan">
      <formula>4</formula>
    </cfRule>
  </conditionalFormatting>
  <conditionalFormatting sqref="B173">
    <cfRule type="cellIs" dxfId="77" priority="171" stopIfTrue="1" operator="greaterThan">
      <formula>4</formula>
    </cfRule>
  </conditionalFormatting>
  <conditionalFormatting sqref="B174">
    <cfRule type="cellIs" dxfId="76" priority="172" stopIfTrue="1" operator="greaterThan">
      <formula>4</formula>
    </cfRule>
  </conditionalFormatting>
  <conditionalFormatting sqref="B175">
    <cfRule type="cellIs" dxfId="75" priority="173" stopIfTrue="1" operator="greaterThan">
      <formula>4</formula>
    </cfRule>
  </conditionalFormatting>
  <conditionalFormatting sqref="B176">
    <cfRule type="cellIs" dxfId="74" priority="174" stopIfTrue="1" operator="greaterThan">
      <formula>4</formula>
    </cfRule>
  </conditionalFormatting>
  <conditionalFormatting sqref="B177">
    <cfRule type="cellIs" dxfId="73" priority="175" stopIfTrue="1" operator="greaterThan">
      <formula>4</formula>
    </cfRule>
  </conditionalFormatting>
  <conditionalFormatting sqref="B178">
    <cfRule type="cellIs" dxfId="72" priority="176" stopIfTrue="1" operator="greaterThan">
      <formula>4</formula>
    </cfRule>
  </conditionalFormatting>
  <conditionalFormatting sqref="B179">
    <cfRule type="cellIs" dxfId="71" priority="177" stopIfTrue="1" operator="greaterThan">
      <formula>4</formula>
    </cfRule>
  </conditionalFormatting>
  <conditionalFormatting sqref="B180">
    <cfRule type="cellIs" dxfId="70" priority="178" stopIfTrue="1" operator="greaterThan">
      <formula>4</formula>
    </cfRule>
  </conditionalFormatting>
  <conditionalFormatting sqref="B181">
    <cfRule type="cellIs" dxfId="69" priority="179" stopIfTrue="1" operator="greaterThan">
      <formula>4</formula>
    </cfRule>
  </conditionalFormatting>
  <conditionalFormatting sqref="B182">
    <cfRule type="cellIs" dxfId="68" priority="180" stopIfTrue="1" operator="greaterThan">
      <formula>4</formula>
    </cfRule>
  </conditionalFormatting>
  <conditionalFormatting sqref="B183">
    <cfRule type="cellIs" dxfId="67" priority="181" stopIfTrue="1" operator="greaterThan">
      <formula>4</formula>
    </cfRule>
  </conditionalFormatting>
  <conditionalFormatting sqref="B184">
    <cfRule type="cellIs" dxfId="66" priority="182" stopIfTrue="1" operator="greaterThan">
      <formula>4</formula>
    </cfRule>
  </conditionalFormatting>
  <conditionalFormatting sqref="B185">
    <cfRule type="cellIs" dxfId="65" priority="183" stopIfTrue="1" operator="greaterThan">
      <formula>4</formula>
    </cfRule>
  </conditionalFormatting>
  <conditionalFormatting sqref="B186">
    <cfRule type="cellIs" dxfId="64" priority="184" stopIfTrue="1" operator="greaterThan">
      <formula>4</formula>
    </cfRule>
  </conditionalFormatting>
  <conditionalFormatting sqref="B187">
    <cfRule type="cellIs" dxfId="63" priority="185" stopIfTrue="1" operator="greaterThan">
      <formula>4</formula>
    </cfRule>
  </conditionalFormatting>
  <conditionalFormatting sqref="B188">
    <cfRule type="cellIs" dxfId="62" priority="186" stopIfTrue="1" operator="greaterThan">
      <formula>4</formula>
    </cfRule>
  </conditionalFormatting>
  <conditionalFormatting sqref="B189">
    <cfRule type="cellIs" dxfId="61" priority="187" stopIfTrue="1" operator="greaterThan">
      <formula>4</formula>
    </cfRule>
  </conditionalFormatting>
  <conditionalFormatting sqref="B190">
    <cfRule type="cellIs" dxfId="60" priority="188" stopIfTrue="1" operator="greaterThan">
      <formula>4</formula>
    </cfRule>
  </conditionalFormatting>
  <conditionalFormatting sqref="B191">
    <cfRule type="cellIs" dxfId="59" priority="189" stopIfTrue="1" operator="greaterThan">
      <formula>4</formula>
    </cfRule>
  </conditionalFormatting>
  <conditionalFormatting sqref="B192">
    <cfRule type="cellIs" dxfId="58" priority="190" stopIfTrue="1" operator="greaterThan">
      <formula>4</formula>
    </cfRule>
  </conditionalFormatting>
  <conditionalFormatting sqref="B193">
    <cfRule type="cellIs" dxfId="57" priority="191" stopIfTrue="1" operator="greaterThan">
      <formula>4</formula>
    </cfRule>
  </conditionalFormatting>
  <conditionalFormatting sqref="B194">
    <cfRule type="cellIs" dxfId="56" priority="192" stopIfTrue="1" operator="greaterThan">
      <formula>4</formula>
    </cfRule>
  </conditionalFormatting>
  <conditionalFormatting sqref="B195">
    <cfRule type="cellIs" dxfId="55" priority="193" stopIfTrue="1" operator="greaterThan">
      <formula>4</formula>
    </cfRule>
  </conditionalFormatting>
  <conditionalFormatting sqref="B196">
    <cfRule type="cellIs" dxfId="54" priority="194" stopIfTrue="1" operator="greaterThan">
      <formula>4</formula>
    </cfRule>
  </conditionalFormatting>
  <conditionalFormatting sqref="B197">
    <cfRule type="cellIs" dxfId="53" priority="195" stopIfTrue="1" operator="greaterThan">
      <formula>4</formula>
    </cfRule>
  </conditionalFormatting>
  <conditionalFormatting sqref="B198">
    <cfRule type="cellIs" dxfId="52" priority="196" stopIfTrue="1" operator="greaterThan">
      <formula>4</formula>
    </cfRule>
  </conditionalFormatting>
  <conditionalFormatting sqref="B199">
    <cfRule type="cellIs" dxfId="51" priority="197" stopIfTrue="1" operator="greaterThan">
      <formula>4</formula>
    </cfRule>
  </conditionalFormatting>
  <conditionalFormatting sqref="B200">
    <cfRule type="cellIs" dxfId="50" priority="198" stopIfTrue="1" operator="greaterThan">
      <formula>4</formula>
    </cfRule>
  </conditionalFormatting>
  <conditionalFormatting sqref="B201">
    <cfRule type="cellIs" dxfId="49" priority="199" stopIfTrue="1" operator="greaterThan">
      <formula>4</formula>
    </cfRule>
  </conditionalFormatting>
  <conditionalFormatting sqref="B202">
    <cfRule type="cellIs" dxfId="48" priority="200" stopIfTrue="1" operator="greaterThan">
      <formula>4</formula>
    </cfRule>
  </conditionalFormatting>
  <conditionalFormatting sqref="B203">
    <cfRule type="cellIs" dxfId="47" priority="201" stopIfTrue="1" operator="greaterThan">
      <formula>4</formula>
    </cfRule>
  </conditionalFormatting>
  <conditionalFormatting sqref="B204">
    <cfRule type="cellIs" dxfId="46" priority="202" stopIfTrue="1" operator="greaterThan">
      <formula>4</formula>
    </cfRule>
  </conditionalFormatting>
  <conditionalFormatting sqref="B205">
    <cfRule type="cellIs" dxfId="45" priority="203" stopIfTrue="1" operator="greaterThan">
      <formula>4</formula>
    </cfRule>
  </conditionalFormatting>
  <conditionalFormatting sqref="B206">
    <cfRule type="cellIs" dxfId="44" priority="204" stopIfTrue="1" operator="greaterThan">
      <formula>4</formula>
    </cfRule>
  </conditionalFormatting>
  <conditionalFormatting sqref="B207">
    <cfRule type="cellIs" dxfId="43" priority="205" stopIfTrue="1" operator="greaterThan">
      <formula>4</formula>
    </cfRule>
  </conditionalFormatting>
  <conditionalFormatting sqref="B208">
    <cfRule type="cellIs" dxfId="42" priority="206" stopIfTrue="1" operator="greaterThan">
      <formula>4</formula>
    </cfRule>
  </conditionalFormatting>
  <conditionalFormatting sqref="B209">
    <cfRule type="cellIs" dxfId="41" priority="207" stopIfTrue="1" operator="greaterThan">
      <formula>4</formula>
    </cfRule>
  </conditionalFormatting>
  <conditionalFormatting sqref="B210">
    <cfRule type="cellIs" dxfId="40" priority="208" stopIfTrue="1" operator="greaterThan">
      <formula>4</formula>
    </cfRule>
  </conditionalFormatting>
  <conditionalFormatting sqref="B211">
    <cfRule type="cellIs" dxfId="39" priority="209" stopIfTrue="1" operator="greaterThan">
      <formula>4</formula>
    </cfRule>
  </conditionalFormatting>
  <conditionalFormatting sqref="B212">
    <cfRule type="cellIs" dxfId="38" priority="210" stopIfTrue="1" operator="greaterThan">
      <formula>4</formula>
    </cfRule>
  </conditionalFormatting>
  <conditionalFormatting sqref="B213">
    <cfRule type="cellIs" dxfId="37" priority="211" stopIfTrue="1" operator="greaterThan">
      <formula>4</formula>
    </cfRule>
  </conditionalFormatting>
  <conditionalFormatting sqref="B214">
    <cfRule type="cellIs" dxfId="36" priority="212" stopIfTrue="1" operator="greaterThan">
      <formula>4</formula>
    </cfRule>
  </conditionalFormatting>
  <conditionalFormatting sqref="B215">
    <cfRule type="cellIs" dxfId="35" priority="213" stopIfTrue="1" operator="greaterThan">
      <formula>4</formula>
    </cfRule>
  </conditionalFormatting>
  <conditionalFormatting sqref="B216">
    <cfRule type="cellIs" dxfId="34" priority="214" stopIfTrue="1" operator="greaterThan">
      <formula>4</formula>
    </cfRule>
  </conditionalFormatting>
  <conditionalFormatting sqref="B217">
    <cfRule type="cellIs" dxfId="33" priority="215" stopIfTrue="1" operator="greaterThan">
      <formula>4</formula>
    </cfRule>
  </conditionalFormatting>
  <conditionalFormatting sqref="B218">
    <cfRule type="cellIs" dxfId="32" priority="216" stopIfTrue="1" operator="greaterThan">
      <formula>4</formula>
    </cfRule>
  </conditionalFormatting>
  <conditionalFormatting sqref="B219">
    <cfRule type="cellIs" dxfId="31" priority="217" stopIfTrue="1" operator="greaterThan">
      <formula>4</formula>
    </cfRule>
  </conditionalFormatting>
  <conditionalFormatting sqref="B220">
    <cfRule type="cellIs" dxfId="30" priority="218" stopIfTrue="1" operator="greaterThan">
      <formula>4</formula>
    </cfRule>
  </conditionalFormatting>
  <conditionalFormatting sqref="B221">
    <cfRule type="cellIs" dxfId="29" priority="219" stopIfTrue="1" operator="greaterThan">
      <formula>4</formula>
    </cfRule>
  </conditionalFormatting>
  <conditionalFormatting sqref="B222">
    <cfRule type="cellIs" dxfId="28" priority="220" stopIfTrue="1" operator="greaterThan">
      <formula>4</formula>
    </cfRule>
  </conditionalFormatting>
  <conditionalFormatting sqref="B223">
    <cfRule type="cellIs" dxfId="27" priority="221" stopIfTrue="1" operator="greaterThan">
      <formula>4</formula>
    </cfRule>
  </conditionalFormatting>
  <conditionalFormatting sqref="B224">
    <cfRule type="cellIs" dxfId="26" priority="222" stopIfTrue="1" operator="greaterThan">
      <formula>4</formula>
    </cfRule>
  </conditionalFormatting>
  <conditionalFormatting sqref="B225">
    <cfRule type="cellIs" dxfId="25" priority="223" stopIfTrue="1" operator="greaterThan">
      <formula>4</formula>
    </cfRule>
  </conditionalFormatting>
  <conditionalFormatting sqref="B226">
    <cfRule type="cellIs" dxfId="24" priority="224" stopIfTrue="1" operator="greaterThan">
      <formula>4</formula>
    </cfRule>
  </conditionalFormatting>
  <conditionalFormatting sqref="B227">
    <cfRule type="cellIs" dxfId="23" priority="225" stopIfTrue="1" operator="greaterThan">
      <formula>4</formula>
    </cfRule>
  </conditionalFormatting>
  <conditionalFormatting sqref="B228">
    <cfRule type="cellIs" dxfId="22" priority="226" stopIfTrue="1" operator="greaterThan">
      <formula>4</formula>
    </cfRule>
  </conditionalFormatting>
  <conditionalFormatting sqref="B229">
    <cfRule type="cellIs" dxfId="21" priority="227" stopIfTrue="1" operator="greaterThan">
      <formula>4</formula>
    </cfRule>
  </conditionalFormatting>
  <conditionalFormatting sqref="B230">
    <cfRule type="cellIs" dxfId="20" priority="228" stopIfTrue="1" operator="greaterThan">
      <formula>4</formula>
    </cfRule>
  </conditionalFormatting>
  <conditionalFormatting sqref="B231">
    <cfRule type="cellIs" dxfId="19" priority="229" stopIfTrue="1" operator="greaterThan">
      <formula>4</formula>
    </cfRule>
  </conditionalFormatting>
  <conditionalFormatting sqref="B232">
    <cfRule type="cellIs" dxfId="18" priority="230" stopIfTrue="1" operator="greaterThan">
      <formula>4</formula>
    </cfRule>
  </conditionalFormatting>
  <conditionalFormatting sqref="B233">
    <cfRule type="cellIs" dxfId="17" priority="231" stopIfTrue="1" operator="greaterThan">
      <formula>4</formula>
    </cfRule>
  </conditionalFormatting>
  <conditionalFormatting sqref="B234">
    <cfRule type="cellIs" dxfId="16" priority="232" stopIfTrue="1" operator="greaterThan">
      <formula>4</formula>
    </cfRule>
  </conditionalFormatting>
  <conditionalFormatting sqref="B235">
    <cfRule type="cellIs" dxfId="15" priority="233" stopIfTrue="1" operator="greaterThan">
      <formula>4</formula>
    </cfRule>
  </conditionalFormatting>
  <conditionalFormatting sqref="B236">
    <cfRule type="cellIs" dxfId="14" priority="234" stopIfTrue="1" operator="greaterThan">
      <formula>4</formula>
    </cfRule>
  </conditionalFormatting>
  <conditionalFormatting sqref="B237">
    <cfRule type="cellIs" dxfId="13" priority="235" stopIfTrue="1" operator="greaterThan">
      <formula>4</formula>
    </cfRule>
  </conditionalFormatting>
  <conditionalFormatting sqref="B238">
    <cfRule type="cellIs" dxfId="12" priority="236" stopIfTrue="1" operator="greaterThan">
      <formula>4</formula>
    </cfRule>
  </conditionalFormatting>
  <conditionalFormatting sqref="B239">
    <cfRule type="cellIs" dxfId="11" priority="237" stopIfTrue="1" operator="greaterThan">
      <formula>4</formula>
    </cfRule>
  </conditionalFormatting>
  <conditionalFormatting sqref="B240">
    <cfRule type="cellIs" dxfId="10" priority="238" stopIfTrue="1" operator="greaterThan">
      <formula>4</formula>
    </cfRule>
  </conditionalFormatting>
  <conditionalFormatting sqref="B241">
    <cfRule type="cellIs" dxfId="9" priority="239" stopIfTrue="1" operator="greaterThan">
      <formula>4</formula>
    </cfRule>
  </conditionalFormatting>
  <conditionalFormatting sqref="B242">
    <cfRule type="cellIs" dxfId="8" priority="240" stopIfTrue="1" operator="greaterThan">
      <formula>4</formula>
    </cfRule>
  </conditionalFormatting>
  <conditionalFormatting sqref="B243">
    <cfRule type="cellIs" dxfId="7" priority="241" stopIfTrue="1" operator="greaterThan">
      <formula>4</formula>
    </cfRule>
  </conditionalFormatting>
  <conditionalFormatting sqref="B244">
    <cfRule type="cellIs" dxfId="6" priority="242" stopIfTrue="1" operator="greaterThan">
      <formula>4</formula>
    </cfRule>
  </conditionalFormatting>
  <conditionalFormatting sqref="B245">
    <cfRule type="cellIs" dxfId="5" priority="243" stopIfTrue="1" operator="greaterThan">
      <formula>4</formula>
    </cfRule>
  </conditionalFormatting>
  <conditionalFormatting sqref="B246">
    <cfRule type="cellIs" dxfId="4" priority="244" stopIfTrue="1" operator="greaterThan">
      <formula>4</formula>
    </cfRule>
  </conditionalFormatting>
  <conditionalFormatting sqref="B247">
    <cfRule type="cellIs" dxfId="3" priority="245" stopIfTrue="1" operator="greaterThan">
      <formula>4</formula>
    </cfRule>
  </conditionalFormatting>
  <conditionalFormatting sqref="B248">
    <cfRule type="cellIs" dxfId="2" priority="246" stopIfTrue="1" operator="greaterThan">
      <formula>4</formula>
    </cfRule>
  </conditionalFormatting>
  <conditionalFormatting sqref="B249">
    <cfRule type="cellIs" dxfId="1" priority="247" stopIfTrue="1" operator="greaterThan">
      <formula>4</formula>
    </cfRule>
  </conditionalFormatting>
  <conditionalFormatting sqref="B250">
    <cfRule type="cellIs" dxfId="0" priority="248" stopIfTrue="1" operator="greaterThan">
      <formula>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C460A-3841-4831-BD3F-C5ECB0BBAB12}">
  <sheetPr codeName="Folha21"/>
  <dimension ref="A1:ZZ250"/>
  <sheetViews>
    <sheetView workbookViewId="0"/>
  </sheetViews>
  <sheetFormatPr defaultRowHeight="14.4" x14ac:dyDescent="0.3"/>
  <cols>
    <col min="1" max="1" width="35.77734375" style="2" customWidth="1"/>
    <col min="2" max="2" width="5.21875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4</v>
      </c>
      <c r="C1" s="8">
        <v>4</v>
      </c>
      <c r="D1" s="8">
        <v>33</v>
      </c>
    </row>
    <row r="2" spans="1:4" x14ac:dyDescent="0.3">
      <c r="A2" s="7" t="s">
        <v>10</v>
      </c>
      <c r="B2" s="7" t="s">
        <v>21</v>
      </c>
      <c r="C2" s="7" t="s">
        <v>12</v>
      </c>
      <c r="D2" s="7" t="s">
        <v>13</v>
      </c>
    </row>
    <row r="3" spans="1:4" x14ac:dyDescent="0.3">
      <c r="C3" s="2" t="str">
        <f>IF(A3&lt;&gt;"",SUM(B3),"")</f>
        <v/>
      </c>
      <c r="D3" s="2" t="str">
        <f>IF(A3&lt;&gt;"",(FDGDF!D1*FDGDF!C3)/FDGDF!C1, "")</f>
        <v/>
      </c>
    </row>
    <row r="4" spans="1:4" x14ac:dyDescent="0.3">
      <c r="C4" s="2" t="str">
        <f>IF(A4&lt;&gt;"",SUM(B4),"")</f>
        <v/>
      </c>
      <c r="D4" s="2" t="str">
        <f>IF(A4&lt;&gt;"",(FDGDF!D1*FDGDF!C4)/FDGDF!C1, "")</f>
        <v/>
      </c>
    </row>
    <row r="5" spans="1:4" x14ac:dyDescent="0.3">
      <c r="C5" s="2" t="str">
        <f>IF(A5&lt;&gt;"",SUM(B5),"")</f>
        <v/>
      </c>
      <c r="D5" s="2" t="str">
        <f>IF(A5&lt;&gt;"",(FDGDF!D1*FDGDF!C5)/FDGDF!C1, "")</f>
        <v/>
      </c>
    </row>
    <row r="6" spans="1:4" x14ac:dyDescent="0.3">
      <c r="C6" s="2" t="str">
        <f>IF(A6&lt;&gt;"",SUM(B6),"")</f>
        <v/>
      </c>
      <c r="D6" s="2" t="str">
        <f>IF(A6&lt;&gt;"",(FDGDF!D1*FDGDF!C6)/FDGDF!C1, "")</f>
        <v/>
      </c>
    </row>
    <row r="7" spans="1:4" x14ac:dyDescent="0.3">
      <c r="C7" s="2" t="str">
        <f>IF(A7&lt;&gt;"",SUM(B7),"")</f>
        <v/>
      </c>
      <c r="D7" s="2" t="str">
        <f>IF(A7&lt;&gt;"",(FDGDF!D1*FDGDF!C7)/FDGDF!C1, "")</f>
        <v/>
      </c>
    </row>
    <row r="8" spans="1:4" x14ac:dyDescent="0.3">
      <c r="C8" s="2" t="str">
        <f>IF(A8&lt;&gt;"",SUM(B8),"")</f>
        <v/>
      </c>
      <c r="D8" s="2" t="str">
        <f>IF(A8&lt;&gt;"",(FDGDF!D1*FDGDF!C8)/FDGDF!C1, "")</f>
        <v/>
      </c>
    </row>
    <row r="9" spans="1:4" x14ac:dyDescent="0.3">
      <c r="C9" s="2" t="str">
        <f>IF(A9&lt;&gt;"",SUM(B9),"")</f>
        <v/>
      </c>
      <c r="D9" s="2" t="str">
        <f>IF(A9&lt;&gt;"",(FDGDF!D1*FDGDF!C9)/FDGDF!C1, "")</f>
        <v/>
      </c>
    </row>
    <row r="10" spans="1:4" x14ac:dyDescent="0.3">
      <c r="C10" s="2" t="str">
        <f>IF(A10&lt;&gt;"",SUM(B10),"")</f>
        <v/>
      </c>
      <c r="D10" s="2" t="str">
        <f>IF(A10&lt;&gt;"",(FDGDF!D1*FDGDF!C10)/FDGDF!C1, "")</f>
        <v/>
      </c>
    </row>
    <row r="11" spans="1:4" x14ac:dyDescent="0.3">
      <c r="C11" s="2" t="str">
        <f>IF(A11&lt;&gt;"",SUM(B11),"")</f>
        <v/>
      </c>
      <c r="D11" s="2" t="str">
        <f>IF(A11&lt;&gt;"",(FDGDF!D1*FDGDF!C11)/FDGDF!C1, "")</f>
        <v/>
      </c>
    </row>
    <row r="12" spans="1:4" x14ac:dyDescent="0.3">
      <c r="C12" s="2" t="str">
        <f>IF(A12&lt;&gt;"",SUM(B12),"")</f>
        <v/>
      </c>
      <c r="D12" s="2" t="str">
        <f>IF(A12&lt;&gt;"",(FDGDF!D1*FDGDF!C12)/FDGDF!C1, "")</f>
        <v/>
      </c>
    </row>
    <row r="13" spans="1:4" x14ac:dyDescent="0.3">
      <c r="C13" s="2" t="str">
        <f>IF(A13&lt;&gt;"",SUM(B13),"")</f>
        <v/>
      </c>
      <c r="D13" s="2" t="str">
        <f>IF(A13&lt;&gt;"",(FDGDF!D1*FDGDF!C13)/FDGDF!C1, "")</f>
        <v/>
      </c>
    </row>
    <row r="14" spans="1:4" x14ac:dyDescent="0.3">
      <c r="C14" s="2" t="str">
        <f>IF(A14&lt;&gt;"",SUM(B14),"")</f>
        <v/>
      </c>
      <c r="D14" s="2" t="str">
        <f>IF(A14&lt;&gt;"",(FDGDF!D1*FDGDF!C14)/FDGDF!C1, "")</f>
        <v/>
      </c>
    </row>
    <row r="15" spans="1:4" x14ac:dyDescent="0.3">
      <c r="C15" s="2" t="str">
        <f>IF(A15&lt;&gt;"",SUM(B15),"")</f>
        <v/>
      </c>
      <c r="D15" s="2" t="str">
        <f>IF(A15&lt;&gt;"",(FDGDF!D1*FDGDF!C15)/FDGDF!C1, "")</f>
        <v/>
      </c>
    </row>
    <row r="16" spans="1:4" x14ac:dyDescent="0.3">
      <c r="C16" s="2" t="str">
        <f>IF(A16&lt;&gt;"",SUM(B16),"")</f>
        <v/>
      </c>
      <c r="D16" s="2" t="str">
        <f>IF(A16&lt;&gt;"",(FDGDF!D1*FDGDF!C16)/FDGDF!C1, "")</f>
        <v/>
      </c>
    </row>
    <row r="17" spans="3:4" x14ac:dyDescent="0.3">
      <c r="C17" s="2" t="str">
        <f>IF(A17&lt;&gt;"",SUM(B17),"")</f>
        <v/>
      </c>
      <c r="D17" s="2" t="str">
        <f>IF(A17&lt;&gt;"",(FDGDF!D1*FDGDF!C17)/FDGDF!C1, "")</f>
        <v/>
      </c>
    </row>
    <row r="18" spans="3:4" x14ac:dyDescent="0.3">
      <c r="C18" s="2" t="str">
        <f>IF(A18&lt;&gt;"",SUM(B18),"")</f>
        <v/>
      </c>
      <c r="D18" s="2" t="str">
        <f>IF(A18&lt;&gt;"",(FDGDF!D1*FDGDF!C18)/FDGDF!C1, "")</f>
        <v/>
      </c>
    </row>
    <row r="19" spans="3:4" x14ac:dyDescent="0.3">
      <c r="C19" s="2" t="str">
        <f>IF(A19&lt;&gt;"",SUM(B19),"")</f>
        <v/>
      </c>
      <c r="D19" s="2" t="str">
        <f>IF(A19&lt;&gt;"",(FDGDF!D1*FDGDF!C19)/FDGDF!C1, "")</f>
        <v/>
      </c>
    </row>
    <row r="20" spans="3:4" x14ac:dyDescent="0.3">
      <c r="C20" s="2" t="str">
        <f>IF(A20&lt;&gt;"",SUM(B20),"")</f>
        <v/>
      </c>
      <c r="D20" s="2" t="str">
        <f>IF(A20&lt;&gt;"",(FDGDF!D1*FDGDF!C20)/FDGDF!C1, "")</f>
        <v/>
      </c>
    </row>
    <row r="21" spans="3:4" x14ac:dyDescent="0.3">
      <c r="C21" s="2" t="str">
        <f>IF(A21&lt;&gt;"",SUM(B21),"")</f>
        <v/>
      </c>
      <c r="D21" s="2" t="str">
        <f>IF(A21&lt;&gt;"",(FDGDF!D1*FDGDF!C21)/FDGDF!C1, "")</f>
        <v/>
      </c>
    </row>
    <row r="22" spans="3:4" x14ac:dyDescent="0.3">
      <c r="C22" s="2" t="str">
        <f>IF(A22&lt;&gt;"",SUM(B22),"")</f>
        <v/>
      </c>
      <c r="D22" s="2" t="str">
        <f>IF(A22&lt;&gt;"",(FDGDF!D1*FDGDF!C22)/FDGDF!C1, "")</f>
        <v/>
      </c>
    </row>
    <row r="23" spans="3:4" x14ac:dyDescent="0.3">
      <c r="C23" s="2" t="str">
        <f>IF(A23&lt;&gt;"",SUM(B23),"")</f>
        <v/>
      </c>
      <c r="D23" s="2" t="str">
        <f>IF(A23&lt;&gt;"",(FDGDF!D1*FDGDF!C23)/FDGDF!C1, "")</f>
        <v/>
      </c>
    </row>
    <row r="24" spans="3:4" x14ac:dyDescent="0.3">
      <c r="C24" s="2" t="str">
        <f>IF(A24&lt;&gt;"",SUM(B24),"")</f>
        <v/>
      </c>
      <c r="D24" s="2" t="str">
        <f>IF(A24&lt;&gt;"",(FDGDF!D1*FDGDF!C24)/FDGDF!C1, "")</f>
        <v/>
      </c>
    </row>
    <row r="25" spans="3:4" x14ac:dyDescent="0.3">
      <c r="C25" s="2" t="str">
        <f>IF(A25&lt;&gt;"",SUM(B25),"")</f>
        <v/>
      </c>
      <c r="D25" s="2" t="str">
        <f>IF(A25&lt;&gt;"",(FDGDF!D1*FDGDF!C25)/FDGDF!C1, "")</f>
        <v/>
      </c>
    </row>
    <row r="26" spans="3:4" x14ac:dyDescent="0.3">
      <c r="C26" s="2" t="str">
        <f>IF(A26&lt;&gt;"",SUM(B26),"")</f>
        <v/>
      </c>
      <c r="D26" s="2" t="str">
        <f>IF(A26&lt;&gt;"",(FDGDF!D1*FDGDF!C26)/FDGDF!C1, "")</f>
        <v/>
      </c>
    </row>
    <row r="27" spans="3:4" x14ac:dyDescent="0.3">
      <c r="C27" s="2" t="str">
        <f>IF(A27&lt;&gt;"",SUM(B27),"")</f>
        <v/>
      </c>
      <c r="D27" s="2" t="str">
        <f>IF(A27&lt;&gt;"",(FDGDF!D1*FDGDF!C27)/FDGDF!C1, "")</f>
        <v/>
      </c>
    </row>
    <row r="28" spans="3:4" x14ac:dyDescent="0.3">
      <c r="C28" s="2" t="str">
        <f>IF(A28&lt;&gt;"",SUM(B28),"")</f>
        <v/>
      </c>
      <c r="D28" s="2" t="str">
        <f>IF(A28&lt;&gt;"",(FDGDF!D1*FDGDF!C28)/FDGDF!C1, "")</f>
        <v/>
      </c>
    </row>
    <row r="29" spans="3:4" x14ac:dyDescent="0.3">
      <c r="C29" s="2" t="str">
        <f>IF(A29&lt;&gt;"",SUM(B29),"")</f>
        <v/>
      </c>
      <c r="D29" s="2" t="str">
        <f>IF(A29&lt;&gt;"",(FDGDF!D1*FDGDF!C29)/FDGDF!C1, "")</f>
        <v/>
      </c>
    </row>
    <row r="30" spans="3:4" x14ac:dyDescent="0.3">
      <c r="C30" s="2" t="str">
        <f>IF(A30&lt;&gt;"",SUM(B30),"")</f>
        <v/>
      </c>
      <c r="D30" s="2" t="str">
        <f>IF(A30&lt;&gt;"",(FDGDF!D1*FDGDF!C30)/FDGDF!C1, "")</f>
        <v/>
      </c>
    </row>
    <row r="31" spans="3:4" x14ac:dyDescent="0.3">
      <c r="C31" s="2" t="str">
        <f>IF(A31&lt;&gt;"",SUM(B31),"")</f>
        <v/>
      </c>
      <c r="D31" s="2" t="str">
        <f>IF(A31&lt;&gt;"",(FDGDF!D1*FDGDF!C31)/FDGDF!C1, "")</f>
        <v/>
      </c>
    </row>
    <row r="32" spans="3:4" x14ac:dyDescent="0.3">
      <c r="C32" s="2" t="str">
        <f>IF(A32&lt;&gt;"",SUM(B32),"")</f>
        <v/>
      </c>
      <c r="D32" s="2" t="str">
        <f>IF(A32&lt;&gt;"",(FDGDF!D1*FDGDF!C32)/FDGDF!C1, "")</f>
        <v/>
      </c>
    </row>
    <row r="33" spans="3:4" x14ac:dyDescent="0.3">
      <c r="C33" s="2" t="str">
        <f>IF(A33&lt;&gt;"",SUM(B33),"")</f>
        <v/>
      </c>
      <c r="D33" s="2" t="str">
        <f>IF(A33&lt;&gt;"",(FDGDF!D1*FDGDF!C33)/FDGDF!C1, "")</f>
        <v/>
      </c>
    </row>
    <row r="34" spans="3:4" x14ac:dyDescent="0.3">
      <c r="C34" s="2" t="str">
        <f>IF(A34&lt;&gt;"",SUM(B34),"")</f>
        <v/>
      </c>
      <c r="D34" s="2" t="str">
        <f>IF(A34&lt;&gt;"",(FDGDF!D1*FDGDF!C34)/FDGDF!C1, "")</f>
        <v/>
      </c>
    </row>
    <row r="35" spans="3:4" x14ac:dyDescent="0.3">
      <c r="C35" s="2" t="str">
        <f>IF(A35&lt;&gt;"",SUM(B35),"")</f>
        <v/>
      </c>
      <c r="D35" s="2" t="str">
        <f>IF(A35&lt;&gt;"",(FDGDF!D1*FDGDF!C35)/FDGDF!C1, "")</f>
        <v/>
      </c>
    </row>
    <row r="36" spans="3:4" x14ac:dyDescent="0.3">
      <c r="C36" s="2" t="str">
        <f>IF(A36&lt;&gt;"",SUM(B36),"")</f>
        <v/>
      </c>
      <c r="D36" s="2" t="str">
        <f>IF(A36&lt;&gt;"",(FDGDF!D1*FDGDF!C36)/FDGDF!C1, "")</f>
        <v/>
      </c>
    </row>
    <row r="37" spans="3:4" x14ac:dyDescent="0.3">
      <c r="C37" s="2" t="str">
        <f>IF(A37&lt;&gt;"",SUM(B37),"")</f>
        <v/>
      </c>
      <c r="D37" s="2" t="str">
        <f>IF(A37&lt;&gt;"",(FDGDF!D1*FDGDF!C37)/FDGDF!C1, "")</f>
        <v/>
      </c>
    </row>
    <row r="38" spans="3:4" x14ac:dyDescent="0.3">
      <c r="C38" s="2" t="str">
        <f>IF(A38&lt;&gt;"",SUM(B38),"")</f>
        <v/>
      </c>
      <c r="D38" s="2" t="str">
        <f>IF(A38&lt;&gt;"",(FDGDF!D1*FDGDF!C38)/FDGDF!C1, "")</f>
        <v/>
      </c>
    </row>
    <row r="39" spans="3:4" x14ac:dyDescent="0.3">
      <c r="C39" s="2" t="str">
        <f>IF(A39&lt;&gt;"",SUM(B39),"")</f>
        <v/>
      </c>
      <c r="D39" s="2" t="str">
        <f>IF(A39&lt;&gt;"",(FDGDF!D1*FDGDF!C39)/FDGDF!C1, "")</f>
        <v/>
      </c>
    </row>
    <row r="40" spans="3:4" x14ac:dyDescent="0.3">
      <c r="C40" s="2" t="str">
        <f>IF(A40&lt;&gt;"",SUM(B40),"")</f>
        <v/>
      </c>
      <c r="D40" s="2" t="str">
        <f>IF(A40&lt;&gt;"",(FDGDF!D1*FDGDF!C40)/FDGDF!C1, "")</f>
        <v/>
      </c>
    </row>
    <row r="41" spans="3:4" x14ac:dyDescent="0.3">
      <c r="C41" s="2" t="str">
        <f>IF(A41&lt;&gt;"",SUM(B41),"")</f>
        <v/>
      </c>
      <c r="D41" s="2" t="str">
        <f>IF(A41&lt;&gt;"",(FDGDF!D1*FDGDF!C41)/FDGDF!C1, "")</f>
        <v/>
      </c>
    </row>
    <row r="42" spans="3:4" x14ac:dyDescent="0.3">
      <c r="C42" s="2" t="str">
        <f>IF(A42&lt;&gt;"",SUM(B42),"")</f>
        <v/>
      </c>
      <c r="D42" s="2" t="str">
        <f>IF(A42&lt;&gt;"",(FDGDF!D1*FDGDF!C42)/FDGDF!C1, "")</f>
        <v/>
      </c>
    </row>
    <row r="43" spans="3:4" x14ac:dyDescent="0.3">
      <c r="C43" s="2" t="str">
        <f>IF(A43&lt;&gt;"",SUM(B43),"")</f>
        <v/>
      </c>
      <c r="D43" s="2" t="str">
        <f>IF(A43&lt;&gt;"",(FDGDF!D1*FDGDF!C43)/FDGDF!C1, "")</f>
        <v/>
      </c>
    </row>
    <row r="44" spans="3:4" x14ac:dyDescent="0.3">
      <c r="C44" s="2" t="str">
        <f>IF(A44&lt;&gt;"",SUM(B44),"")</f>
        <v/>
      </c>
      <c r="D44" s="2" t="str">
        <f>IF(A44&lt;&gt;"",(FDGDF!D1*FDGDF!C44)/FDGDF!C1, "")</f>
        <v/>
      </c>
    </row>
    <row r="45" spans="3:4" x14ac:dyDescent="0.3">
      <c r="C45" s="2" t="str">
        <f>IF(A45&lt;&gt;"",SUM(B45),"")</f>
        <v/>
      </c>
      <c r="D45" s="2" t="str">
        <f>IF(A45&lt;&gt;"",(FDGDF!D1*FDGDF!C45)/FDGDF!C1, "")</f>
        <v/>
      </c>
    </row>
    <row r="46" spans="3:4" x14ac:dyDescent="0.3">
      <c r="C46" s="2" t="str">
        <f>IF(A46&lt;&gt;"",SUM(B46),"")</f>
        <v/>
      </c>
      <c r="D46" s="2" t="str">
        <f>IF(A46&lt;&gt;"",(FDGDF!D1*FDGDF!C46)/FDGDF!C1, "")</f>
        <v/>
      </c>
    </row>
    <row r="47" spans="3:4" x14ac:dyDescent="0.3">
      <c r="C47" s="2" t="str">
        <f>IF(A47&lt;&gt;"",SUM(B47),"")</f>
        <v/>
      </c>
      <c r="D47" s="2" t="str">
        <f>IF(A47&lt;&gt;"",(FDGDF!D1*FDGDF!C47)/FDGDF!C1, "")</f>
        <v/>
      </c>
    </row>
    <row r="48" spans="3:4" x14ac:dyDescent="0.3">
      <c r="C48" s="2" t="str">
        <f>IF(A48&lt;&gt;"",SUM(B48),"")</f>
        <v/>
      </c>
      <c r="D48" s="2" t="str">
        <f>IF(A48&lt;&gt;"",(FDGDF!D1*FDGDF!C48)/FDGDF!C1, "")</f>
        <v/>
      </c>
    </row>
    <row r="49" spans="3:4" x14ac:dyDescent="0.3">
      <c r="C49" s="2" t="str">
        <f>IF(A49&lt;&gt;"",SUM(B49),"")</f>
        <v/>
      </c>
      <c r="D49" s="2" t="str">
        <f>IF(A49&lt;&gt;"",(FDGDF!D1*FDGDF!C49)/FDGDF!C1, "")</f>
        <v/>
      </c>
    </row>
    <row r="50" spans="3:4" x14ac:dyDescent="0.3">
      <c r="C50" s="2" t="str">
        <f>IF(A50&lt;&gt;"",SUM(B50),"")</f>
        <v/>
      </c>
      <c r="D50" s="2" t="str">
        <f>IF(A50&lt;&gt;"",(FDGDF!D1*FDGDF!C50)/FDGDF!C1, "")</f>
        <v/>
      </c>
    </row>
    <row r="51" spans="3:4" x14ac:dyDescent="0.3">
      <c r="C51" s="2" t="str">
        <f>IF(A51&lt;&gt;"",SUM(B51),"")</f>
        <v/>
      </c>
      <c r="D51" s="2" t="str">
        <f>IF(A51&lt;&gt;"",(FDGDF!D1*FDGDF!C51)/FDGDF!C1, "")</f>
        <v/>
      </c>
    </row>
    <row r="52" spans="3:4" x14ac:dyDescent="0.3">
      <c r="C52" s="2" t="str">
        <f>IF(A52&lt;&gt;"",SUM(B52),"")</f>
        <v/>
      </c>
      <c r="D52" s="2" t="str">
        <f>IF(A52&lt;&gt;"",(FDGDF!D1*FDGDF!C52)/FDGDF!C1, "")</f>
        <v/>
      </c>
    </row>
    <row r="53" spans="3:4" x14ac:dyDescent="0.3">
      <c r="C53" s="2" t="str">
        <f>IF(A53&lt;&gt;"",SUM(B53),"")</f>
        <v/>
      </c>
      <c r="D53" s="2" t="str">
        <f>IF(A53&lt;&gt;"",(FDGDF!D1*FDGDF!C53)/FDGDF!C1, "")</f>
        <v/>
      </c>
    </row>
    <row r="54" spans="3:4" x14ac:dyDescent="0.3">
      <c r="C54" s="2" t="str">
        <f>IF(A54&lt;&gt;"",SUM(B54),"")</f>
        <v/>
      </c>
      <c r="D54" s="2" t="str">
        <f>IF(A54&lt;&gt;"",(FDGDF!D1*FDGDF!C54)/FDGDF!C1, "")</f>
        <v/>
      </c>
    </row>
    <row r="55" spans="3:4" x14ac:dyDescent="0.3">
      <c r="C55" s="2" t="str">
        <f>IF(A55&lt;&gt;"",SUM(B55),"")</f>
        <v/>
      </c>
      <c r="D55" s="2" t="str">
        <f>IF(A55&lt;&gt;"",(FDGDF!D1*FDGDF!C55)/FDGDF!C1, "")</f>
        <v/>
      </c>
    </row>
    <row r="56" spans="3:4" x14ac:dyDescent="0.3">
      <c r="C56" s="2" t="str">
        <f>IF(A56&lt;&gt;"",SUM(B56),"")</f>
        <v/>
      </c>
      <c r="D56" s="2" t="str">
        <f>IF(A56&lt;&gt;"",(FDGDF!D1*FDGDF!C56)/FDGDF!C1, "")</f>
        <v/>
      </c>
    </row>
    <row r="57" spans="3:4" x14ac:dyDescent="0.3">
      <c r="C57" s="2" t="str">
        <f>IF(A57&lt;&gt;"",SUM(B57),"")</f>
        <v/>
      </c>
      <c r="D57" s="2" t="str">
        <f>IF(A57&lt;&gt;"",(FDGDF!D1*FDGDF!C57)/FDGDF!C1, "")</f>
        <v/>
      </c>
    </row>
    <row r="58" spans="3:4" x14ac:dyDescent="0.3">
      <c r="C58" s="2" t="str">
        <f>IF(A58&lt;&gt;"",SUM(B58),"")</f>
        <v/>
      </c>
      <c r="D58" s="2" t="str">
        <f>IF(A58&lt;&gt;"",(FDGDF!D1*FDGDF!C58)/FDGDF!C1, "")</f>
        <v/>
      </c>
    </row>
    <row r="59" spans="3:4" x14ac:dyDescent="0.3">
      <c r="C59" s="2" t="str">
        <f>IF(A59&lt;&gt;"",SUM(B59),"")</f>
        <v/>
      </c>
      <c r="D59" s="2" t="str">
        <f>IF(A59&lt;&gt;"",(FDGDF!D1*FDGDF!C59)/FDGDF!C1, "")</f>
        <v/>
      </c>
    </row>
    <row r="60" spans="3:4" x14ac:dyDescent="0.3">
      <c r="C60" s="2" t="str">
        <f>IF(A60&lt;&gt;"",SUM(B60),"")</f>
        <v/>
      </c>
      <c r="D60" s="2" t="str">
        <f>IF(A60&lt;&gt;"",(FDGDF!D1*FDGDF!C60)/FDGDF!C1, "")</f>
        <v/>
      </c>
    </row>
    <row r="61" spans="3:4" x14ac:dyDescent="0.3">
      <c r="C61" s="2" t="str">
        <f>IF(A61&lt;&gt;"",SUM(B61),"")</f>
        <v/>
      </c>
      <c r="D61" s="2" t="str">
        <f>IF(A61&lt;&gt;"",(FDGDF!D1*FDGDF!C61)/FDGDF!C1, "")</f>
        <v/>
      </c>
    </row>
    <row r="62" spans="3:4" x14ac:dyDescent="0.3">
      <c r="C62" s="2" t="str">
        <f>IF(A62&lt;&gt;"",SUM(B62),"")</f>
        <v/>
      </c>
      <c r="D62" s="2" t="str">
        <f>IF(A62&lt;&gt;"",(FDGDF!D1*FDGDF!C62)/FDGDF!C1, "")</f>
        <v/>
      </c>
    </row>
    <row r="63" spans="3:4" x14ac:dyDescent="0.3">
      <c r="C63" s="2" t="str">
        <f>IF(A63&lt;&gt;"",SUM(B63),"")</f>
        <v/>
      </c>
      <c r="D63" s="2" t="str">
        <f>IF(A63&lt;&gt;"",(FDGDF!D1*FDGDF!C63)/FDGDF!C1, "")</f>
        <v/>
      </c>
    </row>
    <row r="64" spans="3:4" x14ac:dyDescent="0.3">
      <c r="C64" s="2" t="str">
        <f>IF(A64&lt;&gt;"",SUM(B64),"")</f>
        <v/>
      </c>
      <c r="D64" s="2" t="str">
        <f>IF(A64&lt;&gt;"",(FDGDF!D1*FDGDF!C64)/FDGDF!C1, "")</f>
        <v/>
      </c>
    </row>
    <row r="65" spans="3:4" x14ac:dyDescent="0.3">
      <c r="C65" s="2" t="str">
        <f>IF(A65&lt;&gt;"",SUM(B65),"")</f>
        <v/>
      </c>
      <c r="D65" s="2" t="str">
        <f>IF(A65&lt;&gt;"",(FDGDF!D1*FDGDF!C65)/FDGDF!C1, "")</f>
        <v/>
      </c>
    </row>
    <row r="66" spans="3:4" x14ac:dyDescent="0.3">
      <c r="C66" s="2" t="str">
        <f>IF(A66&lt;&gt;"",SUM(B66),"")</f>
        <v/>
      </c>
      <c r="D66" s="2" t="str">
        <f>IF(A66&lt;&gt;"",(FDGDF!D1*FDGDF!C66)/FDGDF!C1, "")</f>
        <v/>
      </c>
    </row>
    <row r="67" spans="3:4" x14ac:dyDescent="0.3">
      <c r="C67" s="2" t="str">
        <f>IF(A67&lt;&gt;"",SUM(B67),"")</f>
        <v/>
      </c>
      <c r="D67" s="2" t="str">
        <f>IF(A67&lt;&gt;"",(FDGDF!D1*FDGDF!C67)/FDGDF!C1, "")</f>
        <v/>
      </c>
    </row>
    <row r="68" spans="3:4" x14ac:dyDescent="0.3">
      <c r="C68" s="2" t="str">
        <f>IF(A68&lt;&gt;"",SUM(B68),"")</f>
        <v/>
      </c>
      <c r="D68" s="2" t="str">
        <f>IF(A68&lt;&gt;"",(FDGDF!D1*FDGDF!C68)/FDGDF!C1, "")</f>
        <v/>
      </c>
    </row>
    <row r="69" spans="3:4" x14ac:dyDescent="0.3">
      <c r="C69" s="2" t="str">
        <f>IF(A69&lt;&gt;"",SUM(B69),"")</f>
        <v/>
      </c>
      <c r="D69" s="2" t="str">
        <f>IF(A69&lt;&gt;"",(FDGDF!D1*FDGDF!C69)/FDGDF!C1, "")</f>
        <v/>
      </c>
    </row>
    <row r="70" spans="3:4" x14ac:dyDescent="0.3">
      <c r="C70" s="2" t="str">
        <f>IF(A70&lt;&gt;"",SUM(B70),"")</f>
        <v/>
      </c>
      <c r="D70" s="2" t="str">
        <f>IF(A70&lt;&gt;"",(FDGDF!D1*FDGDF!C70)/FDGDF!C1, "")</f>
        <v/>
      </c>
    </row>
    <row r="71" spans="3:4" x14ac:dyDescent="0.3">
      <c r="C71" s="2" t="str">
        <f>IF(A71&lt;&gt;"",SUM(B71),"")</f>
        <v/>
      </c>
      <c r="D71" s="2" t="str">
        <f>IF(A71&lt;&gt;"",(FDGDF!D1*FDGDF!C71)/FDGDF!C1, "")</f>
        <v/>
      </c>
    </row>
    <row r="72" spans="3:4" x14ac:dyDescent="0.3">
      <c r="C72" s="2" t="str">
        <f>IF(A72&lt;&gt;"",SUM(B72),"")</f>
        <v/>
      </c>
      <c r="D72" s="2" t="str">
        <f>IF(A72&lt;&gt;"",(FDGDF!D1*FDGDF!C72)/FDGDF!C1, "")</f>
        <v/>
      </c>
    </row>
    <row r="73" spans="3:4" x14ac:dyDescent="0.3">
      <c r="C73" s="2" t="str">
        <f>IF(A73&lt;&gt;"",SUM(B73),"")</f>
        <v/>
      </c>
      <c r="D73" s="2" t="str">
        <f>IF(A73&lt;&gt;"",(FDGDF!D1*FDGDF!C73)/FDGDF!C1, "")</f>
        <v/>
      </c>
    </row>
    <row r="74" spans="3:4" x14ac:dyDescent="0.3">
      <c r="C74" s="2" t="str">
        <f>IF(A74&lt;&gt;"",SUM(B74),"")</f>
        <v/>
      </c>
      <c r="D74" s="2" t="str">
        <f>IF(A74&lt;&gt;"",(FDGDF!D1*FDGDF!C74)/FDGDF!C1, "")</f>
        <v/>
      </c>
    </row>
    <row r="75" spans="3:4" x14ac:dyDescent="0.3">
      <c r="C75" s="2" t="str">
        <f>IF(A75&lt;&gt;"",SUM(B75),"")</f>
        <v/>
      </c>
      <c r="D75" s="2" t="str">
        <f>IF(A75&lt;&gt;"",(FDGDF!D1*FDGDF!C75)/FDGDF!C1, "")</f>
        <v/>
      </c>
    </row>
    <row r="76" spans="3:4" x14ac:dyDescent="0.3">
      <c r="C76" s="2" t="str">
        <f>IF(A76&lt;&gt;"",SUM(B76),"")</f>
        <v/>
      </c>
      <c r="D76" s="2" t="str">
        <f>IF(A76&lt;&gt;"",(FDGDF!D1*FDGDF!C76)/FDGDF!C1, "")</f>
        <v/>
      </c>
    </row>
    <row r="77" spans="3:4" x14ac:dyDescent="0.3">
      <c r="C77" s="2" t="str">
        <f>IF(A77&lt;&gt;"",SUM(B77),"")</f>
        <v/>
      </c>
      <c r="D77" s="2" t="str">
        <f>IF(A77&lt;&gt;"",(FDGDF!D1*FDGDF!C77)/FDGDF!C1, "")</f>
        <v/>
      </c>
    </row>
    <row r="78" spans="3:4" x14ac:dyDescent="0.3">
      <c r="C78" s="2" t="str">
        <f>IF(A78&lt;&gt;"",SUM(B78),"")</f>
        <v/>
      </c>
      <c r="D78" s="2" t="str">
        <f>IF(A78&lt;&gt;"",(FDGDF!D1*FDGDF!C78)/FDGDF!C1, "")</f>
        <v/>
      </c>
    </row>
    <row r="79" spans="3:4" x14ac:dyDescent="0.3">
      <c r="C79" s="2" t="str">
        <f>IF(A79&lt;&gt;"",SUM(B79),"")</f>
        <v/>
      </c>
      <c r="D79" s="2" t="str">
        <f>IF(A79&lt;&gt;"",(FDGDF!D1*FDGDF!C79)/FDGDF!C1, "")</f>
        <v/>
      </c>
    </row>
    <row r="80" spans="3:4" x14ac:dyDescent="0.3">
      <c r="C80" s="2" t="str">
        <f>IF(A80&lt;&gt;"",SUM(B80),"")</f>
        <v/>
      </c>
      <c r="D80" s="2" t="str">
        <f>IF(A80&lt;&gt;"",(FDGDF!D1*FDGDF!C80)/FDGDF!C1, "")</f>
        <v/>
      </c>
    </row>
    <row r="81" spans="3:4" x14ac:dyDescent="0.3">
      <c r="C81" s="2" t="str">
        <f>IF(A81&lt;&gt;"",SUM(B81),"")</f>
        <v/>
      </c>
      <c r="D81" s="2" t="str">
        <f>IF(A81&lt;&gt;"",(FDGDF!D1*FDGDF!C81)/FDGDF!C1, "")</f>
        <v/>
      </c>
    </row>
    <row r="82" spans="3:4" x14ac:dyDescent="0.3">
      <c r="C82" s="2" t="str">
        <f>IF(A82&lt;&gt;"",SUM(B82),"")</f>
        <v/>
      </c>
      <c r="D82" s="2" t="str">
        <f>IF(A82&lt;&gt;"",(FDGDF!D1*FDGDF!C82)/FDGDF!C1, "")</f>
        <v/>
      </c>
    </row>
    <row r="83" spans="3:4" x14ac:dyDescent="0.3">
      <c r="C83" s="2" t="str">
        <f>IF(A83&lt;&gt;"",SUM(B83),"")</f>
        <v/>
      </c>
      <c r="D83" s="2" t="str">
        <f>IF(A83&lt;&gt;"",(FDGDF!D1*FDGDF!C83)/FDGDF!C1, "")</f>
        <v/>
      </c>
    </row>
    <row r="84" spans="3:4" x14ac:dyDescent="0.3">
      <c r="C84" s="2" t="str">
        <f>IF(A84&lt;&gt;"",SUM(B84),"")</f>
        <v/>
      </c>
      <c r="D84" s="2" t="str">
        <f>IF(A84&lt;&gt;"",(FDGDF!D1*FDGDF!C84)/FDGDF!C1, "")</f>
        <v/>
      </c>
    </row>
    <row r="85" spans="3:4" x14ac:dyDescent="0.3">
      <c r="C85" s="2" t="str">
        <f>IF(A85&lt;&gt;"",SUM(B85),"")</f>
        <v/>
      </c>
      <c r="D85" s="2" t="str">
        <f>IF(A85&lt;&gt;"",(FDGDF!D1*FDGDF!C85)/FDGDF!C1, "")</f>
        <v/>
      </c>
    </row>
    <row r="86" spans="3:4" x14ac:dyDescent="0.3">
      <c r="C86" s="2" t="str">
        <f>IF(A86&lt;&gt;"",SUM(B86),"")</f>
        <v/>
      </c>
      <c r="D86" s="2" t="str">
        <f>IF(A86&lt;&gt;"",(FDGDF!D1*FDGDF!C86)/FDGDF!C1, "")</f>
        <v/>
      </c>
    </row>
    <row r="87" spans="3:4" x14ac:dyDescent="0.3">
      <c r="C87" s="2" t="str">
        <f>IF(A87&lt;&gt;"",SUM(B87),"")</f>
        <v/>
      </c>
      <c r="D87" s="2" t="str">
        <f>IF(A87&lt;&gt;"",(FDGDF!D1*FDGDF!C87)/FDGDF!C1, "")</f>
        <v/>
      </c>
    </row>
    <row r="88" spans="3:4" x14ac:dyDescent="0.3">
      <c r="C88" s="2" t="str">
        <f>IF(A88&lt;&gt;"",SUM(B88),"")</f>
        <v/>
      </c>
      <c r="D88" s="2" t="str">
        <f>IF(A88&lt;&gt;"",(FDGDF!D1*FDGDF!C88)/FDGDF!C1, "")</f>
        <v/>
      </c>
    </row>
    <row r="89" spans="3:4" x14ac:dyDescent="0.3">
      <c r="C89" s="2" t="str">
        <f>IF(A89&lt;&gt;"",SUM(B89),"")</f>
        <v/>
      </c>
      <c r="D89" s="2" t="str">
        <f>IF(A89&lt;&gt;"",(FDGDF!D1*FDGDF!C89)/FDGDF!C1, "")</f>
        <v/>
      </c>
    </row>
    <row r="90" spans="3:4" x14ac:dyDescent="0.3">
      <c r="C90" s="2" t="str">
        <f>IF(A90&lt;&gt;"",SUM(B90),"")</f>
        <v/>
      </c>
      <c r="D90" s="2" t="str">
        <f>IF(A90&lt;&gt;"",(FDGDF!D1*FDGDF!C90)/FDGDF!C1, "")</f>
        <v/>
      </c>
    </row>
    <row r="91" spans="3:4" x14ac:dyDescent="0.3">
      <c r="C91" s="2" t="str">
        <f>IF(A91&lt;&gt;"",SUM(B91),"")</f>
        <v/>
      </c>
      <c r="D91" s="2" t="str">
        <f>IF(A91&lt;&gt;"",(FDGDF!D1*FDGDF!C91)/FDGDF!C1, "")</f>
        <v/>
      </c>
    </row>
    <row r="92" spans="3:4" x14ac:dyDescent="0.3">
      <c r="C92" s="2" t="str">
        <f>IF(A92&lt;&gt;"",SUM(B92),"")</f>
        <v/>
      </c>
      <c r="D92" s="2" t="str">
        <f>IF(A92&lt;&gt;"",(FDGDF!D1*FDGDF!C92)/FDGDF!C1, "")</f>
        <v/>
      </c>
    </row>
    <row r="93" spans="3:4" x14ac:dyDescent="0.3">
      <c r="C93" s="2" t="str">
        <f>IF(A93&lt;&gt;"",SUM(B93),"")</f>
        <v/>
      </c>
      <c r="D93" s="2" t="str">
        <f>IF(A93&lt;&gt;"",(FDGDF!D1*FDGDF!C93)/FDGDF!C1, "")</f>
        <v/>
      </c>
    </row>
    <row r="94" spans="3:4" x14ac:dyDescent="0.3">
      <c r="C94" s="2" t="str">
        <f>IF(A94&lt;&gt;"",SUM(B94),"")</f>
        <v/>
      </c>
      <c r="D94" s="2" t="str">
        <f>IF(A94&lt;&gt;"",(FDGDF!D1*FDGDF!C94)/FDGDF!C1, "")</f>
        <v/>
      </c>
    </row>
    <row r="95" spans="3:4" x14ac:dyDescent="0.3">
      <c r="C95" s="2" t="str">
        <f>IF(A95&lt;&gt;"",SUM(B95),"")</f>
        <v/>
      </c>
      <c r="D95" s="2" t="str">
        <f>IF(A95&lt;&gt;"",(FDGDF!D1*FDGDF!C95)/FDGDF!C1, "")</f>
        <v/>
      </c>
    </row>
    <row r="96" spans="3:4" x14ac:dyDescent="0.3">
      <c r="C96" s="2" t="str">
        <f>IF(A96&lt;&gt;"",SUM(B96),"")</f>
        <v/>
      </c>
      <c r="D96" s="2" t="str">
        <f>IF(A96&lt;&gt;"",(FDGDF!D1*FDGDF!C96)/FDGDF!C1, "")</f>
        <v/>
      </c>
    </row>
    <row r="97" spans="3:4" x14ac:dyDescent="0.3">
      <c r="C97" s="2" t="str">
        <f>IF(A97&lt;&gt;"",SUM(B97),"")</f>
        <v/>
      </c>
      <c r="D97" s="2" t="str">
        <f>IF(A97&lt;&gt;"",(FDGDF!D1*FDGDF!C97)/FDGDF!C1, "")</f>
        <v/>
      </c>
    </row>
    <row r="98" spans="3:4" x14ac:dyDescent="0.3">
      <c r="C98" s="2" t="str">
        <f>IF(A98&lt;&gt;"",SUM(B98),"")</f>
        <v/>
      </c>
      <c r="D98" s="2" t="str">
        <f>IF(A98&lt;&gt;"",(FDGDF!D1*FDGDF!C98)/FDGDF!C1, "")</f>
        <v/>
      </c>
    </row>
    <row r="99" spans="3:4" x14ac:dyDescent="0.3">
      <c r="C99" s="2" t="str">
        <f>IF(A99&lt;&gt;"",SUM(B99),"")</f>
        <v/>
      </c>
      <c r="D99" s="2" t="str">
        <f>IF(A99&lt;&gt;"",(FDGDF!D1*FDGDF!C99)/FDGDF!C1, "")</f>
        <v/>
      </c>
    </row>
    <row r="100" spans="3:4" x14ac:dyDescent="0.3">
      <c r="C100" s="2" t="str">
        <f>IF(A100&lt;&gt;"",SUM(B100),"")</f>
        <v/>
      </c>
      <c r="D100" s="2" t="str">
        <f>IF(A100&lt;&gt;"",(FDGDF!D1*FDGDF!C100)/FDGDF!C1, "")</f>
        <v/>
      </c>
    </row>
    <row r="101" spans="3:4" x14ac:dyDescent="0.3">
      <c r="C101" s="2" t="str">
        <f>IF(A101&lt;&gt;"",SUM(B101),"")</f>
        <v/>
      </c>
      <c r="D101" s="2" t="str">
        <f>IF(A101&lt;&gt;"",(FDGDF!D1*FDGDF!C101)/FDGDF!C1, "")</f>
        <v/>
      </c>
    </row>
    <row r="102" spans="3:4" x14ac:dyDescent="0.3">
      <c r="C102" s="2" t="str">
        <f>IF(A102&lt;&gt;"",SUM(B102),"")</f>
        <v/>
      </c>
      <c r="D102" s="2" t="str">
        <f>IF(A102&lt;&gt;"",(FDGDF!D1*FDGDF!C102)/FDGDF!C1, "")</f>
        <v/>
      </c>
    </row>
    <row r="103" spans="3:4" x14ac:dyDescent="0.3">
      <c r="C103" s="2" t="str">
        <f>IF(A103&lt;&gt;"",SUM(B103),"")</f>
        <v/>
      </c>
      <c r="D103" s="2" t="str">
        <f>IF(A103&lt;&gt;"",(FDGDF!D1*FDGDF!C103)/FDGDF!C1, "")</f>
        <v/>
      </c>
    </row>
    <row r="104" spans="3:4" x14ac:dyDescent="0.3">
      <c r="C104" s="2" t="str">
        <f>IF(A104&lt;&gt;"",SUM(B104),"")</f>
        <v/>
      </c>
      <c r="D104" s="2" t="str">
        <f>IF(A104&lt;&gt;"",(FDGDF!D1*FDGDF!C104)/FDGDF!C1, "")</f>
        <v/>
      </c>
    </row>
    <row r="105" spans="3:4" x14ac:dyDescent="0.3">
      <c r="C105" s="2" t="str">
        <f>IF(A105&lt;&gt;"",SUM(B105),"")</f>
        <v/>
      </c>
      <c r="D105" s="2" t="str">
        <f>IF(A105&lt;&gt;"",(FDGDF!D1*FDGDF!C105)/FDGDF!C1, "")</f>
        <v/>
      </c>
    </row>
    <row r="106" spans="3:4" x14ac:dyDescent="0.3">
      <c r="C106" s="2" t="str">
        <f>IF(A106&lt;&gt;"",SUM(B106),"")</f>
        <v/>
      </c>
      <c r="D106" s="2" t="str">
        <f>IF(A106&lt;&gt;"",(FDGDF!D1*FDGDF!C106)/FDGDF!C1, "")</f>
        <v/>
      </c>
    </row>
    <row r="107" spans="3:4" x14ac:dyDescent="0.3">
      <c r="C107" s="2" t="str">
        <f>IF(A107&lt;&gt;"",SUM(B107),"")</f>
        <v/>
      </c>
      <c r="D107" s="2" t="str">
        <f>IF(A107&lt;&gt;"",(FDGDF!D1*FDGDF!C107)/FDGDF!C1, "")</f>
        <v/>
      </c>
    </row>
    <row r="108" spans="3:4" x14ac:dyDescent="0.3">
      <c r="C108" s="2" t="str">
        <f>IF(A108&lt;&gt;"",SUM(B108),"")</f>
        <v/>
      </c>
      <c r="D108" s="2" t="str">
        <f>IF(A108&lt;&gt;"",(FDGDF!D1*FDGDF!C108)/FDGDF!C1, "")</f>
        <v/>
      </c>
    </row>
    <row r="109" spans="3:4" x14ac:dyDescent="0.3">
      <c r="C109" s="2" t="str">
        <f>IF(A109&lt;&gt;"",SUM(B109),"")</f>
        <v/>
      </c>
      <c r="D109" s="2" t="str">
        <f>IF(A109&lt;&gt;"",(FDGDF!D1*FDGDF!C109)/FDGDF!C1, "")</f>
        <v/>
      </c>
    </row>
    <row r="110" spans="3:4" x14ac:dyDescent="0.3">
      <c r="C110" s="2" t="str">
        <f>IF(A110&lt;&gt;"",SUM(B110),"")</f>
        <v/>
      </c>
      <c r="D110" s="2" t="str">
        <f>IF(A110&lt;&gt;"",(FDGDF!D1*FDGDF!C110)/FDGDF!C1, "")</f>
        <v/>
      </c>
    </row>
    <row r="111" spans="3:4" x14ac:dyDescent="0.3">
      <c r="C111" s="2" t="str">
        <f>IF(A111&lt;&gt;"",SUM(B111),"")</f>
        <v/>
      </c>
      <c r="D111" s="2" t="str">
        <f>IF(A111&lt;&gt;"",(FDGDF!D1*FDGDF!C111)/FDGDF!C1, "")</f>
        <v/>
      </c>
    </row>
    <row r="112" spans="3:4" x14ac:dyDescent="0.3">
      <c r="C112" s="2" t="str">
        <f>IF(A112&lt;&gt;"",SUM(B112),"")</f>
        <v/>
      </c>
      <c r="D112" s="2" t="str">
        <f>IF(A112&lt;&gt;"",(FDGDF!D1*FDGDF!C112)/FDGDF!C1, "")</f>
        <v/>
      </c>
    </row>
    <row r="113" spans="3:4" x14ac:dyDescent="0.3">
      <c r="C113" s="2" t="str">
        <f>IF(A113&lt;&gt;"",SUM(B113),"")</f>
        <v/>
      </c>
      <c r="D113" s="2" t="str">
        <f>IF(A113&lt;&gt;"",(FDGDF!D1*FDGDF!C113)/FDGDF!C1, "")</f>
        <v/>
      </c>
    </row>
    <row r="114" spans="3:4" x14ac:dyDescent="0.3">
      <c r="C114" s="2" t="str">
        <f>IF(A114&lt;&gt;"",SUM(B114),"")</f>
        <v/>
      </c>
      <c r="D114" s="2" t="str">
        <f>IF(A114&lt;&gt;"",(FDGDF!D1*FDGDF!C114)/FDGDF!C1, "")</f>
        <v/>
      </c>
    </row>
    <row r="115" spans="3:4" x14ac:dyDescent="0.3">
      <c r="C115" s="2" t="str">
        <f>IF(A115&lt;&gt;"",SUM(B115),"")</f>
        <v/>
      </c>
      <c r="D115" s="2" t="str">
        <f>IF(A115&lt;&gt;"",(FDGDF!D1*FDGDF!C115)/FDGDF!C1, "")</f>
        <v/>
      </c>
    </row>
    <row r="116" spans="3:4" x14ac:dyDescent="0.3">
      <c r="C116" s="2" t="str">
        <f>IF(A116&lt;&gt;"",SUM(B116),"")</f>
        <v/>
      </c>
      <c r="D116" s="2" t="str">
        <f>IF(A116&lt;&gt;"",(FDGDF!D1*FDGDF!C116)/FDGDF!C1, "")</f>
        <v/>
      </c>
    </row>
    <row r="117" spans="3:4" x14ac:dyDescent="0.3">
      <c r="C117" s="2" t="str">
        <f>IF(A117&lt;&gt;"",SUM(B117),"")</f>
        <v/>
      </c>
      <c r="D117" s="2" t="str">
        <f>IF(A117&lt;&gt;"",(FDGDF!D1*FDGDF!C117)/FDGDF!C1, "")</f>
        <v/>
      </c>
    </row>
    <row r="118" spans="3:4" x14ac:dyDescent="0.3">
      <c r="C118" s="2" t="str">
        <f>IF(A118&lt;&gt;"",SUM(B118),"")</f>
        <v/>
      </c>
      <c r="D118" s="2" t="str">
        <f>IF(A118&lt;&gt;"",(FDGDF!D1*FDGDF!C118)/FDGDF!C1, "")</f>
        <v/>
      </c>
    </row>
    <row r="119" spans="3:4" x14ac:dyDescent="0.3">
      <c r="C119" s="2" t="str">
        <f>IF(A119&lt;&gt;"",SUM(B119),"")</f>
        <v/>
      </c>
      <c r="D119" s="2" t="str">
        <f>IF(A119&lt;&gt;"",(FDGDF!D1*FDGDF!C119)/FDGDF!C1, "")</f>
        <v/>
      </c>
    </row>
    <row r="120" spans="3:4" x14ac:dyDescent="0.3">
      <c r="C120" s="2" t="str">
        <f>IF(A120&lt;&gt;"",SUM(B120),"")</f>
        <v/>
      </c>
      <c r="D120" s="2" t="str">
        <f>IF(A120&lt;&gt;"",(FDGDF!D1*FDGDF!C120)/FDGDF!C1, "")</f>
        <v/>
      </c>
    </row>
    <row r="121" spans="3:4" x14ac:dyDescent="0.3">
      <c r="C121" s="2" t="str">
        <f>IF(A121&lt;&gt;"",SUM(B121),"")</f>
        <v/>
      </c>
      <c r="D121" s="2" t="str">
        <f>IF(A121&lt;&gt;"",(FDGDF!D1*FDGDF!C121)/FDGDF!C1, "")</f>
        <v/>
      </c>
    </row>
    <row r="122" spans="3:4" x14ac:dyDescent="0.3">
      <c r="C122" s="2" t="str">
        <f>IF(A122&lt;&gt;"",SUM(B122),"")</f>
        <v/>
      </c>
      <c r="D122" s="2" t="str">
        <f>IF(A122&lt;&gt;"",(FDGDF!D1*FDGDF!C122)/FDGDF!C1, "")</f>
        <v/>
      </c>
    </row>
    <row r="123" spans="3:4" x14ac:dyDescent="0.3">
      <c r="C123" s="2" t="str">
        <f>IF(A123&lt;&gt;"",SUM(B123),"")</f>
        <v/>
      </c>
      <c r="D123" s="2" t="str">
        <f>IF(A123&lt;&gt;"",(FDGDF!D1*FDGDF!C123)/FDGDF!C1, "")</f>
        <v/>
      </c>
    </row>
    <row r="124" spans="3:4" x14ac:dyDescent="0.3">
      <c r="C124" s="2" t="str">
        <f>IF(A124&lt;&gt;"",SUM(B124),"")</f>
        <v/>
      </c>
      <c r="D124" s="2" t="str">
        <f>IF(A124&lt;&gt;"",(FDGDF!D1*FDGDF!C124)/FDGDF!C1, "")</f>
        <v/>
      </c>
    </row>
    <row r="125" spans="3:4" x14ac:dyDescent="0.3">
      <c r="C125" s="2" t="str">
        <f>IF(A125&lt;&gt;"",SUM(B125),"")</f>
        <v/>
      </c>
      <c r="D125" s="2" t="str">
        <f>IF(A125&lt;&gt;"",(FDGDF!D1*FDGDF!C125)/FDGDF!C1, "")</f>
        <v/>
      </c>
    </row>
    <row r="126" spans="3:4" x14ac:dyDescent="0.3">
      <c r="C126" s="2" t="str">
        <f>IF(A126&lt;&gt;"",SUM(B126),"")</f>
        <v/>
      </c>
      <c r="D126" s="2" t="str">
        <f>IF(A126&lt;&gt;"",(FDGDF!D1*FDGDF!C126)/FDGDF!C1, "")</f>
        <v/>
      </c>
    </row>
    <row r="127" spans="3:4" x14ac:dyDescent="0.3">
      <c r="C127" s="2" t="str">
        <f>IF(A127&lt;&gt;"",SUM(B127),"")</f>
        <v/>
      </c>
      <c r="D127" s="2" t="str">
        <f>IF(A127&lt;&gt;"",(FDGDF!D1*FDGDF!C127)/FDGDF!C1, "")</f>
        <v/>
      </c>
    </row>
    <row r="128" spans="3:4" x14ac:dyDescent="0.3">
      <c r="C128" s="2" t="str">
        <f>IF(A128&lt;&gt;"",SUM(B128),"")</f>
        <v/>
      </c>
      <c r="D128" s="2" t="str">
        <f>IF(A128&lt;&gt;"",(FDGDF!D1*FDGDF!C128)/FDGDF!C1, "")</f>
        <v/>
      </c>
    </row>
    <row r="129" spans="3:4" x14ac:dyDescent="0.3">
      <c r="C129" s="2" t="str">
        <f>IF(A129&lt;&gt;"",SUM(B129),"")</f>
        <v/>
      </c>
      <c r="D129" s="2" t="str">
        <f>IF(A129&lt;&gt;"",(FDGDF!D1*FDGDF!C129)/FDGDF!C1, "")</f>
        <v/>
      </c>
    </row>
    <row r="130" spans="3:4" x14ac:dyDescent="0.3">
      <c r="C130" s="2" t="str">
        <f>IF(A130&lt;&gt;"",SUM(B130),"")</f>
        <v/>
      </c>
      <c r="D130" s="2" t="str">
        <f>IF(A130&lt;&gt;"",(FDGDF!D1*FDGDF!C130)/FDGDF!C1, "")</f>
        <v/>
      </c>
    </row>
    <row r="131" spans="3:4" x14ac:dyDescent="0.3">
      <c r="C131" s="2" t="str">
        <f>IF(A131&lt;&gt;"",SUM(B131),"")</f>
        <v/>
      </c>
      <c r="D131" s="2" t="str">
        <f>IF(A131&lt;&gt;"",(FDGDF!D1*FDGDF!C131)/FDGDF!C1, "")</f>
        <v/>
      </c>
    </row>
    <row r="132" spans="3:4" x14ac:dyDescent="0.3">
      <c r="C132" s="2" t="str">
        <f>IF(A132&lt;&gt;"",SUM(B132),"")</f>
        <v/>
      </c>
      <c r="D132" s="2" t="str">
        <f>IF(A132&lt;&gt;"",(FDGDF!D1*FDGDF!C132)/FDGDF!C1, "")</f>
        <v/>
      </c>
    </row>
    <row r="133" spans="3:4" x14ac:dyDescent="0.3">
      <c r="C133" s="2" t="str">
        <f>IF(A133&lt;&gt;"",SUM(B133),"")</f>
        <v/>
      </c>
      <c r="D133" s="2" t="str">
        <f>IF(A133&lt;&gt;"",(FDGDF!D1*FDGDF!C133)/FDGDF!C1, "")</f>
        <v/>
      </c>
    </row>
    <row r="134" spans="3:4" x14ac:dyDescent="0.3">
      <c r="C134" s="2" t="str">
        <f>IF(A134&lt;&gt;"",SUM(B134),"")</f>
        <v/>
      </c>
      <c r="D134" s="2" t="str">
        <f>IF(A134&lt;&gt;"",(FDGDF!D1*FDGDF!C134)/FDGDF!C1, "")</f>
        <v/>
      </c>
    </row>
    <row r="135" spans="3:4" x14ac:dyDescent="0.3">
      <c r="C135" s="2" t="str">
        <f>IF(A135&lt;&gt;"",SUM(B135),"")</f>
        <v/>
      </c>
      <c r="D135" s="2" t="str">
        <f>IF(A135&lt;&gt;"",(FDGDF!D1*FDGDF!C135)/FDGDF!C1, "")</f>
        <v/>
      </c>
    </row>
    <row r="136" spans="3:4" x14ac:dyDescent="0.3">
      <c r="C136" s="2" t="str">
        <f>IF(A136&lt;&gt;"",SUM(B136),"")</f>
        <v/>
      </c>
      <c r="D136" s="2" t="str">
        <f>IF(A136&lt;&gt;"",(FDGDF!D1*FDGDF!C136)/FDGDF!C1, "")</f>
        <v/>
      </c>
    </row>
    <row r="137" spans="3:4" x14ac:dyDescent="0.3">
      <c r="C137" s="2" t="str">
        <f>IF(A137&lt;&gt;"",SUM(B137),"")</f>
        <v/>
      </c>
      <c r="D137" s="2" t="str">
        <f>IF(A137&lt;&gt;"",(FDGDF!D1*FDGDF!C137)/FDGDF!C1, "")</f>
        <v/>
      </c>
    </row>
    <row r="138" spans="3:4" x14ac:dyDescent="0.3">
      <c r="C138" s="2" t="str">
        <f>IF(A138&lt;&gt;"",SUM(B138),"")</f>
        <v/>
      </c>
      <c r="D138" s="2" t="str">
        <f>IF(A138&lt;&gt;"",(FDGDF!D1*FDGDF!C138)/FDGDF!C1, "")</f>
        <v/>
      </c>
    </row>
    <row r="139" spans="3:4" x14ac:dyDescent="0.3">
      <c r="C139" s="2" t="str">
        <f>IF(A139&lt;&gt;"",SUM(B139),"")</f>
        <v/>
      </c>
      <c r="D139" s="2" t="str">
        <f>IF(A139&lt;&gt;"",(FDGDF!D1*FDGDF!C139)/FDGDF!C1, "")</f>
        <v/>
      </c>
    </row>
    <row r="140" spans="3:4" x14ac:dyDescent="0.3">
      <c r="C140" s="2" t="str">
        <f>IF(A140&lt;&gt;"",SUM(B140),"")</f>
        <v/>
      </c>
      <c r="D140" s="2" t="str">
        <f>IF(A140&lt;&gt;"",(FDGDF!D1*FDGDF!C140)/FDGDF!C1, "")</f>
        <v/>
      </c>
    </row>
    <row r="141" spans="3:4" x14ac:dyDescent="0.3">
      <c r="C141" s="2" t="str">
        <f>IF(A141&lt;&gt;"",SUM(B141),"")</f>
        <v/>
      </c>
      <c r="D141" s="2" t="str">
        <f>IF(A141&lt;&gt;"",(FDGDF!D1*FDGDF!C141)/FDGDF!C1, "")</f>
        <v/>
      </c>
    </row>
    <row r="142" spans="3:4" x14ac:dyDescent="0.3">
      <c r="C142" s="2" t="str">
        <f>IF(A142&lt;&gt;"",SUM(B142),"")</f>
        <v/>
      </c>
      <c r="D142" s="2" t="str">
        <f>IF(A142&lt;&gt;"",(FDGDF!D1*FDGDF!C142)/FDGDF!C1, "")</f>
        <v/>
      </c>
    </row>
    <row r="143" spans="3:4" x14ac:dyDescent="0.3">
      <c r="C143" s="2" t="str">
        <f>IF(A143&lt;&gt;"",SUM(B143),"")</f>
        <v/>
      </c>
      <c r="D143" s="2" t="str">
        <f>IF(A143&lt;&gt;"",(FDGDF!D1*FDGDF!C143)/FDGDF!C1, "")</f>
        <v/>
      </c>
    </row>
    <row r="144" spans="3:4" x14ac:dyDescent="0.3">
      <c r="C144" s="2" t="str">
        <f>IF(A144&lt;&gt;"",SUM(B144),"")</f>
        <v/>
      </c>
      <c r="D144" s="2" t="str">
        <f>IF(A144&lt;&gt;"",(FDGDF!D1*FDGDF!C144)/FDGDF!C1, "")</f>
        <v/>
      </c>
    </row>
    <row r="145" spans="3:4" x14ac:dyDescent="0.3">
      <c r="C145" s="2" t="str">
        <f>IF(A145&lt;&gt;"",SUM(B145),"")</f>
        <v/>
      </c>
      <c r="D145" s="2" t="str">
        <f>IF(A145&lt;&gt;"",(FDGDF!D1*FDGDF!C145)/FDGDF!C1, "")</f>
        <v/>
      </c>
    </row>
    <row r="146" spans="3:4" x14ac:dyDescent="0.3">
      <c r="C146" s="2" t="str">
        <f>IF(A146&lt;&gt;"",SUM(B146),"")</f>
        <v/>
      </c>
      <c r="D146" s="2" t="str">
        <f>IF(A146&lt;&gt;"",(FDGDF!D1*FDGDF!C146)/FDGDF!C1, "")</f>
        <v/>
      </c>
    </row>
    <row r="147" spans="3:4" x14ac:dyDescent="0.3">
      <c r="C147" s="2" t="str">
        <f>IF(A147&lt;&gt;"",SUM(B147),"")</f>
        <v/>
      </c>
      <c r="D147" s="2" t="str">
        <f>IF(A147&lt;&gt;"",(FDGDF!D1*FDGDF!C147)/FDGDF!C1, "")</f>
        <v/>
      </c>
    </row>
    <row r="148" spans="3:4" x14ac:dyDescent="0.3">
      <c r="C148" s="2" t="str">
        <f>IF(A148&lt;&gt;"",SUM(B148),"")</f>
        <v/>
      </c>
      <c r="D148" s="2" t="str">
        <f>IF(A148&lt;&gt;"",(FDGDF!D1*FDGDF!C148)/FDGDF!C1, "")</f>
        <v/>
      </c>
    </row>
    <row r="149" spans="3:4" x14ac:dyDescent="0.3">
      <c r="C149" s="2" t="str">
        <f>IF(A149&lt;&gt;"",SUM(B149),"")</f>
        <v/>
      </c>
      <c r="D149" s="2" t="str">
        <f>IF(A149&lt;&gt;"",(FDGDF!D1*FDGDF!C149)/FDGDF!C1, "")</f>
        <v/>
      </c>
    </row>
    <row r="150" spans="3:4" x14ac:dyDescent="0.3">
      <c r="C150" s="2" t="str">
        <f>IF(A150&lt;&gt;"",SUM(B150),"")</f>
        <v/>
      </c>
      <c r="D150" s="2" t="str">
        <f>IF(A150&lt;&gt;"",(FDGDF!D1*FDGDF!C150)/FDGDF!C1, "")</f>
        <v/>
      </c>
    </row>
    <row r="151" spans="3:4" x14ac:dyDescent="0.3">
      <c r="C151" s="2" t="str">
        <f>IF(A151&lt;&gt;"",SUM(B151),"")</f>
        <v/>
      </c>
      <c r="D151" s="2" t="str">
        <f>IF(A151&lt;&gt;"",(FDGDF!D1*FDGDF!C151)/FDGDF!C1, "")</f>
        <v/>
      </c>
    </row>
    <row r="152" spans="3:4" x14ac:dyDescent="0.3">
      <c r="C152" s="2" t="str">
        <f>IF(A152&lt;&gt;"",SUM(B152),"")</f>
        <v/>
      </c>
      <c r="D152" s="2" t="str">
        <f>IF(A152&lt;&gt;"",(FDGDF!D1*FDGDF!C152)/FDGDF!C1, "")</f>
        <v/>
      </c>
    </row>
    <row r="153" spans="3:4" x14ac:dyDescent="0.3">
      <c r="C153" s="2" t="str">
        <f>IF(A153&lt;&gt;"",SUM(B153),"")</f>
        <v/>
      </c>
      <c r="D153" s="2" t="str">
        <f>IF(A153&lt;&gt;"",(FDGDF!D1*FDGDF!C153)/FDGDF!C1, "")</f>
        <v/>
      </c>
    </row>
    <row r="154" spans="3:4" x14ac:dyDescent="0.3">
      <c r="C154" s="2" t="str">
        <f>IF(A154&lt;&gt;"",SUM(B154),"")</f>
        <v/>
      </c>
      <c r="D154" s="2" t="str">
        <f>IF(A154&lt;&gt;"",(FDGDF!D1*FDGDF!C154)/FDGDF!C1, "")</f>
        <v/>
      </c>
    </row>
    <row r="155" spans="3:4" x14ac:dyDescent="0.3">
      <c r="C155" s="2" t="str">
        <f>IF(A155&lt;&gt;"",SUM(B155),"")</f>
        <v/>
      </c>
      <c r="D155" s="2" t="str">
        <f>IF(A155&lt;&gt;"",(FDGDF!D1*FDGDF!C155)/FDGDF!C1, "")</f>
        <v/>
      </c>
    </row>
    <row r="156" spans="3:4" x14ac:dyDescent="0.3">
      <c r="C156" s="2" t="str">
        <f>IF(A156&lt;&gt;"",SUM(B156),"")</f>
        <v/>
      </c>
      <c r="D156" s="2" t="str">
        <f>IF(A156&lt;&gt;"",(FDGDF!D1*FDGDF!C156)/FDGDF!C1, "")</f>
        <v/>
      </c>
    </row>
    <row r="157" spans="3:4" x14ac:dyDescent="0.3">
      <c r="C157" s="2" t="str">
        <f>IF(A157&lt;&gt;"",SUM(B157),"")</f>
        <v/>
      </c>
      <c r="D157" s="2" t="str">
        <f>IF(A157&lt;&gt;"",(FDGDF!D1*FDGDF!C157)/FDGDF!C1, "")</f>
        <v/>
      </c>
    </row>
    <row r="158" spans="3:4" x14ac:dyDescent="0.3">
      <c r="C158" s="2" t="str">
        <f>IF(A158&lt;&gt;"",SUM(B158),"")</f>
        <v/>
      </c>
      <c r="D158" s="2" t="str">
        <f>IF(A158&lt;&gt;"",(FDGDF!D1*FDGDF!C158)/FDGDF!C1, "")</f>
        <v/>
      </c>
    </row>
    <row r="159" spans="3:4" x14ac:dyDescent="0.3">
      <c r="C159" s="2" t="str">
        <f>IF(A159&lt;&gt;"",SUM(B159),"")</f>
        <v/>
      </c>
      <c r="D159" s="2" t="str">
        <f>IF(A159&lt;&gt;"",(FDGDF!D1*FDGDF!C159)/FDGDF!C1, "")</f>
        <v/>
      </c>
    </row>
    <row r="160" spans="3:4" x14ac:dyDescent="0.3">
      <c r="C160" s="2" t="str">
        <f>IF(A160&lt;&gt;"",SUM(B160),"")</f>
        <v/>
      </c>
      <c r="D160" s="2" t="str">
        <f>IF(A160&lt;&gt;"",(FDGDF!D1*FDGDF!C160)/FDGDF!C1, "")</f>
        <v/>
      </c>
    </row>
    <row r="161" spans="3:4" x14ac:dyDescent="0.3">
      <c r="C161" s="2" t="str">
        <f>IF(A161&lt;&gt;"",SUM(B161),"")</f>
        <v/>
      </c>
      <c r="D161" s="2" t="str">
        <f>IF(A161&lt;&gt;"",(FDGDF!D1*FDGDF!C161)/FDGDF!C1, "")</f>
        <v/>
      </c>
    </row>
    <row r="162" spans="3:4" x14ac:dyDescent="0.3">
      <c r="C162" s="2" t="str">
        <f>IF(A162&lt;&gt;"",SUM(B162),"")</f>
        <v/>
      </c>
      <c r="D162" s="2" t="str">
        <f>IF(A162&lt;&gt;"",(FDGDF!D1*FDGDF!C162)/FDGDF!C1, "")</f>
        <v/>
      </c>
    </row>
    <row r="163" spans="3:4" x14ac:dyDescent="0.3">
      <c r="C163" s="2" t="str">
        <f>IF(A163&lt;&gt;"",SUM(B163),"")</f>
        <v/>
      </c>
      <c r="D163" s="2" t="str">
        <f>IF(A163&lt;&gt;"",(FDGDF!D1*FDGDF!C163)/FDGDF!C1, "")</f>
        <v/>
      </c>
    </row>
    <row r="164" spans="3:4" x14ac:dyDescent="0.3">
      <c r="C164" s="2" t="str">
        <f>IF(A164&lt;&gt;"",SUM(B164),"")</f>
        <v/>
      </c>
      <c r="D164" s="2" t="str">
        <f>IF(A164&lt;&gt;"",(FDGDF!D1*FDGDF!C164)/FDGDF!C1, "")</f>
        <v/>
      </c>
    </row>
    <row r="165" spans="3:4" x14ac:dyDescent="0.3">
      <c r="C165" s="2" t="str">
        <f>IF(A165&lt;&gt;"",SUM(B165),"")</f>
        <v/>
      </c>
      <c r="D165" s="2" t="str">
        <f>IF(A165&lt;&gt;"",(FDGDF!D1*FDGDF!C165)/FDGDF!C1, "")</f>
        <v/>
      </c>
    </row>
    <row r="166" spans="3:4" x14ac:dyDescent="0.3">
      <c r="C166" s="2" t="str">
        <f>IF(A166&lt;&gt;"",SUM(B166),"")</f>
        <v/>
      </c>
      <c r="D166" s="2" t="str">
        <f>IF(A166&lt;&gt;"",(FDGDF!D1*FDGDF!C166)/FDGDF!C1, "")</f>
        <v/>
      </c>
    </row>
    <row r="167" spans="3:4" x14ac:dyDescent="0.3">
      <c r="C167" s="2" t="str">
        <f>IF(A167&lt;&gt;"",SUM(B167),"")</f>
        <v/>
      </c>
      <c r="D167" s="2" t="str">
        <f>IF(A167&lt;&gt;"",(FDGDF!D1*FDGDF!C167)/FDGDF!C1, "")</f>
        <v/>
      </c>
    </row>
    <row r="168" spans="3:4" x14ac:dyDescent="0.3">
      <c r="C168" s="2" t="str">
        <f>IF(A168&lt;&gt;"",SUM(B168),"")</f>
        <v/>
      </c>
      <c r="D168" s="2" t="str">
        <f>IF(A168&lt;&gt;"",(FDGDF!D1*FDGDF!C168)/FDGDF!C1, "")</f>
        <v/>
      </c>
    </row>
    <row r="169" spans="3:4" x14ac:dyDescent="0.3">
      <c r="C169" s="2" t="str">
        <f>IF(A169&lt;&gt;"",SUM(B169),"")</f>
        <v/>
      </c>
      <c r="D169" s="2" t="str">
        <f>IF(A169&lt;&gt;"",(FDGDF!D1*FDGDF!C169)/FDGDF!C1, "")</f>
        <v/>
      </c>
    </row>
    <row r="170" spans="3:4" x14ac:dyDescent="0.3">
      <c r="C170" s="2" t="str">
        <f>IF(A170&lt;&gt;"",SUM(B170),"")</f>
        <v/>
      </c>
      <c r="D170" s="2" t="str">
        <f>IF(A170&lt;&gt;"",(FDGDF!D1*FDGDF!C170)/FDGDF!C1, "")</f>
        <v/>
      </c>
    </row>
    <row r="171" spans="3:4" x14ac:dyDescent="0.3">
      <c r="C171" s="2" t="str">
        <f>IF(A171&lt;&gt;"",SUM(B171),"")</f>
        <v/>
      </c>
      <c r="D171" s="2" t="str">
        <f>IF(A171&lt;&gt;"",(FDGDF!D1*FDGDF!C171)/FDGDF!C1, "")</f>
        <v/>
      </c>
    </row>
    <row r="172" spans="3:4" x14ac:dyDescent="0.3">
      <c r="C172" s="2" t="str">
        <f>IF(A172&lt;&gt;"",SUM(B172),"")</f>
        <v/>
      </c>
      <c r="D172" s="2" t="str">
        <f>IF(A172&lt;&gt;"",(FDGDF!D1*FDGDF!C172)/FDGDF!C1, "")</f>
        <v/>
      </c>
    </row>
    <row r="173" spans="3:4" x14ac:dyDescent="0.3">
      <c r="C173" s="2" t="str">
        <f>IF(A173&lt;&gt;"",SUM(B173),"")</f>
        <v/>
      </c>
      <c r="D173" s="2" t="str">
        <f>IF(A173&lt;&gt;"",(FDGDF!D1*FDGDF!C173)/FDGDF!C1, "")</f>
        <v/>
      </c>
    </row>
    <row r="174" spans="3:4" x14ac:dyDescent="0.3">
      <c r="C174" s="2" t="str">
        <f>IF(A174&lt;&gt;"",SUM(B174),"")</f>
        <v/>
      </c>
      <c r="D174" s="2" t="str">
        <f>IF(A174&lt;&gt;"",(FDGDF!D1*FDGDF!C174)/FDGDF!C1, "")</f>
        <v/>
      </c>
    </row>
    <row r="175" spans="3:4" x14ac:dyDescent="0.3">
      <c r="C175" s="2" t="str">
        <f>IF(A175&lt;&gt;"",SUM(B175),"")</f>
        <v/>
      </c>
      <c r="D175" s="2" t="str">
        <f>IF(A175&lt;&gt;"",(FDGDF!D1*FDGDF!C175)/FDGDF!C1, "")</f>
        <v/>
      </c>
    </row>
    <row r="176" spans="3:4" x14ac:dyDescent="0.3">
      <c r="C176" s="2" t="str">
        <f>IF(A176&lt;&gt;"",SUM(B176),"")</f>
        <v/>
      </c>
      <c r="D176" s="2" t="str">
        <f>IF(A176&lt;&gt;"",(FDGDF!D1*FDGDF!C176)/FDGDF!C1, "")</f>
        <v/>
      </c>
    </row>
    <row r="177" spans="3:4" x14ac:dyDescent="0.3">
      <c r="C177" s="2" t="str">
        <f>IF(A177&lt;&gt;"",SUM(B177),"")</f>
        <v/>
      </c>
      <c r="D177" s="2" t="str">
        <f>IF(A177&lt;&gt;"",(FDGDF!D1*FDGDF!C177)/FDGDF!C1, "")</f>
        <v/>
      </c>
    </row>
    <row r="178" spans="3:4" x14ac:dyDescent="0.3">
      <c r="C178" s="2" t="str">
        <f>IF(A178&lt;&gt;"",SUM(B178),"")</f>
        <v/>
      </c>
      <c r="D178" s="2" t="str">
        <f>IF(A178&lt;&gt;"",(FDGDF!D1*FDGDF!C178)/FDGDF!C1, "")</f>
        <v/>
      </c>
    </row>
    <row r="179" spans="3:4" x14ac:dyDescent="0.3">
      <c r="C179" s="2" t="str">
        <f>IF(A179&lt;&gt;"",SUM(B179),"")</f>
        <v/>
      </c>
      <c r="D179" s="2" t="str">
        <f>IF(A179&lt;&gt;"",(FDGDF!D1*FDGDF!C179)/FDGDF!C1, "")</f>
        <v/>
      </c>
    </row>
    <row r="180" spans="3:4" x14ac:dyDescent="0.3">
      <c r="C180" s="2" t="str">
        <f>IF(A180&lt;&gt;"",SUM(B180),"")</f>
        <v/>
      </c>
      <c r="D180" s="2" t="str">
        <f>IF(A180&lt;&gt;"",(FDGDF!D1*FDGDF!C180)/FDGDF!C1, "")</f>
        <v/>
      </c>
    </row>
    <row r="181" spans="3:4" x14ac:dyDescent="0.3">
      <c r="C181" s="2" t="str">
        <f>IF(A181&lt;&gt;"",SUM(B181),"")</f>
        <v/>
      </c>
      <c r="D181" s="2" t="str">
        <f>IF(A181&lt;&gt;"",(FDGDF!D1*FDGDF!C181)/FDGDF!C1, "")</f>
        <v/>
      </c>
    </row>
    <row r="182" spans="3:4" x14ac:dyDescent="0.3">
      <c r="C182" s="2" t="str">
        <f>IF(A182&lt;&gt;"",SUM(B182),"")</f>
        <v/>
      </c>
      <c r="D182" s="2" t="str">
        <f>IF(A182&lt;&gt;"",(FDGDF!D1*FDGDF!C182)/FDGDF!C1, "")</f>
        <v/>
      </c>
    </row>
    <row r="183" spans="3:4" x14ac:dyDescent="0.3">
      <c r="C183" s="2" t="str">
        <f>IF(A183&lt;&gt;"",SUM(B183),"")</f>
        <v/>
      </c>
      <c r="D183" s="2" t="str">
        <f>IF(A183&lt;&gt;"",(FDGDF!D1*FDGDF!C183)/FDGDF!C1, "")</f>
        <v/>
      </c>
    </row>
    <row r="184" spans="3:4" x14ac:dyDescent="0.3">
      <c r="C184" s="2" t="str">
        <f>IF(A184&lt;&gt;"",SUM(B184),"")</f>
        <v/>
      </c>
      <c r="D184" s="2" t="str">
        <f>IF(A184&lt;&gt;"",(FDGDF!D1*FDGDF!C184)/FDGDF!C1, "")</f>
        <v/>
      </c>
    </row>
    <row r="185" spans="3:4" x14ac:dyDescent="0.3">
      <c r="C185" s="2" t="str">
        <f>IF(A185&lt;&gt;"",SUM(B185),"")</f>
        <v/>
      </c>
      <c r="D185" s="2" t="str">
        <f>IF(A185&lt;&gt;"",(FDGDF!D1*FDGDF!C185)/FDGDF!C1, "")</f>
        <v/>
      </c>
    </row>
    <row r="186" spans="3:4" x14ac:dyDescent="0.3">
      <c r="C186" s="2" t="str">
        <f>IF(A186&lt;&gt;"",SUM(B186),"")</f>
        <v/>
      </c>
      <c r="D186" s="2" t="str">
        <f>IF(A186&lt;&gt;"",(FDGDF!D1*FDGDF!C186)/FDGDF!C1, "")</f>
        <v/>
      </c>
    </row>
    <row r="187" spans="3:4" x14ac:dyDescent="0.3">
      <c r="C187" s="2" t="str">
        <f>IF(A187&lt;&gt;"",SUM(B187),"")</f>
        <v/>
      </c>
      <c r="D187" s="2" t="str">
        <f>IF(A187&lt;&gt;"",(FDGDF!D1*FDGDF!C187)/FDGDF!C1, "")</f>
        <v/>
      </c>
    </row>
    <row r="188" spans="3:4" x14ac:dyDescent="0.3">
      <c r="C188" s="2" t="str">
        <f>IF(A188&lt;&gt;"",SUM(B188),"")</f>
        <v/>
      </c>
      <c r="D188" s="2" t="str">
        <f>IF(A188&lt;&gt;"",(FDGDF!D1*FDGDF!C188)/FDGDF!C1, "")</f>
        <v/>
      </c>
    </row>
    <row r="189" spans="3:4" x14ac:dyDescent="0.3">
      <c r="C189" s="2" t="str">
        <f>IF(A189&lt;&gt;"",SUM(B189),"")</f>
        <v/>
      </c>
      <c r="D189" s="2" t="str">
        <f>IF(A189&lt;&gt;"",(FDGDF!D1*FDGDF!C189)/FDGDF!C1, "")</f>
        <v/>
      </c>
    </row>
    <row r="190" spans="3:4" x14ac:dyDescent="0.3">
      <c r="C190" s="2" t="str">
        <f>IF(A190&lt;&gt;"",SUM(B190),"")</f>
        <v/>
      </c>
      <c r="D190" s="2" t="str">
        <f>IF(A190&lt;&gt;"",(FDGDF!D1*FDGDF!C190)/FDGDF!C1, "")</f>
        <v/>
      </c>
    </row>
    <row r="191" spans="3:4" x14ac:dyDescent="0.3">
      <c r="C191" s="2" t="str">
        <f>IF(A191&lt;&gt;"",SUM(B191),"")</f>
        <v/>
      </c>
      <c r="D191" s="2" t="str">
        <f>IF(A191&lt;&gt;"",(FDGDF!D1*FDGDF!C191)/FDGDF!C1, "")</f>
        <v/>
      </c>
    </row>
    <row r="192" spans="3:4" x14ac:dyDescent="0.3">
      <c r="C192" s="2" t="str">
        <f>IF(A192&lt;&gt;"",SUM(B192),"")</f>
        <v/>
      </c>
      <c r="D192" s="2" t="str">
        <f>IF(A192&lt;&gt;"",(FDGDF!D1*FDGDF!C192)/FDGDF!C1, "")</f>
        <v/>
      </c>
    </row>
    <row r="193" spans="3:4" x14ac:dyDescent="0.3">
      <c r="C193" s="2" t="str">
        <f>IF(A193&lt;&gt;"",SUM(B193),"")</f>
        <v/>
      </c>
      <c r="D193" s="2" t="str">
        <f>IF(A193&lt;&gt;"",(FDGDF!D1*FDGDF!C193)/FDGDF!C1, "")</f>
        <v/>
      </c>
    </row>
    <row r="194" spans="3:4" x14ac:dyDescent="0.3">
      <c r="C194" s="2" t="str">
        <f>IF(A194&lt;&gt;"",SUM(B194),"")</f>
        <v/>
      </c>
      <c r="D194" s="2" t="str">
        <f>IF(A194&lt;&gt;"",(FDGDF!D1*FDGDF!C194)/FDGDF!C1, "")</f>
        <v/>
      </c>
    </row>
    <row r="195" spans="3:4" x14ac:dyDescent="0.3">
      <c r="C195" s="2" t="str">
        <f>IF(A195&lt;&gt;"",SUM(B195),"")</f>
        <v/>
      </c>
      <c r="D195" s="2" t="str">
        <f>IF(A195&lt;&gt;"",(FDGDF!D1*FDGDF!C195)/FDGDF!C1, "")</f>
        <v/>
      </c>
    </row>
    <row r="196" spans="3:4" x14ac:dyDescent="0.3">
      <c r="C196" s="2" t="str">
        <f>IF(A196&lt;&gt;"",SUM(B196),"")</f>
        <v/>
      </c>
      <c r="D196" s="2" t="str">
        <f>IF(A196&lt;&gt;"",(FDGDF!D1*FDGDF!C196)/FDGDF!C1, "")</f>
        <v/>
      </c>
    </row>
    <row r="197" spans="3:4" x14ac:dyDescent="0.3">
      <c r="C197" s="2" t="str">
        <f>IF(A197&lt;&gt;"",SUM(B197),"")</f>
        <v/>
      </c>
      <c r="D197" s="2" t="str">
        <f>IF(A197&lt;&gt;"",(FDGDF!D1*FDGDF!C197)/FDGDF!C1, "")</f>
        <v/>
      </c>
    </row>
    <row r="198" spans="3:4" x14ac:dyDescent="0.3">
      <c r="C198" s="2" t="str">
        <f>IF(A198&lt;&gt;"",SUM(B198),"")</f>
        <v/>
      </c>
      <c r="D198" s="2" t="str">
        <f>IF(A198&lt;&gt;"",(FDGDF!D1*FDGDF!C198)/FDGDF!C1, "")</f>
        <v/>
      </c>
    </row>
    <row r="199" spans="3:4" x14ac:dyDescent="0.3">
      <c r="C199" s="2" t="str">
        <f>IF(A199&lt;&gt;"",SUM(B199),"")</f>
        <v/>
      </c>
      <c r="D199" s="2" t="str">
        <f>IF(A199&lt;&gt;"",(FDGDF!D1*FDGDF!C199)/FDGDF!C1, "")</f>
        <v/>
      </c>
    </row>
    <row r="200" spans="3:4" x14ac:dyDescent="0.3">
      <c r="C200" s="2" t="str">
        <f>IF(A200&lt;&gt;"",SUM(B200),"")</f>
        <v/>
      </c>
      <c r="D200" s="2" t="str">
        <f>IF(A200&lt;&gt;"",(FDGDF!D1*FDGDF!C200)/FDGDF!C1, "")</f>
        <v/>
      </c>
    </row>
    <row r="201" spans="3:4" x14ac:dyDescent="0.3">
      <c r="C201" s="2" t="str">
        <f>IF(A201&lt;&gt;"",SUM(B201),"")</f>
        <v/>
      </c>
      <c r="D201" s="2" t="str">
        <f>IF(A201&lt;&gt;"",(FDGDF!D1*FDGDF!C201)/FDGDF!C1, "")</f>
        <v/>
      </c>
    </row>
    <row r="202" spans="3:4" x14ac:dyDescent="0.3">
      <c r="C202" s="2" t="str">
        <f>IF(A202&lt;&gt;"",SUM(B202),"")</f>
        <v/>
      </c>
      <c r="D202" s="2" t="str">
        <f>IF(A202&lt;&gt;"",(FDGDF!D1*FDGDF!C202)/FDGDF!C1, "")</f>
        <v/>
      </c>
    </row>
    <row r="203" spans="3:4" x14ac:dyDescent="0.3">
      <c r="C203" s="2" t="str">
        <f>IF(A203&lt;&gt;"",SUM(B203),"")</f>
        <v/>
      </c>
      <c r="D203" s="2" t="str">
        <f>IF(A203&lt;&gt;"",(FDGDF!D1*FDGDF!C203)/FDGDF!C1, "")</f>
        <v/>
      </c>
    </row>
    <row r="204" spans="3:4" x14ac:dyDescent="0.3">
      <c r="C204" s="2" t="str">
        <f>IF(A204&lt;&gt;"",SUM(B204),"")</f>
        <v/>
      </c>
      <c r="D204" s="2" t="str">
        <f>IF(A204&lt;&gt;"",(FDGDF!D1*FDGDF!C204)/FDGDF!C1, "")</f>
        <v/>
      </c>
    </row>
    <row r="205" spans="3:4" x14ac:dyDescent="0.3">
      <c r="C205" s="2" t="str">
        <f>IF(A205&lt;&gt;"",SUM(B205),"")</f>
        <v/>
      </c>
      <c r="D205" s="2" t="str">
        <f>IF(A205&lt;&gt;"",(FDGDF!D1*FDGDF!C205)/FDGDF!C1, "")</f>
        <v/>
      </c>
    </row>
    <row r="206" spans="3:4" x14ac:dyDescent="0.3">
      <c r="C206" s="2" t="str">
        <f>IF(A206&lt;&gt;"",SUM(B206),"")</f>
        <v/>
      </c>
      <c r="D206" s="2" t="str">
        <f>IF(A206&lt;&gt;"",(FDGDF!D1*FDGDF!C206)/FDGDF!C1, "")</f>
        <v/>
      </c>
    </row>
    <row r="207" spans="3:4" x14ac:dyDescent="0.3">
      <c r="C207" s="2" t="str">
        <f>IF(A207&lt;&gt;"",SUM(B207),"")</f>
        <v/>
      </c>
      <c r="D207" s="2" t="str">
        <f>IF(A207&lt;&gt;"",(FDGDF!D1*FDGDF!C207)/FDGDF!C1, "")</f>
        <v/>
      </c>
    </row>
    <row r="208" spans="3:4" x14ac:dyDescent="0.3">
      <c r="C208" s="2" t="str">
        <f>IF(A208&lt;&gt;"",SUM(B208),"")</f>
        <v/>
      </c>
      <c r="D208" s="2" t="str">
        <f>IF(A208&lt;&gt;"",(FDGDF!D1*FDGDF!C208)/FDGDF!C1, "")</f>
        <v/>
      </c>
    </row>
    <row r="209" spans="3:4" x14ac:dyDescent="0.3">
      <c r="C209" s="2" t="str">
        <f>IF(A209&lt;&gt;"",SUM(B209),"")</f>
        <v/>
      </c>
      <c r="D209" s="2" t="str">
        <f>IF(A209&lt;&gt;"",(FDGDF!D1*FDGDF!C209)/FDGDF!C1, "")</f>
        <v/>
      </c>
    </row>
    <row r="210" spans="3:4" x14ac:dyDescent="0.3">
      <c r="C210" s="2" t="str">
        <f>IF(A210&lt;&gt;"",SUM(B210),"")</f>
        <v/>
      </c>
      <c r="D210" s="2" t="str">
        <f>IF(A210&lt;&gt;"",(FDGDF!D1*FDGDF!C210)/FDGDF!C1, "")</f>
        <v/>
      </c>
    </row>
    <row r="211" spans="3:4" x14ac:dyDescent="0.3">
      <c r="C211" s="2" t="str">
        <f>IF(A211&lt;&gt;"",SUM(B211),"")</f>
        <v/>
      </c>
      <c r="D211" s="2" t="str">
        <f>IF(A211&lt;&gt;"",(FDGDF!D1*FDGDF!C211)/FDGDF!C1, "")</f>
        <v/>
      </c>
    </row>
    <row r="212" spans="3:4" x14ac:dyDescent="0.3">
      <c r="C212" s="2" t="str">
        <f>IF(A212&lt;&gt;"",SUM(B212),"")</f>
        <v/>
      </c>
      <c r="D212" s="2" t="str">
        <f>IF(A212&lt;&gt;"",(FDGDF!D1*FDGDF!C212)/FDGDF!C1, "")</f>
        <v/>
      </c>
    </row>
    <row r="213" spans="3:4" x14ac:dyDescent="0.3">
      <c r="C213" s="2" t="str">
        <f>IF(A213&lt;&gt;"",SUM(B213),"")</f>
        <v/>
      </c>
      <c r="D213" s="2" t="str">
        <f>IF(A213&lt;&gt;"",(FDGDF!D1*FDGDF!C213)/FDGDF!C1, "")</f>
        <v/>
      </c>
    </row>
    <row r="214" spans="3:4" x14ac:dyDescent="0.3">
      <c r="C214" s="2" t="str">
        <f>IF(A214&lt;&gt;"",SUM(B214),"")</f>
        <v/>
      </c>
      <c r="D214" s="2" t="str">
        <f>IF(A214&lt;&gt;"",(FDGDF!D1*FDGDF!C214)/FDGDF!C1, "")</f>
        <v/>
      </c>
    </row>
    <row r="215" spans="3:4" x14ac:dyDescent="0.3">
      <c r="C215" s="2" t="str">
        <f>IF(A215&lt;&gt;"",SUM(B215),"")</f>
        <v/>
      </c>
      <c r="D215" s="2" t="str">
        <f>IF(A215&lt;&gt;"",(FDGDF!D1*FDGDF!C215)/FDGDF!C1, "")</f>
        <v/>
      </c>
    </row>
    <row r="216" spans="3:4" x14ac:dyDescent="0.3">
      <c r="C216" s="2" t="str">
        <f>IF(A216&lt;&gt;"",SUM(B216),"")</f>
        <v/>
      </c>
      <c r="D216" s="2" t="str">
        <f>IF(A216&lt;&gt;"",(FDGDF!D1*FDGDF!C216)/FDGDF!C1, "")</f>
        <v/>
      </c>
    </row>
    <row r="217" spans="3:4" x14ac:dyDescent="0.3">
      <c r="C217" s="2" t="str">
        <f>IF(A217&lt;&gt;"",SUM(B217),"")</f>
        <v/>
      </c>
      <c r="D217" s="2" t="str">
        <f>IF(A217&lt;&gt;"",(FDGDF!D1*FDGDF!C217)/FDGDF!C1, "")</f>
        <v/>
      </c>
    </row>
    <row r="218" spans="3:4" x14ac:dyDescent="0.3">
      <c r="C218" s="2" t="str">
        <f>IF(A218&lt;&gt;"",SUM(B218),"")</f>
        <v/>
      </c>
      <c r="D218" s="2" t="str">
        <f>IF(A218&lt;&gt;"",(FDGDF!D1*FDGDF!C218)/FDGDF!C1, "")</f>
        <v/>
      </c>
    </row>
    <row r="219" spans="3:4" x14ac:dyDescent="0.3">
      <c r="C219" s="2" t="str">
        <f>IF(A219&lt;&gt;"",SUM(B219),"")</f>
        <v/>
      </c>
      <c r="D219" s="2" t="str">
        <f>IF(A219&lt;&gt;"",(FDGDF!D1*FDGDF!C219)/FDGDF!C1, "")</f>
        <v/>
      </c>
    </row>
    <row r="220" spans="3:4" x14ac:dyDescent="0.3">
      <c r="C220" s="2" t="str">
        <f>IF(A220&lt;&gt;"",SUM(B220),"")</f>
        <v/>
      </c>
      <c r="D220" s="2" t="str">
        <f>IF(A220&lt;&gt;"",(FDGDF!D1*FDGDF!C220)/FDGDF!C1, "")</f>
        <v/>
      </c>
    </row>
    <row r="221" spans="3:4" x14ac:dyDescent="0.3">
      <c r="C221" s="2" t="str">
        <f>IF(A221&lt;&gt;"",SUM(B221),"")</f>
        <v/>
      </c>
      <c r="D221" s="2" t="str">
        <f>IF(A221&lt;&gt;"",(FDGDF!D1*FDGDF!C221)/FDGDF!C1, "")</f>
        <v/>
      </c>
    </row>
    <row r="222" spans="3:4" x14ac:dyDescent="0.3">
      <c r="C222" s="2" t="str">
        <f>IF(A222&lt;&gt;"",SUM(B222),"")</f>
        <v/>
      </c>
      <c r="D222" s="2" t="str">
        <f>IF(A222&lt;&gt;"",(FDGDF!D1*FDGDF!C222)/FDGDF!C1, "")</f>
        <v/>
      </c>
    </row>
    <row r="223" spans="3:4" x14ac:dyDescent="0.3">
      <c r="C223" s="2" t="str">
        <f>IF(A223&lt;&gt;"",SUM(B223),"")</f>
        <v/>
      </c>
      <c r="D223" s="2" t="str">
        <f>IF(A223&lt;&gt;"",(FDGDF!D1*FDGDF!C223)/FDGDF!C1, "")</f>
        <v/>
      </c>
    </row>
    <row r="224" spans="3:4" x14ac:dyDescent="0.3">
      <c r="C224" s="2" t="str">
        <f>IF(A224&lt;&gt;"",SUM(B224),"")</f>
        <v/>
      </c>
      <c r="D224" s="2" t="str">
        <f>IF(A224&lt;&gt;"",(FDGDF!D1*FDGDF!C224)/FDGDF!C1, "")</f>
        <v/>
      </c>
    </row>
    <row r="225" spans="3:4" x14ac:dyDescent="0.3">
      <c r="C225" s="2" t="str">
        <f>IF(A225&lt;&gt;"",SUM(B225),"")</f>
        <v/>
      </c>
      <c r="D225" s="2" t="str">
        <f>IF(A225&lt;&gt;"",(FDGDF!D1*FDGDF!C225)/FDGDF!C1, "")</f>
        <v/>
      </c>
    </row>
    <row r="226" spans="3:4" x14ac:dyDescent="0.3">
      <c r="C226" s="2" t="str">
        <f>IF(A226&lt;&gt;"",SUM(B226),"")</f>
        <v/>
      </c>
      <c r="D226" s="2" t="str">
        <f>IF(A226&lt;&gt;"",(FDGDF!D1*FDGDF!C226)/FDGDF!C1, "")</f>
        <v/>
      </c>
    </row>
    <row r="227" spans="3:4" x14ac:dyDescent="0.3">
      <c r="C227" s="2" t="str">
        <f>IF(A227&lt;&gt;"",SUM(B227),"")</f>
        <v/>
      </c>
      <c r="D227" s="2" t="str">
        <f>IF(A227&lt;&gt;"",(FDGDF!D1*FDGDF!C227)/FDGDF!C1, "")</f>
        <v/>
      </c>
    </row>
    <row r="228" spans="3:4" x14ac:dyDescent="0.3">
      <c r="C228" s="2" t="str">
        <f>IF(A228&lt;&gt;"",SUM(B228),"")</f>
        <v/>
      </c>
      <c r="D228" s="2" t="str">
        <f>IF(A228&lt;&gt;"",(FDGDF!D1*FDGDF!C228)/FDGDF!C1, "")</f>
        <v/>
      </c>
    </row>
    <row r="229" spans="3:4" x14ac:dyDescent="0.3">
      <c r="C229" s="2" t="str">
        <f>IF(A229&lt;&gt;"",SUM(B229),"")</f>
        <v/>
      </c>
      <c r="D229" s="2" t="str">
        <f>IF(A229&lt;&gt;"",(FDGDF!D1*FDGDF!C229)/FDGDF!C1, "")</f>
        <v/>
      </c>
    </row>
    <row r="230" spans="3:4" x14ac:dyDescent="0.3">
      <c r="C230" s="2" t="str">
        <f>IF(A230&lt;&gt;"",SUM(B230),"")</f>
        <v/>
      </c>
      <c r="D230" s="2" t="str">
        <f>IF(A230&lt;&gt;"",(FDGDF!D1*FDGDF!C230)/FDGDF!C1, "")</f>
        <v/>
      </c>
    </row>
    <row r="231" spans="3:4" x14ac:dyDescent="0.3">
      <c r="C231" s="2" t="str">
        <f>IF(A231&lt;&gt;"",SUM(B231),"")</f>
        <v/>
      </c>
      <c r="D231" s="2" t="str">
        <f>IF(A231&lt;&gt;"",(FDGDF!D1*FDGDF!C231)/FDGDF!C1, "")</f>
        <v/>
      </c>
    </row>
    <row r="232" spans="3:4" x14ac:dyDescent="0.3">
      <c r="C232" s="2" t="str">
        <f>IF(A232&lt;&gt;"",SUM(B232),"")</f>
        <v/>
      </c>
      <c r="D232" s="2" t="str">
        <f>IF(A232&lt;&gt;"",(FDGDF!D1*FDGDF!C232)/FDGDF!C1, "")</f>
        <v/>
      </c>
    </row>
    <row r="233" spans="3:4" x14ac:dyDescent="0.3">
      <c r="C233" s="2" t="str">
        <f>IF(A233&lt;&gt;"",SUM(B233),"")</f>
        <v/>
      </c>
      <c r="D233" s="2" t="str">
        <f>IF(A233&lt;&gt;"",(FDGDF!D1*FDGDF!C233)/FDGDF!C1, "")</f>
        <v/>
      </c>
    </row>
    <row r="234" spans="3:4" x14ac:dyDescent="0.3">
      <c r="C234" s="2" t="str">
        <f>IF(A234&lt;&gt;"",SUM(B234),"")</f>
        <v/>
      </c>
      <c r="D234" s="2" t="str">
        <f>IF(A234&lt;&gt;"",(FDGDF!D1*FDGDF!C234)/FDGDF!C1, "")</f>
        <v/>
      </c>
    </row>
    <row r="235" spans="3:4" x14ac:dyDescent="0.3">
      <c r="C235" s="2" t="str">
        <f>IF(A235&lt;&gt;"",SUM(B235),"")</f>
        <v/>
      </c>
      <c r="D235" s="2" t="str">
        <f>IF(A235&lt;&gt;"",(FDGDF!D1*FDGDF!C235)/FDGDF!C1, "")</f>
        <v/>
      </c>
    </row>
    <row r="236" spans="3:4" x14ac:dyDescent="0.3">
      <c r="C236" s="2" t="str">
        <f>IF(A236&lt;&gt;"",SUM(B236),"")</f>
        <v/>
      </c>
      <c r="D236" s="2" t="str">
        <f>IF(A236&lt;&gt;"",(FDGDF!D1*FDGDF!C236)/FDGDF!C1, "")</f>
        <v/>
      </c>
    </row>
    <row r="237" spans="3:4" x14ac:dyDescent="0.3">
      <c r="C237" s="2" t="str">
        <f>IF(A237&lt;&gt;"",SUM(B237),"")</f>
        <v/>
      </c>
      <c r="D237" s="2" t="str">
        <f>IF(A237&lt;&gt;"",(FDGDF!D1*FDGDF!C237)/FDGDF!C1, "")</f>
        <v/>
      </c>
    </row>
    <row r="238" spans="3:4" x14ac:dyDescent="0.3">
      <c r="C238" s="2" t="str">
        <f>IF(A238&lt;&gt;"",SUM(B238),"")</f>
        <v/>
      </c>
      <c r="D238" s="2" t="str">
        <f>IF(A238&lt;&gt;"",(FDGDF!D1*FDGDF!C238)/FDGDF!C1, "")</f>
        <v/>
      </c>
    </row>
    <row r="239" spans="3:4" x14ac:dyDescent="0.3">
      <c r="C239" s="2" t="str">
        <f>IF(A239&lt;&gt;"",SUM(B239),"")</f>
        <v/>
      </c>
      <c r="D239" s="2" t="str">
        <f>IF(A239&lt;&gt;"",(FDGDF!D1*FDGDF!C239)/FDGDF!C1, "")</f>
        <v/>
      </c>
    </row>
    <row r="240" spans="3:4" x14ac:dyDescent="0.3">
      <c r="C240" s="2" t="str">
        <f>IF(A240&lt;&gt;"",SUM(B240),"")</f>
        <v/>
      </c>
      <c r="D240" s="2" t="str">
        <f>IF(A240&lt;&gt;"",(FDGDF!D1*FDGDF!C240)/FDGDF!C1, "")</f>
        <v/>
      </c>
    </row>
    <row r="241" spans="3:4" x14ac:dyDescent="0.3">
      <c r="C241" s="2" t="str">
        <f>IF(A241&lt;&gt;"",SUM(B241),"")</f>
        <v/>
      </c>
      <c r="D241" s="2" t="str">
        <f>IF(A241&lt;&gt;"",(FDGDF!D1*FDGDF!C241)/FDGDF!C1, "")</f>
        <v/>
      </c>
    </row>
    <row r="242" spans="3:4" x14ac:dyDescent="0.3">
      <c r="C242" s="2" t="str">
        <f>IF(A242&lt;&gt;"",SUM(B242),"")</f>
        <v/>
      </c>
      <c r="D242" s="2" t="str">
        <f>IF(A242&lt;&gt;"",(FDGDF!D1*FDGDF!C242)/FDGDF!C1, "")</f>
        <v/>
      </c>
    </row>
    <row r="243" spans="3:4" x14ac:dyDescent="0.3">
      <c r="C243" s="2" t="str">
        <f>IF(A243&lt;&gt;"",SUM(B243),"")</f>
        <v/>
      </c>
      <c r="D243" s="2" t="str">
        <f>IF(A243&lt;&gt;"",(FDGDF!D1*FDGDF!C243)/FDGDF!C1, "")</f>
        <v/>
      </c>
    </row>
    <row r="244" spans="3:4" x14ac:dyDescent="0.3">
      <c r="C244" s="2" t="str">
        <f>IF(A244&lt;&gt;"",SUM(B244),"")</f>
        <v/>
      </c>
      <c r="D244" s="2" t="str">
        <f>IF(A244&lt;&gt;"",(FDGDF!D1*FDGDF!C244)/FDGDF!C1, "")</f>
        <v/>
      </c>
    </row>
    <row r="245" spans="3:4" x14ac:dyDescent="0.3">
      <c r="C245" s="2" t="str">
        <f>IF(A245&lt;&gt;"",SUM(B245),"")</f>
        <v/>
      </c>
      <c r="D245" s="2" t="str">
        <f>IF(A245&lt;&gt;"",(FDGDF!D1*FDGDF!C245)/FDGDF!C1, "")</f>
        <v/>
      </c>
    </row>
    <row r="246" spans="3:4" x14ac:dyDescent="0.3">
      <c r="C246" s="2" t="str">
        <f>IF(A246&lt;&gt;"",SUM(B246),"")</f>
        <v/>
      </c>
      <c r="D246" s="2" t="str">
        <f>IF(A246&lt;&gt;"",(FDGDF!D1*FDGDF!C246)/FDGDF!C1, "")</f>
        <v/>
      </c>
    </row>
    <row r="247" spans="3:4" x14ac:dyDescent="0.3">
      <c r="C247" s="2" t="str">
        <f>IF(A247&lt;&gt;"",SUM(B247),"")</f>
        <v/>
      </c>
      <c r="D247" s="2" t="str">
        <f>IF(A247&lt;&gt;"",(FDGDF!D1*FDGDF!C247)/FDGDF!C1, "")</f>
        <v/>
      </c>
    </row>
    <row r="248" spans="3:4" x14ac:dyDescent="0.3">
      <c r="C248" s="2" t="str">
        <f>IF(A248&lt;&gt;"",SUM(B248),"")</f>
        <v/>
      </c>
      <c r="D248" s="2" t="str">
        <f>IF(A248&lt;&gt;"",(FDGDF!D1*FDGDF!C248)/FDGDF!C1, "")</f>
        <v/>
      </c>
    </row>
    <row r="249" spans="3:4" x14ac:dyDescent="0.3">
      <c r="C249" s="2" t="str">
        <f>IF(A249&lt;&gt;"",SUM(B249),"")</f>
        <v/>
      </c>
      <c r="D249" s="2" t="str">
        <f>IF(A249&lt;&gt;"",(FDGDF!D1*FDGDF!C249)/FDGDF!C1, "")</f>
        <v/>
      </c>
    </row>
    <row r="250" spans="3:4" x14ac:dyDescent="0.3">
      <c r="C250" s="2" t="str">
        <f>IF(A250&lt;&gt;"",SUM(B250),"")</f>
        <v/>
      </c>
      <c r="D250" s="2" t="str">
        <f>IF(A250&lt;&gt;"",(FDGDF!D1*FDGDF!C250)/FDGDF!C1, "")</f>
        <v/>
      </c>
    </row>
  </sheetData>
  <conditionalFormatting sqref="B3">
    <cfRule type="cellIs" dxfId="495" priority="1" stopIfTrue="1" operator="greaterThan">
      <formula>4</formula>
    </cfRule>
  </conditionalFormatting>
  <conditionalFormatting sqref="B4">
    <cfRule type="cellIs" dxfId="494" priority="2" stopIfTrue="1" operator="greaterThan">
      <formula>4</formula>
    </cfRule>
  </conditionalFormatting>
  <conditionalFormatting sqref="B5">
    <cfRule type="cellIs" dxfId="493" priority="3" stopIfTrue="1" operator="greaterThan">
      <formula>4</formula>
    </cfRule>
  </conditionalFormatting>
  <conditionalFormatting sqref="B6">
    <cfRule type="cellIs" dxfId="492" priority="4" stopIfTrue="1" operator="greaterThan">
      <formula>4</formula>
    </cfRule>
  </conditionalFormatting>
  <conditionalFormatting sqref="B7">
    <cfRule type="cellIs" dxfId="491" priority="5" stopIfTrue="1" operator="greaterThan">
      <formula>4</formula>
    </cfRule>
  </conditionalFormatting>
  <conditionalFormatting sqref="B8">
    <cfRule type="cellIs" dxfId="490" priority="6" stopIfTrue="1" operator="greaterThan">
      <formula>4</formula>
    </cfRule>
  </conditionalFormatting>
  <conditionalFormatting sqref="B9">
    <cfRule type="cellIs" dxfId="489" priority="7" stopIfTrue="1" operator="greaterThan">
      <formula>4</formula>
    </cfRule>
  </conditionalFormatting>
  <conditionalFormatting sqref="B10">
    <cfRule type="cellIs" dxfId="488" priority="8" stopIfTrue="1" operator="greaterThan">
      <formula>4</formula>
    </cfRule>
  </conditionalFormatting>
  <conditionalFormatting sqref="B11">
    <cfRule type="cellIs" dxfId="487" priority="9" stopIfTrue="1" operator="greaterThan">
      <formula>4</formula>
    </cfRule>
  </conditionalFormatting>
  <conditionalFormatting sqref="B12">
    <cfRule type="cellIs" dxfId="486" priority="10" stopIfTrue="1" operator="greaterThan">
      <formula>4</formula>
    </cfRule>
  </conditionalFormatting>
  <conditionalFormatting sqref="B13">
    <cfRule type="cellIs" dxfId="485" priority="11" stopIfTrue="1" operator="greaterThan">
      <formula>4</formula>
    </cfRule>
  </conditionalFormatting>
  <conditionalFormatting sqref="B14">
    <cfRule type="cellIs" dxfId="484" priority="12" stopIfTrue="1" operator="greaterThan">
      <formula>4</formula>
    </cfRule>
  </conditionalFormatting>
  <conditionalFormatting sqref="B15">
    <cfRule type="cellIs" dxfId="483" priority="13" stopIfTrue="1" operator="greaterThan">
      <formula>4</formula>
    </cfRule>
  </conditionalFormatting>
  <conditionalFormatting sqref="B16">
    <cfRule type="cellIs" dxfId="482" priority="14" stopIfTrue="1" operator="greaterThan">
      <formula>4</formula>
    </cfRule>
  </conditionalFormatting>
  <conditionalFormatting sqref="B17">
    <cfRule type="cellIs" dxfId="481" priority="15" stopIfTrue="1" operator="greaterThan">
      <formula>4</formula>
    </cfRule>
  </conditionalFormatting>
  <conditionalFormatting sqref="B18">
    <cfRule type="cellIs" dxfId="480" priority="16" stopIfTrue="1" operator="greaterThan">
      <formula>4</formula>
    </cfRule>
  </conditionalFormatting>
  <conditionalFormatting sqref="B19">
    <cfRule type="cellIs" dxfId="479" priority="17" stopIfTrue="1" operator="greaterThan">
      <formula>4</formula>
    </cfRule>
  </conditionalFormatting>
  <conditionalFormatting sqref="B20">
    <cfRule type="cellIs" dxfId="478" priority="18" stopIfTrue="1" operator="greaterThan">
      <formula>4</formula>
    </cfRule>
  </conditionalFormatting>
  <conditionalFormatting sqref="B21">
    <cfRule type="cellIs" dxfId="477" priority="19" stopIfTrue="1" operator="greaterThan">
      <formula>4</formula>
    </cfRule>
  </conditionalFormatting>
  <conditionalFormatting sqref="B22">
    <cfRule type="cellIs" dxfId="476" priority="20" stopIfTrue="1" operator="greaterThan">
      <formula>4</formula>
    </cfRule>
  </conditionalFormatting>
  <conditionalFormatting sqref="B23">
    <cfRule type="cellIs" dxfId="475" priority="21" stopIfTrue="1" operator="greaterThan">
      <formula>4</formula>
    </cfRule>
  </conditionalFormatting>
  <conditionalFormatting sqref="B24">
    <cfRule type="cellIs" dxfId="474" priority="22" stopIfTrue="1" operator="greaterThan">
      <formula>4</formula>
    </cfRule>
  </conditionalFormatting>
  <conditionalFormatting sqref="B25">
    <cfRule type="cellIs" dxfId="473" priority="23" stopIfTrue="1" operator="greaterThan">
      <formula>4</formula>
    </cfRule>
  </conditionalFormatting>
  <conditionalFormatting sqref="B26">
    <cfRule type="cellIs" dxfId="472" priority="24" stopIfTrue="1" operator="greaterThan">
      <formula>4</formula>
    </cfRule>
  </conditionalFormatting>
  <conditionalFormatting sqref="B27">
    <cfRule type="cellIs" dxfId="471" priority="25" stopIfTrue="1" operator="greaterThan">
      <formula>4</formula>
    </cfRule>
  </conditionalFormatting>
  <conditionalFormatting sqref="B28">
    <cfRule type="cellIs" dxfId="470" priority="26" stopIfTrue="1" operator="greaterThan">
      <formula>4</formula>
    </cfRule>
  </conditionalFormatting>
  <conditionalFormatting sqref="B29">
    <cfRule type="cellIs" dxfId="469" priority="27" stopIfTrue="1" operator="greaterThan">
      <formula>4</formula>
    </cfRule>
  </conditionalFormatting>
  <conditionalFormatting sqref="B30">
    <cfRule type="cellIs" dxfId="468" priority="28" stopIfTrue="1" operator="greaterThan">
      <formula>4</formula>
    </cfRule>
  </conditionalFormatting>
  <conditionalFormatting sqref="B31">
    <cfRule type="cellIs" dxfId="467" priority="29" stopIfTrue="1" operator="greaterThan">
      <formula>4</formula>
    </cfRule>
  </conditionalFormatting>
  <conditionalFormatting sqref="B32">
    <cfRule type="cellIs" dxfId="466" priority="30" stopIfTrue="1" operator="greaterThan">
      <formula>4</formula>
    </cfRule>
  </conditionalFormatting>
  <conditionalFormatting sqref="B33">
    <cfRule type="cellIs" dxfId="465" priority="31" stopIfTrue="1" operator="greaterThan">
      <formula>4</formula>
    </cfRule>
  </conditionalFormatting>
  <conditionalFormatting sqref="B34">
    <cfRule type="cellIs" dxfId="464" priority="32" stopIfTrue="1" operator="greaterThan">
      <formula>4</formula>
    </cfRule>
  </conditionalFormatting>
  <conditionalFormatting sqref="B35">
    <cfRule type="cellIs" dxfId="463" priority="33" stopIfTrue="1" operator="greaterThan">
      <formula>4</formula>
    </cfRule>
  </conditionalFormatting>
  <conditionalFormatting sqref="B36">
    <cfRule type="cellIs" dxfId="462" priority="34" stopIfTrue="1" operator="greaterThan">
      <formula>4</formula>
    </cfRule>
  </conditionalFormatting>
  <conditionalFormatting sqref="B37">
    <cfRule type="cellIs" dxfId="461" priority="35" stopIfTrue="1" operator="greaterThan">
      <formula>4</formula>
    </cfRule>
  </conditionalFormatting>
  <conditionalFormatting sqref="B38">
    <cfRule type="cellIs" dxfId="460" priority="36" stopIfTrue="1" operator="greaterThan">
      <formula>4</formula>
    </cfRule>
  </conditionalFormatting>
  <conditionalFormatting sqref="B39">
    <cfRule type="cellIs" dxfId="459" priority="37" stopIfTrue="1" operator="greaterThan">
      <formula>4</formula>
    </cfRule>
  </conditionalFormatting>
  <conditionalFormatting sqref="B40">
    <cfRule type="cellIs" dxfId="458" priority="38" stopIfTrue="1" operator="greaterThan">
      <formula>4</formula>
    </cfRule>
  </conditionalFormatting>
  <conditionalFormatting sqref="B41">
    <cfRule type="cellIs" dxfId="457" priority="39" stopIfTrue="1" operator="greaterThan">
      <formula>4</formula>
    </cfRule>
  </conditionalFormatting>
  <conditionalFormatting sqref="B42">
    <cfRule type="cellIs" dxfId="456" priority="40" stopIfTrue="1" operator="greaterThan">
      <formula>4</formula>
    </cfRule>
  </conditionalFormatting>
  <conditionalFormatting sqref="B43">
    <cfRule type="cellIs" dxfId="455" priority="41" stopIfTrue="1" operator="greaterThan">
      <formula>4</formula>
    </cfRule>
  </conditionalFormatting>
  <conditionalFormatting sqref="B44">
    <cfRule type="cellIs" dxfId="454" priority="42" stopIfTrue="1" operator="greaterThan">
      <formula>4</formula>
    </cfRule>
  </conditionalFormatting>
  <conditionalFormatting sqref="B45">
    <cfRule type="cellIs" dxfId="453" priority="43" stopIfTrue="1" operator="greaterThan">
      <formula>4</formula>
    </cfRule>
  </conditionalFormatting>
  <conditionalFormatting sqref="B46">
    <cfRule type="cellIs" dxfId="452" priority="44" stopIfTrue="1" operator="greaterThan">
      <formula>4</formula>
    </cfRule>
  </conditionalFormatting>
  <conditionalFormatting sqref="B47">
    <cfRule type="cellIs" dxfId="451" priority="45" stopIfTrue="1" operator="greaterThan">
      <formula>4</formula>
    </cfRule>
  </conditionalFormatting>
  <conditionalFormatting sqref="B48">
    <cfRule type="cellIs" dxfId="450" priority="46" stopIfTrue="1" operator="greaterThan">
      <formula>4</formula>
    </cfRule>
  </conditionalFormatting>
  <conditionalFormatting sqref="B49">
    <cfRule type="cellIs" dxfId="449" priority="47" stopIfTrue="1" operator="greaterThan">
      <formula>4</formula>
    </cfRule>
  </conditionalFormatting>
  <conditionalFormatting sqref="B50">
    <cfRule type="cellIs" dxfId="448" priority="48" stopIfTrue="1" operator="greaterThan">
      <formula>4</formula>
    </cfRule>
  </conditionalFormatting>
  <conditionalFormatting sqref="B51">
    <cfRule type="cellIs" dxfId="447" priority="49" stopIfTrue="1" operator="greaterThan">
      <formula>4</formula>
    </cfRule>
  </conditionalFormatting>
  <conditionalFormatting sqref="B52">
    <cfRule type="cellIs" dxfId="446" priority="50" stopIfTrue="1" operator="greaterThan">
      <formula>4</formula>
    </cfRule>
  </conditionalFormatting>
  <conditionalFormatting sqref="B53">
    <cfRule type="cellIs" dxfId="445" priority="51" stopIfTrue="1" operator="greaterThan">
      <formula>4</formula>
    </cfRule>
  </conditionalFormatting>
  <conditionalFormatting sqref="B54">
    <cfRule type="cellIs" dxfId="444" priority="52" stopIfTrue="1" operator="greaterThan">
      <formula>4</formula>
    </cfRule>
  </conditionalFormatting>
  <conditionalFormatting sqref="B55">
    <cfRule type="cellIs" dxfId="443" priority="53" stopIfTrue="1" operator="greaterThan">
      <formula>4</formula>
    </cfRule>
  </conditionalFormatting>
  <conditionalFormatting sqref="B56">
    <cfRule type="cellIs" dxfId="442" priority="54" stopIfTrue="1" operator="greaterThan">
      <formula>4</formula>
    </cfRule>
  </conditionalFormatting>
  <conditionalFormatting sqref="B57">
    <cfRule type="cellIs" dxfId="441" priority="55" stopIfTrue="1" operator="greaterThan">
      <formula>4</formula>
    </cfRule>
  </conditionalFormatting>
  <conditionalFormatting sqref="B58">
    <cfRule type="cellIs" dxfId="440" priority="56" stopIfTrue="1" operator="greaterThan">
      <formula>4</formula>
    </cfRule>
  </conditionalFormatting>
  <conditionalFormatting sqref="B59">
    <cfRule type="cellIs" dxfId="439" priority="57" stopIfTrue="1" operator="greaterThan">
      <formula>4</formula>
    </cfRule>
  </conditionalFormatting>
  <conditionalFormatting sqref="B60">
    <cfRule type="cellIs" dxfId="438" priority="58" stopIfTrue="1" operator="greaterThan">
      <formula>4</formula>
    </cfRule>
  </conditionalFormatting>
  <conditionalFormatting sqref="B61">
    <cfRule type="cellIs" dxfId="437" priority="59" stopIfTrue="1" operator="greaterThan">
      <formula>4</formula>
    </cfRule>
  </conditionalFormatting>
  <conditionalFormatting sqref="B62">
    <cfRule type="cellIs" dxfId="436" priority="60" stopIfTrue="1" operator="greaterThan">
      <formula>4</formula>
    </cfRule>
  </conditionalFormatting>
  <conditionalFormatting sqref="B63">
    <cfRule type="cellIs" dxfId="435" priority="61" stopIfTrue="1" operator="greaterThan">
      <formula>4</formula>
    </cfRule>
  </conditionalFormatting>
  <conditionalFormatting sqref="B64">
    <cfRule type="cellIs" dxfId="434" priority="62" stopIfTrue="1" operator="greaterThan">
      <formula>4</formula>
    </cfRule>
  </conditionalFormatting>
  <conditionalFormatting sqref="B65">
    <cfRule type="cellIs" dxfId="433" priority="63" stopIfTrue="1" operator="greaterThan">
      <formula>4</formula>
    </cfRule>
  </conditionalFormatting>
  <conditionalFormatting sqref="B66">
    <cfRule type="cellIs" dxfId="432" priority="64" stopIfTrue="1" operator="greaterThan">
      <formula>4</formula>
    </cfRule>
  </conditionalFormatting>
  <conditionalFormatting sqref="B67">
    <cfRule type="cellIs" dxfId="431" priority="65" stopIfTrue="1" operator="greaterThan">
      <formula>4</formula>
    </cfRule>
  </conditionalFormatting>
  <conditionalFormatting sqref="B68">
    <cfRule type="cellIs" dxfId="430" priority="66" stopIfTrue="1" operator="greaterThan">
      <formula>4</formula>
    </cfRule>
  </conditionalFormatting>
  <conditionalFormatting sqref="B69">
    <cfRule type="cellIs" dxfId="429" priority="67" stopIfTrue="1" operator="greaterThan">
      <formula>4</formula>
    </cfRule>
  </conditionalFormatting>
  <conditionalFormatting sqref="B70">
    <cfRule type="cellIs" dxfId="428" priority="68" stopIfTrue="1" operator="greaterThan">
      <formula>4</formula>
    </cfRule>
  </conditionalFormatting>
  <conditionalFormatting sqref="B71">
    <cfRule type="cellIs" dxfId="427" priority="69" stopIfTrue="1" operator="greaterThan">
      <formula>4</formula>
    </cfRule>
  </conditionalFormatting>
  <conditionalFormatting sqref="B72">
    <cfRule type="cellIs" dxfId="426" priority="70" stopIfTrue="1" operator="greaterThan">
      <formula>4</formula>
    </cfRule>
  </conditionalFormatting>
  <conditionalFormatting sqref="B73">
    <cfRule type="cellIs" dxfId="425" priority="71" stopIfTrue="1" operator="greaterThan">
      <formula>4</formula>
    </cfRule>
  </conditionalFormatting>
  <conditionalFormatting sqref="B74">
    <cfRule type="cellIs" dxfId="424" priority="72" stopIfTrue="1" operator="greaterThan">
      <formula>4</formula>
    </cfRule>
  </conditionalFormatting>
  <conditionalFormatting sqref="B75">
    <cfRule type="cellIs" dxfId="423" priority="73" stopIfTrue="1" operator="greaterThan">
      <formula>4</formula>
    </cfRule>
  </conditionalFormatting>
  <conditionalFormatting sqref="B76">
    <cfRule type="cellIs" dxfId="422" priority="74" stopIfTrue="1" operator="greaterThan">
      <formula>4</formula>
    </cfRule>
  </conditionalFormatting>
  <conditionalFormatting sqref="B77">
    <cfRule type="cellIs" dxfId="421" priority="75" stopIfTrue="1" operator="greaterThan">
      <formula>4</formula>
    </cfRule>
  </conditionalFormatting>
  <conditionalFormatting sqref="B78">
    <cfRule type="cellIs" dxfId="420" priority="76" stopIfTrue="1" operator="greaterThan">
      <formula>4</formula>
    </cfRule>
  </conditionalFormatting>
  <conditionalFormatting sqref="B79">
    <cfRule type="cellIs" dxfId="419" priority="77" stopIfTrue="1" operator="greaterThan">
      <formula>4</formula>
    </cfRule>
  </conditionalFormatting>
  <conditionalFormatting sqref="B80">
    <cfRule type="cellIs" dxfId="418" priority="78" stopIfTrue="1" operator="greaterThan">
      <formula>4</formula>
    </cfRule>
  </conditionalFormatting>
  <conditionalFormatting sqref="B81">
    <cfRule type="cellIs" dxfId="417" priority="79" stopIfTrue="1" operator="greaterThan">
      <formula>4</formula>
    </cfRule>
  </conditionalFormatting>
  <conditionalFormatting sqref="B82">
    <cfRule type="cellIs" dxfId="416" priority="80" stopIfTrue="1" operator="greaterThan">
      <formula>4</formula>
    </cfRule>
  </conditionalFormatting>
  <conditionalFormatting sqref="B83">
    <cfRule type="cellIs" dxfId="415" priority="81" stopIfTrue="1" operator="greaterThan">
      <formula>4</formula>
    </cfRule>
  </conditionalFormatting>
  <conditionalFormatting sqref="B84">
    <cfRule type="cellIs" dxfId="414" priority="82" stopIfTrue="1" operator="greaterThan">
      <formula>4</formula>
    </cfRule>
  </conditionalFormatting>
  <conditionalFormatting sqref="B85">
    <cfRule type="cellIs" dxfId="413" priority="83" stopIfTrue="1" operator="greaterThan">
      <formula>4</formula>
    </cfRule>
  </conditionalFormatting>
  <conditionalFormatting sqref="B86">
    <cfRule type="cellIs" dxfId="412" priority="84" stopIfTrue="1" operator="greaterThan">
      <formula>4</formula>
    </cfRule>
  </conditionalFormatting>
  <conditionalFormatting sqref="B87">
    <cfRule type="cellIs" dxfId="411" priority="85" stopIfTrue="1" operator="greaterThan">
      <formula>4</formula>
    </cfRule>
  </conditionalFormatting>
  <conditionalFormatting sqref="B88">
    <cfRule type="cellIs" dxfId="410" priority="86" stopIfTrue="1" operator="greaterThan">
      <formula>4</formula>
    </cfRule>
  </conditionalFormatting>
  <conditionalFormatting sqref="B89">
    <cfRule type="cellIs" dxfId="409" priority="87" stopIfTrue="1" operator="greaterThan">
      <formula>4</formula>
    </cfRule>
  </conditionalFormatting>
  <conditionalFormatting sqref="B90">
    <cfRule type="cellIs" dxfId="408" priority="88" stopIfTrue="1" operator="greaterThan">
      <formula>4</formula>
    </cfRule>
  </conditionalFormatting>
  <conditionalFormatting sqref="B91">
    <cfRule type="cellIs" dxfId="407" priority="89" stopIfTrue="1" operator="greaterThan">
      <formula>4</formula>
    </cfRule>
  </conditionalFormatting>
  <conditionalFormatting sqref="B92">
    <cfRule type="cellIs" dxfId="406" priority="90" stopIfTrue="1" operator="greaterThan">
      <formula>4</formula>
    </cfRule>
  </conditionalFormatting>
  <conditionalFormatting sqref="B93">
    <cfRule type="cellIs" dxfId="405" priority="91" stopIfTrue="1" operator="greaterThan">
      <formula>4</formula>
    </cfRule>
  </conditionalFormatting>
  <conditionalFormatting sqref="B94">
    <cfRule type="cellIs" dxfId="404" priority="92" stopIfTrue="1" operator="greaterThan">
      <formula>4</formula>
    </cfRule>
  </conditionalFormatting>
  <conditionalFormatting sqref="B95">
    <cfRule type="cellIs" dxfId="403" priority="93" stopIfTrue="1" operator="greaterThan">
      <formula>4</formula>
    </cfRule>
  </conditionalFormatting>
  <conditionalFormatting sqref="B96">
    <cfRule type="cellIs" dxfId="402" priority="94" stopIfTrue="1" operator="greaterThan">
      <formula>4</formula>
    </cfRule>
  </conditionalFormatting>
  <conditionalFormatting sqref="B97">
    <cfRule type="cellIs" dxfId="401" priority="95" stopIfTrue="1" operator="greaterThan">
      <formula>4</formula>
    </cfRule>
  </conditionalFormatting>
  <conditionalFormatting sqref="B98">
    <cfRule type="cellIs" dxfId="400" priority="96" stopIfTrue="1" operator="greaterThan">
      <formula>4</formula>
    </cfRule>
  </conditionalFormatting>
  <conditionalFormatting sqref="B99">
    <cfRule type="cellIs" dxfId="399" priority="97" stopIfTrue="1" operator="greaterThan">
      <formula>4</formula>
    </cfRule>
  </conditionalFormatting>
  <conditionalFormatting sqref="B100">
    <cfRule type="cellIs" dxfId="398" priority="98" stopIfTrue="1" operator="greaterThan">
      <formula>4</formula>
    </cfRule>
  </conditionalFormatting>
  <conditionalFormatting sqref="B101">
    <cfRule type="cellIs" dxfId="397" priority="99" stopIfTrue="1" operator="greaterThan">
      <formula>4</formula>
    </cfRule>
  </conditionalFormatting>
  <conditionalFormatting sqref="B102">
    <cfRule type="cellIs" dxfId="396" priority="100" stopIfTrue="1" operator="greaterThan">
      <formula>4</formula>
    </cfRule>
  </conditionalFormatting>
  <conditionalFormatting sqref="B103">
    <cfRule type="cellIs" dxfId="395" priority="101" stopIfTrue="1" operator="greaterThan">
      <formula>4</formula>
    </cfRule>
  </conditionalFormatting>
  <conditionalFormatting sqref="B104">
    <cfRule type="cellIs" dxfId="394" priority="102" stopIfTrue="1" operator="greaterThan">
      <formula>4</formula>
    </cfRule>
  </conditionalFormatting>
  <conditionalFormatting sqref="B105">
    <cfRule type="cellIs" dxfId="393" priority="103" stopIfTrue="1" operator="greaterThan">
      <formula>4</formula>
    </cfRule>
  </conditionalFormatting>
  <conditionalFormatting sqref="B106">
    <cfRule type="cellIs" dxfId="392" priority="104" stopIfTrue="1" operator="greaterThan">
      <formula>4</formula>
    </cfRule>
  </conditionalFormatting>
  <conditionalFormatting sqref="B107">
    <cfRule type="cellIs" dxfId="391" priority="105" stopIfTrue="1" operator="greaterThan">
      <formula>4</formula>
    </cfRule>
  </conditionalFormatting>
  <conditionalFormatting sqref="B108">
    <cfRule type="cellIs" dxfId="390" priority="106" stopIfTrue="1" operator="greaterThan">
      <formula>4</formula>
    </cfRule>
  </conditionalFormatting>
  <conditionalFormatting sqref="B109">
    <cfRule type="cellIs" dxfId="389" priority="107" stopIfTrue="1" operator="greaterThan">
      <formula>4</formula>
    </cfRule>
  </conditionalFormatting>
  <conditionalFormatting sqref="B110">
    <cfRule type="cellIs" dxfId="388" priority="108" stopIfTrue="1" operator="greaterThan">
      <formula>4</formula>
    </cfRule>
  </conditionalFormatting>
  <conditionalFormatting sqref="B111">
    <cfRule type="cellIs" dxfId="387" priority="109" stopIfTrue="1" operator="greaterThan">
      <formula>4</formula>
    </cfRule>
  </conditionalFormatting>
  <conditionalFormatting sqref="B112">
    <cfRule type="cellIs" dxfId="386" priority="110" stopIfTrue="1" operator="greaterThan">
      <formula>4</formula>
    </cfRule>
  </conditionalFormatting>
  <conditionalFormatting sqref="B113">
    <cfRule type="cellIs" dxfId="385" priority="111" stopIfTrue="1" operator="greaterThan">
      <formula>4</formula>
    </cfRule>
  </conditionalFormatting>
  <conditionalFormatting sqref="B114">
    <cfRule type="cellIs" dxfId="384" priority="112" stopIfTrue="1" operator="greaterThan">
      <formula>4</formula>
    </cfRule>
  </conditionalFormatting>
  <conditionalFormatting sqref="B115">
    <cfRule type="cellIs" dxfId="383" priority="113" stopIfTrue="1" operator="greaterThan">
      <formula>4</formula>
    </cfRule>
  </conditionalFormatting>
  <conditionalFormatting sqref="B116">
    <cfRule type="cellIs" dxfId="382" priority="114" stopIfTrue="1" operator="greaterThan">
      <formula>4</formula>
    </cfRule>
  </conditionalFormatting>
  <conditionalFormatting sqref="B117">
    <cfRule type="cellIs" dxfId="381" priority="115" stopIfTrue="1" operator="greaterThan">
      <formula>4</formula>
    </cfRule>
  </conditionalFormatting>
  <conditionalFormatting sqref="B118">
    <cfRule type="cellIs" dxfId="380" priority="116" stopIfTrue="1" operator="greaterThan">
      <formula>4</formula>
    </cfRule>
  </conditionalFormatting>
  <conditionalFormatting sqref="B119">
    <cfRule type="cellIs" dxfId="379" priority="117" stopIfTrue="1" operator="greaterThan">
      <formula>4</formula>
    </cfRule>
  </conditionalFormatting>
  <conditionalFormatting sqref="B120">
    <cfRule type="cellIs" dxfId="378" priority="118" stopIfTrue="1" operator="greaterThan">
      <formula>4</formula>
    </cfRule>
  </conditionalFormatting>
  <conditionalFormatting sqref="B121">
    <cfRule type="cellIs" dxfId="377" priority="119" stopIfTrue="1" operator="greaterThan">
      <formula>4</formula>
    </cfRule>
  </conditionalFormatting>
  <conditionalFormatting sqref="B122">
    <cfRule type="cellIs" dxfId="376" priority="120" stopIfTrue="1" operator="greaterThan">
      <formula>4</formula>
    </cfRule>
  </conditionalFormatting>
  <conditionalFormatting sqref="B123">
    <cfRule type="cellIs" dxfId="375" priority="121" stopIfTrue="1" operator="greaterThan">
      <formula>4</formula>
    </cfRule>
  </conditionalFormatting>
  <conditionalFormatting sqref="B124">
    <cfRule type="cellIs" dxfId="374" priority="122" stopIfTrue="1" operator="greaterThan">
      <formula>4</formula>
    </cfRule>
  </conditionalFormatting>
  <conditionalFormatting sqref="B125">
    <cfRule type="cellIs" dxfId="373" priority="123" stopIfTrue="1" operator="greaterThan">
      <formula>4</formula>
    </cfRule>
  </conditionalFormatting>
  <conditionalFormatting sqref="B126">
    <cfRule type="cellIs" dxfId="372" priority="124" stopIfTrue="1" operator="greaterThan">
      <formula>4</formula>
    </cfRule>
  </conditionalFormatting>
  <conditionalFormatting sqref="B127">
    <cfRule type="cellIs" dxfId="371" priority="125" stopIfTrue="1" operator="greaterThan">
      <formula>4</formula>
    </cfRule>
  </conditionalFormatting>
  <conditionalFormatting sqref="B128">
    <cfRule type="cellIs" dxfId="370" priority="126" stopIfTrue="1" operator="greaterThan">
      <formula>4</formula>
    </cfRule>
  </conditionalFormatting>
  <conditionalFormatting sqref="B129">
    <cfRule type="cellIs" dxfId="369" priority="127" stopIfTrue="1" operator="greaterThan">
      <formula>4</formula>
    </cfRule>
  </conditionalFormatting>
  <conditionalFormatting sqref="B130">
    <cfRule type="cellIs" dxfId="368" priority="128" stopIfTrue="1" operator="greaterThan">
      <formula>4</formula>
    </cfRule>
  </conditionalFormatting>
  <conditionalFormatting sqref="B131">
    <cfRule type="cellIs" dxfId="367" priority="129" stopIfTrue="1" operator="greaterThan">
      <formula>4</formula>
    </cfRule>
  </conditionalFormatting>
  <conditionalFormatting sqref="B132">
    <cfRule type="cellIs" dxfId="366" priority="130" stopIfTrue="1" operator="greaterThan">
      <formula>4</formula>
    </cfRule>
  </conditionalFormatting>
  <conditionalFormatting sqref="B133">
    <cfRule type="cellIs" dxfId="365" priority="131" stopIfTrue="1" operator="greaterThan">
      <formula>4</formula>
    </cfRule>
  </conditionalFormatting>
  <conditionalFormatting sqref="B134">
    <cfRule type="cellIs" dxfId="364" priority="132" stopIfTrue="1" operator="greaterThan">
      <formula>4</formula>
    </cfRule>
  </conditionalFormatting>
  <conditionalFormatting sqref="B135">
    <cfRule type="cellIs" dxfId="363" priority="133" stopIfTrue="1" operator="greaterThan">
      <formula>4</formula>
    </cfRule>
  </conditionalFormatting>
  <conditionalFormatting sqref="B136">
    <cfRule type="cellIs" dxfId="362" priority="134" stopIfTrue="1" operator="greaterThan">
      <formula>4</formula>
    </cfRule>
  </conditionalFormatting>
  <conditionalFormatting sqref="B137">
    <cfRule type="cellIs" dxfId="361" priority="135" stopIfTrue="1" operator="greaterThan">
      <formula>4</formula>
    </cfRule>
  </conditionalFormatting>
  <conditionalFormatting sqref="B138">
    <cfRule type="cellIs" dxfId="360" priority="136" stopIfTrue="1" operator="greaterThan">
      <formula>4</formula>
    </cfRule>
  </conditionalFormatting>
  <conditionalFormatting sqref="B139">
    <cfRule type="cellIs" dxfId="359" priority="137" stopIfTrue="1" operator="greaterThan">
      <formula>4</formula>
    </cfRule>
  </conditionalFormatting>
  <conditionalFormatting sqref="B140">
    <cfRule type="cellIs" dxfId="358" priority="138" stopIfTrue="1" operator="greaterThan">
      <formula>4</formula>
    </cfRule>
  </conditionalFormatting>
  <conditionalFormatting sqref="B141">
    <cfRule type="cellIs" dxfId="357" priority="139" stopIfTrue="1" operator="greaterThan">
      <formula>4</formula>
    </cfRule>
  </conditionalFormatting>
  <conditionalFormatting sqref="B142">
    <cfRule type="cellIs" dxfId="356" priority="140" stopIfTrue="1" operator="greaterThan">
      <formula>4</formula>
    </cfRule>
  </conditionalFormatting>
  <conditionalFormatting sqref="B143">
    <cfRule type="cellIs" dxfId="355" priority="141" stopIfTrue="1" operator="greaterThan">
      <formula>4</formula>
    </cfRule>
  </conditionalFormatting>
  <conditionalFormatting sqref="B144">
    <cfRule type="cellIs" dxfId="354" priority="142" stopIfTrue="1" operator="greaterThan">
      <formula>4</formula>
    </cfRule>
  </conditionalFormatting>
  <conditionalFormatting sqref="B145">
    <cfRule type="cellIs" dxfId="353" priority="143" stopIfTrue="1" operator="greaterThan">
      <formula>4</formula>
    </cfRule>
  </conditionalFormatting>
  <conditionalFormatting sqref="B146">
    <cfRule type="cellIs" dxfId="352" priority="144" stopIfTrue="1" operator="greaterThan">
      <formula>4</formula>
    </cfRule>
  </conditionalFormatting>
  <conditionalFormatting sqref="B147">
    <cfRule type="cellIs" dxfId="351" priority="145" stopIfTrue="1" operator="greaterThan">
      <formula>4</formula>
    </cfRule>
  </conditionalFormatting>
  <conditionalFormatting sqref="B148">
    <cfRule type="cellIs" dxfId="350" priority="146" stopIfTrue="1" operator="greaterThan">
      <formula>4</formula>
    </cfRule>
  </conditionalFormatting>
  <conditionalFormatting sqref="B149">
    <cfRule type="cellIs" dxfId="349" priority="147" stopIfTrue="1" operator="greaterThan">
      <formula>4</formula>
    </cfRule>
  </conditionalFormatting>
  <conditionalFormatting sqref="B150">
    <cfRule type="cellIs" dxfId="348" priority="148" stopIfTrue="1" operator="greaterThan">
      <formula>4</formula>
    </cfRule>
  </conditionalFormatting>
  <conditionalFormatting sqref="B151">
    <cfRule type="cellIs" dxfId="347" priority="149" stopIfTrue="1" operator="greaterThan">
      <formula>4</formula>
    </cfRule>
  </conditionalFormatting>
  <conditionalFormatting sqref="B152">
    <cfRule type="cellIs" dxfId="346" priority="150" stopIfTrue="1" operator="greaterThan">
      <formula>4</formula>
    </cfRule>
  </conditionalFormatting>
  <conditionalFormatting sqref="B153">
    <cfRule type="cellIs" dxfId="345" priority="151" stopIfTrue="1" operator="greaterThan">
      <formula>4</formula>
    </cfRule>
  </conditionalFormatting>
  <conditionalFormatting sqref="B154">
    <cfRule type="cellIs" dxfId="344" priority="152" stopIfTrue="1" operator="greaterThan">
      <formula>4</formula>
    </cfRule>
  </conditionalFormatting>
  <conditionalFormatting sqref="B155">
    <cfRule type="cellIs" dxfId="343" priority="153" stopIfTrue="1" operator="greaterThan">
      <formula>4</formula>
    </cfRule>
  </conditionalFormatting>
  <conditionalFormatting sqref="B156">
    <cfRule type="cellIs" dxfId="342" priority="154" stopIfTrue="1" operator="greaterThan">
      <formula>4</formula>
    </cfRule>
  </conditionalFormatting>
  <conditionalFormatting sqref="B157">
    <cfRule type="cellIs" dxfId="341" priority="155" stopIfTrue="1" operator="greaterThan">
      <formula>4</formula>
    </cfRule>
  </conditionalFormatting>
  <conditionalFormatting sqref="B158">
    <cfRule type="cellIs" dxfId="340" priority="156" stopIfTrue="1" operator="greaterThan">
      <formula>4</formula>
    </cfRule>
  </conditionalFormatting>
  <conditionalFormatting sqref="B159">
    <cfRule type="cellIs" dxfId="339" priority="157" stopIfTrue="1" operator="greaterThan">
      <formula>4</formula>
    </cfRule>
  </conditionalFormatting>
  <conditionalFormatting sqref="B160">
    <cfRule type="cellIs" dxfId="338" priority="158" stopIfTrue="1" operator="greaterThan">
      <formula>4</formula>
    </cfRule>
  </conditionalFormatting>
  <conditionalFormatting sqref="B161">
    <cfRule type="cellIs" dxfId="337" priority="159" stopIfTrue="1" operator="greaterThan">
      <formula>4</formula>
    </cfRule>
  </conditionalFormatting>
  <conditionalFormatting sqref="B162">
    <cfRule type="cellIs" dxfId="336" priority="160" stopIfTrue="1" operator="greaterThan">
      <formula>4</formula>
    </cfRule>
  </conditionalFormatting>
  <conditionalFormatting sqref="B163">
    <cfRule type="cellIs" dxfId="335" priority="161" stopIfTrue="1" operator="greaterThan">
      <formula>4</formula>
    </cfRule>
  </conditionalFormatting>
  <conditionalFormatting sqref="B164">
    <cfRule type="cellIs" dxfId="334" priority="162" stopIfTrue="1" operator="greaterThan">
      <formula>4</formula>
    </cfRule>
  </conditionalFormatting>
  <conditionalFormatting sqref="B165">
    <cfRule type="cellIs" dxfId="333" priority="163" stopIfTrue="1" operator="greaterThan">
      <formula>4</formula>
    </cfRule>
  </conditionalFormatting>
  <conditionalFormatting sqref="B166">
    <cfRule type="cellIs" dxfId="332" priority="164" stopIfTrue="1" operator="greaterThan">
      <formula>4</formula>
    </cfRule>
  </conditionalFormatting>
  <conditionalFormatting sqref="B167">
    <cfRule type="cellIs" dxfId="331" priority="165" stopIfTrue="1" operator="greaterThan">
      <formula>4</formula>
    </cfRule>
  </conditionalFormatting>
  <conditionalFormatting sqref="B168">
    <cfRule type="cellIs" dxfId="330" priority="166" stopIfTrue="1" operator="greaterThan">
      <formula>4</formula>
    </cfRule>
  </conditionalFormatting>
  <conditionalFormatting sqref="B169">
    <cfRule type="cellIs" dxfId="329" priority="167" stopIfTrue="1" operator="greaterThan">
      <formula>4</formula>
    </cfRule>
  </conditionalFormatting>
  <conditionalFormatting sqref="B170">
    <cfRule type="cellIs" dxfId="328" priority="168" stopIfTrue="1" operator="greaterThan">
      <formula>4</formula>
    </cfRule>
  </conditionalFormatting>
  <conditionalFormatting sqref="B171">
    <cfRule type="cellIs" dxfId="327" priority="169" stopIfTrue="1" operator="greaterThan">
      <formula>4</formula>
    </cfRule>
  </conditionalFormatting>
  <conditionalFormatting sqref="B172">
    <cfRule type="cellIs" dxfId="326" priority="170" stopIfTrue="1" operator="greaterThan">
      <formula>4</formula>
    </cfRule>
  </conditionalFormatting>
  <conditionalFormatting sqref="B173">
    <cfRule type="cellIs" dxfId="325" priority="171" stopIfTrue="1" operator="greaterThan">
      <formula>4</formula>
    </cfRule>
  </conditionalFormatting>
  <conditionalFormatting sqref="B174">
    <cfRule type="cellIs" dxfId="324" priority="172" stopIfTrue="1" operator="greaterThan">
      <formula>4</formula>
    </cfRule>
  </conditionalFormatting>
  <conditionalFormatting sqref="B175">
    <cfRule type="cellIs" dxfId="323" priority="173" stopIfTrue="1" operator="greaterThan">
      <formula>4</formula>
    </cfRule>
  </conditionalFormatting>
  <conditionalFormatting sqref="B176">
    <cfRule type="cellIs" dxfId="322" priority="174" stopIfTrue="1" operator="greaterThan">
      <formula>4</formula>
    </cfRule>
  </conditionalFormatting>
  <conditionalFormatting sqref="B177">
    <cfRule type="cellIs" dxfId="321" priority="175" stopIfTrue="1" operator="greaterThan">
      <formula>4</formula>
    </cfRule>
  </conditionalFormatting>
  <conditionalFormatting sqref="B178">
    <cfRule type="cellIs" dxfId="320" priority="176" stopIfTrue="1" operator="greaterThan">
      <formula>4</formula>
    </cfRule>
  </conditionalFormatting>
  <conditionalFormatting sqref="B179">
    <cfRule type="cellIs" dxfId="319" priority="177" stopIfTrue="1" operator="greaterThan">
      <formula>4</formula>
    </cfRule>
  </conditionalFormatting>
  <conditionalFormatting sqref="B180">
    <cfRule type="cellIs" dxfId="318" priority="178" stopIfTrue="1" operator="greaterThan">
      <formula>4</formula>
    </cfRule>
  </conditionalFormatting>
  <conditionalFormatting sqref="B181">
    <cfRule type="cellIs" dxfId="317" priority="179" stopIfTrue="1" operator="greaterThan">
      <formula>4</formula>
    </cfRule>
  </conditionalFormatting>
  <conditionalFormatting sqref="B182">
    <cfRule type="cellIs" dxfId="316" priority="180" stopIfTrue="1" operator="greaterThan">
      <formula>4</formula>
    </cfRule>
  </conditionalFormatting>
  <conditionalFormatting sqref="B183">
    <cfRule type="cellIs" dxfId="315" priority="181" stopIfTrue="1" operator="greaterThan">
      <formula>4</formula>
    </cfRule>
  </conditionalFormatting>
  <conditionalFormatting sqref="B184">
    <cfRule type="cellIs" dxfId="314" priority="182" stopIfTrue="1" operator="greaterThan">
      <formula>4</formula>
    </cfRule>
  </conditionalFormatting>
  <conditionalFormatting sqref="B185">
    <cfRule type="cellIs" dxfId="313" priority="183" stopIfTrue="1" operator="greaterThan">
      <formula>4</formula>
    </cfRule>
  </conditionalFormatting>
  <conditionalFormatting sqref="B186">
    <cfRule type="cellIs" dxfId="312" priority="184" stopIfTrue="1" operator="greaterThan">
      <formula>4</formula>
    </cfRule>
  </conditionalFormatting>
  <conditionalFormatting sqref="B187">
    <cfRule type="cellIs" dxfId="311" priority="185" stopIfTrue="1" operator="greaterThan">
      <formula>4</formula>
    </cfRule>
  </conditionalFormatting>
  <conditionalFormatting sqref="B188">
    <cfRule type="cellIs" dxfId="310" priority="186" stopIfTrue="1" operator="greaterThan">
      <formula>4</formula>
    </cfRule>
  </conditionalFormatting>
  <conditionalFormatting sqref="B189">
    <cfRule type="cellIs" dxfId="309" priority="187" stopIfTrue="1" operator="greaterThan">
      <formula>4</formula>
    </cfRule>
  </conditionalFormatting>
  <conditionalFormatting sqref="B190">
    <cfRule type="cellIs" dxfId="308" priority="188" stopIfTrue="1" operator="greaterThan">
      <formula>4</formula>
    </cfRule>
  </conditionalFormatting>
  <conditionalFormatting sqref="B191">
    <cfRule type="cellIs" dxfId="307" priority="189" stopIfTrue="1" operator="greaterThan">
      <formula>4</formula>
    </cfRule>
  </conditionalFormatting>
  <conditionalFormatting sqref="B192">
    <cfRule type="cellIs" dxfId="306" priority="190" stopIfTrue="1" operator="greaterThan">
      <formula>4</formula>
    </cfRule>
  </conditionalFormatting>
  <conditionalFormatting sqref="B193">
    <cfRule type="cellIs" dxfId="305" priority="191" stopIfTrue="1" operator="greaterThan">
      <formula>4</formula>
    </cfRule>
  </conditionalFormatting>
  <conditionalFormatting sqref="B194">
    <cfRule type="cellIs" dxfId="304" priority="192" stopIfTrue="1" operator="greaterThan">
      <formula>4</formula>
    </cfRule>
  </conditionalFormatting>
  <conditionalFormatting sqref="B195">
    <cfRule type="cellIs" dxfId="303" priority="193" stopIfTrue="1" operator="greaterThan">
      <formula>4</formula>
    </cfRule>
  </conditionalFormatting>
  <conditionalFormatting sqref="B196">
    <cfRule type="cellIs" dxfId="302" priority="194" stopIfTrue="1" operator="greaterThan">
      <formula>4</formula>
    </cfRule>
  </conditionalFormatting>
  <conditionalFormatting sqref="B197">
    <cfRule type="cellIs" dxfId="301" priority="195" stopIfTrue="1" operator="greaterThan">
      <formula>4</formula>
    </cfRule>
  </conditionalFormatting>
  <conditionalFormatting sqref="B198">
    <cfRule type="cellIs" dxfId="300" priority="196" stopIfTrue="1" operator="greaterThan">
      <formula>4</formula>
    </cfRule>
  </conditionalFormatting>
  <conditionalFormatting sqref="B199">
    <cfRule type="cellIs" dxfId="299" priority="197" stopIfTrue="1" operator="greaterThan">
      <formula>4</formula>
    </cfRule>
  </conditionalFormatting>
  <conditionalFormatting sqref="B200">
    <cfRule type="cellIs" dxfId="298" priority="198" stopIfTrue="1" operator="greaterThan">
      <formula>4</formula>
    </cfRule>
  </conditionalFormatting>
  <conditionalFormatting sqref="B201">
    <cfRule type="cellIs" dxfId="297" priority="199" stopIfTrue="1" operator="greaterThan">
      <formula>4</formula>
    </cfRule>
  </conditionalFormatting>
  <conditionalFormatting sqref="B202">
    <cfRule type="cellIs" dxfId="296" priority="200" stopIfTrue="1" operator="greaterThan">
      <formula>4</formula>
    </cfRule>
  </conditionalFormatting>
  <conditionalFormatting sqref="B203">
    <cfRule type="cellIs" dxfId="295" priority="201" stopIfTrue="1" operator="greaterThan">
      <formula>4</formula>
    </cfRule>
  </conditionalFormatting>
  <conditionalFormatting sqref="B204">
    <cfRule type="cellIs" dxfId="294" priority="202" stopIfTrue="1" operator="greaterThan">
      <formula>4</formula>
    </cfRule>
  </conditionalFormatting>
  <conditionalFormatting sqref="B205">
    <cfRule type="cellIs" dxfId="293" priority="203" stopIfTrue="1" operator="greaterThan">
      <formula>4</formula>
    </cfRule>
  </conditionalFormatting>
  <conditionalFormatting sqref="B206">
    <cfRule type="cellIs" dxfId="292" priority="204" stopIfTrue="1" operator="greaterThan">
      <formula>4</formula>
    </cfRule>
  </conditionalFormatting>
  <conditionalFormatting sqref="B207">
    <cfRule type="cellIs" dxfId="291" priority="205" stopIfTrue="1" operator="greaterThan">
      <formula>4</formula>
    </cfRule>
  </conditionalFormatting>
  <conditionalFormatting sqref="B208">
    <cfRule type="cellIs" dxfId="290" priority="206" stopIfTrue="1" operator="greaterThan">
      <formula>4</formula>
    </cfRule>
  </conditionalFormatting>
  <conditionalFormatting sqref="B209">
    <cfRule type="cellIs" dxfId="289" priority="207" stopIfTrue="1" operator="greaterThan">
      <formula>4</formula>
    </cfRule>
  </conditionalFormatting>
  <conditionalFormatting sqref="B210">
    <cfRule type="cellIs" dxfId="288" priority="208" stopIfTrue="1" operator="greaterThan">
      <formula>4</formula>
    </cfRule>
  </conditionalFormatting>
  <conditionalFormatting sqref="B211">
    <cfRule type="cellIs" dxfId="287" priority="209" stopIfTrue="1" operator="greaterThan">
      <formula>4</formula>
    </cfRule>
  </conditionalFormatting>
  <conditionalFormatting sqref="B212">
    <cfRule type="cellIs" dxfId="286" priority="210" stopIfTrue="1" operator="greaterThan">
      <formula>4</formula>
    </cfRule>
  </conditionalFormatting>
  <conditionalFormatting sqref="B213">
    <cfRule type="cellIs" dxfId="285" priority="211" stopIfTrue="1" operator="greaterThan">
      <formula>4</formula>
    </cfRule>
  </conditionalFormatting>
  <conditionalFormatting sqref="B214">
    <cfRule type="cellIs" dxfId="284" priority="212" stopIfTrue="1" operator="greaterThan">
      <formula>4</formula>
    </cfRule>
  </conditionalFormatting>
  <conditionalFormatting sqref="B215">
    <cfRule type="cellIs" dxfId="283" priority="213" stopIfTrue="1" operator="greaterThan">
      <formula>4</formula>
    </cfRule>
  </conditionalFormatting>
  <conditionalFormatting sqref="B216">
    <cfRule type="cellIs" dxfId="282" priority="214" stopIfTrue="1" operator="greaterThan">
      <formula>4</formula>
    </cfRule>
  </conditionalFormatting>
  <conditionalFormatting sqref="B217">
    <cfRule type="cellIs" dxfId="281" priority="215" stopIfTrue="1" operator="greaterThan">
      <formula>4</formula>
    </cfRule>
  </conditionalFormatting>
  <conditionalFormatting sqref="B218">
    <cfRule type="cellIs" dxfId="280" priority="216" stopIfTrue="1" operator="greaterThan">
      <formula>4</formula>
    </cfRule>
  </conditionalFormatting>
  <conditionalFormatting sqref="B219">
    <cfRule type="cellIs" dxfId="279" priority="217" stopIfTrue="1" operator="greaterThan">
      <formula>4</formula>
    </cfRule>
  </conditionalFormatting>
  <conditionalFormatting sqref="B220">
    <cfRule type="cellIs" dxfId="278" priority="218" stopIfTrue="1" operator="greaterThan">
      <formula>4</formula>
    </cfRule>
  </conditionalFormatting>
  <conditionalFormatting sqref="B221">
    <cfRule type="cellIs" dxfId="277" priority="219" stopIfTrue="1" operator="greaterThan">
      <formula>4</formula>
    </cfRule>
  </conditionalFormatting>
  <conditionalFormatting sqref="B222">
    <cfRule type="cellIs" dxfId="276" priority="220" stopIfTrue="1" operator="greaterThan">
      <formula>4</formula>
    </cfRule>
  </conditionalFormatting>
  <conditionalFormatting sqref="B223">
    <cfRule type="cellIs" dxfId="275" priority="221" stopIfTrue="1" operator="greaterThan">
      <formula>4</formula>
    </cfRule>
  </conditionalFormatting>
  <conditionalFormatting sqref="B224">
    <cfRule type="cellIs" dxfId="274" priority="222" stopIfTrue="1" operator="greaterThan">
      <formula>4</formula>
    </cfRule>
  </conditionalFormatting>
  <conditionalFormatting sqref="B225">
    <cfRule type="cellIs" dxfId="273" priority="223" stopIfTrue="1" operator="greaterThan">
      <formula>4</formula>
    </cfRule>
  </conditionalFormatting>
  <conditionalFormatting sqref="B226">
    <cfRule type="cellIs" dxfId="272" priority="224" stopIfTrue="1" operator="greaterThan">
      <formula>4</formula>
    </cfRule>
  </conditionalFormatting>
  <conditionalFormatting sqref="B227">
    <cfRule type="cellIs" dxfId="271" priority="225" stopIfTrue="1" operator="greaterThan">
      <formula>4</formula>
    </cfRule>
  </conditionalFormatting>
  <conditionalFormatting sqref="B228">
    <cfRule type="cellIs" dxfId="270" priority="226" stopIfTrue="1" operator="greaterThan">
      <formula>4</formula>
    </cfRule>
  </conditionalFormatting>
  <conditionalFormatting sqref="B229">
    <cfRule type="cellIs" dxfId="269" priority="227" stopIfTrue="1" operator="greaterThan">
      <formula>4</formula>
    </cfRule>
  </conditionalFormatting>
  <conditionalFormatting sqref="B230">
    <cfRule type="cellIs" dxfId="268" priority="228" stopIfTrue="1" operator="greaterThan">
      <formula>4</formula>
    </cfRule>
  </conditionalFormatting>
  <conditionalFormatting sqref="B231">
    <cfRule type="cellIs" dxfId="267" priority="229" stopIfTrue="1" operator="greaterThan">
      <formula>4</formula>
    </cfRule>
  </conditionalFormatting>
  <conditionalFormatting sqref="B232">
    <cfRule type="cellIs" dxfId="266" priority="230" stopIfTrue="1" operator="greaterThan">
      <formula>4</formula>
    </cfRule>
  </conditionalFormatting>
  <conditionalFormatting sqref="B233">
    <cfRule type="cellIs" dxfId="265" priority="231" stopIfTrue="1" operator="greaterThan">
      <formula>4</formula>
    </cfRule>
  </conditionalFormatting>
  <conditionalFormatting sqref="B234">
    <cfRule type="cellIs" dxfId="264" priority="232" stopIfTrue="1" operator="greaterThan">
      <formula>4</formula>
    </cfRule>
  </conditionalFormatting>
  <conditionalFormatting sqref="B235">
    <cfRule type="cellIs" dxfId="263" priority="233" stopIfTrue="1" operator="greaterThan">
      <formula>4</formula>
    </cfRule>
  </conditionalFormatting>
  <conditionalFormatting sqref="B236">
    <cfRule type="cellIs" dxfId="262" priority="234" stopIfTrue="1" operator="greaterThan">
      <formula>4</formula>
    </cfRule>
  </conditionalFormatting>
  <conditionalFormatting sqref="B237">
    <cfRule type="cellIs" dxfId="261" priority="235" stopIfTrue="1" operator="greaterThan">
      <formula>4</formula>
    </cfRule>
  </conditionalFormatting>
  <conditionalFormatting sqref="B238">
    <cfRule type="cellIs" dxfId="260" priority="236" stopIfTrue="1" operator="greaterThan">
      <formula>4</formula>
    </cfRule>
  </conditionalFormatting>
  <conditionalFormatting sqref="B239">
    <cfRule type="cellIs" dxfId="259" priority="237" stopIfTrue="1" operator="greaterThan">
      <formula>4</formula>
    </cfRule>
  </conditionalFormatting>
  <conditionalFormatting sqref="B240">
    <cfRule type="cellIs" dxfId="258" priority="238" stopIfTrue="1" operator="greaterThan">
      <formula>4</formula>
    </cfRule>
  </conditionalFormatting>
  <conditionalFormatting sqref="B241">
    <cfRule type="cellIs" dxfId="257" priority="239" stopIfTrue="1" operator="greaterThan">
      <formula>4</formula>
    </cfRule>
  </conditionalFormatting>
  <conditionalFormatting sqref="B242">
    <cfRule type="cellIs" dxfId="256" priority="240" stopIfTrue="1" operator="greaterThan">
      <formula>4</formula>
    </cfRule>
  </conditionalFormatting>
  <conditionalFormatting sqref="B243">
    <cfRule type="cellIs" dxfId="255" priority="241" stopIfTrue="1" operator="greaterThan">
      <formula>4</formula>
    </cfRule>
  </conditionalFormatting>
  <conditionalFormatting sqref="B244">
    <cfRule type="cellIs" dxfId="254" priority="242" stopIfTrue="1" operator="greaterThan">
      <formula>4</formula>
    </cfRule>
  </conditionalFormatting>
  <conditionalFormatting sqref="B245">
    <cfRule type="cellIs" dxfId="253" priority="243" stopIfTrue="1" operator="greaterThan">
      <formula>4</formula>
    </cfRule>
  </conditionalFormatting>
  <conditionalFormatting sqref="B246">
    <cfRule type="cellIs" dxfId="252" priority="244" stopIfTrue="1" operator="greaterThan">
      <formula>4</formula>
    </cfRule>
  </conditionalFormatting>
  <conditionalFormatting sqref="B247">
    <cfRule type="cellIs" dxfId="251" priority="245" stopIfTrue="1" operator="greaterThan">
      <formula>4</formula>
    </cfRule>
  </conditionalFormatting>
  <conditionalFormatting sqref="B248">
    <cfRule type="cellIs" dxfId="250" priority="246" stopIfTrue="1" operator="greaterThan">
      <formula>4</formula>
    </cfRule>
  </conditionalFormatting>
  <conditionalFormatting sqref="B249">
    <cfRule type="cellIs" dxfId="249" priority="247" stopIfTrue="1" operator="greaterThan">
      <formula>4</formula>
    </cfRule>
  </conditionalFormatting>
  <conditionalFormatting sqref="B250">
    <cfRule type="cellIs" dxfId="248" priority="248" stopIfTrue="1" operator="greaterThan"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5354D-CF1E-4B01-8383-DBE3A821C7C1}">
  <sheetPr codeName="Folha20"/>
  <dimension ref="A1:ZZ250"/>
  <sheetViews>
    <sheetView workbookViewId="0"/>
  </sheetViews>
  <sheetFormatPr defaultRowHeight="14.4" x14ac:dyDescent="0.3"/>
  <cols>
    <col min="1" max="1" width="35.77734375" style="2" customWidth="1"/>
    <col min="2" max="2" width="5.44140625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22</v>
      </c>
      <c r="C1" s="8">
        <v>22</v>
      </c>
      <c r="D1" s="8">
        <v>12</v>
      </c>
    </row>
    <row r="2" spans="1:4" x14ac:dyDescent="0.3">
      <c r="A2" s="7" t="s">
        <v>11</v>
      </c>
      <c r="B2" s="7" t="s">
        <v>18</v>
      </c>
      <c r="C2" s="7" t="s">
        <v>12</v>
      </c>
      <c r="D2" s="7" t="s">
        <v>13</v>
      </c>
    </row>
    <row r="3" spans="1:4" x14ac:dyDescent="0.3">
      <c r="A3" s="2" t="str">
        <f>IF(Alunos!A3&lt;&gt;"",Alunos!A3,"")</f>
        <v>Rui</v>
      </c>
      <c r="C3" s="2">
        <f>IF(A3&lt;&gt;"",SUM(B3),"")</f>
        <v>0</v>
      </c>
      <c r="D3" s="2">
        <f>IF(A3&lt;&gt;"",(Recurso!D1*Recurso!C3)/Recurso!C1, "")</f>
        <v>0</v>
      </c>
    </row>
    <row r="4" spans="1:4" x14ac:dyDescent="0.3">
      <c r="A4" s="2" t="str">
        <f>IF(Alunos!A4&lt;&gt;"",Alunos!A4,"")</f>
        <v/>
      </c>
      <c r="C4" s="2" t="str">
        <f>IF(A4&lt;&gt;"",SUM(B4),"")</f>
        <v/>
      </c>
      <c r="D4" s="2" t="str">
        <f>IF(A4&lt;&gt;"",(Recurso!D1*Recurso!C4)/Recurso!C1, "")</f>
        <v/>
      </c>
    </row>
    <row r="5" spans="1:4" x14ac:dyDescent="0.3">
      <c r="A5" s="2" t="str">
        <f>IF(Alunos!A5&lt;&gt;"",Alunos!A5,"")</f>
        <v/>
      </c>
      <c r="C5" s="2" t="str">
        <f>IF(A5&lt;&gt;"",SUM(B5),"")</f>
        <v/>
      </c>
      <c r="D5" s="2" t="str">
        <f>IF(A5&lt;&gt;"",(Recurso!D1*Recurso!C5)/Recurso!C1, "")</f>
        <v/>
      </c>
    </row>
    <row r="6" spans="1:4" x14ac:dyDescent="0.3">
      <c r="A6" s="2" t="str">
        <f>IF(Alunos!A6&lt;&gt;"",Alunos!A6,"")</f>
        <v/>
      </c>
      <c r="C6" s="2" t="str">
        <f>IF(A6&lt;&gt;"",SUM(B6),"")</f>
        <v/>
      </c>
      <c r="D6" s="2" t="str">
        <f>IF(A6&lt;&gt;"",(Recurso!D1*Recurso!C6)/Recurso!C1, "")</f>
        <v/>
      </c>
    </row>
    <row r="7" spans="1:4" x14ac:dyDescent="0.3">
      <c r="A7" s="2" t="str">
        <f>IF(Alunos!A7&lt;&gt;"",Alunos!A7,"")</f>
        <v>Ruben</v>
      </c>
      <c r="C7" s="2">
        <f>IF(A7&lt;&gt;"",SUM(B7),"")</f>
        <v>0</v>
      </c>
      <c r="D7" s="2">
        <f>IF(A7&lt;&gt;"",(Recurso!D1*Recurso!C7)/Recurso!C1, "")</f>
        <v>0</v>
      </c>
    </row>
    <row r="8" spans="1:4" x14ac:dyDescent="0.3">
      <c r="A8" s="2" t="str">
        <f>IF(Alunos!A8&lt;&gt;"",Alunos!A8,"")</f>
        <v/>
      </c>
      <c r="C8" s="2" t="str">
        <f>IF(A8&lt;&gt;"",SUM(B8),"")</f>
        <v/>
      </c>
      <c r="D8" s="2" t="str">
        <f>IF(A8&lt;&gt;"",(Recurso!D1*Recurso!C8)/Recurso!C1, "")</f>
        <v/>
      </c>
    </row>
    <row r="9" spans="1:4" x14ac:dyDescent="0.3">
      <c r="A9" s="2" t="str">
        <f>IF(Alunos!A9&lt;&gt;"",Alunos!A9,"")</f>
        <v/>
      </c>
      <c r="C9" s="2" t="str">
        <f>IF(A9&lt;&gt;"",SUM(B9),"")</f>
        <v/>
      </c>
      <c r="D9" s="2" t="str">
        <f>IF(A9&lt;&gt;"",(Recurso!D1*Recurso!C9)/Recurso!C1, "")</f>
        <v/>
      </c>
    </row>
    <row r="10" spans="1:4" x14ac:dyDescent="0.3">
      <c r="A10" s="2" t="str">
        <f>IF(Alunos!A10&lt;&gt;"",Alunos!A10,"")</f>
        <v/>
      </c>
      <c r="C10" s="2" t="str">
        <f>IF(A10&lt;&gt;"",SUM(B10),"")</f>
        <v/>
      </c>
      <c r="D10" s="2" t="str">
        <f>IF(A10&lt;&gt;"",(Recurso!D1*Recurso!C10)/Recurso!C1, "")</f>
        <v/>
      </c>
    </row>
    <row r="11" spans="1:4" x14ac:dyDescent="0.3">
      <c r="A11" s="2" t="str">
        <f>IF(Alunos!A11&lt;&gt;"",Alunos!A11,"")</f>
        <v/>
      </c>
      <c r="C11" s="2" t="str">
        <f>IF(A11&lt;&gt;"",SUM(B11),"")</f>
        <v/>
      </c>
      <c r="D11" s="2" t="str">
        <f>IF(A11&lt;&gt;"",(Recurso!D1*Recurso!C11)/Recurso!C1, "")</f>
        <v/>
      </c>
    </row>
    <row r="12" spans="1:4" x14ac:dyDescent="0.3">
      <c r="A12" s="2" t="str">
        <f>IF(Alunos!A12&lt;&gt;"",Alunos!A12,"")</f>
        <v/>
      </c>
      <c r="C12" s="2" t="str">
        <f>IF(A12&lt;&gt;"",SUM(B12),"")</f>
        <v/>
      </c>
      <c r="D12" s="2" t="str">
        <f>IF(A12&lt;&gt;"",(Recurso!D1*Recurso!C12)/Recurso!C1, "")</f>
        <v/>
      </c>
    </row>
    <row r="13" spans="1:4" x14ac:dyDescent="0.3">
      <c r="A13" s="2" t="str">
        <f>IF(Alunos!A13&lt;&gt;"",Alunos!A13,"")</f>
        <v/>
      </c>
      <c r="C13" s="2" t="str">
        <f>IF(A13&lt;&gt;"",SUM(B13),"")</f>
        <v/>
      </c>
      <c r="D13" s="2" t="str">
        <f>IF(A13&lt;&gt;"",(Recurso!D1*Recurso!C13)/Recurso!C1, "")</f>
        <v/>
      </c>
    </row>
    <row r="14" spans="1:4" x14ac:dyDescent="0.3">
      <c r="A14" s="2" t="str">
        <f>IF(Alunos!A14&lt;&gt;"",Alunos!A14,"")</f>
        <v/>
      </c>
      <c r="C14" s="2" t="str">
        <f>IF(A14&lt;&gt;"",SUM(B14),"")</f>
        <v/>
      </c>
      <c r="D14" s="2" t="str">
        <f>IF(A14&lt;&gt;"",(Recurso!D1*Recurso!C14)/Recurso!C1, "")</f>
        <v/>
      </c>
    </row>
    <row r="15" spans="1:4" x14ac:dyDescent="0.3">
      <c r="A15" s="2" t="str">
        <f>IF(Alunos!A15&lt;&gt;"",Alunos!A15,"")</f>
        <v/>
      </c>
      <c r="C15" s="2" t="str">
        <f>IF(A15&lt;&gt;"",SUM(B15),"")</f>
        <v/>
      </c>
      <c r="D15" s="2" t="str">
        <f>IF(A15&lt;&gt;"",(Recurso!D1*Recurso!C15)/Recurso!C1, "")</f>
        <v/>
      </c>
    </row>
    <row r="16" spans="1:4" x14ac:dyDescent="0.3">
      <c r="A16" s="2" t="str">
        <f>IF(Alunos!A16&lt;&gt;"",Alunos!A16,"")</f>
        <v/>
      </c>
      <c r="C16" s="2" t="str">
        <f>IF(A16&lt;&gt;"",SUM(B16),"")</f>
        <v/>
      </c>
      <c r="D16" s="2" t="str">
        <f>IF(A16&lt;&gt;"",(Recurso!D1*Recurso!C16)/Recurso!C1, "")</f>
        <v/>
      </c>
    </row>
    <row r="17" spans="1:4" x14ac:dyDescent="0.3">
      <c r="A17" s="2" t="str">
        <f>IF(Alunos!A17&lt;&gt;"",Alunos!A17,"")</f>
        <v/>
      </c>
      <c r="C17" s="2" t="str">
        <f>IF(A17&lt;&gt;"",SUM(B17),"")</f>
        <v/>
      </c>
      <c r="D17" s="2" t="str">
        <f>IF(A17&lt;&gt;"",(Recurso!D1*Recurso!C17)/Recurso!C1, "")</f>
        <v/>
      </c>
    </row>
    <row r="18" spans="1:4" x14ac:dyDescent="0.3">
      <c r="A18" s="2" t="str">
        <f>IF(Alunos!A18&lt;&gt;"",Alunos!A18,"")</f>
        <v/>
      </c>
      <c r="C18" s="2" t="str">
        <f>IF(A18&lt;&gt;"",SUM(B18),"")</f>
        <v/>
      </c>
      <c r="D18" s="2" t="str">
        <f>IF(A18&lt;&gt;"",(Recurso!D1*Recurso!C18)/Recurso!C1, "")</f>
        <v/>
      </c>
    </row>
    <row r="19" spans="1:4" x14ac:dyDescent="0.3">
      <c r="A19" s="2" t="str">
        <f>IF(Alunos!A19&lt;&gt;"",Alunos!A19,"")</f>
        <v/>
      </c>
      <c r="C19" s="2" t="str">
        <f>IF(A19&lt;&gt;"",SUM(B19),"")</f>
        <v/>
      </c>
      <c r="D19" s="2" t="str">
        <f>IF(A19&lt;&gt;"",(Recurso!D1*Recurso!C19)/Recurso!C1, "")</f>
        <v/>
      </c>
    </row>
    <row r="20" spans="1:4" x14ac:dyDescent="0.3">
      <c r="A20" s="2" t="str">
        <f>IF(Alunos!A20&lt;&gt;"",Alunos!A20,"")</f>
        <v/>
      </c>
      <c r="C20" s="2" t="str">
        <f>IF(A20&lt;&gt;"",SUM(B20),"")</f>
        <v/>
      </c>
      <c r="D20" s="2" t="str">
        <f>IF(A20&lt;&gt;"",(Recurso!D1*Recurso!C20)/Recurso!C1, "")</f>
        <v/>
      </c>
    </row>
    <row r="21" spans="1:4" x14ac:dyDescent="0.3">
      <c r="A21" s="2" t="str">
        <f>IF(Alunos!A21&lt;&gt;"",Alunos!A21,"")</f>
        <v/>
      </c>
      <c r="C21" s="2" t="str">
        <f>IF(A21&lt;&gt;"",SUM(B21),"")</f>
        <v/>
      </c>
      <c r="D21" s="2" t="str">
        <f>IF(A21&lt;&gt;"",(Recurso!D1*Recurso!C21)/Recurso!C1, "")</f>
        <v/>
      </c>
    </row>
    <row r="22" spans="1:4" x14ac:dyDescent="0.3">
      <c r="A22" s="2" t="str">
        <f>IF(Alunos!A22&lt;&gt;"",Alunos!A22,"")</f>
        <v/>
      </c>
      <c r="C22" s="2" t="str">
        <f>IF(A22&lt;&gt;"",SUM(B22),"")</f>
        <v/>
      </c>
      <c r="D22" s="2" t="str">
        <f>IF(A22&lt;&gt;"",(Recurso!D1*Recurso!C22)/Recurso!C1, "")</f>
        <v/>
      </c>
    </row>
    <row r="23" spans="1:4" x14ac:dyDescent="0.3">
      <c r="A23" s="2" t="str">
        <f>IF(Alunos!A23&lt;&gt;"",Alunos!A23,"")</f>
        <v/>
      </c>
      <c r="C23" s="2" t="str">
        <f>IF(A23&lt;&gt;"",SUM(B23),"")</f>
        <v/>
      </c>
      <c r="D23" s="2" t="str">
        <f>IF(A23&lt;&gt;"",(Recurso!D1*Recurso!C23)/Recurso!C1, "")</f>
        <v/>
      </c>
    </row>
    <row r="24" spans="1:4" x14ac:dyDescent="0.3">
      <c r="A24" s="2" t="str">
        <f>IF(Alunos!A24&lt;&gt;"",Alunos!A24,"")</f>
        <v/>
      </c>
      <c r="C24" s="2" t="str">
        <f>IF(A24&lt;&gt;"",SUM(B24),"")</f>
        <v/>
      </c>
      <c r="D24" s="2" t="str">
        <f>IF(A24&lt;&gt;"",(Recurso!D1*Recurso!C24)/Recurso!C1, "")</f>
        <v/>
      </c>
    </row>
    <row r="25" spans="1:4" x14ac:dyDescent="0.3">
      <c r="A25" s="2" t="str">
        <f>IF(Alunos!A25&lt;&gt;"",Alunos!A25,"")</f>
        <v/>
      </c>
      <c r="C25" s="2" t="str">
        <f>IF(A25&lt;&gt;"",SUM(B25),"")</f>
        <v/>
      </c>
      <c r="D25" s="2" t="str">
        <f>IF(A25&lt;&gt;"",(Recurso!D1*Recurso!C25)/Recurso!C1, "")</f>
        <v/>
      </c>
    </row>
    <row r="26" spans="1:4" x14ac:dyDescent="0.3">
      <c r="A26" s="2" t="str">
        <f>IF(Alunos!A26&lt;&gt;"",Alunos!A26,"")</f>
        <v/>
      </c>
      <c r="C26" s="2" t="str">
        <f>IF(A26&lt;&gt;"",SUM(B26),"")</f>
        <v/>
      </c>
      <c r="D26" s="2" t="str">
        <f>IF(A26&lt;&gt;"",(Recurso!D1*Recurso!C26)/Recurso!C1, "")</f>
        <v/>
      </c>
    </row>
    <row r="27" spans="1:4" x14ac:dyDescent="0.3">
      <c r="A27" s="2" t="str">
        <f>IF(Alunos!A27&lt;&gt;"",Alunos!A27,"")</f>
        <v/>
      </c>
      <c r="C27" s="2" t="str">
        <f>IF(A27&lt;&gt;"",SUM(B27),"")</f>
        <v/>
      </c>
      <c r="D27" s="2" t="str">
        <f>IF(A27&lt;&gt;"",(Recurso!D1*Recurso!C27)/Recurso!C1, "")</f>
        <v/>
      </c>
    </row>
    <row r="28" spans="1:4" x14ac:dyDescent="0.3">
      <c r="A28" s="2" t="str">
        <f>IF(Alunos!A28&lt;&gt;"",Alunos!A28,"")</f>
        <v/>
      </c>
      <c r="C28" s="2" t="str">
        <f>IF(A28&lt;&gt;"",SUM(B28),"")</f>
        <v/>
      </c>
      <c r="D28" s="2" t="str">
        <f>IF(A28&lt;&gt;"",(Recurso!D1*Recurso!C28)/Recurso!C1, "")</f>
        <v/>
      </c>
    </row>
    <row r="29" spans="1:4" x14ac:dyDescent="0.3">
      <c r="A29" s="2" t="str">
        <f>IF(Alunos!A29&lt;&gt;"",Alunos!A29,"")</f>
        <v/>
      </c>
      <c r="C29" s="2" t="str">
        <f>IF(A29&lt;&gt;"",SUM(B29),"")</f>
        <v/>
      </c>
      <c r="D29" s="2" t="str">
        <f>IF(A29&lt;&gt;"",(Recurso!D1*Recurso!C29)/Recurso!C1, "")</f>
        <v/>
      </c>
    </row>
    <row r="30" spans="1:4" x14ac:dyDescent="0.3">
      <c r="A30" s="2" t="str">
        <f>IF(Alunos!A30&lt;&gt;"",Alunos!A30,"")</f>
        <v/>
      </c>
      <c r="C30" s="2" t="str">
        <f>IF(A30&lt;&gt;"",SUM(B30),"")</f>
        <v/>
      </c>
      <c r="D30" s="2" t="str">
        <f>IF(A30&lt;&gt;"",(Recurso!D1*Recurso!C30)/Recurso!C1, "")</f>
        <v/>
      </c>
    </row>
    <row r="31" spans="1:4" x14ac:dyDescent="0.3">
      <c r="A31" s="2" t="str">
        <f>IF(Alunos!A31&lt;&gt;"",Alunos!A31,"")</f>
        <v/>
      </c>
      <c r="C31" s="2" t="str">
        <f>IF(A31&lt;&gt;"",SUM(B31),"")</f>
        <v/>
      </c>
      <c r="D31" s="2" t="str">
        <f>IF(A31&lt;&gt;"",(Recurso!D1*Recurso!C31)/Recurso!C1, "")</f>
        <v/>
      </c>
    </row>
    <row r="32" spans="1:4" x14ac:dyDescent="0.3">
      <c r="A32" s="2" t="str">
        <f>IF(Alunos!A32&lt;&gt;"",Alunos!A32,"")</f>
        <v/>
      </c>
      <c r="C32" s="2" t="str">
        <f>IF(A32&lt;&gt;"",SUM(B32),"")</f>
        <v/>
      </c>
      <c r="D32" s="2" t="str">
        <f>IF(A32&lt;&gt;"",(Recurso!D1*Recurso!C32)/Recurso!C1, "")</f>
        <v/>
      </c>
    </row>
    <row r="33" spans="1:4" x14ac:dyDescent="0.3">
      <c r="A33" s="2" t="str">
        <f>IF(Alunos!A33&lt;&gt;"",Alunos!A33,"")</f>
        <v/>
      </c>
      <c r="C33" s="2" t="str">
        <f>IF(A33&lt;&gt;"",SUM(B33),"")</f>
        <v/>
      </c>
      <c r="D33" s="2" t="str">
        <f>IF(A33&lt;&gt;"",(Recurso!D1*Recurso!C33)/Recurso!C1, "")</f>
        <v/>
      </c>
    </row>
    <row r="34" spans="1:4" x14ac:dyDescent="0.3">
      <c r="A34" s="2" t="str">
        <f>IF(Alunos!A34&lt;&gt;"",Alunos!A34,"")</f>
        <v/>
      </c>
      <c r="C34" s="2" t="str">
        <f>IF(A34&lt;&gt;"",SUM(B34),"")</f>
        <v/>
      </c>
      <c r="D34" s="2" t="str">
        <f>IF(A34&lt;&gt;"",(Recurso!D1*Recurso!C34)/Recurso!C1, "")</f>
        <v/>
      </c>
    </row>
    <row r="35" spans="1:4" x14ac:dyDescent="0.3">
      <c r="A35" s="2" t="str">
        <f>IF(Alunos!A35&lt;&gt;"",Alunos!A35,"")</f>
        <v/>
      </c>
      <c r="C35" s="2" t="str">
        <f>IF(A35&lt;&gt;"",SUM(B35),"")</f>
        <v/>
      </c>
      <c r="D35" s="2" t="str">
        <f>IF(A35&lt;&gt;"",(Recurso!D1*Recurso!C35)/Recurso!C1, "")</f>
        <v/>
      </c>
    </row>
    <row r="36" spans="1:4" x14ac:dyDescent="0.3">
      <c r="A36" s="2" t="str">
        <f>IF(Alunos!A36&lt;&gt;"",Alunos!A36,"")</f>
        <v/>
      </c>
      <c r="C36" s="2" t="str">
        <f>IF(A36&lt;&gt;"",SUM(B36),"")</f>
        <v/>
      </c>
      <c r="D36" s="2" t="str">
        <f>IF(A36&lt;&gt;"",(Recurso!D1*Recurso!C36)/Recurso!C1, "")</f>
        <v/>
      </c>
    </row>
    <row r="37" spans="1:4" x14ac:dyDescent="0.3">
      <c r="A37" s="2" t="str">
        <f>IF(Alunos!A37&lt;&gt;"",Alunos!A37,"")</f>
        <v/>
      </c>
      <c r="C37" s="2" t="str">
        <f>IF(A37&lt;&gt;"",SUM(B37),"")</f>
        <v/>
      </c>
      <c r="D37" s="2" t="str">
        <f>IF(A37&lt;&gt;"",(Recurso!D1*Recurso!C37)/Recurso!C1, "")</f>
        <v/>
      </c>
    </row>
    <row r="38" spans="1:4" x14ac:dyDescent="0.3">
      <c r="A38" s="2" t="str">
        <f>IF(Alunos!A38&lt;&gt;"",Alunos!A38,"")</f>
        <v/>
      </c>
      <c r="C38" s="2" t="str">
        <f>IF(A38&lt;&gt;"",SUM(B38),"")</f>
        <v/>
      </c>
      <c r="D38" s="2" t="str">
        <f>IF(A38&lt;&gt;"",(Recurso!D1*Recurso!C38)/Recurso!C1, "")</f>
        <v/>
      </c>
    </row>
    <row r="39" spans="1:4" x14ac:dyDescent="0.3">
      <c r="A39" s="2" t="str">
        <f>IF(Alunos!A39&lt;&gt;"",Alunos!A39,"")</f>
        <v/>
      </c>
      <c r="C39" s="2" t="str">
        <f>IF(A39&lt;&gt;"",SUM(B39),"")</f>
        <v/>
      </c>
      <c r="D39" s="2" t="str">
        <f>IF(A39&lt;&gt;"",(Recurso!D1*Recurso!C39)/Recurso!C1, "")</f>
        <v/>
      </c>
    </row>
    <row r="40" spans="1:4" x14ac:dyDescent="0.3">
      <c r="A40" s="2" t="str">
        <f>IF(Alunos!A40&lt;&gt;"",Alunos!A40,"")</f>
        <v/>
      </c>
      <c r="C40" s="2" t="str">
        <f>IF(A40&lt;&gt;"",SUM(B40),"")</f>
        <v/>
      </c>
      <c r="D40" s="2" t="str">
        <f>IF(A40&lt;&gt;"",(Recurso!D1*Recurso!C40)/Recurso!C1, "")</f>
        <v/>
      </c>
    </row>
    <row r="41" spans="1:4" x14ac:dyDescent="0.3">
      <c r="A41" s="2" t="str">
        <f>IF(Alunos!A41&lt;&gt;"",Alunos!A41,"")</f>
        <v/>
      </c>
      <c r="C41" s="2" t="str">
        <f>IF(A41&lt;&gt;"",SUM(B41),"")</f>
        <v/>
      </c>
      <c r="D41" s="2" t="str">
        <f>IF(A41&lt;&gt;"",(Recurso!D1*Recurso!C41)/Recurso!C1, "")</f>
        <v/>
      </c>
    </row>
    <row r="42" spans="1:4" x14ac:dyDescent="0.3">
      <c r="A42" s="2" t="str">
        <f>IF(Alunos!A42&lt;&gt;"",Alunos!A42,"")</f>
        <v/>
      </c>
      <c r="C42" s="2" t="str">
        <f>IF(A42&lt;&gt;"",SUM(B42),"")</f>
        <v/>
      </c>
      <c r="D42" s="2" t="str">
        <f>IF(A42&lt;&gt;"",(Recurso!D1*Recurso!C42)/Recurso!C1, "")</f>
        <v/>
      </c>
    </row>
    <row r="43" spans="1:4" x14ac:dyDescent="0.3">
      <c r="A43" s="2" t="str">
        <f>IF(Alunos!A43&lt;&gt;"",Alunos!A43,"")</f>
        <v/>
      </c>
      <c r="C43" s="2" t="str">
        <f>IF(A43&lt;&gt;"",SUM(B43),"")</f>
        <v/>
      </c>
      <c r="D43" s="2" t="str">
        <f>IF(A43&lt;&gt;"",(Recurso!D1*Recurso!C43)/Recurso!C1, "")</f>
        <v/>
      </c>
    </row>
    <row r="44" spans="1:4" x14ac:dyDescent="0.3">
      <c r="A44" s="2" t="str">
        <f>IF(Alunos!A44&lt;&gt;"",Alunos!A44,"")</f>
        <v/>
      </c>
      <c r="C44" s="2" t="str">
        <f>IF(A44&lt;&gt;"",SUM(B44),"")</f>
        <v/>
      </c>
      <c r="D44" s="2" t="str">
        <f>IF(A44&lt;&gt;"",(Recurso!D1*Recurso!C44)/Recurso!C1, "")</f>
        <v/>
      </c>
    </row>
    <row r="45" spans="1:4" x14ac:dyDescent="0.3">
      <c r="A45" s="2" t="str">
        <f>IF(Alunos!A45&lt;&gt;"",Alunos!A45,"")</f>
        <v/>
      </c>
      <c r="C45" s="2" t="str">
        <f>IF(A45&lt;&gt;"",SUM(B45),"")</f>
        <v/>
      </c>
      <c r="D45" s="2" t="str">
        <f>IF(A45&lt;&gt;"",(Recurso!D1*Recurso!C45)/Recurso!C1, "")</f>
        <v/>
      </c>
    </row>
    <row r="46" spans="1:4" x14ac:dyDescent="0.3">
      <c r="A46" s="2" t="str">
        <f>IF(Alunos!A46&lt;&gt;"",Alunos!A46,"")</f>
        <v/>
      </c>
      <c r="C46" s="2" t="str">
        <f>IF(A46&lt;&gt;"",SUM(B46),"")</f>
        <v/>
      </c>
      <c r="D46" s="2" t="str">
        <f>IF(A46&lt;&gt;"",(Recurso!D1*Recurso!C46)/Recurso!C1, "")</f>
        <v/>
      </c>
    </row>
    <row r="47" spans="1:4" x14ac:dyDescent="0.3">
      <c r="A47" s="2" t="str">
        <f>IF(Alunos!A47&lt;&gt;"",Alunos!A47,"")</f>
        <v/>
      </c>
      <c r="C47" s="2" t="str">
        <f>IF(A47&lt;&gt;"",SUM(B47),"")</f>
        <v/>
      </c>
      <c r="D47" s="2" t="str">
        <f>IF(A47&lt;&gt;"",(Recurso!D1*Recurso!C47)/Recurso!C1, "")</f>
        <v/>
      </c>
    </row>
    <row r="48" spans="1:4" x14ac:dyDescent="0.3">
      <c r="A48" s="2" t="str">
        <f>IF(Alunos!A48&lt;&gt;"",Alunos!A48,"")</f>
        <v/>
      </c>
      <c r="C48" s="2" t="str">
        <f>IF(A48&lt;&gt;"",SUM(B48),"")</f>
        <v/>
      </c>
      <c r="D48" s="2" t="str">
        <f>IF(A48&lt;&gt;"",(Recurso!D1*Recurso!C48)/Recurso!C1, "")</f>
        <v/>
      </c>
    </row>
    <row r="49" spans="1:4" x14ac:dyDescent="0.3">
      <c r="A49" s="2" t="str">
        <f>IF(Alunos!A49&lt;&gt;"",Alunos!A49,"")</f>
        <v/>
      </c>
      <c r="C49" s="2" t="str">
        <f>IF(A49&lt;&gt;"",SUM(B49),"")</f>
        <v/>
      </c>
      <c r="D49" s="2" t="str">
        <f>IF(A49&lt;&gt;"",(Recurso!D1*Recurso!C49)/Recurso!C1, "")</f>
        <v/>
      </c>
    </row>
    <row r="50" spans="1:4" x14ac:dyDescent="0.3">
      <c r="A50" s="2" t="str">
        <f>IF(Alunos!A50&lt;&gt;"",Alunos!A50,"")</f>
        <v/>
      </c>
      <c r="C50" s="2" t="str">
        <f>IF(A50&lt;&gt;"",SUM(B50),"")</f>
        <v/>
      </c>
      <c r="D50" s="2" t="str">
        <f>IF(A50&lt;&gt;"",(Recurso!D1*Recurso!C50)/Recurso!C1, "")</f>
        <v/>
      </c>
    </row>
    <row r="51" spans="1:4" x14ac:dyDescent="0.3">
      <c r="A51" s="2" t="str">
        <f>IF(Alunos!A51&lt;&gt;"",Alunos!A51,"")</f>
        <v/>
      </c>
      <c r="C51" s="2" t="str">
        <f>IF(A51&lt;&gt;"",SUM(B51),"")</f>
        <v/>
      </c>
      <c r="D51" s="2" t="str">
        <f>IF(A51&lt;&gt;"",(Recurso!D1*Recurso!C51)/Recurso!C1, "")</f>
        <v/>
      </c>
    </row>
    <row r="52" spans="1:4" x14ac:dyDescent="0.3">
      <c r="A52" s="2" t="str">
        <f>IF(Alunos!A52&lt;&gt;"",Alunos!A52,"")</f>
        <v/>
      </c>
      <c r="C52" s="2" t="str">
        <f>IF(A52&lt;&gt;"",SUM(B52),"")</f>
        <v/>
      </c>
      <c r="D52" s="2" t="str">
        <f>IF(A52&lt;&gt;"",(Recurso!D1*Recurso!C52)/Recurso!C1, "")</f>
        <v/>
      </c>
    </row>
    <row r="53" spans="1:4" x14ac:dyDescent="0.3">
      <c r="A53" s="2" t="str">
        <f>IF(Alunos!A53&lt;&gt;"",Alunos!A53,"")</f>
        <v/>
      </c>
      <c r="C53" s="2" t="str">
        <f>IF(A53&lt;&gt;"",SUM(B53),"")</f>
        <v/>
      </c>
      <c r="D53" s="2" t="str">
        <f>IF(A53&lt;&gt;"",(Recurso!D1*Recurso!C53)/Recurso!C1, "")</f>
        <v/>
      </c>
    </row>
    <row r="54" spans="1:4" x14ac:dyDescent="0.3">
      <c r="A54" s="2" t="str">
        <f>IF(Alunos!A54&lt;&gt;"",Alunos!A54,"")</f>
        <v/>
      </c>
      <c r="C54" s="2" t="str">
        <f>IF(A54&lt;&gt;"",SUM(B54),"")</f>
        <v/>
      </c>
      <c r="D54" s="2" t="str">
        <f>IF(A54&lt;&gt;"",(Recurso!D1*Recurso!C54)/Recurso!C1, "")</f>
        <v/>
      </c>
    </row>
    <row r="55" spans="1:4" x14ac:dyDescent="0.3">
      <c r="A55" s="2" t="str">
        <f>IF(Alunos!A55&lt;&gt;"",Alunos!A55,"")</f>
        <v/>
      </c>
      <c r="C55" s="2" t="str">
        <f>IF(A55&lt;&gt;"",SUM(B55),"")</f>
        <v/>
      </c>
      <c r="D55" s="2" t="str">
        <f>IF(A55&lt;&gt;"",(Recurso!D1*Recurso!C55)/Recurso!C1, "")</f>
        <v/>
      </c>
    </row>
    <row r="56" spans="1:4" x14ac:dyDescent="0.3">
      <c r="A56" s="2" t="str">
        <f>IF(Alunos!A56&lt;&gt;"",Alunos!A56,"")</f>
        <v/>
      </c>
      <c r="C56" s="2" t="str">
        <f>IF(A56&lt;&gt;"",SUM(B56),"")</f>
        <v/>
      </c>
      <c r="D56" s="2" t="str">
        <f>IF(A56&lt;&gt;"",(Recurso!D1*Recurso!C56)/Recurso!C1, "")</f>
        <v/>
      </c>
    </row>
    <row r="57" spans="1:4" x14ac:dyDescent="0.3">
      <c r="A57" s="2" t="str">
        <f>IF(Alunos!A57&lt;&gt;"",Alunos!A57,"")</f>
        <v/>
      </c>
      <c r="C57" s="2" t="str">
        <f>IF(A57&lt;&gt;"",SUM(B57),"")</f>
        <v/>
      </c>
      <c r="D57" s="2" t="str">
        <f>IF(A57&lt;&gt;"",(Recurso!D1*Recurso!C57)/Recurso!C1, "")</f>
        <v/>
      </c>
    </row>
    <row r="58" spans="1:4" x14ac:dyDescent="0.3">
      <c r="A58" s="2" t="str">
        <f>IF(Alunos!A58&lt;&gt;"",Alunos!A58,"")</f>
        <v/>
      </c>
      <c r="C58" s="2" t="str">
        <f>IF(A58&lt;&gt;"",SUM(B58),"")</f>
        <v/>
      </c>
      <c r="D58" s="2" t="str">
        <f>IF(A58&lt;&gt;"",(Recurso!D1*Recurso!C58)/Recurso!C1, "")</f>
        <v/>
      </c>
    </row>
    <row r="59" spans="1:4" x14ac:dyDescent="0.3">
      <c r="A59" s="2" t="str">
        <f>IF(Alunos!A59&lt;&gt;"",Alunos!A59,"")</f>
        <v/>
      </c>
      <c r="C59" s="2" t="str">
        <f>IF(A59&lt;&gt;"",SUM(B59),"")</f>
        <v/>
      </c>
      <c r="D59" s="2" t="str">
        <f>IF(A59&lt;&gt;"",(Recurso!D1*Recurso!C59)/Recurso!C1, "")</f>
        <v/>
      </c>
    </row>
    <row r="60" spans="1:4" x14ac:dyDescent="0.3">
      <c r="A60" s="2" t="str">
        <f>IF(Alunos!A60&lt;&gt;"",Alunos!A60,"")</f>
        <v/>
      </c>
      <c r="C60" s="2" t="str">
        <f>IF(A60&lt;&gt;"",SUM(B60),"")</f>
        <v/>
      </c>
      <c r="D60" s="2" t="str">
        <f>IF(A60&lt;&gt;"",(Recurso!D1*Recurso!C60)/Recurso!C1, "")</f>
        <v/>
      </c>
    </row>
    <row r="61" spans="1:4" x14ac:dyDescent="0.3">
      <c r="A61" s="2" t="str">
        <f>IF(Alunos!A61&lt;&gt;"",Alunos!A61,"")</f>
        <v/>
      </c>
      <c r="C61" s="2" t="str">
        <f>IF(A61&lt;&gt;"",SUM(B61),"")</f>
        <v/>
      </c>
      <c r="D61" s="2" t="str">
        <f>IF(A61&lt;&gt;"",(Recurso!D1*Recurso!C61)/Recurso!C1, "")</f>
        <v/>
      </c>
    </row>
    <row r="62" spans="1:4" x14ac:dyDescent="0.3">
      <c r="A62" s="2" t="str">
        <f>IF(Alunos!A62&lt;&gt;"",Alunos!A62,"")</f>
        <v/>
      </c>
      <c r="C62" s="2" t="str">
        <f>IF(A62&lt;&gt;"",SUM(B62),"")</f>
        <v/>
      </c>
      <c r="D62" s="2" t="str">
        <f>IF(A62&lt;&gt;"",(Recurso!D1*Recurso!C62)/Recurso!C1, "")</f>
        <v/>
      </c>
    </row>
    <row r="63" spans="1:4" x14ac:dyDescent="0.3">
      <c r="A63" s="2" t="str">
        <f>IF(Alunos!A63&lt;&gt;"",Alunos!A63,"")</f>
        <v/>
      </c>
      <c r="C63" s="2" t="str">
        <f>IF(A63&lt;&gt;"",SUM(B63),"")</f>
        <v/>
      </c>
      <c r="D63" s="2" t="str">
        <f>IF(A63&lt;&gt;"",(Recurso!D1*Recurso!C63)/Recurso!C1, "")</f>
        <v/>
      </c>
    </row>
    <row r="64" spans="1:4" x14ac:dyDescent="0.3">
      <c r="A64" s="2" t="str">
        <f>IF(Alunos!A64&lt;&gt;"",Alunos!A64,"")</f>
        <v/>
      </c>
      <c r="C64" s="2" t="str">
        <f>IF(A64&lt;&gt;"",SUM(B64),"")</f>
        <v/>
      </c>
      <c r="D64" s="2" t="str">
        <f>IF(A64&lt;&gt;"",(Recurso!D1*Recurso!C64)/Recurso!C1, "")</f>
        <v/>
      </c>
    </row>
    <row r="65" spans="1:4" x14ac:dyDescent="0.3">
      <c r="A65" s="2" t="str">
        <f>IF(Alunos!A65&lt;&gt;"",Alunos!A65,"")</f>
        <v/>
      </c>
      <c r="C65" s="2" t="str">
        <f>IF(A65&lt;&gt;"",SUM(B65),"")</f>
        <v/>
      </c>
      <c r="D65" s="2" t="str">
        <f>IF(A65&lt;&gt;"",(Recurso!D1*Recurso!C65)/Recurso!C1, "")</f>
        <v/>
      </c>
    </row>
    <row r="66" spans="1:4" x14ac:dyDescent="0.3">
      <c r="A66" s="2" t="str">
        <f>IF(Alunos!A66&lt;&gt;"",Alunos!A66,"")</f>
        <v/>
      </c>
      <c r="C66" s="2" t="str">
        <f>IF(A66&lt;&gt;"",SUM(B66),"")</f>
        <v/>
      </c>
      <c r="D66" s="2" t="str">
        <f>IF(A66&lt;&gt;"",(Recurso!D1*Recurso!C66)/Recurso!C1, "")</f>
        <v/>
      </c>
    </row>
    <row r="67" spans="1:4" x14ac:dyDescent="0.3">
      <c r="A67" s="2" t="str">
        <f>IF(Alunos!A67&lt;&gt;"",Alunos!A67,"")</f>
        <v/>
      </c>
      <c r="C67" s="2" t="str">
        <f>IF(A67&lt;&gt;"",SUM(B67),"")</f>
        <v/>
      </c>
      <c r="D67" s="2" t="str">
        <f>IF(A67&lt;&gt;"",(Recurso!D1*Recurso!C67)/Recurso!C1, "")</f>
        <v/>
      </c>
    </row>
    <row r="68" spans="1:4" x14ac:dyDescent="0.3">
      <c r="A68" s="2" t="str">
        <f>IF(Alunos!A68&lt;&gt;"",Alunos!A68,"")</f>
        <v/>
      </c>
      <c r="C68" s="2" t="str">
        <f>IF(A68&lt;&gt;"",SUM(B68),"")</f>
        <v/>
      </c>
      <c r="D68" s="2" t="str">
        <f>IF(A68&lt;&gt;"",(Recurso!D1*Recurso!C68)/Recurso!C1, "")</f>
        <v/>
      </c>
    </row>
    <row r="69" spans="1:4" x14ac:dyDescent="0.3">
      <c r="A69" s="2" t="str">
        <f>IF(Alunos!A69&lt;&gt;"",Alunos!A69,"")</f>
        <v/>
      </c>
      <c r="C69" s="2" t="str">
        <f>IF(A69&lt;&gt;"",SUM(B69),"")</f>
        <v/>
      </c>
      <c r="D69" s="2" t="str">
        <f>IF(A69&lt;&gt;"",(Recurso!D1*Recurso!C69)/Recurso!C1, "")</f>
        <v/>
      </c>
    </row>
    <row r="70" spans="1:4" x14ac:dyDescent="0.3">
      <c r="A70" s="2" t="str">
        <f>IF(Alunos!A70&lt;&gt;"",Alunos!A70,"")</f>
        <v/>
      </c>
      <c r="C70" s="2" t="str">
        <f>IF(A70&lt;&gt;"",SUM(B70),"")</f>
        <v/>
      </c>
      <c r="D70" s="2" t="str">
        <f>IF(A70&lt;&gt;"",(Recurso!D1*Recurso!C70)/Recurso!C1, "")</f>
        <v/>
      </c>
    </row>
    <row r="71" spans="1:4" x14ac:dyDescent="0.3">
      <c r="A71" s="2" t="str">
        <f>IF(Alunos!A71&lt;&gt;"",Alunos!A71,"")</f>
        <v/>
      </c>
      <c r="C71" s="2" t="str">
        <f>IF(A71&lt;&gt;"",SUM(B71),"")</f>
        <v/>
      </c>
      <c r="D71" s="2" t="str">
        <f>IF(A71&lt;&gt;"",(Recurso!D1*Recurso!C71)/Recurso!C1, "")</f>
        <v/>
      </c>
    </row>
    <row r="72" spans="1:4" x14ac:dyDescent="0.3">
      <c r="A72" s="2" t="str">
        <f>IF(Alunos!A72&lt;&gt;"",Alunos!A72,"")</f>
        <v/>
      </c>
      <c r="C72" s="2" t="str">
        <f>IF(A72&lt;&gt;"",SUM(B72),"")</f>
        <v/>
      </c>
      <c r="D72" s="2" t="str">
        <f>IF(A72&lt;&gt;"",(Recurso!D1*Recurso!C72)/Recurso!C1, "")</f>
        <v/>
      </c>
    </row>
    <row r="73" spans="1:4" x14ac:dyDescent="0.3">
      <c r="A73" s="2" t="str">
        <f>IF(Alunos!A73&lt;&gt;"",Alunos!A73,"")</f>
        <v/>
      </c>
      <c r="C73" s="2" t="str">
        <f>IF(A73&lt;&gt;"",SUM(B73),"")</f>
        <v/>
      </c>
      <c r="D73" s="2" t="str">
        <f>IF(A73&lt;&gt;"",(Recurso!D1*Recurso!C73)/Recurso!C1, "")</f>
        <v/>
      </c>
    </row>
    <row r="74" spans="1:4" x14ac:dyDescent="0.3">
      <c r="A74" s="2" t="str">
        <f>IF(Alunos!A74&lt;&gt;"",Alunos!A74,"")</f>
        <v/>
      </c>
      <c r="C74" s="2" t="str">
        <f>IF(A74&lt;&gt;"",SUM(B74),"")</f>
        <v/>
      </c>
      <c r="D74" s="2" t="str">
        <f>IF(A74&lt;&gt;"",(Recurso!D1*Recurso!C74)/Recurso!C1, "")</f>
        <v/>
      </c>
    </row>
    <row r="75" spans="1:4" x14ac:dyDescent="0.3">
      <c r="A75" s="2" t="str">
        <f>IF(Alunos!A75&lt;&gt;"",Alunos!A75,"")</f>
        <v/>
      </c>
      <c r="C75" s="2" t="str">
        <f>IF(A75&lt;&gt;"",SUM(B75),"")</f>
        <v/>
      </c>
      <c r="D75" s="2" t="str">
        <f>IF(A75&lt;&gt;"",(Recurso!D1*Recurso!C75)/Recurso!C1, "")</f>
        <v/>
      </c>
    </row>
    <row r="76" spans="1:4" x14ac:dyDescent="0.3">
      <c r="A76" s="2" t="str">
        <f>IF(Alunos!A76&lt;&gt;"",Alunos!A76,"")</f>
        <v/>
      </c>
      <c r="C76" s="2" t="str">
        <f>IF(A76&lt;&gt;"",SUM(B76),"")</f>
        <v/>
      </c>
      <c r="D76" s="2" t="str">
        <f>IF(A76&lt;&gt;"",(Recurso!D1*Recurso!C76)/Recurso!C1, "")</f>
        <v/>
      </c>
    </row>
    <row r="77" spans="1:4" x14ac:dyDescent="0.3">
      <c r="A77" s="2" t="str">
        <f>IF(Alunos!A77&lt;&gt;"",Alunos!A77,"")</f>
        <v/>
      </c>
      <c r="C77" s="2" t="str">
        <f>IF(A77&lt;&gt;"",SUM(B77),"")</f>
        <v/>
      </c>
      <c r="D77" s="2" t="str">
        <f>IF(A77&lt;&gt;"",(Recurso!D1*Recurso!C77)/Recurso!C1, "")</f>
        <v/>
      </c>
    </row>
    <row r="78" spans="1:4" x14ac:dyDescent="0.3">
      <c r="A78" s="2" t="str">
        <f>IF(Alunos!A78&lt;&gt;"",Alunos!A78,"")</f>
        <v/>
      </c>
      <c r="C78" s="2" t="str">
        <f>IF(A78&lt;&gt;"",SUM(B78),"")</f>
        <v/>
      </c>
      <c r="D78" s="2" t="str">
        <f>IF(A78&lt;&gt;"",(Recurso!D1*Recurso!C78)/Recurso!C1, "")</f>
        <v/>
      </c>
    </row>
    <row r="79" spans="1:4" x14ac:dyDescent="0.3">
      <c r="A79" s="2" t="str">
        <f>IF(Alunos!A79&lt;&gt;"",Alunos!A79,"")</f>
        <v/>
      </c>
      <c r="C79" s="2" t="str">
        <f>IF(A79&lt;&gt;"",SUM(B79),"")</f>
        <v/>
      </c>
      <c r="D79" s="2" t="str">
        <f>IF(A79&lt;&gt;"",(Recurso!D1*Recurso!C79)/Recurso!C1, "")</f>
        <v/>
      </c>
    </row>
    <row r="80" spans="1:4" x14ac:dyDescent="0.3">
      <c r="A80" s="2" t="str">
        <f>IF(Alunos!A80&lt;&gt;"",Alunos!A80,"")</f>
        <v/>
      </c>
      <c r="C80" s="2" t="str">
        <f>IF(A80&lt;&gt;"",SUM(B80),"")</f>
        <v/>
      </c>
      <c r="D80" s="2" t="str">
        <f>IF(A80&lt;&gt;"",(Recurso!D1*Recurso!C80)/Recurso!C1, "")</f>
        <v/>
      </c>
    </row>
    <row r="81" spans="1:4" x14ac:dyDescent="0.3">
      <c r="A81" s="2" t="str">
        <f>IF(Alunos!A81&lt;&gt;"",Alunos!A81,"")</f>
        <v/>
      </c>
      <c r="C81" s="2" t="str">
        <f>IF(A81&lt;&gt;"",SUM(B81),"")</f>
        <v/>
      </c>
      <c r="D81" s="2" t="str">
        <f>IF(A81&lt;&gt;"",(Recurso!D1*Recurso!C81)/Recurso!C1, "")</f>
        <v/>
      </c>
    </row>
    <row r="82" spans="1:4" x14ac:dyDescent="0.3">
      <c r="A82" s="2" t="str">
        <f>IF(Alunos!A82&lt;&gt;"",Alunos!A82,"")</f>
        <v/>
      </c>
      <c r="C82" s="2" t="str">
        <f>IF(A82&lt;&gt;"",SUM(B82),"")</f>
        <v/>
      </c>
      <c r="D82" s="2" t="str">
        <f>IF(A82&lt;&gt;"",(Recurso!D1*Recurso!C82)/Recurso!C1, "")</f>
        <v/>
      </c>
    </row>
    <row r="83" spans="1:4" x14ac:dyDescent="0.3">
      <c r="A83" s="2" t="str">
        <f>IF(Alunos!A83&lt;&gt;"",Alunos!A83,"")</f>
        <v/>
      </c>
      <c r="C83" s="2" t="str">
        <f>IF(A83&lt;&gt;"",SUM(B83),"")</f>
        <v/>
      </c>
      <c r="D83" s="2" t="str">
        <f>IF(A83&lt;&gt;"",(Recurso!D1*Recurso!C83)/Recurso!C1, "")</f>
        <v/>
      </c>
    </row>
    <row r="84" spans="1:4" x14ac:dyDescent="0.3">
      <c r="A84" s="2" t="str">
        <f>IF(Alunos!A84&lt;&gt;"",Alunos!A84,"")</f>
        <v/>
      </c>
      <c r="C84" s="2" t="str">
        <f>IF(A84&lt;&gt;"",SUM(B84),"")</f>
        <v/>
      </c>
      <c r="D84" s="2" t="str">
        <f>IF(A84&lt;&gt;"",(Recurso!D1*Recurso!C84)/Recurso!C1, "")</f>
        <v/>
      </c>
    </row>
    <row r="85" spans="1:4" x14ac:dyDescent="0.3">
      <c r="A85" s="2" t="str">
        <f>IF(Alunos!A85&lt;&gt;"",Alunos!A85,"")</f>
        <v/>
      </c>
      <c r="C85" s="2" t="str">
        <f>IF(A85&lt;&gt;"",SUM(B85),"")</f>
        <v/>
      </c>
      <c r="D85" s="2" t="str">
        <f>IF(A85&lt;&gt;"",(Recurso!D1*Recurso!C85)/Recurso!C1, "")</f>
        <v/>
      </c>
    </row>
    <row r="86" spans="1:4" x14ac:dyDescent="0.3">
      <c r="A86" s="2" t="str">
        <f>IF(Alunos!A86&lt;&gt;"",Alunos!A86,"")</f>
        <v/>
      </c>
      <c r="C86" s="2" t="str">
        <f>IF(A86&lt;&gt;"",SUM(B86),"")</f>
        <v/>
      </c>
      <c r="D86" s="2" t="str">
        <f>IF(A86&lt;&gt;"",(Recurso!D1*Recurso!C86)/Recurso!C1, "")</f>
        <v/>
      </c>
    </row>
    <row r="87" spans="1:4" x14ac:dyDescent="0.3">
      <c r="A87" s="2" t="str">
        <f>IF(Alunos!A87&lt;&gt;"",Alunos!A87,"")</f>
        <v/>
      </c>
      <c r="C87" s="2" t="str">
        <f>IF(A87&lt;&gt;"",SUM(B87),"")</f>
        <v/>
      </c>
      <c r="D87" s="2" t="str">
        <f>IF(A87&lt;&gt;"",(Recurso!D1*Recurso!C87)/Recurso!C1, "")</f>
        <v/>
      </c>
    </row>
    <row r="88" spans="1:4" x14ac:dyDescent="0.3">
      <c r="A88" s="2" t="str">
        <f>IF(Alunos!A88&lt;&gt;"",Alunos!A88,"")</f>
        <v/>
      </c>
      <c r="C88" s="2" t="str">
        <f>IF(A88&lt;&gt;"",SUM(B88),"")</f>
        <v/>
      </c>
      <c r="D88" s="2" t="str">
        <f>IF(A88&lt;&gt;"",(Recurso!D1*Recurso!C88)/Recurso!C1, "")</f>
        <v/>
      </c>
    </row>
    <row r="89" spans="1:4" x14ac:dyDescent="0.3">
      <c r="A89" s="2" t="str">
        <f>IF(Alunos!A89&lt;&gt;"",Alunos!A89,"")</f>
        <v/>
      </c>
      <c r="C89" s="2" t="str">
        <f>IF(A89&lt;&gt;"",SUM(B89),"")</f>
        <v/>
      </c>
      <c r="D89" s="2" t="str">
        <f>IF(A89&lt;&gt;"",(Recurso!D1*Recurso!C89)/Recurso!C1, "")</f>
        <v/>
      </c>
    </row>
    <row r="90" spans="1:4" x14ac:dyDescent="0.3">
      <c r="A90" s="2" t="str">
        <f>IF(Alunos!A90&lt;&gt;"",Alunos!A90,"")</f>
        <v/>
      </c>
      <c r="C90" s="2" t="str">
        <f>IF(A90&lt;&gt;"",SUM(B90),"")</f>
        <v/>
      </c>
      <c r="D90" s="2" t="str">
        <f>IF(A90&lt;&gt;"",(Recurso!D1*Recurso!C90)/Recurso!C1, "")</f>
        <v/>
      </c>
    </row>
    <row r="91" spans="1:4" x14ac:dyDescent="0.3">
      <c r="A91" s="2" t="str">
        <f>IF(Alunos!A91&lt;&gt;"",Alunos!A91,"")</f>
        <v/>
      </c>
      <c r="C91" s="2" t="str">
        <f>IF(A91&lt;&gt;"",SUM(B91),"")</f>
        <v/>
      </c>
      <c r="D91" s="2" t="str">
        <f>IF(A91&lt;&gt;"",(Recurso!D1*Recurso!C91)/Recurso!C1, "")</f>
        <v/>
      </c>
    </row>
    <row r="92" spans="1:4" x14ac:dyDescent="0.3">
      <c r="A92" s="2" t="str">
        <f>IF(Alunos!A92&lt;&gt;"",Alunos!A92,"")</f>
        <v/>
      </c>
      <c r="C92" s="2" t="str">
        <f>IF(A92&lt;&gt;"",SUM(B92),"")</f>
        <v/>
      </c>
      <c r="D92" s="2" t="str">
        <f>IF(A92&lt;&gt;"",(Recurso!D1*Recurso!C92)/Recurso!C1, "")</f>
        <v/>
      </c>
    </row>
    <row r="93" spans="1:4" x14ac:dyDescent="0.3">
      <c r="A93" s="2" t="str">
        <f>IF(Alunos!A93&lt;&gt;"",Alunos!A93,"")</f>
        <v/>
      </c>
      <c r="C93" s="2" t="str">
        <f>IF(A93&lt;&gt;"",SUM(B93),"")</f>
        <v/>
      </c>
      <c r="D93" s="2" t="str">
        <f>IF(A93&lt;&gt;"",(Recurso!D1*Recurso!C93)/Recurso!C1, "")</f>
        <v/>
      </c>
    </row>
    <row r="94" spans="1:4" x14ac:dyDescent="0.3">
      <c r="A94" s="2" t="str">
        <f>IF(Alunos!A94&lt;&gt;"",Alunos!A94,"")</f>
        <v/>
      </c>
      <c r="C94" s="2" t="str">
        <f>IF(A94&lt;&gt;"",SUM(B94),"")</f>
        <v/>
      </c>
      <c r="D94" s="2" t="str">
        <f>IF(A94&lt;&gt;"",(Recurso!D1*Recurso!C94)/Recurso!C1, "")</f>
        <v/>
      </c>
    </row>
    <row r="95" spans="1:4" x14ac:dyDescent="0.3">
      <c r="A95" s="2" t="str">
        <f>IF(Alunos!A95&lt;&gt;"",Alunos!A95,"")</f>
        <v/>
      </c>
      <c r="C95" s="2" t="str">
        <f>IF(A95&lt;&gt;"",SUM(B95),"")</f>
        <v/>
      </c>
      <c r="D95" s="2" t="str">
        <f>IF(A95&lt;&gt;"",(Recurso!D1*Recurso!C95)/Recurso!C1, "")</f>
        <v/>
      </c>
    </row>
    <row r="96" spans="1:4" x14ac:dyDescent="0.3">
      <c r="A96" s="2" t="str">
        <f>IF(Alunos!A96&lt;&gt;"",Alunos!A96,"")</f>
        <v/>
      </c>
      <c r="C96" s="2" t="str">
        <f>IF(A96&lt;&gt;"",SUM(B96),"")</f>
        <v/>
      </c>
      <c r="D96" s="2" t="str">
        <f>IF(A96&lt;&gt;"",(Recurso!D1*Recurso!C96)/Recurso!C1, "")</f>
        <v/>
      </c>
    </row>
    <row r="97" spans="1:4" x14ac:dyDescent="0.3">
      <c r="A97" s="2" t="str">
        <f>IF(Alunos!A97&lt;&gt;"",Alunos!A97,"")</f>
        <v/>
      </c>
      <c r="C97" s="2" t="str">
        <f>IF(A97&lt;&gt;"",SUM(B97),"")</f>
        <v/>
      </c>
      <c r="D97" s="2" t="str">
        <f>IF(A97&lt;&gt;"",(Recurso!D1*Recurso!C97)/Recurso!C1, "")</f>
        <v/>
      </c>
    </row>
    <row r="98" spans="1:4" x14ac:dyDescent="0.3">
      <c r="A98" s="2" t="str">
        <f>IF(Alunos!A98&lt;&gt;"",Alunos!A98,"")</f>
        <v/>
      </c>
      <c r="C98" s="2" t="str">
        <f>IF(A98&lt;&gt;"",SUM(B98),"")</f>
        <v/>
      </c>
      <c r="D98" s="2" t="str">
        <f>IF(A98&lt;&gt;"",(Recurso!D1*Recurso!C98)/Recurso!C1, "")</f>
        <v/>
      </c>
    </row>
    <row r="99" spans="1:4" x14ac:dyDescent="0.3">
      <c r="A99" s="2" t="str">
        <f>IF(Alunos!A99&lt;&gt;"",Alunos!A99,"")</f>
        <v/>
      </c>
      <c r="C99" s="2" t="str">
        <f>IF(A99&lt;&gt;"",SUM(B99),"")</f>
        <v/>
      </c>
      <c r="D99" s="2" t="str">
        <f>IF(A99&lt;&gt;"",(Recurso!D1*Recurso!C99)/Recurso!C1, "")</f>
        <v/>
      </c>
    </row>
    <row r="100" spans="1:4" x14ac:dyDescent="0.3">
      <c r="A100" s="2" t="str">
        <f>IF(Alunos!A100&lt;&gt;"",Alunos!A100,"")</f>
        <v/>
      </c>
      <c r="C100" s="2" t="str">
        <f>IF(A100&lt;&gt;"",SUM(B100),"")</f>
        <v/>
      </c>
      <c r="D100" s="2" t="str">
        <f>IF(A100&lt;&gt;"",(Recurso!D1*Recurso!C100)/Recurso!C1, "")</f>
        <v/>
      </c>
    </row>
    <row r="101" spans="1:4" x14ac:dyDescent="0.3">
      <c r="A101" s="2" t="str">
        <f>IF(Alunos!A101&lt;&gt;"",Alunos!A101,"")</f>
        <v/>
      </c>
      <c r="C101" s="2" t="str">
        <f>IF(A101&lt;&gt;"",SUM(B101),"")</f>
        <v/>
      </c>
      <c r="D101" s="2" t="str">
        <f>IF(A101&lt;&gt;"",(Recurso!D1*Recurso!C101)/Recurso!C1, "")</f>
        <v/>
      </c>
    </row>
    <row r="102" spans="1:4" x14ac:dyDescent="0.3">
      <c r="A102" s="2" t="str">
        <f>IF(Alunos!A102&lt;&gt;"",Alunos!A102,"")</f>
        <v/>
      </c>
      <c r="C102" s="2" t="str">
        <f>IF(A102&lt;&gt;"",SUM(B102),"")</f>
        <v/>
      </c>
      <c r="D102" s="2" t="str">
        <f>IF(A102&lt;&gt;"",(Recurso!D1*Recurso!C102)/Recurso!C1, "")</f>
        <v/>
      </c>
    </row>
    <row r="103" spans="1:4" x14ac:dyDescent="0.3">
      <c r="A103" s="2" t="str">
        <f>IF(Alunos!A103&lt;&gt;"",Alunos!A103,"")</f>
        <v/>
      </c>
      <c r="C103" s="2" t="str">
        <f>IF(A103&lt;&gt;"",SUM(B103),"")</f>
        <v/>
      </c>
      <c r="D103" s="2" t="str">
        <f>IF(A103&lt;&gt;"",(Recurso!D1*Recurso!C103)/Recurso!C1, "")</f>
        <v/>
      </c>
    </row>
    <row r="104" spans="1:4" x14ac:dyDescent="0.3">
      <c r="A104" s="2" t="str">
        <f>IF(Alunos!A104&lt;&gt;"",Alunos!A104,"")</f>
        <v/>
      </c>
      <c r="C104" s="2" t="str">
        <f>IF(A104&lt;&gt;"",SUM(B104),"")</f>
        <v/>
      </c>
      <c r="D104" s="2" t="str">
        <f>IF(A104&lt;&gt;"",(Recurso!D1*Recurso!C104)/Recurso!C1, "")</f>
        <v/>
      </c>
    </row>
    <row r="105" spans="1:4" x14ac:dyDescent="0.3">
      <c r="A105" s="2" t="str">
        <f>IF(Alunos!A105&lt;&gt;"",Alunos!A105,"")</f>
        <v/>
      </c>
      <c r="C105" s="2" t="str">
        <f>IF(A105&lt;&gt;"",SUM(B105),"")</f>
        <v/>
      </c>
      <c r="D105" s="2" t="str">
        <f>IF(A105&lt;&gt;"",(Recurso!D1*Recurso!C105)/Recurso!C1, "")</f>
        <v/>
      </c>
    </row>
    <row r="106" spans="1:4" x14ac:dyDescent="0.3">
      <c r="A106" s="2" t="str">
        <f>IF(Alunos!A106&lt;&gt;"",Alunos!A106,"")</f>
        <v/>
      </c>
      <c r="C106" s="2" t="str">
        <f>IF(A106&lt;&gt;"",SUM(B106),"")</f>
        <v/>
      </c>
      <c r="D106" s="2" t="str">
        <f>IF(A106&lt;&gt;"",(Recurso!D1*Recurso!C106)/Recurso!C1, "")</f>
        <v/>
      </c>
    </row>
    <row r="107" spans="1:4" x14ac:dyDescent="0.3">
      <c r="A107" s="2" t="str">
        <f>IF(Alunos!A107&lt;&gt;"",Alunos!A107,"")</f>
        <v/>
      </c>
      <c r="C107" s="2" t="str">
        <f>IF(A107&lt;&gt;"",SUM(B107),"")</f>
        <v/>
      </c>
      <c r="D107" s="2" t="str">
        <f>IF(A107&lt;&gt;"",(Recurso!D1*Recurso!C107)/Recurso!C1, "")</f>
        <v/>
      </c>
    </row>
    <row r="108" spans="1:4" x14ac:dyDescent="0.3">
      <c r="A108" s="2" t="str">
        <f>IF(Alunos!A108&lt;&gt;"",Alunos!A108,"")</f>
        <v/>
      </c>
      <c r="C108" s="2" t="str">
        <f>IF(A108&lt;&gt;"",SUM(B108),"")</f>
        <v/>
      </c>
      <c r="D108" s="2" t="str">
        <f>IF(A108&lt;&gt;"",(Recurso!D1*Recurso!C108)/Recurso!C1, "")</f>
        <v/>
      </c>
    </row>
    <row r="109" spans="1:4" x14ac:dyDescent="0.3">
      <c r="A109" s="2" t="str">
        <f>IF(Alunos!A109&lt;&gt;"",Alunos!A109,"")</f>
        <v/>
      </c>
      <c r="C109" s="2" t="str">
        <f>IF(A109&lt;&gt;"",SUM(B109),"")</f>
        <v/>
      </c>
      <c r="D109" s="2" t="str">
        <f>IF(A109&lt;&gt;"",(Recurso!D1*Recurso!C109)/Recurso!C1, "")</f>
        <v/>
      </c>
    </row>
    <row r="110" spans="1:4" x14ac:dyDescent="0.3">
      <c r="A110" s="2" t="str">
        <f>IF(Alunos!A110&lt;&gt;"",Alunos!A110,"")</f>
        <v/>
      </c>
      <c r="C110" s="2" t="str">
        <f>IF(A110&lt;&gt;"",SUM(B110),"")</f>
        <v/>
      </c>
      <c r="D110" s="2" t="str">
        <f>IF(A110&lt;&gt;"",(Recurso!D1*Recurso!C110)/Recurso!C1, "")</f>
        <v/>
      </c>
    </row>
    <row r="111" spans="1:4" x14ac:dyDescent="0.3">
      <c r="A111" s="2" t="str">
        <f>IF(Alunos!A111&lt;&gt;"",Alunos!A111,"")</f>
        <v/>
      </c>
      <c r="C111" s="2" t="str">
        <f>IF(A111&lt;&gt;"",SUM(B111),"")</f>
        <v/>
      </c>
      <c r="D111" s="2" t="str">
        <f>IF(A111&lt;&gt;"",(Recurso!D1*Recurso!C111)/Recurso!C1, "")</f>
        <v/>
      </c>
    </row>
    <row r="112" spans="1:4" x14ac:dyDescent="0.3">
      <c r="A112" s="2" t="str">
        <f>IF(Alunos!A112&lt;&gt;"",Alunos!A112,"")</f>
        <v/>
      </c>
      <c r="C112" s="2" t="str">
        <f>IF(A112&lt;&gt;"",SUM(B112),"")</f>
        <v/>
      </c>
      <c r="D112" s="2" t="str">
        <f>IF(A112&lt;&gt;"",(Recurso!D1*Recurso!C112)/Recurso!C1, "")</f>
        <v/>
      </c>
    </row>
    <row r="113" spans="1:4" x14ac:dyDescent="0.3">
      <c r="A113" s="2" t="str">
        <f>IF(Alunos!A113&lt;&gt;"",Alunos!A113,"")</f>
        <v/>
      </c>
      <c r="C113" s="2" t="str">
        <f>IF(A113&lt;&gt;"",SUM(B113),"")</f>
        <v/>
      </c>
      <c r="D113" s="2" t="str">
        <f>IF(A113&lt;&gt;"",(Recurso!D1*Recurso!C113)/Recurso!C1, "")</f>
        <v/>
      </c>
    </row>
    <row r="114" spans="1:4" x14ac:dyDescent="0.3">
      <c r="A114" s="2" t="str">
        <f>IF(Alunos!A114&lt;&gt;"",Alunos!A114,"")</f>
        <v/>
      </c>
      <c r="C114" s="2" t="str">
        <f>IF(A114&lt;&gt;"",SUM(B114),"")</f>
        <v/>
      </c>
      <c r="D114" s="2" t="str">
        <f>IF(A114&lt;&gt;"",(Recurso!D1*Recurso!C114)/Recurso!C1, "")</f>
        <v/>
      </c>
    </row>
    <row r="115" spans="1:4" x14ac:dyDescent="0.3">
      <c r="A115" s="2" t="str">
        <f>IF(Alunos!A115&lt;&gt;"",Alunos!A115,"")</f>
        <v/>
      </c>
      <c r="C115" s="2" t="str">
        <f>IF(A115&lt;&gt;"",SUM(B115),"")</f>
        <v/>
      </c>
      <c r="D115" s="2" t="str">
        <f>IF(A115&lt;&gt;"",(Recurso!D1*Recurso!C115)/Recurso!C1, "")</f>
        <v/>
      </c>
    </row>
    <row r="116" spans="1:4" x14ac:dyDescent="0.3">
      <c r="A116" s="2" t="str">
        <f>IF(Alunos!A116&lt;&gt;"",Alunos!A116,"")</f>
        <v/>
      </c>
      <c r="C116" s="2" t="str">
        <f>IF(A116&lt;&gt;"",SUM(B116),"")</f>
        <v/>
      </c>
      <c r="D116" s="2" t="str">
        <f>IF(A116&lt;&gt;"",(Recurso!D1*Recurso!C116)/Recurso!C1, "")</f>
        <v/>
      </c>
    </row>
    <row r="117" spans="1:4" x14ac:dyDescent="0.3">
      <c r="A117" s="2" t="str">
        <f>IF(Alunos!A117&lt;&gt;"",Alunos!A117,"")</f>
        <v/>
      </c>
      <c r="C117" s="2" t="str">
        <f>IF(A117&lt;&gt;"",SUM(B117),"")</f>
        <v/>
      </c>
      <c r="D117" s="2" t="str">
        <f>IF(A117&lt;&gt;"",(Recurso!D1*Recurso!C117)/Recurso!C1, "")</f>
        <v/>
      </c>
    </row>
    <row r="118" spans="1:4" x14ac:dyDescent="0.3">
      <c r="A118" s="2" t="str">
        <f>IF(Alunos!A118&lt;&gt;"",Alunos!A118,"")</f>
        <v/>
      </c>
      <c r="C118" s="2" t="str">
        <f>IF(A118&lt;&gt;"",SUM(B118),"")</f>
        <v/>
      </c>
      <c r="D118" s="2" t="str">
        <f>IF(A118&lt;&gt;"",(Recurso!D1*Recurso!C118)/Recurso!C1, "")</f>
        <v/>
      </c>
    </row>
    <row r="119" spans="1:4" x14ac:dyDescent="0.3">
      <c r="A119" s="2" t="str">
        <f>IF(Alunos!A119&lt;&gt;"",Alunos!A119,"")</f>
        <v/>
      </c>
      <c r="C119" s="2" t="str">
        <f>IF(A119&lt;&gt;"",SUM(B119),"")</f>
        <v/>
      </c>
      <c r="D119" s="2" t="str">
        <f>IF(A119&lt;&gt;"",(Recurso!D1*Recurso!C119)/Recurso!C1, "")</f>
        <v/>
      </c>
    </row>
    <row r="120" spans="1:4" x14ac:dyDescent="0.3">
      <c r="A120" s="2" t="str">
        <f>IF(Alunos!A120&lt;&gt;"",Alunos!A120,"")</f>
        <v/>
      </c>
      <c r="C120" s="2" t="str">
        <f>IF(A120&lt;&gt;"",SUM(B120),"")</f>
        <v/>
      </c>
      <c r="D120" s="2" t="str">
        <f>IF(A120&lt;&gt;"",(Recurso!D1*Recurso!C120)/Recurso!C1, "")</f>
        <v/>
      </c>
    </row>
    <row r="121" spans="1:4" x14ac:dyDescent="0.3">
      <c r="A121" s="2" t="str">
        <f>IF(Alunos!A121&lt;&gt;"",Alunos!A121,"")</f>
        <v/>
      </c>
      <c r="C121" s="2" t="str">
        <f>IF(A121&lt;&gt;"",SUM(B121),"")</f>
        <v/>
      </c>
      <c r="D121" s="2" t="str">
        <f>IF(A121&lt;&gt;"",(Recurso!D1*Recurso!C121)/Recurso!C1, "")</f>
        <v/>
      </c>
    </row>
    <row r="122" spans="1:4" x14ac:dyDescent="0.3">
      <c r="A122" s="2" t="str">
        <f>IF(Alunos!A122&lt;&gt;"",Alunos!A122,"")</f>
        <v/>
      </c>
      <c r="C122" s="2" t="str">
        <f>IF(A122&lt;&gt;"",SUM(B122),"")</f>
        <v/>
      </c>
      <c r="D122" s="2" t="str">
        <f>IF(A122&lt;&gt;"",(Recurso!D1*Recurso!C122)/Recurso!C1, "")</f>
        <v/>
      </c>
    </row>
    <row r="123" spans="1:4" x14ac:dyDescent="0.3">
      <c r="A123" s="2" t="str">
        <f>IF(Alunos!A123&lt;&gt;"",Alunos!A123,"")</f>
        <v/>
      </c>
      <c r="C123" s="2" t="str">
        <f>IF(A123&lt;&gt;"",SUM(B123),"")</f>
        <v/>
      </c>
      <c r="D123" s="2" t="str">
        <f>IF(A123&lt;&gt;"",(Recurso!D1*Recurso!C123)/Recurso!C1, "")</f>
        <v/>
      </c>
    </row>
    <row r="124" spans="1:4" x14ac:dyDescent="0.3">
      <c r="A124" s="2" t="str">
        <f>IF(Alunos!A124&lt;&gt;"",Alunos!A124,"")</f>
        <v/>
      </c>
      <c r="C124" s="2" t="str">
        <f>IF(A124&lt;&gt;"",SUM(B124),"")</f>
        <v/>
      </c>
      <c r="D124" s="2" t="str">
        <f>IF(A124&lt;&gt;"",(Recurso!D1*Recurso!C124)/Recurso!C1, "")</f>
        <v/>
      </c>
    </row>
    <row r="125" spans="1:4" x14ac:dyDescent="0.3">
      <c r="A125" s="2" t="str">
        <f>IF(Alunos!A125&lt;&gt;"",Alunos!A125,"")</f>
        <v/>
      </c>
      <c r="C125" s="2" t="str">
        <f>IF(A125&lt;&gt;"",SUM(B125),"")</f>
        <v/>
      </c>
      <c r="D125" s="2" t="str">
        <f>IF(A125&lt;&gt;"",(Recurso!D1*Recurso!C125)/Recurso!C1, "")</f>
        <v/>
      </c>
    </row>
    <row r="126" spans="1:4" x14ac:dyDescent="0.3">
      <c r="A126" s="2" t="str">
        <f>IF(Alunos!A126&lt;&gt;"",Alunos!A126,"")</f>
        <v/>
      </c>
      <c r="C126" s="2" t="str">
        <f>IF(A126&lt;&gt;"",SUM(B126),"")</f>
        <v/>
      </c>
      <c r="D126" s="2" t="str">
        <f>IF(A126&lt;&gt;"",(Recurso!D1*Recurso!C126)/Recurso!C1, "")</f>
        <v/>
      </c>
    </row>
    <row r="127" spans="1:4" x14ac:dyDescent="0.3">
      <c r="A127" s="2" t="str">
        <f>IF(Alunos!A127&lt;&gt;"",Alunos!A127,"")</f>
        <v/>
      </c>
      <c r="C127" s="2" t="str">
        <f>IF(A127&lt;&gt;"",SUM(B127),"")</f>
        <v/>
      </c>
      <c r="D127" s="2" t="str">
        <f>IF(A127&lt;&gt;"",(Recurso!D1*Recurso!C127)/Recurso!C1, "")</f>
        <v/>
      </c>
    </row>
    <row r="128" spans="1:4" x14ac:dyDescent="0.3">
      <c r="A128" s="2" t="str">
        <f>IF(Alunos!A128&lt;&gt;"",Alunos!A128,"")</f>
        <v/>
      </c>
      <c r="C128" s="2" t="str">
        <f>IF(A128&lt;&gt;"",SUM(B128),"")</f>
        <v/>
      </c>
      <c r="D128" s="2" t="str">
        <f>IF(A128&lt;&gt;"",(Recurso!D1*Recurso!C128)/Recurso!C1, "")</f>
        <v/>
      </c>
    </row>
    <row r="129" spans="1:4" x14ac:dyDescent="0.3">
      <c r="A129" s="2" t="str">
        <f>IF(Alunos!A129&lt;&gt;"",Alunos!A129,"")</f>
        <v/>
      </c>
      <c r="C129" s="2" t="str">
        <f>IF(A129&lt;&gt;"",SUM(B129),"")</f>
        <v/>
      </c>
      <c r="D129" s="2" t="str">
        <f>IF(A129&lt;&gt;"",(Recurso!D1*Recurso!C129)/Recurso!C1, "")</f>
        <v/>
      </c>
    </row>
    <row r="130" spans="1:4" x14ac:dyDescent="0.3">
      <c r="A130" s="2" t="str">
        <f>IF(Alunos!A130&lt;&gt;"",Alunos!A130,"")</f>
        <v/>
      </c>
      <c r="C130" s="2" t="str">
        <f>IF(A130&lt;&gt;"",SUM(B130),"")</f>
        <v/>
      </c>
      <c r="D130" s="2" t="str">
        <f>IF(A130&lt;&gt;"",(Recurso!D1*Recurso!C130)/Recurso!C1, "")</f>
        <v/>
      </c>
    </row>
    <row r="131" spans="1:4" x14ac:dyDescent="0.3">
      <c r="A131" s="2" t="str">
        <f>IF(Alunos!A131&lt;&gt;"",Alunos!A131,"")</f>
        <v/>
      </c>
      <c r="C131" s="2" t="str">
        <f>IF(A131&lt;&gt;"",SUM(B131),"")</f>
        <v/>
      </c>
      <c r="D131" s="2" t="str">
        <f>IF(A131&lt;&gt;"",(Recurso!D1*Recurso!C131)/Recurso!C1, "")</f>
        <v/>
      </c>
    </row>
    <row r="132" spans="1:4" x14ac:dyDescent="0.3">
      <c r="A132" s="2" t="str">
        <f>IF(Alunos!A132&lt;&gt;"",Alunos!A132,"")</f>
        <v/>
      </c>
      <c r="C132" s="2" t="str">
        <f>IF(A132&lt;&gt;"",SUM(B132),"")</f>
        <v/>
      </c>
      <c r="D132" s="2" t="str">
        <f>IF(A132&lt;&gt;"",(Recurso!D1*Recurso!C132)/Recurso!C1, "")</f>
        <v/>
      </c>
    </row>
    <row r="133" spans="1:4" x14ac:dyDescent="0.3">
      <c r="A133" s="2" t="str">
        <f>IF(Alunos!A133&lt;&gt;"",Alunos!A133,"")</f>
        <v/>
      </c>
      <c r="C133" s="2" t="str">
        <f>IF(A133&lt;&gt;"",SUM(B133),"")</f>
        <v/>
      </c>
      <c r="D133" s="2" t="str">
        <f>IF(A133&lt;&gt;"",(Recurso!D1*Recurso!C133)/Recurso!C1, "")</f>
        <v/>
      </c>
    </row>
    <row r="134" spans="1:4" x14ac:dyDescent="0.3">
      <c r="A134" s="2" t="str">
        <f>IF(Alunos!A134&lt;&gt;"",Alunos!A134,"")</f>
        <v/>
      </c>
      <c r="C134" s="2" t="str">
        <f>IF(A134&lt;&gt;"",SUM(B134),"")</f>
        <v/>
      </c>
      <c r="D134" s="2" t="str">
        <f>IF(A134&lt;&gt;"",(Recurso!D1*Recurso!C134)/Recurso!C1, "")</f>
        <v/>
      </c>
    </row>
    <row r="135" spans="1:4" x14ac:dyDescent="0.3">
      <c r="A135" s="2" t="str">
        <f>IF(Alunos!A135&lt;&gt;"",Alunos!A135,"")</f>
        <v/>
      </c>
      <c r="C135" s="2" t="str">
        <f>IF(A135&lt;&gt;"",SUM(B135),"")</f>
        <v/>
      </c>
      <c r="D135" s="2" t="str">
        <f>IF(A135&lt;&gt;"",(Recurso!D1*Recurso!C135)/Recurso!C1, "")</f>
        <v/>
      </c>
    </row>
    <row r="136" spans="1:4" x14ac:dyDescent="0.3">
      <c r="A136" s="2" t="str">
        <f>IF(Alunos!A136&lt;&gt;"",Alunos!A136,"")</f>
        <v/>
      </c>
      <c r="C136" s="2" t="str">
        <f>IF(A136&lt;&gt;"",SUM(B136),"")</f>
        <v/>
      </c>
      <c r="D136" s="2" t="str">
        <f>IF(A136&lt;&gt;"",(Recurso!D1*Recurso!C136)/Recurso!C1, "")</f>
        <v/>
      </c>
    </row>
    <row r="137" spans="1:4" x14ac:dyDescent="0.3">
      <c r="A137" s="2" t="str">
        <f>IF(Alunos!A137&lt;&gt;"",Alunos!A137,"")</f>
        <v/>
      </c>
      <c r="C137" s="2" t="str">
        <f>IF(A137&lt;&gt;"",SUM(B137),"")</f>
        <v/>
      </c>
      <c r="D137" s="2" t="str">
        <f>IF(A137&lt;&gt;"",(Recurso!D1*Recurso!C137)/Recurso!C1, "")</f>
        <v/>
      </c>
    </row>
    <row r="138" spans="1:4" x14ac:dyDescent="0.3">
      <c r="A138" s="2" t="str">
        <f>IF(Alunos!A138&lt;&gt;"",Alunos!A138,"")</f>
        <v/>
      </c>
      <c r="C138" s="2" t="str">
        <f>IF(A138&lt;&gt;"",SUM(B138),"")</f>
        <v/>
      </c>
      <c r="D138" s="2" t="str">
        <f>IF(A138&lt;&gt;"",(Recurso!D1*Recurso!C138)/Recurso!C1, "")</f>
        <v/>
      </c>
    </row>
    <row r="139" spans="1:4" x14ac:dyDescent="0.3">
      <c r="A139" s="2" t="str">
        <f>IF(Alunos!A139&lt;&gt;"",Alunos!A139,"")</f>
        <v/>
      </c>
      <c r="C139" s="2" t="str">
        <f>IF(A139&lt;&gt;"",SUM(B139),"")</f>
        <v/>
      </c>
      <c r="D139" s="2" t="str">
        <f>IF(A139&lt;&gt;"",(Recurso!D1*Recurso!C139)/Recurso!C1, "")</f>
        <v/>
      </c>
    </row>
    <row r="140" spans="1:4" x14ac:dyDescent="0.3">
      <c r="A140" s="2" t="str">
        <f>IF(Alunos!A140&lt;&gt;"",Alunos!A140,"")</f>
        <v/>
      </c>
      <c r="C140" s="2" t="str">
        <f>IF(A140&lt;&gt;"",SUM(B140),"")</f>
        <v/>
      </c>
      <c r="D140" s="2" t="str">
        <f>IF(A140&lt;&gt;"",(Recurso!D1*Recurso!C140)/Recurso!C1, "")</f>
        <v/>
      </c>
    </row>
    <row r="141" spans="1:4" x14ac:dyDescent="0.3">
      <c r="A141" s="2" t="str">
        <f>IF(Alunos!A141&lt;&gt;"",Alunos!A141,"")</f>
        <v/>
      </c>
      <c r="C141" s="2" t="str">
        <f>IF(A141&lt;&gt;"",SUM(B141),"")</f>
        <v/>
      </c>
      <c r="D141" s="2" t="str">
        <f>IF(A141&lt;&gt;"",(Recurso!D1*Recurso!C141)/Recurso!C1, "")</f>
        <v/>
      </c>
    </row>
    <row r="142" spans="1:4" x14ac:dyDescent="0.3">
      <c r="A142" s="2" t="str">
        <f>IF(Alunos!A142&lt;&gt;"",Alunos!A142,"")</f>
        <v/>
      </c>
      <c r="C142" s="2" t="str">
        <f>IF(A142&lt;&gt;"",SUM(B142),"")</f>
        <v/>
      </c>
      <c r="D142" s="2" t="str">
        <f>IF(A142&lt;&gt;"",(Recurso!D1*Recurso!C142)/Recurso!C1, "")</f>
        <v/>
      </c>
    </row>
    <row r="143" spans="1:4" x14ac:dyDescent="0.3">
      <c r="A143" s="2" t="str">
        <f>IF(Alunos!A143&lt;&gt;"",Alunos!A143,"")</f>
        <v/>
      </c>
      <c r="C143" s="2" t="str">
        <f>IF(A143&lt;&gt;"",SUM(B143),"")</f>
        <v/>
      </c>
      <c r="D143" s="2" t="str">
        <f>IF(A143&lt;&gt;"",(Recurso!D1*Recurso!C143)/Recurso!C1, "")</f>
        <v/>
      </c>
    </row>
    <row r="144" spans="1:4" x14ac:dyDescent="0.3">
      <c r="A144" s="2" t="str">
        <f>IF(Alunos!A144&lt;&gt;"",Alunos!A144,"")</f>
        <v/>
      </c>
      <c r="C144" s="2" t="str">
        <f>IF(A144&lt;&gt;"",SUM(B144),"")</f>
        <v/>
      </c>
      <c r="D144" s="2" t="str">
        <f>IF(A144&lt;&gt;"",(Recurso!D1*Recurso!C144)/Recurso!C1, "")</f>
        <v/>
      </c>
    </row>
    <row r="145" spans="1:4" x14ac:dyDescent="0.3">
      <c r="A145" s="2" t="str">
        <f>IF(Alunos!A145&lt;&gt;"",Alunos!A145,"")</f>
        <v/>
      </c>
      <c r="C145" s="2" t="str">
        <f>IF(A145&lt;&gt;"",SUM(B145),"")</f>
        <v/>
      </c>
      <c r="D145" s="2" t="str">
        <f>IF(A145&lt;&gt;"",(Recurso!D1*Recurso!C145)/Recurso!C1, "")</f>
        <v/>
      </c>
    </row>
    <row r="146" spans="1:4" x14ac:dyDescent="0.3">
      <c r="A146" s="2" t="str">
        <f>IF(Alunos!A146&lt;&gt;"",Alunos!A146,"")</f>
        <v/>
      </c>
      <c r="C146" s="2" t="str">
        <f>IF(A146&lt;&gt;"",SUM(B146),"")</f>
        <v/>
      </c>
      <c r="D146" s="2" t="str">
        <f>IF(A146&lt;&gt;"",(Recurso!D1*Recurso!C146)/Recurso!C1, "")</f>
        <v/>
      </c>
    </row>
    <row r="147" spans="1:4" x14ac:dyDescent="0.3">
      <c r="A147" s="2" t="str">
        <f>IF(Alunos!A147&lt;&gt;"",Alunos!A147,"")</f>
        <v/>
      </c>
      <c r="C147" s="2" t="str">
        <f>IF(A147&lt;&gt;"",SUM(B147),"")</f>
        <v/>
      </c>
      <c r="D147" s="2" t="str">
        <f>IF(A147&lt;&gt;"",(Recurso!D1*Recurso!C147)/Recurso!C1, "")</f>
        <v/>
      </c>
    </row>
    <row r="148" spans="1:4" x14ac:dyDescent="0.3">
      <c r="A148" s="2" t="str">
        <f>IF(Alunos!A148&lt;&gt;"",Alunos!A148,"")</f>
        <v/>
      </c>
      <c r="C148" s="2" t="str">
        <f>IF(A148&lt;&gt;"",SUM(B148),"")</f>
        <v/>
      </c>
      <c r="D148" s="2" t="str">
        <f>IF(A148&lt;&gt;"",(Recurso!D1*Recurso!C148)/Recurso!C1, "")</f>
        <v/>
      </c>
    </row>
    <row r="149" spans="1:4" x14ac:dyDescent="0.3">
      <c r="A149" s="2" t="str">
        <f>IF(Alunos!A149&lt;&gt;"",Alunos!A149,"")</f>
        <v/>
      </c>
      <c r="C149" s="2" t="str">
        <f>IF(A149&lt;&gt;"",SUM(B149),"")</f>
        <v/>
      </c>
      <c r="D149" s="2" t="str">
        <f>IF(A149&lt;&gt;"",(Recurso!D1*Recurso!C149)/Recurso!C1, "")</f>
        <v/>
      </c>
    </row>
    <row r="150" spans="1:4" x14ac:dyDescent="0.3">
      <c r="A150" s="2" t="str">
        <f>IF(Alunos!A150&lt;&gt;"",Alunos!A150,"")</f>
        <v/>
      </c>
      <c r="C150" s="2" t="str">
        <f>IF(A150&lt;&gt;"",SUM(B150),"")</f>
        <v/>
      </c>
      <c r="D150" s="2" t="str">
        <f>IF(A150&lt;&gt;"",(Recurso!D1*Recurso!C150)/Recurso!C1, "")</f>
        <v/>
      </c>
    </row>
    <row r="151" spans="1:4" x14ac:dyDescent="0.3">
      <c r="A151" s="2" t="str">
        <f>IF(Alunos!A151&lt;&gt;"",Alunos!A151,"")</f>
        <v/>
      </c>
      <c r="C151" s="2" t="str">
        <f>IF(A151&lt;&gt;"",SUM(B151),"")</f>
        <v/>
      </c>
      <c r="D151" s="2" t="str">
        <f>IF(A151&lt;&gt;"",(Recurso!D1*Recurso!C151)/Recurso!C1, "")</f>
        <v/>
      </c>
    </row>
    <row r="152" spans="1:4" x14ac:dyDescent="0.3">
      <c r="A152" s="2" t="str">
        <f>IF(Alunos!A152&lt;&gt;"",Alunos!A152,"")</f>
        <v/>
      </c>
      <c r="C152" s="2" t="str">
        <f>IF(A152&lt;&gt;"",SUM(B152),"")</f>
        <v/>
      </c>
      <c r="D152" s="2" t="str">
        <f>IF(A152&lt;&gt;"",(Recurso!D1*Recurso!C152)/Recurso!C1, "")</f>
        <v/>
      </c>
    </row>
    <row r="153" spans="1:4" x14ac:dyDescent="0.3">
      <c r="A153" s="2" t="str">
        <f>IF(Alunos!A153&lt;&gt;"",Alunos!A153,"")</f>
        <v/>
      </c>
      <c r="C153" s="2" t="str">
        <f>IF(A153&lt;&gt;"",SUM(B153),"")</f>
        <v/>
      </c>
      <c r="D153" s="2" t="str">
        <f>IF(A153&lt;&gt;"",(Recurso!D1*Recurso!C153)/Recurso!C1, "")</f>
        <v/>
      </c>
    </row>
    <row r="154" spans="1:4" x14ac:dyDescent="0.3">
      <c r="A154" s="2" t="str">
        <f>IF(Alunos!A154&lt;&gt;"",Alunos!A154,"")</f>
        <v/>
      </c>
      <c r="C154" s="2" t="str">
        <f>IF(A154&lt;&gt;"",SUM(B154),"")</f>
        <v/>
      </c>
      <c r="D154" s="2" t="str">
        <f>IF(A154&lt;&gt;"",(Recurso!D1*Recurso!C154)/Recurso!C1, "")</f>
        <v/>
      </c>
    </row>
    <row r="155" spans="1:4" x14ac:dyDescent="0.3">
      <c r="A155" s="2" t="str">
        <f>IF(Alunos!A155&lt;&gt;"",Alunos!A155,"")</f>
        <v/>
      </c>
      <c r="C155" s="2" t="str">
        <f>IF(A155&lt;&gt;"",SUM(B155),"")</f>
        <v/>
      </c>
      <c r="D155" s="2" t="str">
        <f>IF(A155&lt;&gt;"",(Recurso!D1*Recurso!C155)/Recurso!C1, "")</f>
        <v/>
      </c>
    </row>
    <row r="156" spans="1:4" x14ac:dyDescent="0.3">
      <c r="A156" s="2" t="str">
        <f>IF(Alunos!A156&lt;&gt;"",Alunos!A156,"")</f>
        <v/>
      </c>
      <c r="C156" s="2" t="str">
        <f>IF(A156&lt;&gt;"",SUM(B156),"")</f>
        <v/>
      </c>
      <c r="D156" s="2" t="str">
        <f>IF(A156&lt;&gt;"",(Recurso!D1*Recurso!C156)/Recurso!C1, "")</f>
        <v/>
      </c>
    </row>
    <row r="157" spans="1:4" x14ac:dyDescent="0.3">
      <c r="A157" s="2" t="str">
        <f>IF(Alunos!A157&lt;&gt;"",Alunos!A157,"")</f>
        <v/>
      </c>
      <c r="C157" s="2" t="str">
        <f>IF(A157&lt;&gt;"",SUM(B157),"")</f>
        <v/>
      </c>
      <c r="D157" s="2" t="str">
        <f>IF(A157&lt;&gt;"",(Recurso!D1*Recurso!C157)/Recurso!C1, "")</f>
        <v/>
      </c>
    </row>
    <row r="158" spans="1:4" x14ac:dyDescent="0.3">
      <c r="A158" s="2" t="str">
        <f>IF(Alunos!A158&lt;&gt;"",Alunos!A158,"")</f>
        <v/>
      </c>
      <c r="C158" s="2" t="str">
        <f>IF(A158&lt;&gt;"",SUM(B158),"")</f>
        <v/>
      </c>
      <c r="D158" s="2" t="str">
        <f>IF(A158&lt;&gt;"",(Recurso!D1*Recurso!C158)/Recurso!C1, "")</f>
        <v/>
      </c>
    </row>
    <row r="159" spans="1:4" x14ac:dyDescent="0.3">
      <c r="A159" s="2" t="str">
        <f>IF(Alunos!A159&lt;&gt;"",Alunos!A159,"")</f>
        <v/>
      </c>
      <c r="C159" s="2" t="str">
        <f>IF(A159&lt;&gt;"",SUM(B159),"")</f>
        <v/>
      </c>
      <c r="D159" s="2" t="str">
        <f>IF(A159&lt;&gt;"",(Recurso!D1*Recurso!C159)/Recurso!C1, "")</f>
        <v/>
      </c>
    </row>
    <row r="160" spans="1:4" x14ac:dyDescent="0.3">
      <c r="A160" s="2" t="str">
        <f>IF(Alunos!A160&lt;&gt;"",Alunos!A160,"")</f>
        <v/>
      </c>
      <c r="C160" s="2" t="str">
        <f>IF(A160&lt;&gt;"",SUM(B160),"")</f>
        <v/>
      </c>
      <c r="D160" s="2" t="str">
        <f>IF(A160&lt;&gt;"",(Recurso!D1*Recurso!C160)/Recurso!C1, "")</f>
        <v/>
      </c>
    </row>
    <row r="161" spans="1:4" x14ac:dyDescent="0.3">
      <c r="A161" s="2" t="str">
        <f>IF(Alunos!A161&lt;&gt;"",Alunos!A161,"")</f>
        <v/>
      </c>
      <c r="C161" s="2" t="str">
        <f>IF(A161&lt;&gt;"",SUM(B161),"")</f>
        <v/>
      </c>
      <c r="D161" s="2" t="str">
        <f>IF(A161&lt;&gt;"",(Recurso!D1*Recurso!C161)/Recurso!C1, "")</f>
        <v/>
      </c>
    </row>
    <row r="162" spans="1:4" x14ac:dyDescent="0.3">
      <c r="A162" s="2" t="str">
        <f>IF(Alunos!A162&lt;&gt;"",Alunos!A162,"")</f>
        <v/>
      </c>
      <c r="C162" s="2" t="str">
        <f>IF(A162&lt;&gt;"",SUM(B162),"")</f>
        <v/>
      </c>
      <c r="D162" s="2" t="str">
        <f>IF(A162&lt;&gt;"",(Recurso!D1*Recurso!C162)/Recurso!C1, "")</f>
        <v/>
      </c>
    </row>
    <row r="163" spans="1:4" x14ac:dyDescent="0.3">
      <c r="A163" s="2" t="str">
        <f>IF(Alunos!A163&lt;&gt;"",Alunos!A163,"")</f>
        <v/>
      </c>
      <c r="C163" s="2" t="str">
        <f>IF(A163&lt;&gt;"",SUM(B163),"")</f>
        <v/>
      </c>
      <c r="D163" s="2" t="str">
        <f>IF(A163&lt;&gt;"",(Recurso!D1*Recurso!C163)/Recurso!C1, "")</f>
        <v/>
      </c>
    </row>
    <row r="164" spans="1:4" x14ac:dyDescent="0.3">
      <c r="A164" s="2" t="str">
        <f>IF(Alunos!A164&lt;&gt;"",Alunos!A164,"")</f>
        <v/>
      </c>
      <c r="C164" s="2" t="str">
        <f>IF(A164&lt;&gt;"",SUM(B164),"")</f>
        <v/>
      </c>
      <c r="D164" s="2" t="str">
        <f>IF(A164&lt;&gt;"",(Recurso!D1*Recurso!C164)/Recurso!C1, "")</f>
        <v/>
      </c>
    </row>
    <row r="165" spans="1:4" x14ac:dyDescent="0.3">
      <c r="A165" s="2" t="str">
        <f>IF(Alunos!A165&lt;&gt;"",Alunos!A165,"")</f>
        <v/>
      </c>
      <c r="C165" s="2" t="str">
        <f>IF(A165&lt;&gt;"",SUM(B165),"")</f>
        <v/>
      </c>
      <c r="D165" s="2" t="str">
        <f>IF(A165&lt;&gt;"",(Recurso!D1*Recurso!C165)/Recurso!C1, "")</f>
        <v/>
      </c>
    </row>
    <row r="166" spans="1:4" x14ac:dyDescent="0.3">
      <c r="A166" s="2" t="str">
        <f>IF(Alunos!A166&lt;&gt;"",Alunos!A166,"")</f>
        <v/>
      </c>
      <c r="C166" s="2" t="str">
        <f>IF(A166&lt;&gt;"",SUM(B166),"")</f>
        <v/>
      </c>
      <c r="D166" s="2" t="str">
        <f>IF(A166&lt;&gt;"",(Recurso!D1*Recurso!C166)/Recurso!C1, "")</f>
        <v/>
      </c>
    </row>
    <row r="167" spans="1:4" x14ac:dyDescent="0.3">
      <c r="A167" s="2" t="str">
        <f>IF(Alunos!A167&lt;&gt;"",Alunos!A167,"")</f>
        <v/>
      </c>
      <c r="C167" s="2" t="str">
        <f>IF(A167&lt;&gt;"",SUM(B167),"")</f>
        <v/>
      </c>
      <c r="D167" s="2" t="str">
        <f>IF(A167&lt;&gt;"",(Recurso!D1*Recurso!C167)/Recurso!C1, "")</f>
        <v/>
      </c>
    </row>
    <row r="168" spans="1:4" x14ac:dyDescent="0.3">
      <c r="A168" s="2" t="str">
        <f>IF(Alunos!A168&lt;&gt;"",Alunos!A168,"")</f>
        <v/>
      </c>
      <c r="C168" s="2" t="str">
        <f>IF(A168&lt;&gt;"",SUM(B168),"")</f>
        <v/>
      </c>
      <c r="D168" s="2" t="str">
        <f>IF(A168&lt;&gt;"",(Recurso!D1*Recurso!C168)/Recurso!C1, "")</f>
        <v/>
      </c>
    </row>
    <row r="169" spans="1:4" x14ac:dyDescent="0.3">
      <c r="A169" s="2" t="str">
        <f>IF(Alunos!A169&lt;&gt;"",Alunos!A169,"")</f>
        <v/>
      </c>
      <c r="C169" s="2" t="str">
        <f>IF(A169&lt;&gt;"",SUM(B169),"")</f>
        <v/>
      </c>
      <c r="D169" s="2" t="str">
        <f>IF(A169&lt;&gt;"",(Recurso!D1*Recurso!C169)/Recurso!C1, "")</f>
        <v/>
      </c>
    </row>
    <row r="170" spans="1:4" x14ac:dyDescent="0.3">
      <c r="A170" s="2" t="str">
        <f>IF(Alunos!A170&lt;&gt;"",Alunos!A170,"")</f>
        <v/>
      </c>
      <c r="C170" s="2" t="str">
        <f>IF(A170&lt;&gt;"",SUM(B170),"")</f>
        <v/>
      </c>
      <c r="D170" s="2" t="str">
        <f>IF(A170&lt;&gt;"",(Recurso!D1*Recurso!C170)/Recurso!C1, "")</f>
        <v/>
      </c>
    </row>
    <row r="171" spans="1:4" x14ac:dyDescent="0.3">
      <c r="A171" s="2" t="str">
        <f>IF(Alunos!A171&lt;&gt;"",Alunos!A171,"")</f>
        <v/>
      </c>
      <c r="C171" s="2" t="str">
        <f>IF(A171&lt;&gt;"",SUM(B171),"")</f>
        <v/>
      </c>
      <c r="D171" s="2" t="str">
        <f>IF(A171&lt;&gt;"",(Recurso!D1*Recurso!C171)/Recurso!C1, "")</f>
        <v/>
      </c>
    </row>
    <row r="172" spans="1:4" x14ac:dyDescent="0.3">
      <c r="A172" s="2" t="str">
        <f>IF(Alunos!A172&lt;&gt;"",Alunos!A172,"")</f>
        <v/>
      </c>
      <c r="C172" s="2" t="str">
        <f>IF(A172&lt;&gt;"",SUM(B172),"")</f>
        <v/>
      </c>
      <c r="D172" s="2" t="str">
        <f>IF(A172&lt;&gt;"",(Recurso!D1*Recurso!C172)/Recurso!C1, "")</f>
        <v/>
      </c>
    </row>
    <row r="173" spans="1:4" x14ac:dyDescent="0.3">
      <c r="A173" s="2" t="str">
        <f>IF(Alunos!A173&lt;&gt;"",Alunos!A173,"")</f>
        <v/>
      </c>
      <c r="C173" s="2" t="str">
        <f>IF(A173&lt;&gt;"",SUM(B173),"")</f>
        <v/>
      </c>
      <c r="D173" s="2" t="str">
        <f>IF(A173&lt;&gt;"",(Recurso!D1*Recurso!C173)/Recurso!C1, "")</f>
        <v/>
      </c>
    </row>
    <row r="174" spans="1:4" x14ac:dyDescent="0.3">
      <c r="A174" s="2" t="str">
        <f>IF(Alunos!A174&lt;&gt;"",Alunos!A174,"")</f>
        <v/>
      </c>
      <c r="C174" s="2" t="str">
        <f>IF(A174&lt;&gt;"",SUM(B174),"")</f>
        <v/>
      </c>
      <c r="D174" s="2" t="str">
        <f>IF(A174&lt;&gt;"",(Recurso!D1*Recurso!C174)/Recurso!C1, "")</f>
        <v/>
      </c>
    </row>
    <row r="175" spans="1:4" x14ac:dyDescent="0.3">
      <c r="A175" s="2" t="str">
        <f>IF(Alunos!A175&lt;&gt;"",Alunos!A175,"")</f>
        <v/>
      </c>
      <c r="C175" s="2" t="str">
        <f>IF(A175&lt;&gt;"",SUM(B175),"")</f>
        <v/>
      </c>
      <c r="D175" s="2" t="str">
        <f>IF(A175&lt;&gt;"",(Recurso!D1*Recurso!C175)/Recurso!C1, "")</f>
        <v/>
      </c>
    </row>
    <row r="176" spans="1:4" x14ac:dyDescent="0.3">
      <c r="A176" s="2" t="str">
        <f>IF(Alunos!A176&lt;&gt;"",Alunos!A176,"")</f>
        <v/>
      </c>
      <c r="C176" s="2" t="str">
        <f>IF(A176&lt;&gt;"",SUM(B176),"")</f>
        <v/>
      </c>
      <c r="D176" s="2" t="str">
        <f>IF(A176&lt;&gt;"",(Recurso!D1*Recurso!C176)/Recurso!C1, "")</f>
        <v/>
      </c>
    </row>
    <row r="177" spans="1:4" x14ac:dyDescent="0.3">
      <c r="A177" s="2" t="str">
        <f>IF(Alunos!A177&lt;&gt;"",Alunos!A177,"")</f>
        <v/>
      </c>
      <c r="C177" s="2" t="str">
        <f>IF(A177&lt;&gt;"",SUM(B177),"")</f>
        <v/>
      </c>
      <c r="D177" s="2" t="str">
        <f>IF(A177&lt;&gt;"",(Recurso!D1*Recurso!C177)/Recurso!C1, "")</f>
        <v/>
      </c>
    </row>
    <row r="178" spans="1:4" x14ac:dyDescent="0.3">
      <c r="A178" s="2" t="str">
        <f>IF(Alunos!A178&lt;&gt;"",Alunos!A178,"")</f>
        <v/>
      </c>
      <c r="C178" s="2" t="str">
        <f>IF(A178&lt;&gt;"",SUM(B178),"")</f>
        <v/>
      </c>
      <c r="D178" s="2" t="str">
        <f>IF(A178&lt;&gt;"",(Recurso!D1*Recurso!C178)/Recurso!C1, "")</f>
        <v/>
      </c>
    </row>
    <row r="179" spans="1:4" x14ac:dyDescent="0.3">
      <c r="A179" s="2" t="str">
        <f>IF(Alunos!A179&lt;&gt;"",Alunos!A179,"")</f>
        <v/>
      </c>
      <c r="C179" s="2" t="str">
        <f>IF(A179&lt;&gt;"",SUM(B179),"")</f>
        <v/>
      </c>
      <c r="D179" s="2" t="str">
        <f>IF(A179&lt;&gt;"",(Recurso!D1*Recurso!C179)/Recurso!C1, "")</f>
        <v/>
      </c>
    </row>
    <row r="180" spans="1:4" x14ac:dyDescent="0.3">
      <c r="A180" s="2" t="str">
        <f>IF(Alunos!A180&lt;&gt;"",Alunos!A180,"")</f>
        <v/>
      </c>
      <c r="C180" s="2" t="str">
        <f>IF(A180&lt;&gt;"",SUM(B180),"")</f>
        <v/>
      </c>
      <c r="D180" s="2" t="str">
        <f>IF(A180&lt;&gt;"",(Recurso!D1*Recurso!C180)/Recurso!C1, "")</f>
        <v/>
      </c>
    </row>
    <row r="181" spans="1:4" x14ac:dyDescent="0.3">
      <c r="A181" s="2" t="str">
        <f>IF(Alunos!A181&lt;&gt;"",Alunos!A181,"")</f>
        <v/>
      </c>
      <c r="C181" s="2" t="str">
        <f>IF(A181&lt;&gt;"",SUM(B181),"")</f>
        <v/>
      </c>
      <c r="D181" s="2" t="str">
        <f>IF(A181&lt;&gt;"",(Recurso!D1*Recurso!C181)/Recurso!C1, "")</f>
        <v/>
      </c>
    </row>
    <row r="182" spans="1:4" x14ac:dyDescent="0.3">
      <c r="A182" s="2" t="str">
        <f>IF(Alunos!A182&lt;&gt;"",Alunos!A182,"")</f>
        <v/>
      </c>
      <c r="C182" s="2" t="str">
        <f>IF(A182&lt;&gt;"",SUM(B182),"")</f>
        <v/>
      </c>
      <c r="D182" s="2" t="str">
        <f>IF(A182&lt;&gt;"",(Recurso!D1*Recurso!C182)/Recurso!C1, "")</f>
        <v/>
      </c>
    </row>
    <row r="183" spans="1:4" x14ac:dyDescent="0.3">
      <c r="A183" s="2" t="str">
        <f>IF(Alunos!A183&lt;&gt;"",Alunos!A183,"")</f>
        <v/>
      </c>
      <c r="C183" s="2" t="str">
        <f>IF(A183&lt;&gt;"",SUM(B183),"")</f>
        <v/>
      </c>
      <c r="D183" s="2" t="str">
        <f>IF(A183&lt;&gt;"",(Recurso!D1*Recurso!C183)/Recurso!C1, "")</f>
        <v/>
      </c>
    </row>
    <row r="184" spans="1:4" x14ac:dyDescent="0.3">
      <c r="A184" s="2" t="str">
        <f>IF(Alunos!A184&lt;&gt;"",Alunos!A184,"")</f>
        <v/>
      </c>
      <c r="C184" s="2" t="str">
        <f>IF(A184&lt;&gt;"",SUM(B184),"")</f>
        <v/>
      </c>
      <c r="D184" s="2" t="str">
        <f>IF(A184&lt;&gt;"",(Recurso!D1*Recurso!C184)/Recurso!C1, "")</f>
        <v/>
      </c>
    </row>
    <row r="185" spans="1:4" x14ac:dyDescent="0.3">
      <c r="A185" s="2" t="str">
        <f>IF(Alunos!A185&lt;&gt;"",Alunos!A185,"")</f>
        <v/>
      </c>
      <c r="C185" s="2" t="str">
        <f>IF(A185&lt;&gt;"",SUM(B185),"")</f>
        <v/>
      </c>
      <c r="D185" s="2" t="str">
        <f>IF(A185&lt;&gt;"",(Recurso!D1*Recurso!C185)/Recurso!C1, "")</f>
        <v/>
      </c>
    </row>
    <row r="186" spans="1:4" x14ac:dyDescent="0.3">
      <c r="A186" s="2" t="str">
        <f>IF(Alunos!A186&lt;&gt;"",Alunos!A186,"")</f>
        <v/>
      </c>
      <c r="C186" s="2" t="str">
        <f>IF(A186&lt;&gt;"",SUM(B186),"")</f>
        <v/>
      </c>
      <c r="D186" s="2" t="str">
        <f>IF(A186&lt;&gt;"",(Recurso!D1*Recurso!C186)/Recurso!C1, "")</f>
        <v/>
      </c>
    </row>
    <row r="187" spans="1:4" x14ac:dyDescent="0.3">
      <c r="A187" s="2" t="str">
        <f>IF(Alunos!A187&lt;&gt;"",Alunos!A187,"")</f>
        <v/>
      </c>
      <c r="C187" s="2" t="str">
        <f>IF(A187&lt;&gt;"",SUM(B187),"")</f>
        <v/>
      </c>
      <c r="D187" s="2" t="str">
        <f>IF(A187&lt;&gt;"",(Recurso!D1*Recurso!C187)/Recurso!C1, "")</f>
        <v/>
      </c>
    </row>
    <row r="188" spans="1:4" x14ac:dyDescent="0.3">
      <c r="A188" s="2" t="str">
        <f>IF(Alunos!A188&lt;&gt;"",Alunos!A188,"")</f>
        <v/>
      </c>
      <c r="C188" s="2" t="str">
        <f>IF(A188&lt;&gt;"",SUM(B188),"")</f>
        <v/>
      </c>
      <c r="D188" s="2" t="str">
        <f>IF(A188&lt;&gt;"",(Recurso!D1*Recurso!C188)/Recurso!C1, "")</f>
        <v/>
      </c>
    </row>
    <row r="189" spans="1:4" x14ac:dyDescent="0.3">
      <c r="A189" s="2" t="str">
        <f>IF(Alunos!A189&lt;&gt;"",Alunos!A189,"")</f>
        <v/>
      </c>
      <c r="C189" s="2" t="str">
        <f>IF(A189&lt;&gt;"",SUM(B189),"")</f>
        <v/>
      </c>
      <c r="D189" s="2" t="str">
        <f>IF(A189&lt;&gt;"",(Recurso!D1*Recurso!C189)/Recurso!C1, "")</f>
        <v/>
      </c>
    </row>
    <row r="190" spans="1:4" x14ac:dyDescent="0.3">
      <c r="A190" s="2" t="str">
        <f>IF(Alunos!A190&lt;&gt;"",Alunos!A190,"")</f>
        <v/>
      </c>
      <c r="C190" s="2" t="str">
        <f>IF(A190&lt;&gt;"",SUM(B190),"")</f>
        <v/>
      </c>
      <c r="D190" s="2" t="str">
        <f>IF(A190&lt;&gt;"",(Recurso!D1*Recurso!C190)/Recurso!C1, "")</f>
        <v/>
      </c>
    </row>
    <row r="191" spans="1:4" x14ac:dyDescent="0.3">
      <c r="A191" s="2" t="str">
        <f>IF(Alunos!A191&lt;&gt;"",Alunos!A191,"")</f>
        <v/>
      </c>
      <c r="C191" s="2" t="str">
        <f>IF(A191&lt;&gt;"",SUM(B191),"")</f>
        <v/>
      </c>
      <c r="D191" s="2" t="str">
        <f>IF(A191&lt;&gt;"",(Recurso!D1*Recurso!C191)/Recurso!C1, "")</f>
        <v/>
      </c>
    </row>
    <row r="192" spans="1:4" x14ac:dyDescent="0.3">
      <c r="A192" s="2" t="str">
        <f>IF(Alunos!A192&lt;&gt;"",Alunos!A192,"")</f>
        <v/>
      </c>
      <c r="C192" s="2" t="str">
        <f>IF(A192&lt;&gt;"",SUM(B192),"")</f>
        <v/>
      </c>
      <c r="D192" s="2" t="str">
        <f>IF(A192&lt;&gt;"",(Recurso!D1*Recurso!C192)/Recurso!C1, "")</f>
        <v/>
      </c>
    </row>
    <row r="193" spans="1:4" x14ac:dyDescent="0.3">
      <c r="A193" s="2" t="str">
        <f>IF(Alunos!A193&lt;&gt;"",Alunos!A193,"")</f>
        <v/>
      </c>
      <c r="C193" s="2" t="str">
        <f>IF(A193&lt;&gt;"",SUM(B193),"")</f>
        <v/>
      </c>
      <c r="D193" s="2" t="str">
        <f>IF(A193&lt;&gt;"",(Recurso!D1*Recurso!C193)/Recurso!C1, "")</f>
        <v/>
      </c>
    </row>
    <row r="194" spans="1:4" x14ac:dyDescent="0.3">
      <c r="A194" s="2" t="str">
        <f>IF(Alunos!A194&lt;&gt;"",Alunos!A194,"")</f>
        <v/>
      </c>
      <c r="C194" s="2" t="str">
        <f>IF(A194&lt;&gt;"",SUM(B194),"")</f>
        <v/>
      </c>
      <c r="D194" s="2" t="str">
        <f>IF(A194&lt;&gt;"",(Recurso!D1*Recurso!C194)/Recurso!C1, "")</f>
        <v/>
      </c>
    </row>
    <row r="195" spans="1:4" x14ac:dyDescent="0.3">
      <c r="A195" s="2" t="str">
        <f>IF(Alunos!A195&lt;&gt;"",Alunos!A195,"")</f>
        <v/>
      </c>
      <c r="C195" s="2" t="str">
        <f>IF(A195&lt;&gt;"",SUM(B195),"")</f>
        <v/>
      </c>
      <c r="D195" s="2" t="str">
        <f>IF(A195&lt;&gt;"",(Recurso!D1*Recurso!C195)/Recurso!C1, "")</f>
        <v/>
      </c>
    </row>
    <row r="196" spans="1:4" x14ac:dyDescent="0.3">
      <c r="A196" s="2" t="str">
        <f>IF(Alunos!A196&lt;&gt;"",Alunos!A196,"")</f>
        <v/>
      </c>
      <c r="C196" s="2" t="str">
        <f>IF(A196&lt;&gt;"",SUM(B196),"")</f>
        <v/>
      </c>
      <c r="D196" s="2" t="str">
        <f>IF(A196&lt;&gt;"",(Recurso!D1*Recurso!C196)/Recurso!C1, "")</f>
        <v/>
      </c>
    </row>
    <row r="197" spans="1:4" x14ac:dyDescent="0.3">
      <c r="A197" s="2" t="str">
        <f>IF(Alunos!A197&lt;&gt;"",Alunos!A197,"")</f>
        <v/>
      </c>
      <c r="C197" s="2" t="str">
        <f>IF(A197&lt;&gt;"",SUM(B197),"")</f>
        <v/>
      </c>
      <c r="D197" s="2" t="str">
        <f>IF(A197&lt;&gt;"",(Recurso!D1*Recurso!C197)/Recurso!C1, "")</f>
        <v/>
      </c>
    </row>
    <row r="198" spans="1:4" x14ac:dyDescent="0.3">
      <c r="A198" s="2" t="str">
        <f>IF(Alunos!A198&lt;&gt;"",Alunos!A198,"")</f>
        <v/>
      </c>
      <c r="C198" s="2" t="str">
        <f>IF(A198&lt;&gt;"",SUM(B198),"")</f>
        <v/>
      </c>
      <c r="D198" s="2" t="str">
        <f>IF(A198&lt;&gt;"",(Recurso!D1*Recurso!C198)/Recurso!C1, "")</f>
        <v/>
      </c>
    </row>
    <row r="199" spans="1:4" x14ac:dyDescent="0.3">
      <c r="A199" s="2" t="str">
        <f>IF(Alunos!A199&lt;&gt;"",Alunos!A199,"")</f>
        <v/>
      </c>
      <c r="C199" s="2" t="str">
        <f>IF(A199&lt;&gt;"",SUM(B199),"")</f>
        <v/>
      </c>
      <c r="D199" s="2" t="str">
        <f>IF(A199&lt;&gt;"",(Recurso!D1*Recurso!C199)/Recurso!C1, "")</f>
        <v/>
      </c>
    </row>
    <row r="200" spans="1:4" x14ac:dyDescent="0.3">
      <c r="A200" s="2" t="str">
        <f>IF(Alunos!A200&lt;&gt;"",Alunos!A200,"")</f>
        <v/>
      </c>
      <c r="C200" s="2" t="str">
        <f>IF(A200&lt;&gt;"",SUM(B200),"")</f>
        <v/>
      </c>
      <c r="D200" s="2" t="str">
        <f>IF(A200&lt;&gt;"",(Recurso!D1*Recurso!C200)/Recurso!C1, "")</f>
        <v/>
      </c>
    </row>
    <row r="201" spans="1:4" x14ac:dyDescent="0.3">
      <c r="A201" s="2" t="str">
        <f>IF(Alunos!A201&lt;&gt;"",Alunos!A201,"")</f>
        <v/>
      </c>
      <c r="C201" s="2" t="str">
        <f>IF(A201&lt;&gt;"",SUM(B201),"")</f>
        <v/>
      </c>
      <c r="D201" s="2" t="str">
        <f>IF(A201&lt;&gt;"",(Recurso!D1*Recurso!C201)/Recurso!C1, "")</f>
        <v/>
      </c>
    </row>
    <row r="202" spans="1:4" x14ac:dyDescent="0.3">
      <c r="A202" s="2" t="str">
        <f>IF(Alunos!A202&lt;&gt;"",Alunos!A202,"")</f>
        <v/>
      </c>
      <c r="C202" s="2" t="str">
        <f>IF(A202&lt;&gt;"",SUM(B202),"")</f>
        <v/>
      </c>
      <c r="D202" s="2" t="str">
        <f>IF(A202&lt;&gt;"",(Recurso!D1*Recurso!C202)/Recurso!C1, "")</f>
        <v/>
      </c>
    </row>
    <row r="203" spans="1:4" x14ac:dyDescent="0.3">
      <c r="A203" s="2" t="str">
        <f>IF(Alunos!A203&lt;&gt;"",Alunos!A203,"")</f>
        <v/>
      </c>
      <c r="C203" s="2" t="str">
        <f>IF(A203&lt;&gt;"",SUM(B203),"")</f>
        <v/>
      </c>
      <c r="D203" s="2" t="str">
        <f>IF(A203&lt;&gt;"",(Recurso!D1*Recurso!C203)/Recurso!C1, "")</f>
        <v/>
      </c>
    </row>
    <row r="204" spans="1:4" x14ac:dyDescent="0.3">
      <c r="A204" s="2" t="str">
        <f>IF(Alunos!A204&lt;&gt;"",Alunos!A204,"")</f>
        <v/>
      </c>
      <c r="C204" s="2" t="str">
        <f>IF(A204&lt;&gt;"",SUM(B204),"")</f>
        <v/>
      </c>
      <c r="D204" s="2" t="str">
        <f>IF(A204&lt;&gt;"",(Recurso!D1*Recurso!C204)/Recurso!C1, "")</f>
        <v/>
      </c>
    </row>
    <row r="205" spans="1:4" x14ac:dyDescent="0.3">
      <c r="A205" s="2" t="str">
        <f>IF(Alunos!A205&lt;&gt;"",Alunos!A205,"")</f>
        <v/>
      </c>
      <c r="C205" s="2" t="str">
        <f>IF(A205&lt;&gt;"",SUM(B205),"")</f>
        <v/>
      </c>
      <c r="D205" s="2" t="str">
        <f>IF(A205&lt;&gt;"",(Recurso!D1*Recurso!C205)/Recurso!C1, "")</f>
        <v/>
      </c>
    </row>
    <row r="206" spans="1:4" x14ac:dyDescent="0.3">
      <c r="A206" s="2" t="str">
        <f>IF(Alunos!A206&lt;&gt;"",Alunos!A206,"")</f>
        <v/>
      </c>
      <c r="C206" s="2" t="str">
        <f>IF(A206&lt;&gt;"",SUM(B206),"")</f>
        <v/>
      </c>
      <c r="D206" s="2" t="str">
        <f>IF(A206&lt;&gt;"",(Recurso!D1*Recurso!C206)/Recurso!C1, "")</f>
        <v/>
      </c>
    </row>
    <row r="207" spans="1:4" x14ac:dyDescent="0.3">
      <c r="A207" s="2" t="str">
        <f>IF(Alunos!A207&lt;&gt;"",Alunos!A207,"")</f>
        <v/>
      </c>
      <c r="C207" s="2" t="str">
        <f>IF(A207&lt;&gt;"",SUM(B207),"")</f>
        <v/>
      </c>
      <c r="D207" s="2" t="str">
        <f>IF(A207&lt;&gt;"",(Recurso!D1*Recurso!C207)/Recurso!C1, "")</f>
        <v/>
      </c>
    </row>
    <row r="208" spans="1:4" x14ac:dyDescent="0.3">
      <c r="A208" s="2" t="str">
        <f>IF(Alunos!A208&lt;&gt;"",Alunos!A208,"")</f>
        <v/>
      </c>
      <c r="C208" s="2" t="str">
        <f>IF(A208&lt;&gt;"",SUM(B208),"")</f>
        <v/>
      </c>
      <c r="D208" s="2" t="str">
        <f>IF(A208&lt;&gt;"",(Recurso!D1*Recurso!C208)/Recurso!C1, "")</f>
        <v/>
      </c>
    </row>
    <row r="209" spans="1:4" x14ac:dyDescent="0.3">
      <c r="A209" s="2" t="str">
        <f>IF(Alunos!A209&lt;&gt;"",Alunos!A209,"")</f>
        <v/>
      </c>
      <c r="C209" s="2" t="str">
        <f>IF(A209&lt;&gt;"",SUM(B209),"")</f>
        <v/>
      </c>
      <c r="D209" s="2" t="str">
        <f>IF(A209&lt;&gt;"",(Recurso!D1*Recurso!C209)/Recurso!C1, "")</f>
        <v/>
      </c>
    </row>
    <row r="210" spans="1:4" x14ac:dyDescent="0.3">
      <c r="A210" s="2" t="str">
        <f>IF(Alunos!A210&lt;&gt;"",Alunos!A210,"")</f>
        <v/>
      </c>
      <c r="C210" s="2" t="str">
        <f>IF(A210&lt;&gt;"",SUM(B210),"")</f>
        <v/>
      </c>
      <c r="D210" s="2" t="str">
        <f>IF(A210&lt;&gt;"",(Recurso!D1*Recurso!C210)/Recurso!C1, "")</f>
        <v/>
      </c>
    </row>
    <row r="211" spans="1:4" x14ac:dyDescent="0.3">
      <c r="A211" s="2" t="str">
        <f>IF(Alunos!A211&lt;&gt;"",Alunos!A211,"")</f>
        <v/>
      </c>
      <c r="C211" s="2" t="str">
        <f>IF(A211&lt;&gt;"",SUM(B211),"")</f>
        <v/>
      </c>
      <c r="D211" s="2" t="str">
        <f>IF(A211&lt;&gt;"",(Recurso!D1*Recurso!C211)/Recurso!C1, "")</f>
        <v/>
      </c>
    </row>
    <row r="212" spans="1:4" x14ac:dyDescent="0.3">
      <c r="A212" s="2" t="str">
        <f>IF(Alunos!A212&lt;&gt;"",Alunos!A212,"")</f>
        <v/>
      </c>
      <c r="C212" s="2" t="str">
        <f>IF(A212&lt;&gt;"",SUM(B212),"")</f>
        <v/>
      </c>
      <c r="D212" s="2" t="str">
        <f>IF(A212&lt;&gt;"",(Recurso!D1*Recurso!C212)/Recurso!C1, "")</f>
        <v/>
      </c>
    </row>
    <row r="213" spans="1:4" x14ac:dyDescent="0.3">
      <c r="A213" s="2" t="str">
        <f>IF(Alunos!A213&lt;&gt;"",Alunos!A213,"")</f>
        <v/>
      </c>
      <c r="C213" s="2" t="str">
        <f>IF(A213&lt;&gt;"",SUM(B213),"")</f>
        <v/>
      </c>
      <c r="D213" s="2" t="str">
        <f>IF(A213&lt;&gt;"",(Recurso!D1*Recurso!C213)/Recurso!C1, "")</f>
        <v/>
      </c>
    </row>
    <row r="214" spans="1:4" x14ac:dyDescent="0.3">
      <c r="A214" s="2" t="str">
        <f>IF(Alunos!A214&lt;&gt;"",Alunos!A214,"")</f>
        <v/>
      </c>
      <c r="C214" s="2" t="str">
        <f>IF(A214&lt;&gt;"",SUM(B214),"")</f>
        <v/>
      </c>
      <c r="D214" s="2" t="str">
        <f>IF(A214&lt;&gt;"",(Recurso!D1*Recurso!C214)/Recurso!C1, "")</f>
        <v/>
      </c>
    </row>
    <row r="215" spans="1:4" x14ac:dyDescent="0.3">
      <c r="A215" s="2" t="str">
        <f>IF(Alunos!A215&lt;&gt;"",Alunos!A215,"")</f>
        <v/>
      </c>
      <c r="C215" s="2" t="str">
        <f>IF(A215&lt;&gt;"",SUM(B215),"")</f>
        <v/>
      </c>
      <c r="D215" s="2" t="str">
        <f>IF(A215&lt;&gt;"",(Recurso!D1*Recurso!C215)/Recurso!C1, "")</f>
        <v/>
      </c>
    </row>
    <row r="216" spans="1:4" x14ac:dyDescent="0.3">
      <c r="A216" s="2" t="str">
        <f>IF(Alunos!A216&lt;&gt;"",Alunos!A216,"")</f>
        <v/>
      </c>
      <c r="C216" s="2" t="str">
        <f>IF(A216&lt;&gt;"",SUM(B216),"")</f>
        <v/>
      </c>
      <c r="D216" s="2" t="str">
        <f>IF(A216&lt;&gt;"",(Recurso!D1*Recurso!C216)/Recurso!C1, "")</f>
        <v/>
      </c>
    </row>
    <row r="217" spans="1:4" x14ac:dyDescent="0.3">
      <c r="A217" s="2" t="str">
        <f>IF(Alunos!A217&lt;&gt;"",Alunos!A217,"")</f>
        <v/>
      </c>
      <c r="C217" s="2" t="str">
        <f>IF(A217&lt;&gt;"",SUM(B217),"")</f>
        <v/>
      </c>
      <c r="D217" s="2" t="str">
        <f>IF(A217&lt;&gt;"",(Recurso!D1*Recurso!C217)/Recurso!C1, "")</f>
        <v/>
      </c>
    </row>
    <row r="218" spans="1:4" x14ac:dyDescent="0.3">
      <c r="A218" s="2" t="str">
        <f>IF(Alunos!A218&lt;&gt;"",Alunos!A218,"")</f>
        <v/>
      </c>
      <c r="C218" s="2" t="str">
        <f>IF(A218&lt;&gt;"",SUM(B218),"")</f>
        <v/>
      </c>
      <c r="D218" s="2" t="str">
        <f>IF(A218&lt;&gt;"",(Recurso!D1*Recurso!C218)/Recurso!C1, "")</f>
        <v/>
      </c>
    </row>
    <row r="219" spans="1:4" x14ac:dyDescent="0.3">
      <c r="A219" s="2" t="str">
        <f>IF(Alunos!A219&lt;&gt;"",Alunos!A219,"")</f>
        <v/>
      </c>
      <c r="C219" s="2" t="str">
        <f>IF(A219&lt;&gt;"",SUM(B219),"")</f>
        <v/>
      </c>
      <c r="D219" s="2" t="str">
        <f>IF(A219&lt;&gt;"",(Recurso!D1*Recurso!C219)/Recurso!C1, "")</f>
        <v/>
      </c>
    </row>
    <row r="220" spans="1:4" x14ac:dyDescent="0.3">
      <c r="A220" s="2" t="str">
        <f>IF(Alunos!A220&lt;&gt;"",Alunos!A220,"")</f>
        <v/>
      </c>
      <c r="C220" s="2" t="str">
        <f>IF(A220&lt;&gt;"",SUM(B220),"")</f>
        <v/>
      </c>
      <c r="D220" s="2" t="str">
        <f>IF(A220&lt;&gt;"",(Recurso!D1*Recurso!C220)/Recurso!C1, "")</f>
        <v/>
      </c>
    </row>
    <row r="221" spans="1:4" x14ac:dyDescent="0.3">
      <c r="A221" s="2" t="str">
        <f>IF(Alunos!A221&lt;&gt;"",Alunos!A221,"")</f>
        <v/>
      </c>
      <c r="C221" s="2" t="str">
        <f>IF(A221&lt;&gt;"",SUM(B221),"")</f>
        <v/>
      </c>
      <c r="D221" s="2" t="str">
        <f>IF(A221&lt;&gt;"",(Recurso!D1*Recurso!C221)/Recurso!C1, "")</f>
        <v/>
      </c>
    </row>
    <row r="222" spans="1:4" x14ac:dyDescent="0.3">
      <c r="A222" s="2" t="str">
        <f>IF(Alunos!A222&lt;&gt;"",Alunos!A222,"")</f>
        <v/>
      </c>
      <c r="C222" s="2" t="str">
        <f>IF(A222&lt;&gt;"",SUM(B222),"")</f>
        <v/>
      </c>
      <c r="D222" s="2" t="str">
        <f>IF(A222&lt;&gt;"",(Recurso!D1*Recurso!C222)/Recurso!C1, "")</f>
        <v/>
      </c>
    </row>
    <row r="223" spans="1:4" x14ac:dyDescent="0.3">
      <c r="A223" s="2" t="str">
        <f>IF(Alunos!A223&lt;&gt;"",Alunos!A223,"")</f>
        <v/>
      </c>
      <c r="C223" s="2" t="str">
        <f>IF(A223&lt;&gt;"",SUM(B223),"")</f>
        <v/>
      </c>
      <c r="D223" s="2" t="str">
        <f>IF(A223&lt;&gt;"",(Recurso!D1*Recurso!C223)/Recurso!C1, "")</f>
        <v/>
      </c>
    </row>
    <row r="224" spans="1:4" x14ac:dyDescent="0.3">
      <c r="A224" s="2" t="str">
        <f>IF(Alunos!A224&lt;&gt;"",Alunos!A224,"")</f>
        <v/>
      </c>
      <c r="C224" s="2" t="str">
        <f>IF(A224&lt;&gt;"",SUM(B224),"")</f>
        <v/>
      </c>
      <c r="D224" s="2" t="str">
        <f>IF(A224&lt;&gt;"",(Recurso!D1*Recurso!C224)/Recurso!C1, "")</f>
        <v/>
      </c>
    </row>
    <row r="225" spans="1:4" x14ac:dyDescent="0.3">
      <c r="A225" s="2" t="str">
        <f>IF(Alunos!A225&lt;&gt;"",Alunos!A225,"")</f>
        <v/>
      </c>
      <c r="C225" s="2" t="str">
        <f>IF(A225&lt;&gt;"",SUM(B225),"")</f>
        <v/>
      </c>
      <c r="D225" s="2" t="str">
        <f>IF(A225&lt;&gt;"",(Recurso!D1*Recurso!C225)/Recurso!C1, "")</f>
        <v/>
      </c>
    </row>
    <row r="226" spans="1:4" x14ac:dyDescent="0.3">
      <c r="A226" s="2" t="str">
        <f>IF(Alunos!A226&lt;&gt;"",Alunos!A226,"")</f>
        <v/>
      </c>
      <c r="C226" s="2" t="str">
        <f>IF(A226&lt;&gt;"",SUM(B226),"")</f>
        <v/>
      </c>
      <c r="D226" s="2" t="str">
        <f>IF(A226&lt;&gt;"",(Recurso!D1*Recurso!C226)/Recurso!C1, "")</f>
        <v/>
      </c>
    </row>
    <row r="227" spans="1:4" x14ac:dyDescent="0.3">
      <c r="A227" s="2" t="str">
        <f>IF(Alunos!A227&lt;&gt;"",Alunos!A227,"")</f>
        <v/>
      </c>
      <c r="C227" s="2" t="str">
        <f>IF(A227&lt;&gt;"",SUM(B227),"")</f>
        <v/>
      </c>
      <c r="D227" s="2" t="str">
        <f>IF(A227&lt;&gt;"",(Recurso!D1*Recurso!C227)/Recurso!C1, "")</f>
        <v/>
      </c>
    </row>
    <row r="228" spans="1:4" x14ac:dyDescent="0.3">
      <c r="A228" s="2" t="str">
        <f>IF(Alunos!A228&lt;&gt;"",Alunos!A228,"")</f>
        <v/>
      </c>
      <c r="C228" s="2" t="str">
        <f>IF(A228&lt;&gt;"",SUM(B228),"")</f>
        <v/>
      </c>
      <c r="D228" s="2" t="str">
        <f>IF(A228&lt;&gt;"",(Recurso!D1*Recurso!C228)/Recurso!C1, "")</f>
        <v/>
      </c>
    </row>
    <row r="229" spans="1:4" x14ac:dyDescent="0.3">
      <c r="A229" s="2" t="str">
        <f>IF(Alunos!A229&lt;&gt;"",Alunos!A229,"")</f>
        <v/>
      </c>
      <c r="C229" s="2" t="str">
        <f>IF(A229&lt;&gt;"",SUM(B229),"")</f>
        <v/>
      </c>
      <c r="D229" s="2" t="str">
        <f>IF(A229&lt;&gt;"",(Recurso!D1*Recurso!C229)/Recurso!C1, "")</f>
        <v/>
      </c>
    </row>
    <row r="230" spans="1:4" x14ac:dyDescent="0.3">
      <c r="A230" s="2" t="str">
        <f>IF(Alunos!A230&lt;&gt;"",Alunos!A230,"")</f>
        <v/>
      </c>
      <c r="C230" s="2" t="str">
        <f>IF(A230&lt;&gt;"",SUM(B230),"")</f>
        <v/>
      </c>
      <c r="D230" s="2" t="str">
        <f>IF(A230&lt;&gt;"",(Recurso!D1*Recurso!C230)/Recurso!C1, "")</f>
        <v/>
      </c>
    </row>
    <row r="231" spans="1:4" x14ac:dyDescent="0.3">
      <c r="A231" s="2" t="str">
        <f>IF(Alunos!A231&lt;&gt;"",Alunos!A231,"")</f>
        <v/>
      </c>
      <c r="C231" s="2" t="str">
        <f>IF(A231&lt;&gt;"",SUM(B231),"")</f>
        <v/>
      </c>
      <c r="D231" s="2" t="str">
        <f>IF(A231&lt;&gt;"",(Recurso!D1*Recurso!C231)/Recurso!C1, "")</f>
        <v/>
      </c>
    </row>
    <row r="232" spans="1:4" x14ac:dyDescent="0.3">
      <c r="A232" s="2" t="str">
        <f>IF(Alunos!A232&lt;&gt;"",Alunos!A232,"")</f>
        <v/>
      </c>
      <c r="C232" s="2" t="str">
        <f>IF(A232&lt;&gt;"",SUM(B232),"")</f>
        <v/>
      </c>
      <c r="D232" s="2" t="str">
        <f>IF(A232&lt;&gt;"",(Recurso!D1*Recurso!C232)/Recurso!C1, "")</f>
        <v/>
      </c>
    </row>
    <row r="233" spans="1:4" x14ac:dyDescent="0.3">
      <c r="A233" s="2" t="str">
        <f>IF(Alunos!A233&lt;&gt;"",Alunos!A233,"")</f>
        <v/>
      </c>
      <c r="C233" s="2" t="str">
        <f>IF(A233&lt;&gt;"",SUM(B233),"")</f>
        <v/>
      </c>
      <c r="D233" s="2" t="str">
        <f>IF(A233&lt;&gt;"",(Recurso!D1*Recurso!C233)/Recurso!C1, "")</f>
        <v/>
      </c>
    </row>
    <row r="234" spans="1:4" x14ac:dyDescent="0.3">
      <c r="A234" s="2" t="str">
        <f>IF(Alunos!A234&lt;&gt;"",Alunos!A234,"")</f>
        <v/>
      </c>
      <c r="C234" s="2" t="str">
        <f>IF(A234&lt;&gt;"",SUM(B234),"")</f>
        <v/>
      </c>
      <c r="D234" s="2" t="str">
        <f>IF(A234&lt;&gt;"",(Recurso!D1*Recurso!C234)/Recurso!C1, "")</f>
        <v/>
      </c>
    </row>
    <row r="235" spans="1:4" x14ac:dyDescent="0.3">
      <c r="A235" s="2" t="str">
        <f>IF(Alunos!A235&lt;&gt;"",Alunos!A235,"")</f>
        <v/>
      </c>
      <c r="C235" s="2" t="str">
        <f>IF(A235&lt;&gt;"",SUM(B235),"")</f>
        <v/>
      </c>
      <c r="D235" s="2" t="str">
        <f>IF(A235&lt;&gt;"",(Recurso!D1*Recurso!C235)/Recurso!C1, "")</f>
        <v/>
      </c>
    </row>
    <row r="236" spans="1:4" x14ac:dyDescent="0.3">
      <c r="A236" s="2" t="str">
        <f>IF(Alunos!A236&lt;&gt;"",Alunos!A236,"")</f>
        <v/>
      </c>
      <c r="C236" s="2" t="str">
        <f>IF(A236&lt;&gt;"",SUM(B236),"")</f>
        <v/>
      </c>
      <c r="D236" s="2" t="str">
        <f>IF(A236&lt;&gt;"",(Recurso!D1*Recurso!C236)/Recurso!C1, "")</f>
        <v/>
      </c>
    </row>
    <row r="237" spans="1:4" x14ac:dyDescent="0.3">
      <c r="A237" s="2" t="str">
        <f>IF(Alunos!A237&lt;&gt;"",Alunos!A237,"")</f>
        <v/>
      </c>
      <c r="C237" s="2" t="str">
        <f>IF(A237&lt;&gt;"",SUM(B237),"")</f>
        <v/>
      </c>
      <c r="D237" s="2" t="str">
        <f>IF(A237&lt;&gt;"",(Recurso!D1*Recurso!C237)/Recurso!C1, "")</f>
        <v/>
      </c>
    </row>
    <row r="238" spans="1:4" x14ac:dyDescent="0.3">
      <c r="A238" s="2" t="str">
        <f>IF(Alunos!A238&lt;&gt;"",Alunos!A238,"")</f>
        <v/>
      </c>
      <c r="C238" s="2" t="str">
        <f>IF(A238&lt;&gt;"",SUM(B238),"")</f>
        <v/>
      </c>
      <c r="D238" s="2" t="str">
        <f>IF(A238&lt;&gt;"",(Recurso!D1*Recurso!C238)/Recurso!C1, "")</f>
        <v/>
      </c>
    </row>
    <row r="239" spans="1:4" x14ac:dyDescent="0.3">
      <c r="A239" s="2" t="str">
        <f>IF(Alunos!A239&lt;&gt;"",Alunos!A239,"")</f>
        <v/>
      </c>
      <c r="C239" s="2" t="str">
        <f>IF(A239&lt;&gt;"",SUM(B239),"")</f>
        <v/>
      </c>
      <c r="D239" s="2" t="str">
        <f>IF(A239&lt;&gt;"",(Recurso!D1*Recurso!C239)/Recurso!C1, "")</f>
        <v/>
      </c>
    </row>
    <row r="240" spans="1:4" x14ac:dyDescent="0.3">
      <c r="A240" s="2" t="str">
        <f>IF(Alunos!A240&lt;&gt;"",Alunos!A240,"")</f>
        <v/>
      </c>
      <c r="C240" s="2" t="str">
        <f>IF(A240&lt;&gt;"",SUM(B240),"")</f>
        <v/>
      </c>
      <c r="D240" s="2" t="str">
        <f>IF(A240&lt;&gt;"",(Recurso!D1*Recurso!C240)/Recurso!C1, "")</f>
        <v/>
      </c>
    </row>
    <row r="241" spans="1:4" x14ac:dyDescent="0.3">
      <c r="A241" s="2" t="str">
        <f>IF(Alunos!A241&lt;&gt;"",Alunos!A241,"")</f>
        <v/>
      </c>
      <c r="C241" s="2" t="str">
        <f>IF(A241&lt;&gt;"",SUM(B241),"")</f>
        <v/>
      </c>
      <c r="D241" s="2" t="str">
        <f>IF(A241&lt;&gt;"",(Recurso!D1*Recurso!C241)/Recurso!C1, "")</f>
        <v/>
      </c>
    </row>
    <row r="242" spans="1:4" x14ac:dyDescent="0.3">
      <c r="A242" s="2" t="str">
        <f>IF(Alunos!A242&lt;&gt;"",Alunos!A242,"")</f>
        <v/>
      </c>
      <c r="C242" s="2" t="str">
        <f>IF(A242&lt;&gt;"",SUM(B242),"")</f>
        <v/>
      </c>
      <c r="D242" s="2" t="str">
        <f>IF(A242&lt;&gt;"",(Recurso!D1*Recurso!C242)/Recurso!C1, "")</f>
        <v/>
      </c>
    </row>
    <row r="243" spans="1:4" x14ac:dyDescent="0.3">
      <c r="A243" s="2" t="str">
        <f>IF(Alunos!A243&lt;&gt;"",Alunos!A243,"")</f>
        <v/>
      </c>
      <c r="C243" s="2" t="str">
        <f>IF(A243&lt;&gt;"",SUM(B243),"")</f>
        <v/>
      </c>
      <c r="D243" s="2" t="str">
        <f>IF(A243&lt;&gt;"",(Recurso!D1*Recurso!C243)/Recurso!C1, "")</f>
        <v/>
      </c>
    </row>
    <row r="244" spans="1:4" x14ac:dyDescent="0.3">
      <c r="A244" s="2" t="str">
        <f>IF(Alunos!A244&lt;&gt;"",Alunos!A244,"")</f>
        <v/>
      </c>
      <c r="C244" s="2" t="str">
        <f>IF(A244&lt;&gt;"",SUM(B244),"")</f>
        <v/>
      </c>
      <c r="D244" s="2" t="str">
        <f>IF(A244&lt;&gt;"",(Recurso!D1*Recurso!C244)/Recurso!C1, "")</f>
        <v/>
      </c>
    </row>
    <row r="245" spans="1:4" x14ac:dyDescent="0.3">
      <c r="A245" s="2" t="str">
        <f>IF(Alunos!A245&lt;&gt;"",Alunos!A245,"")</f>
        <v/>
      </c>
      <c r="C245" s="2" t="str">
        <f>IF(A245&lt;&gt;"",SUM(B245),"")</f>
        <v/>
      </c>
      <c r="D245" s="2" t="str">
        <f>IF(A245&lt;&gt;"",(Recurso!D1*Recurso!C245)/Recurso!C1, "")</f>
        <v/>
      </c>
    </row>
    <row r="246" spans="1:4" x14ac:dyDescent="0.3">
      <c r="A246" s="2" t="str">
        <f>IF(Alunos!A246&lt;&gt;"",Alunos!A246,"")</f>
        <v/>
      </c>
      <c r="C246" s="2" t="str">
        <f>IF(A246&lt;&gt;"",SUM(B246),"")</f>
        <v/>
      </c>
      <c r="D246" s="2" t="str">
        <f>IF(A246&lt;&gt;"",(Recurso!D1*Recurso!C246)/Recurso!C1, "")</f>
        <v/>
      </c>
    </row>
    <row r="247" spans="1:4" x14ac:dyDescent="0.3">
      <c r="A247" s="2" t="str">
        <f>IF(Alunos!A247&lt;&gt;"",Alunos!A247,"")</f>
        <v/>
      </c>
      <c r="C247" s="2" t="str">
        <f>IF(A247&lt;&gt;"",SUM(B247),"")</f>
        <v/>
      </c>
      <c r="D247" s="2" t="str">
        <f>IF(A247&lt;&gt;"",(Recurso!D1*Recurso!C247)/Recurso!C1, "")</f>
        <v/>
      </c>
    </row>
    <row r="248" spans="1:4" x14ac:dyDescent="0.3">
      <c r="A248" s="2" t="str">
        <f>IF(Alunos!A248&lt;&gt;"",Alunos!A248,"")</f>
        <v/>
      </c>
      <c r="C248" s="2" t="str">
        <f>IF(A248&lt;&gt;"",SUM(B248),"")</f>
        <v/>
      </c>
      <c r="D248" s="2" t="str">
        <f>IF(A248&lt;&gt;"",(Recurso!D1*Recurso!C248)/Recurso!C1, "")</f>
        <v/>
      </c>
    </row>
    <row r="249" spans="1:4" x14ac:dyDescent="0.3">
      <c r="A249" s="2" t="str">
        <f>IF(Alunos!A249&lt;&gt;"",Alunos!A249,"")</f>
        <v/>
      </c>
      <c r="C249" s="2" t="str">
        <f>IF(A249&lt;&gt;"",SUM(B249),"")</f>
        <v/>
      </c>
      <c r="D249" s="2" t="str">
        <f>IF(A249&lt;&gt;"",(Recurso!D1*Recurso!C249)/Recurso!C1, "")</f>
        <v/>
      </c>
    </row>
    <row r="250" spans="1:4" x14ac:dyDescent="0.3">
      <c r="A250" s="2" t="str">
        <f>IF(Alunos!A250&lt;&gt;"",Alunos!A250,"")</f>
        <v/>
      </c>
      <c r="C250" s="2" t="str">
        <f>IF(A250&lt;&gt;"",SUM(B250),"")</f>
        <v/>
      </c>
      <c r="D250" s="2" t="str">
        <f>IF(A250&lt;&gt;"",(Recurso!D1*Recurso!C250)/Recurso!C1, "")</f>
        <v/>
      </c>
    </row>
  </sheetData>
  <conditionalFormatting sqref="B3">
    <cfRule type="cellIs" dxfId="743" priority="1" stopIfTrue="1" operator="greaterThan">
      <formula>22</formula>
    </cfRule>
  </conditionalFormatting>
  <conditionalFormatting sqref="B4">
    <cfRule type="cellIs" dxfId="742" priority="2" stopIfTrue="1" operator="greaterThan">
      <formula>22</formula>
    </cfRule>
  </conditionalFormatting>
  <conditionalFormatting sqref="B5">
    <cfRule type="cellIs" dxfId="741" priority="3" stopIfTrue="1" operator="greaterThan">
      <formula>22</formula>
    </cfRule>
  </conditionalFormatting>
  <conditionalFormatting sqref="B6">
    <cfRule type="cellIs" dxfId="740" priority="4" stopIfTrue="1" operator="greaterThan">
      <formula>22</formula>
    </cfRule>
  </conditionalFormatting>
  <conditionalFormatting sqref="B7">
    <cfRule type="cellIs" dxfId="739" priority="5" stopIfTrue="1" operator="greaterThan">
      <formula>22</formula>
    </cfRule>
  </conditionalFormatting>
  <conditionalFormatting sqref="B8">
    <cfRule type="cellIs" dxfId="738" priority="6" stopIfTrue="1" operator="greaterThan">
      <formula>22</formula>
    </cfRule>
  </conditionalFormatting>
  <conditionalFormatting sqref="B9">
    <cfRule type="cellIs" dxfId="737" priority="7" stopIfTrue="1" operator="greaterThan">
      <formula>22</formula>
    </cfRule>
  </conditionalFormatting>
  <conditionalFormatting sqref="B10">
    <cfRule type="cellIs" dxfId="736" priority="8" stopIfTrue="1" operator="greaterThan">
      <formula>22</formula>
    </cfRule>
  </conditionalFormatting>
  <conditionalFormatting sqref="B11">
    <cfRule type="cellIs" dxfId="735" priority="9" stopIfTrue="1" operator="greaterThan">
      <formula>22</formula>
    </cfRule>
  </conditionalFormatting>
  <conditionalFormatting sqref="B12">
    <cfRule type="cellIs" dxfId="734" priority="10" stopIfTrue="1" operator="greaterThan">
      <formula>22</formula>
    </cfRule>
  </conditionalFormatting>
  <conditionalFormatting sqref="B13">
    <cfRule type="cellIs" dxfId="733" priority="11" stopIfTrue="1" operator="greaterThan">
      <formula>22</formula>
    </cfRule>
  </conditionalFormatting>
  <conditionalFormatting sqref="B14">
    <cfRule type="cellIs" dxfId="732" priority="12" stopIfTrue="1" operator="greaterThan">
      <formula>22</formula>
    </cfRule>
  </conditionalFormatting>
  <conditionalFormatting sqref="B15">
    <cfRule type="cellIs" dxfId="731" priority="13" stopIfTrue="1" operator="greaterThan">
      <formula>22</formula>
    </cfRule>
  </conditionalFormatting>
  <conditionalFormatting sqref="B16">
    <cfRule type="cellIs" dxfId="730" priority="14" stopIfTrue="1" operator="greaterThan">
      <formula>22</formula>
    </cfRule>
  </conditionalFormatting>
  <conditionalFormatting sqref="B17">
    <cfRule type="cellIs" dxfId="729" priority="15" stopIfTrue="1" operator="greaterThan">
      <formula>22</formula>
    </cfRule>
  </conditionalFormatting>
  <conditionalFormatting sqref="B18">
    <cfRule type="cellIs" dxfId="728" priority="16" stopIfTrue="1" operator="greaterThan">
      <formula>22</formula>
    </cfRule>
  </conditionalFormatting>
  <conditionalFormatting sqref="B19">
    <cfRule type="cellIs" dxfId="727" priority="17" stopIfTrue="1" operator="greaterThan">
      <formula>22</formula>
    </cfRule>
  </conditionalFormatting>
  <conditionalFormatting sqref="B20">
    <cfRule type="cellIs" dxfId="726" priority="18" stopIfTrue="1" operator="greaterThan">
      <formula>22</formula>
    </cfRule>
  </conditionalFormatting>
  <conditionalFormatting sqref="B21">
    <cfRule type="cellIs" dxfId="725" priority="19" stopIfTrue="1" operator="greaterThan">
      <formula>22</formula>
    </cfRule>
  </conditionalFormatting>
  <conditionalFormatting sqref="B22">
    <cfRule type="cellIs" dxfId="724" priority="20" stopIfTrue="1" operator="greaterThan">
      <formula>22</formula>
    </cfRule>
  </conditionalFormatting>
  <conditionalFormatting sqref="B23">
    <cfRule type="cellIs" dxfId="723" priority="21" stopIfTrue="1" operator="greaterThan">
      <formula>22</formula>
    </cfRule>
  </conditionalFormatting>
  <conditionalFormatting sqref="B24">
    <cfRule type="cellIs" dxfId="722" priority="22" stopIfTrue="1" operator="greaterThan">
      <formula>22</formula>
    </cfRule>
  </conditionalFormatting>
  <conditionalFormatting sqref="B25">
    <cfRule type="cellIs" dxfId="721" priority="23" stopIfTrue="1" operator="greaterThan">
      <formula>22</formula>
    </cfRule>
  </conditionalFormatting>
  <conditionalFormatting sqref="B26">
    <cfRule type="cellIs" dxfId="720" priority="24" stopIfTrue="1" operator="greaterThan">
      <formula>22</formula>
    </cfRule>
  </conditionalFormatting>
  <conditionalFormatting sqref="B27">
    <cfRule type="cellIs" dxfId="719" priority="25" stopIfTrue="1" operator="greaterThan">
      <formula>22</formula>
    </cfRule>
  </conditionalFormatting>
  <conditionalFormatting sqref="B28">
    <cfRule type="cellIs" dxfId="718" priority="26" stopIfTrue="1" operator="greaterThan">
      <formula>22</formula>
    </cfRule>
  </conditionalFormatting>
  <conditionalFormatting sqref="B29">
    <cfRule type="cellIs" dxfId="717" priority="27" stopIfTrue="1" operator="greaterThan">
      <formula>22</formula>
    </cfRule>
  </conditionalFormatting>
  <conditionalFormatting sqref="B30">
    <cfRule type="cellIs" dxfId="716" priority="28" stopIfTrue="1" operator="greaterThan">
      <formula>22</formula>
    </cfRule>
  </conditionalFormatting>
  <conditionalFormatting sqref="B31">
    <cfRule type="cellIs" dxfId="715" priority="29" stopIfTrue="1" operator="greaterThan">
      <formula>22</formula>
    </cfRule>
  </conditionalFormatting>
  <conditionalFormatting sqref="B32">
    <cfRule type="cellIs" dxfId="714" priority="30" stopIfTrue="1" operator="greaterThan">
      <formula>22</formula>
    </cfRule>
  </conditionalFormatting>
  <conditionalFormatting sqref="B33">
    <cfRule type="cellIs" dxfId="713" priority="31" stopIfTrue="1" operator="greaterThan">
      <formula>22</formula>
    </cfRule>
  </conditionalFormatting>
  <conditionalFormatting sqref="B34">
    <cfRule type="cellIs" dxfId="712" priority="32" stopIfTrue="1" operator="greaterThan">
      <formula>22</formula>
    </cfRule>
  </conditionalFormatting>
  <conditionalFormatting sqref="B35">
    <cfRule type="cellIs" dxfId="711" priority="33" stopIfTrue="1" operator="greaterThan">
      <formula>22</formula>
    </cfRule>
  </conditionalFormatting>
  <conditionalFormatting sqref="B36">
    <cfRule type="cellIs" dxfId="710" priority="34" stopIfTrue="1" operator="greaterThan">
      <formula>22</formula>
    </cfRule>
  </conditionalFormatting>
  <conditionalFormatting sqref="B37">
    <cfRule type="cellIs" dxfId="709" priority="35" stopIfTrue="1" operator="greaterThan">
      <formula>22</formula>
    </cfRule>
  </conditionalFormatting>
  <conditionalFormatting sqref="B38">
    <cfRule type="cellIs" dxfId="708" priority="36" stopIfTrue="1" operator="greaterThan">
      <formula>22</formula>
    </cfRule>
  </conditionalFormatting>
  <conditionalFormatting sqref="B39">
    <cfRule type="cellIs" dxfId="707" priority="37" stopIfTrue="1" operator="greaterThan">
      <formula>22</formula>
    </cfRule>
  </conditionalFormatting>
  <conditionalFormatting sqref="B40">
    <cfRule type="cellIs" dxfId="706" priority="38" stopIfTrue="1" operator="greaterThan">
      <formula>22</formula>
    </cfRule>
  </conditionalFormatting>
  <conditionalFormatting sqref="B41">
    <cfRule type="cellIs" dxfId="705" priority="39" stopIfTrue="1" operator="greaterThan">
      <formula>22</formula>
    </cfRule>
  </conditionalFormatting>
  <conditionalFormatting sqref="B42">
    <cfRule type="cellIs" dxfId="704" priority="40" stopIfTrue="1" operator="greaterThan">
      <formula>22</formula>
    </cfRule>
  </conditionalFormatting>
  <conditionalFormatting sqref="B43">
    <cfRule type="cellIs" dxfId="703" priority="41" stopIfTrue="1" operator="greaterThan">
      <formula>22</formula>
    </cfRule>
  </conditionalFormatting>
  <conditionalFormatting sqref="B44">
    <cfRule type="cellIs" dxfId="702" priority="42" stopIfTrue="1" operator="greaterThan">
      <formula>22</formula>
    </cfRule>
  </conditionalFormatting>
  <conditionalFormatting sqref="B45">
    <cfRule type="cellIs" dxfId="701" priority="43" stopIfTrue="1" operator="greaterThan">
      <formula>22</formula>
    </cfRule>
  </conditionalFormatting>
  <conditionalFormatting sqref="B46">
    <cfRule type="cellIs" dxfId="700" priority="44" stopIfTrue="1" operator="greaterThan">
      <formula>22</formula>
    </cfRule>
  </conditionalFormatting>
  <conditionalFormatting sqref="B47">
    <cfRule type="cellIs" dxfId="699" priority="45" stopIfTrue="1" operator="greaterThan">
      <formula>22</formula>
    </cfRule>
  </conditionalFormatting>
  <conditionalFormatting sqref="B48">
    <cfRule type="cellIs" dxfId="698" priority="46" stopIfTrue="1" operator="greaterThan">
      <formula>22</formula>
    </cfRule>
  </conditionalFormatting>
  <conditionalFormatting sqref="B49">
    <cfRule type="cellIs" dxfId="697" priority="47" stopIfTrue="1" operator="greaterThan">
      <formula>22</formula>
    </cfRule>
  </conditionalFormatting>
  <conditionalFormatting sqref="B50">
    <cfRule type="cellIs" dxfId="696" priority="48" stopIfTrue="1" operator="greaterThan">
      <formula>22</formula>
    </cfRule>
  </conditionalFormatting>
  <conditionalFormatting sqref="B51">
    <cfRule type="cellIs" dxfId="695" priority="49" stopIfTrue="1" operator="greaterThan">
      <formula>22</formula>
    </cfRule>
  </conditionalFormatting>
  <conditionalFormatting sqref="B52">
    <cfRule type="cellIs" dxfId="694" priority="50" stopIfTrue="1" operator="greaterThan">
      <formula>22</formula>
    </cfRule>
  </conditionalFormatting>
  <conditionalFormatting sqref="B53">
    <cfRule type="cellIs" dxfId="693" priority="51" stopIfTrue="1" operator="greaterThan">
      <formula>22</formula>
    </cfRule>
  </conditionalFormatting>
  <conditionalFormatting sqref="B54">
    <cfRule type="cellIs" dxfId="692" priority="52" stopIfTrue="1" operator="greaterThan">
      <formula>22</formula>
    </cfRule>
  </conditionalFormatting>
  <conditionalFormatting sqref="B55">
    <cfRule type="cellIs" dxfId="691" priority="53" stopIfTrue="1" operator="greaterThan">
      <formula>22</formula>
    </cfRule>
  </conditionalFormatting>
  <conditionalFormatting sqref="B56">
    <cfRule type="cellIs" dxfId="690" priority="54" stopIfTrue="1" operator="greaterThan">
      <formula>22</formula>
    </cfRule>
  </conditionalFormatting>
  <conditionalFormatting sqref="B57">
    <cfRule type="cellIs" dxfId="689" priority="55" stopIfTrue="1" operator="greaterThan">
      <formula>22</formula>
    </cfRule>
  </conditionalFormatting>
  <conditionalFormatting sqref="B58">
    <cfRule type="cellIs" dxfId="688" priority="56" stopIfTrue="1" operator="greaterThan">
      <formula>22</formula>
    </cfRule>
  </conditionalFormatting>
  <conditionalFormatting sqref="B59">
    <cfRule type="cellIs" dxfId="687" priority="57" stopIfTrue="1" operator="greaterThan">
      <formula>22</formula>
    </cfRule>
  </conditionalFormatting>
  <conditionalFormatting sqref="B60">
    <cfRule type="cellIs" dxfId="686" priority="58" stopIfTrue="1" operator="greaterThan">
      <formula>22</formula>
    </cfRule>
  </conditionalFormatting>
  <conditionalFormatting sqref="B61">
    <cfRule type="cellIs" dxfId="685" priority="59" stopIfTrue="1" operator="greaterThan">
      <formula>22</formula>
    </cfRule>
  </conditionalFormatting>
  <conditionalFormatting sqref="B62">
    <cfRule type="cellIs" dxfId="684" priority="60" stopIfTrue="1" operator="greaterThan">
      <formula>22</formula>
    </cfRule>
  </conditionalFormatting>
  <conditionalFormatting sqref="B63">
    <cfRule type="cellIs" dxfId="683" priority="61" stopIfTrue="1" operator="greaterThan">
      <formula>22</formula>
    </cfRule>
  </conditionalFormatting>
  <conditionalFormatting sqref="B64">
    <cfRule type="cellIs" dxfId="682" priority="62" stopIfTrue="1" operator="greaterThan">
      <formula>22</formula>
    </cfRule>
  </conditionalFormatting>
  <conditionalFormatting sqref="B65">
    <cfRule type="cellIs" dxfId="681" priority="63" stopIfTrue="1" operator="greaterThan">
      <formula>22</formula>
    </cfRule>
  </conditionalFormatting>
  <conditionalFormatting sqref="B66">
    <cfRule type="cellIs" dxfId="680" priority="64" stopIfTrue="1" operator="greaterThan">
      <formula>22</formula>
    </cfRule>
  </conditionalFormatting>
  <conditionalFormatting sqref="B67">
    <cfRule type="cellIs" dxfId="679" priority="65" stopIfTrue="1" operator="greaterThan">
      <formula>22</formula>
    </cfRule>
  </conditionalFormatting>
  <conditionalFormatting sqref="B68">
    <cfRule type="cellIs" dxfId="678" priority="66" stopIfTrue="1" operator="greaterThan">
      <formula>22</formula>
    </cfRule>
  </conditionalFormatting>
  <conditionalFormatting sqref="B69">
    <cfRule type="cellIs" dxfId="677" priority="67" stopIfTrue="1" operator="greaterThan">
      <formula>22</formula>
    </cfRule>
  </conditionalFormatting>
  <conditionalFormatting sqref="B70">
    <cfRule type="cellIs" dxfId="676" priority="68" stopIfTrue="1" operator="greaterThan">
      <formula>22</formula>
    </cfRule>
  </conditionalFormatting>
  <conditionalFormatting sqref="B71">
    <cfRule type="cellIs" dxfId="675" priority="69" stopIfTrue="1" operator="greaterThan">
      <formula>22</formula>
    </cfRule>
  </conditionalFormatting>
  <conditionalFormatting sqref="B72">
    <cfRule type="cellIs" dxfId="674" priority="70" stopIfTrue="1" operator="greaterThan">
      <formula>22</formula>
    </cfRule>
  </conditionalFormatting>
  <conditionalFormatting sqref="B73">
    <cfRule type="cellIs" dxfId="673" priority="71" stopIfTrue="1" operator="greaterThan">
      <formula>22</formula>
    </cfRule>
  </conditionalFormatting>
  <conditionalFormatting sqref="B74">
    <cfRule type="cellIs" dxfId="672" priority="72" stopIfTrue="1" operator="greaterThan">
      <formula>22</formula>
    </cfRule>
  </conditionalFormatting>
  <conditionalFormatting sqref="B75">
    <cfRule type="cellIs" dxfId="671" priority="73" stopIfTrue="1" operator="greaterThan">
      <formula>22</formula>
    </cfRule>
  </conditionalFormatting>
  <conditionalFormatting sqref="B76">
    <cfRule type="cellIs" dxfId="670" priority="74" stopIfTrue="1" operator="greaterThan">
      <formula>22</formula>
    </cfRule>
  </conditionalFormatting>
  <conditionalFormatting sqref="B77">
    <cfRule type="cellIs" dxfId="669" priority="75" stopIfTrue="1" operator="greaterThan">
      <formula>22</formula>
    </cfRule>
  </conditionalFormatting>
  <conditionalFormatting sqref="B78">
    <cfRule type="cellIs" dxfId="668" priority="76" stopIfTrue="1" operator="greaterThan">
      <formula>22</formula>
    </cfRule>
  </conditionalFormatting>
  <conditionalFormatting sqref="B79">
    <cfRule type="cellIs" dxfId="667" priority="77" stopIfTrue="1" operator="greaterThan">
      <formula>22</formula>
    </cfRule>
  </conditionalFormatting>
  <conditionalFormatting sqref="B80">
    <cfRule type="cellIs" dxfId="666" priority="78" stopIfTrue="1" operator="greaterThan">
      <formula>22</formula>
    </cfRule>
  </conditionalFormatting>
  <conditionalFormatting sqref="B81">
    <cfRule type="cellIs" dxfId="665" priority="79" stopIfTrue="1" operator="greaterThan">
      <formula>22</formula>
    </cfRule>
  </conditionalFormatting>
  <conditionalFormatting sqref="B82">
    <cfRule type="cellIs" dxfId="664" priority="80" stopIfTrue="1" operator="greaterThan">
      <formula>22</formula>
    </cfRule>
  </conditionalFormatting>
  <conditionalFormatting sqref="B83">
    <cfRule type="cellIs" dxfId="663" priority="81" stopIfTrue="1" operator="greaterThan">
      <formula>22</formula>
    </cfRule>
  </conditionalFormatting>
  <conditionalFormatting sqref="B84">
    <cfRule type="cellIs" dxfId="662" priority="82" stopIfTrue="1" operator="greaterThan">
      <formula>22</formula>
    </cfRule>
  </conditionalFormatting>
  <conditionalFormatting sqref="B85">
    <cfRule type="cellIs" dxfId="661" priority="83" stopIfTrue="1" operator="greaterThan">
      <formula>22</formula>
    </cfRule>
  </conditionalFormatting>
  <conditionalFormatting sqref="B86">
    <cfRule type="cellIs" dxfId="660" priority="84" stopIfTrue="1" operator="greaterThan">
      <formula>22</formula>
    </cfRule>
  </conditionalFormatting>
  <conditionalFormatting sqref="B87">
    <cfRule type="cellIs" dxfId="659" priority="85" stopIfTrue="1" operator="greaterThan">
      <formula>22</formula>
    </cfRule>
  </conditionalFormatting>
  <conditionalFormatting sqref="B88">
    <cfRule type="cellIs" dxfId="658" priority="86" stopIfTrue="1" operator="greaterThan">
      <formula>22</formula>
    </cfRule>
  </conditionalFormatting>
  <conditionalFormatting sqref="B89">
    <cfRule type="cellIs" dxfId="657" priority="87" stopIfTrue="1" operator="greaterThan">
      <formula>22</formula>
    </cfRule>
  </conditionalFormatting>
  <conditionalFormatting sqref="B90">
    <cfRule type="cellIs" dxfId="656" priority="88" stopIfTrue="1" operator="greaterThan">
      <formula>22</formula>
    </cfRule>
  </conditionalFormatting>
  <conditionalFormatting sqref="B91">
    <cfRule type="cellIs" dxfId="655" priority="89" stopIfTrue="1" operator="greaterThan">
      <formula>22</formula>
    </cfRule>
  </conditionalFormatting>
  <conditionalFormatting sqref="B92">
    <cfRule type="cellIs" dxfId="654" priority="90" stopIfTrue="1" operator="greaterThan">
      <formula>22</formula>
    </cfRule>
  </conditionalFormatting>
  <conditionalFormatting sqref="B93">
    <cfRule type="cellIs" dxfId="653" priority="91" stopIfTrue="1" operator="greaterThan">
      <formula>22</formula>
    </cfRule>
  </conditionalFormatting>
  <conditionalFormatting sqref="B94">
    <cfRule type="cellIs" dxfId="652" priority="92" stopIfTrue="1" operator="greaterThan">
      <formula>22</formula>
    </cfRule>
  </conditionalFormatting>
  <conditionalFormatting sqref="B95">
    <cfRule type="cellIs" dxfId="651" priority="93" stopIfTrue="1" operator="greaterThan">
      <formula>22</formula>
    </cfRule>
  </conditionalFormatting>
  <conditionalFormatting sqref="B96">
    <cfRule type="cellIs" dxfId="650" priority="94" stopIfTrue="1" operator="greaterThan">
      <formula>22</formula>
    </cfRule>
  </conditionalFormatting>
  <conditionalFormatting sqref="B97">
    <cfRule type="cellIs" dxfId="649" priority="95" stopIfTrue="1" operator="greaterThan">
      <formula>22</formula>
    </cfRule>
  </conditionalFormatting>
  <conditionalFormatting sqref="B98">
    <cfRule type="cellIs" dxfId="648" priority="96" stopIfTrue="1" operator="greaterThan">
      <formula>22</formula>
    </cfRule>
  </conditionalFormatting>
  <conditionalFormatting sqref="B99">
    <cfRule type="cellIs" dxfId="647" priority="97" stopIfTrue="1" operator="greaterThan">
      <formula>22</formula>
    </cfRule>
  </conditionalFormatting>
  <conditionalFormatting sqref="B100">
    <cfRule type="cellIs" dxfId="646" priority="98" stopIfTrue="1" operator="greaterThan">
      <formula>22</formula>
    </cfRule>
  </conditionalFormatting>
  <conditionalFormatting sqref="B101">
    <cfRule type="cellIs" dxfId="645" priority="99" stopIfTrue="1" operator="greaterThan">
      <formula>22</formula>
    </cfRule>
  </conditionalFormatting>
  <conditionalFormatting sqref="B102">
    <cfRule type="cellIs" dxfId="644" priority="100" stopIfTrue="1" operator="greaterThan">
      <formula>22</formula>
    </cfRule>
  </conditionalFormatting>
  <conditionalFormatting sqref="B103">
    <cfRule type="cellIs" dxfId="643" priority="101" stopIfTrue="1" operator="greaterThan">
      <formula>22</formula>
    </cfRule>
  </conditionalFormatting>
  <conditionalFormatting sqref="B104">
    <cfRule type="cellIs" dxfId="642" priority="102" stopIfTrue="1" operator="greaterThan">
      <formula>22</formula>
    </cfRule>
  </conditionalFormatting>
  <conditionalFormatting sqref="B105">
    <cfRule type="cellIs" dxfId="641" priority="103" stopIfTrue="1" operator="greaterThan">
      <formula>22</formula>
    </cfRule>
  </conditionalFormatting>
  <conditionalFormatting sqref="B106">
    <cfRule type="cellIs" dxfId="640" priority="104" stopIfTrue="1" operator="greaterThan">
      <formula>22</formula>
    </cfRule>
  </conditionalFormatting>
  <conditionalFormatting sqref="B107">
    <cfRule type="cellIs" dxfId="639" priority="105" stopIfTrue="1" operator="greaterThan">
      <formula>22</formula>
    </cfRule>
  </conditionalFormatting>
  <conditionalFormatting sqref="B108">
    <cfRule type="cellIs" dxfId="638" priority="106" stopIfTrue="1" operator="greaterThan">
      <formula>22</formula>
    </cfRule>
  </conditionalFormatting>
  <conditionalFormatting sqref="B109">
    <cfRule type="cellIs" dxfId="637" priority="107" stopIfTrue="1" operator="greaterThan">
      <formula>22</formula>
    </cfRule>
  </conditionalFormatting>
  <conditionalFormatting sqref="B110">
    <cfRule type="cellIs" dxfId="636" priority="108" stopIfTrue="1" operator="greaterThan">
      <formula>22</formula>
    </cfRule>
  </conditionalFormatting>
  <conditionalFormatting sqref="B111">
    <cfRule type="cellIs" dxfId="635" priority="109" stopIfTrue="1" operator="greaterThan">
      <formula>22</formula>
    </cfRule>
  </conditionalFormatting>
  <conditionalFormatting sqref="B112">
    <cfRule type="cellIs" dxfId="634" priority="110" stopIfTrue="1" operator="greaterThan">
      <formula>22</formula>
    </cfRule>
  </conditionalFormatting>
  <conditionalFormatting sqref="B113">
    <cfRule type="cellIs" dxfId="633" priority="111" stopIfTrue="1" operator="greaterThan">
      <formula>22</formula>
    </cfRule>
  </conditionalFormatting>
  <conditionalFormatting sqref="B114">
    <cfRule type="cellIs" dxfId="632" priority="112" stopIfTrue="1" operator="greaterThan">
      <formula>22</formula>
    </cfRule>
  </conditionalFormatting>
  <conditionalFormatting sqref="B115">
    <cfRule type="cellIs" dxfId="631" priority="113" stopIfTrue="1" operator="greaterThan">
      <formula>22</formula>
    </cfRule>
  </conditionalFormatting>
  <conditionalFormatting sqref="B116">
    <cfRule type="cellIs" dxfId="630" priority="114" stopIfTrue="1" operator="greaterThan">
      <formula>22</formula>
    </cfRule>
  </conditionalFormatting>
  <conditionalFormatting sqref="B117">
    <cfRule type="cellIs" dxfId="629" priority="115" stopIfTrue="1" operator="greaterThan">
      <formula>22</formula>
    </cfRule>
  </conditionalFormatting>
  <conditionalFormatting sqref="B118">
    <cfRule type="cellIs" dxfId="628" priority="116" stopIfTrue="1" operator="greaterThan">
      <formula>22</formula>
    </cfRule>
  </conditionalFormatting>
  <conditionalFormatting sqref="B119">
    <cfRule type="cellIs" dxfId="627" priority="117" stopIfTrue="1" operator="greaterThan">
      <formula>22</formula>
    </cfRule>
  </conditionalFormatting>
  <conditionalFormatting sqref="B120">
    <cfRule type="cellIs" dxfId="626" priority="118" stopIfTrue="1" operator="greaterThan">
      <formula>22</formula>
    </cfRule>
  </conditionalFormatting>
  <conditionalFormatting sqref="B121">
    <cfRule type="cellIs" dxfId="625" priority="119" stopIfTrue="1" operator="greaterThan">
      <formula>22</formula>
    </cfRule>
  </conditionalFormatting>
  <conditionalFormatting sqref="B122">
    <cfRule type="cellIs" dxfId="624" priority="120" stopIfTrue="1" operator="greaterThan">
      <formula>22</formula>
    </cfRule>
  </conditionalFormatting>
  <conditionalFormatting sqref="B123">
    <cfRule type="cellIs" dxfId="623" priority="121" stopIfTrue="1" operator="greaterThan">
      <formula>22</formula>
    </cfRule>
  </conditionalFormatting>
  <conditionalFormatting sqref="B124">
    <cfRule type="cellIs" dxfId="622" priority="122" stopIfTrue="1" operator="greaterThan">
      <formula>22</formula>
    </cfRule>
  </conditionalFormatting>
  <conditionalFormatting sqref="B125">
    <cfRule type="cellIs" dxfId="621" priority="123" stopIfTrue="1" operator="greaterThan">
      <formula>22</formula>
    </cfRule>
  </conditionalFormatting>
  <conditionalFormatting sqref="B126">
    <cfRule type="cellIs" dxfId="620" priority="124" stopIfTrue="1" operator="greaterThan">
      <formula>22</formula>
    </cfRule>
  </conditionalFormatting>
  <conditionalFormatting sqref="B127">
    <cfRule type="cellIs" dxfId="619" priority="125" stopIfTrue="1" operator="greaterThan">
      <formula>22</formula>
    </cfRule>
  </conditionalFormatting>
  <conditionalFormatting sqref="B128">
    <cfRule type="cellIs" dxfId="618" priority="126" stopIfTrue="1" operator="greaterThan">
      <formula>22</formula>
    </cfRule>
  </conditionalFormatting>
  <conditionalFormatting sqref="B129">
    <cfRule type="cellIs" dxfId="617" priority="127" stopIfTrue="1" operator="greaterThan">
      <formula>22</formula>
    </cfRule>
  </conditionalFormatting>
  <conditionalFormatting sqref="B130">
    <cfRule type="cellIs" dxfId="616" priority="128" stopIfTrue="1" operator="greaterThan">
      <formula>22</formula>
    </cfRule>
  </conditionalFormatting>
  <conditionalFormatting sqref="B131">
    <cfRule type="cellIs" dxfId="615" priority="129" stopIfTrue="1" operator="greaterThan">
      <formula>22</formula>
    </cfRule>
  </conditionalFormatting>
  <conditionalFormatting sqref="B132">
    <cfRule type="cellIs" dxfId="614" priority="130" stopIfTrue="1" operator="greaterThan">
      <formula>22</formula>
    </cfRule>
  </conditionalFormatting>
  <conditionalFormatting sqref="B133">
    <cfRule type="cellIs" dxfId="613" priority="131" stopIfTrue="1" operator="greaterThan">
      <formula>22</formula>
    </cfRule>
  </conditionalFormatting>
  <conditionalFormatting sqref="B134">
    <cfRule type="cellIs" dxfId="612" priority="132" stopIfTrue="1" operator="greaterThan">
      <formula>22</formula>
    </cfRule>
  </conditionalFormatting>
  <conditionalFormatting sqref="B135">
    <cfRule type="cellIs" dxfId="611" priority="133" stopIfTrue="1" operator="greaterThan">
      <formula>22</formula>
    </cfRule>
  </conditionalFormatting>
  <conditionalFormatting sqref="B136">
    <cfRule type="cellIs" dxfId="610" priority="134" stopIfTrue="1" operator="greaterThan">
      <formula>22</formula>
    </cfRule>
  </conditionalFormatting>
  <conditionalFormatting sqref="B137">
    <cfRule type="cellIs" dxfId="609" priority="135" stopIfTrue="1" operator="greaterThan">
      <formula>22</formula>
    </cfRule>
  </conditionalFormatting>
  <conditionalFormatting sqref="B138">
    <cfRule type="cellIs" dxfId="608" priority="136" stopIfTrue="1" operator="greaterThan">
      <formula>22</formula>
    </cfRule>
  </conditionalFormatting>
  <conditionalFormatting sqref="B139">
    <cfRule type="cellIs" dxfId="607" priority="137" stopIfTrue="1" operator="greaterThan">
      <formula>22</formula>
    </cfRule>
  </conditionalFormatting>
  <conditionalFormatting sqref="B140">
    <cfRule type="cellIs" dxfId="606" priority="138" stopIfTrue="1" operator="greaterThan">
      <formula>22</formula>
    </cfRule>
  </conditionalFormatting>
  <conditionalFormatting sqref="B141">
    <cfRule type="cellIs" dxfId="605" priority="139" stopIfTrue="1" operator="greaterThan">
      <formula>22</formula>
    </cfRule>
  </conditionalFormatting>
  <conditionalFormatting sqref="B142">
    <cfRule type="cellIs" dxfId="604" priority="140" stopIfTrue="1" operator="greaterThan">
      <formula>22</formula>
    </cfRule>
  </conditionalFormatting>
  <conditionalFormatting sqref="B143">
    <cfRule type="cellIs" dxfId="603" priority="141" stopIfTrue="1" operator="greaterThan">
      <formula>22</formula>
    </cfRule>
  </conditionalFormatting>
  <conditionalFormatting sqref="B144">
    <cfRule type="cellIs" dxfId="602" priority="142" stopIfTrue="1" operator="greaterThan">
      <formula>22</formula>
    </cfRule>
  </conditionalFormatting>
  <conditionalFormatting sqref="B145">
    <cfRule type="cellIs" dxfId="601" priority="143" stopIfTrue="1" operator="greaterThan">
      <formula>22</formula>
    </cfRule>
  </conditionalFormatting>
  <conditionalFormatting sqref="B146">
    <cfRule type="cellIs" dxfId="600" priority="144" stopIfTrue="1" operator="greaterThan">
      <formula>22</formula>
    </cfRule>
  </conditionalFormatting>
  <conditionalFormatting sqref="B147">
    <cfRule type="cellIs" dxfId="599" priority="145" stopIfTrue="1" operator="greaterThan">
      <formula>22</formula>
    </cfRule>
  </conditionalFormatting>
  <conditionalFormatting sqref="B148">
    <cfRule type="cellIs" dxfId="598" priority="146" stopIfTrue="1" operator="greaterThan">
      <formula>22</formula>
    </cfRule>
  </conditionalFormatting>
  <conditionalFormatting sqref="B149">
    <cfRule type="cellIs" dxfId="597" priority="147" stopIfTrue="1" operator="greaterThan">
      <formula>22</formula>
    </cfRule>
  </conditionalFormatting>
  <conditionalFormatting sqref="B150">
    <cfRule type="cellIs" dxfId="596" priority="148" stopIfTrue="1" operator="greaterThan">
      <formula>22</formula>
    </cfRule>
  </conditionalFormatting>
  <conditionalFormatting sqref="B151">
    <cfRule type="cellIs" dxfId="595" priority="149" stopIfTrue="1" operator="greaterThan">
      <formula>22</formula>
    </cfRule>
  </conditionalFormatting>
  <conditionalFormatting sqref="B152">
    <cfRule type="cellIs" dxfId="594" priority="150" stopIfTrue="1" operator="greaterThan">
      <formula>22</formula>
    </cfRule>
  </conditionalFormatting>
  <conditionalFormatting sqref="B153">
    <cfRule type="cellIs" dxfId="593" priority="151" stopIfTrue="1" operator="greaterThan">
      <formula>22</formula>
    </cfRule>
  </conditionalFormatting>
  <conditionalFormatting sqref="B154">
    <cfRule type="cellIs" dxfId="592" priority="152" stopIfTrue="1" operator="greaterThan">
      <formula>22</formula>
    </cfRule>
  </conditionalFormatting>
  <conditionalFormatting sqref="B155">
    <cfRule type="cellIs" dxfId="591" priority="153" stopIfTrue="1" operator="greaterThan">
      <formula>22</formula>
    </cfRule>
  </conditionalFormatting>
  <conditionalFormatting sqref="B156">
    <cfRule type="cellIs" dxfId="590" priority="154" stopIfTrue="1" operator="greaterThan">
      <formula>22</formula>
    </cfRule>
  </conditionalFormatting>
  <conditionalFormatting sqref="B157">
    <cfRule type="cellIs" dxfId="589" priority="155" stopIfTrue="1" operator="greaterThan">
      <formula>22</formula>
    </cfRule>
  </conditionalFormatting>
  <conditionalFormatting sqref="B158">
    <cfRule type="cellIs" dxfId="588" priority="156" stopIfTrue="1" operator="greaterThan">
      <formula>22</formula>
    </cfRule>
  </conditionalFormatting>
  <conditionalFormatting sqref="B159">
    <cfRule type="cellIs" dxfId="587" priority="157" stopIfTrue="1" operator="greaterThan">
      <formula>22</formula>
    </cfRule>
  </conditionalFormatting>
  <conditionalFormatting sqref="B160">
    <cfRule type="cellIs" dxfId="586" priority="158" stopIfTrue="1" operator="greaterThan">
      <formula>22</formula>
    </cfRule>
  </conditionalFormatting>
  <conditionalFormatting sqref="B161">
    <cfRule type="cellIs" dxfId="585" priority="159" stopIfTrue="1" operator="greaterThan">
      <formula>22</formula>
    </cfRule>
  </conditionalFormatting>
  <conditionalFormatting sqref="B162">
    <cfRule type="cellIs" dxfId="584" priority="160" stopIfTrue="1" operator="greaterThan">
      <formula>22</formula>
    </cfRule>
  </conditionalFormatting>
  <conditionalFormatting sqref="B163">
    <cfRule type="cellIs" dxfId="583" priority="161" stopIfTrue="1" operator="greaterThan">
      <formula>22</formula>
    </cfRule>
  </conditionalFormatting>
  <conditionalFormatting sqref="B164">
    <cfRule type="cellIs" dxfId="582" priority="162" stopIfTrue="1" operator="greaterThan">
      <formula>22</formula>
    </cfRule>
  </conditionalFormatting>
  <conditionalFormatting sqref="B165">
    <cfRule type="cellIs" dxfId="581" priority="163" stopIfTrue="1" operator="greaterThan">
      <formula>22</formula>
    </cfRule>
  </conditionalFormatting>
  <conditionalFormatting sqref="B166">
    <cfRule type="cellIs" dxfId="580" priority="164" stopIfTrue="1" operator="greaterThan">
      <formula>22</formula>
    </cfRule>
  </conditionalFormatting>
  <conditionalFormatting sqref="B167">
    <cfRule type="cellIs" dxfId="579" priority="165" stopIfTrue="1" operator="greaterThan">
      <formula>22</formula>
    </cfRule>
  </conditionalFormatting>
  <conditionalFormatting sqref="B168">
    <cfRule type="cellIs" dxfId="578" priority="166" stopIfTrue="1" operator="greaterThan">
      <formula>22</formula>
    </cfRule>
  </conditionalFormatting>
  <conditionalFormatting sqref="B169">
    <cfRule type="cellIs" dxfId="577" priority="167" stopIfTrue="1" operator="greaterThan">
      <formula>22</formula>
    </cfRule>
  </conditionalFormatting>
  <conditionalFormatting sqref="B170">
    <cfRule type="cellIs" dxfId="576" priority="168" stopIfTrue="1" operator="greaterThan">
      <formula>22</formula>
    </cfRule>
  </conditionalFormatting>
  <conditionalFormatting sqref="B171">
    <cfRule type="cellIs" dxfId="575" priority="169" stopIfTrue="1" operator="greaterThan">
      <formula>22</formula>
    </cfRule>
  </conditionalFormatting>
  <conditionalFormatting sqref="B172">
    <cfRule type="cellIs" dxfId="574" priority="170" stopIfTrue="1" operator="greaterThan">
      <formula>22</formula>
    </cfRule>
  </conditionalFormatting>
  <conditionalFormatting sqref="B173">
    <cfRule type="cellIs" dxfId="573" priority="171" stopIfTrue="1" operator="greaterThan">
      <formula>22</formula>
    </cfRule>
  </conditionalFormatting>
  <conditionalFormatting sqref="B174">
    <cfRule type="cellIs" dxfId="572" priority="172" stopIfTrue="1" operator="greaterThan">
      <formula>22</formula>
    </cfRule>
  </conditionalFormatting>
  <conditionalFormatting sqref="B175">
    <cfRule type="cellIs" dxfId="571" priority="173" stopIfTrue="1" operator="greaterThan">
      <formula>22</formula>
    </cfRule>
  </conditionalFormatting>
  <conditionalFormatting sqref="B176">
    <cfRule type="cellIs" dxfId="570" priority="174" stopIfTrue="1" operator="greaterThan">
      <formula>22</formula>
    </cfRule>
  </conditionalFormatting>
  <conditionalFormatting sqref="B177">
    <cfRule type="cellIs" dxfId="569" priority="175" stopIfTrue="1" operator="greaterThan">
      <formula>22</formula>
    </cfRule>
  </conditionalFormatting>
  <conditionalFormatting sqref="B178">
    <cfRule type="cellIs" dxfId="568" priority="176" stopIfTrue="1" operator="greaterThan">
      <formula>22</formula>
    </cfRule>
  </conditionalFormatting>
  <conditionalFormatting sqref="B179">
    <cfRule type="cellIs" dxfId="567" priority="177" stopIfTrue="1" operator="greaterThan">
      <formula>22</formula>
    </cfRule>
  </conditionalFormatting>
  <conditionalFormatting sqref="B180">
    <cfRule type="cellIs" dxfId="566" priority="178" stopIfTrue="1" operator="greaterThan">
      <formula>22</formula>
    </cfRule>
  </conditionalFormatting>
  <conditionalFormatting sqref="B181">
    <cfRule type="cellIs" dxfId="565" priority="179" stopIfTrue="1" operator="greaterThan">
      <formula>22</formula>
    </cfRule>
  </conditionalFormatting>
  <conditionalFormatting sqref="B182">
    <cfRule type="cellIs" dxfId="564" priority="180" stopIfTrue="1" operator="greaterThan">
      <formula>22</formula>
    </cfRule>
  </conditionalFormatting>
  <conditionalFormatting sqref="B183">
    <cfRule type="cellIs" dxfId="563" priority="181" stopIfTrue="1" operator="greaterThan">
      <formula>22</formula>
    </cfRule>
  </conditionalFormatting>
  <conditionalFormatting sqref="B184">
    <cfRule type="cellIs" dxfId="562" priority="182" stopIfTrue="1" operator="greaterThan">
      <formula>22</formula>
    </cfRule>
  </conditionalFormatting>
  <conditionalFormatting sqref="B185">
    <cfRule type="cellIs" dxfId="561" priority="183" stopIfTrue="1" operator="greaterThan">
      <formula>22</formula>
    </cfRule>
  </conditionalFormatting>
  <conditionalFormatting sqref="B186">
    <cfRule type="cellIs" dxfId="560" priority="184" stopIfTrue="1" operator="greaterThan">
      <formula>22</formula>
    </cfRule>
  </conditionalFormatting>
  <conditionalFormatting sqref="B187">
    <cfRule type="cellIs" dxfId="559" priority="185" stopIfTrue="1" operator="greaterThan">
      <formula>22</formula>
    </cfRule>
  </conditionalFormatting>
  <conditionalFormatting sqref="B188">
    <cfRule type="cellIs" dxfId="558" priority="186" stopIfTrue="1" operator="greaterThan">
      <formula>22</formula>
    </cfRule>
  </conditionalFormatting>
  <conditionalFormatting sqref="B189">
    <cfRule type="cellIs" dxfId="557" priority="187" stopIfTrue="1" operator="greaterThan">
      <formula>22</formula>
    </cfRule>
  </conditionalFormatting>
  <conditionalFormatting sqref="B190">
    <cfRule type="cellIs" dxfId="556" priority="188" stopIfTrue="1" operator="greaterThan">
      <formula>22</formula>
    </cfRule>
  </conditionalFormatting>
  <conditionalFormatting sqref="B191">
    <cfRule type="cellIs" dxfId="555" priority="189" stopIfTrue="1" operator="greaterThan">
      <formula>22</formula>
    </cfRule>
  </conditionalFormatting>
  <conditionalFormatting sqref="B192">
    <cfRule type="cellIs" dxfId="554" priority="190" stopIfTrue="1" operator="greaterThan">
      <formula>22</formula>
    </cfRule>
  </conditionalFormatting>
  <conditionalFormatting sqref="B193">
    <cfRule type="cellIs" dxfId="553" priority="191" stopIfTrue="1" operator="greaterThan">
      <formula>22</formula>
    </cfRule>
  </conditionalFormatting>
  <conditionalFormatting sqref="B194">
    <cfRule type="cellIs" dxfId="552" priority="192" stopIfTrue="1" operator="greaterThan">
      <formula>22</formula>
    </cfRule>
  </conditionalFormatting>
  <conditionalFormatting sqref="B195">
    <cfRule type="cellIs" dxfId="551" priority="193" stopIfTrue="1" operator="greaterThan">
      <formula>22</formula>
    </cfRule>
  </conditionalFormatting>
  <conditionalFormatting sqref="B196">
    <cfRule type="cellIs" dxfId="550" priority="194" stopIfTrue="1" operator="greaterThan">
      <formula>22</formula>
    </cfRule>
  </conditionalFormatting>
  <conditionalFormatting sqref="B197">
    <cfRule type="cellIs" dxfId="549" priority="195" stopIfTrue="1" operator="greaterThan">
      <formula>22</formula>
    </cfRule>
  </conditionalFormatting>
  <conditionalFormatting sqref="B198">
    <cfRule type="cellIs" dxfId="548" priority="196" stopIfTrue="1" operator="greaterThan">
      <formula>22</formula>
    </cfRule>
  </conditionalFormatting>
  <conditionalFormatting sqref="B199">
    <cfRule type="cellIs" dxfId="547" priority="197" stopIfTrue="1" operator="greaterThan">
      <formula>22</formula>
    </cfRule>
  </conditionalFormatting>
  <conditionalFormatting sqref="B200">
    <cfRule type="cellIs" dxfId="546" priority="198" stopIfTrue="1" operator="greaterThan">
      <formula>22</formula>
    </cfRule>
  </conditionalFormatting>
  <conditionalFormatting sqref="B201">
    <cfRule type="cellIs" dxfId="545" priority="199" stopIfTrue="1" operator="greaterThan">
      <formula>22</formula>
    </cfRule>
  </conditionalFormatting>
  <conditionalFormatting sqref="B202">
    <cfRule type="cellIs" dxfId="544" priority="200" stopIfTrue="1" operator="greaterThan">
      <formula>22</formula>
    </cfRule>
  </conditionalFormatting>
  <conditionalFormatting sqref="B203">
    <cfRule type="cellIs" dxfId="543" priority="201" stopIfTrue="1" operator="greaterThan">
      <formula>22</formula>
    </cfRule>
  </conditionalFormatting>
  <conditionalFormatting sqref="B204">
    <cfRule type="cellIs" dxfId="542" priority="202" stopIfTrue="1" operator="greaterThan">
      <formula>22</formula>
    </cfRule>
  </conditionalFormatting>
  <conditionalFormatting sqref="B205">
    <cfRule type="cellIs" dxfId="541" priority="203" stopIfTrue="1" operator="greaterThan">
      <formula>22</formula>
    </cfRule>
  </conditionalFormatting>
  <conditionalFormatting sqref="B206">
    <cfRule type="cellIs" dxfId="540" priority="204" stopIfTrue="1" operator="greaterThan">
      <formula>22</formula>
    </cfRule>
  </conditionalFormatting>
  <conditionalFormatting sqref="B207">
    <cfRule type="cellIs" dxfId="539" priority="205" stopIfTrue="1" operator="greaterThan">
      <formula>22</formula>
    </cfRule>
  </conditionalFormatting>
  <conditionalFormatting sqref="B208">
    <cfRule type="cellIs" dxfId="538" priority="206" stopIfTrue="1" operator="greaterThan">
      <formula>22</formula>
    </cfRule>
  </conditionalFormatting>
  <conditionalFormatting sqref="B209">
    <cfRule type="cellIs" dxfId="537" priority="207" stopIfTrue="1" operator="greaterThan">
      <formula>22</formula>
    </cfRule>
  </conditionalFormatting>
  <conditionalFormatting sqref="B210">
    <cfRule type="cellIs" dxfId="536" priority="208" stopIfTrue="1" operator="greaterThan">
      <formula>22</formula>
    </cfRule>
  </conditionalFormatting>
  <conditionalFormatting sqref="B211">
    <cfRule type="cellIs" dxfId="535" priority="209" stopIfTrue="1" operator="greaterThan">
      <formula>22</formula>
    </cfRule>
  </conditionalFormatting>
  <conditionalFormatting sqref="B212">
    <cfRule type="cellIs" dxfId="534" priority="210" stopIfTrue="1" operator="greaterThan">
      <formula>22</formula>
    </cfRule>
  </conditionalFormatting>
  <conditionalFormatting sqref="B213">
    <cfRule type="cellIs" dxfId="533" priority="211" stopIfTrue="1" operator="greaterThan">
      <formula>22</formula>
    </cfRule>
  </conditionalFormatting>
  <conditionalFormatting sqref="B214">
    <cfRule type="cellIs" dxfId="532" priority="212" stopIfTrue="1" operator="greaterThan">
      <formula>22</formula>
    </cfRule>
  </conditionalFormatting>
  <conditionalFormatting sqref="B215">
    <cfRule type="cellIs" dxfId="531" priority="213" stopIfTrue="1" operator="greaterThan">
      <formula>22</formula>
    </cfRule>
  </conditionalFormatting>
  <conditionalFormatting sqref="B216">
    <cfRule type="cellIs" dxfId="530" priority="214" stopIfTrue="1" operator="greaterThan">
      <formula>22</formula>
    </cfRule>
  </conditionalFormatting>
  <conditionalFormatting sqref="B217">
    <cfRule type="cellIs" dxfId="529" priority="215" stopIfTrue="1" operator="greaterThan">
      <formula>22</formula>
    </cfRule>
  </conditionalFormatting>
  <conditionalFormatting sqref="B218">
    <cfRule type="cellIs" dxfId="528" priority="216" stopIfTrue="1" operator="greaterThan">
      <formula>22</formula>
    </cfRule>
  </conditionalFormatting>
  <conditionalFormatting sqref="B219">
    <cfRule type="cellIs" dxfId="527" priority="217" stopIfTrue="1" operator="greaterThan">
      <formula>22</formula>
    </cfRule>
  </conditionalFormatting>
  <conditionalFormatting sqref="B220">
    <cfRule type="cellIs" dxfId="526" priority="218" stopIfTrue="1" operator="greaterThan">
      <formula>22</formula>
    </cfRule>
  </conditionalFormatting>
  <conditionalFormatting sqref="B221">
    <cfRule type="cellIs" dxfId="525" priority="219" stopIfTrue="1" operator="greaterThan">
      <formula>22</formula>
    </cfRule>
  </conditionalFormatting>
  <conditionalFormatting sqref="B222">
    <cfRule type="cellIs" dxfId="524" priority="220" stopIfTrue="1" operator="greaterThan">
      <formula>22</formula>
    </cfRule>
  </conditionalFormatting>
  <conditionalFormatting sqref="B223">
    <cfRule type="cellIs" dxfId="523" priority="221" stopIfTrue="1" operator="greaterThan">
      <formula>22</formula>
    </cfRule>
  </conditionalFormatting>
  <conditionalFormatting sqref="B224">
    <cfRule type="cellIs" dxfId="522" priority="222" stopIfTrue="1" operator="greaterThan">
      <formula>22</formula>
    </cfRule>
  </conditionalFormatting>
  <conditionalFormatting sqref="B225">
    <cfRule type="cellIs" dxfId="521" priority="223" stopIfTrue="1" operator="greaterThan">
      <formula>22</formula>
    </cfRule>
  </conditionalFormatting>
  <conditionalFormatting sqref="B226">
    <cfRule type="cellIs" dxfId="520" priority="224" stopIfTrue="1" operator="greaterThan">
      <formula>22</formula>
    </cfRule>
  </conditionalFormatting>
  <conditionalFormatting sqref="B227">
    <cfRule type="cellIs" dxfId="519" priority="225" stopIfTrue="1" operator="greaterThan">
      <formula>22</formula>
    </cfRule>
  </conditionalFormatting>
  <conditionalFormatting sqref="B228">
    <cfRule type="cellIs" dxfId="518" priority="226" stopIfTrue="1" operator="greaterThan">
      <formula>22</formula>
    </cfRule>
  </conditionalFormatting>
  <conditionalFormatting sqref="B229">
    <cfRule type="cellIs" dxfId="517" priority="227" stopIfTrue="1" operator="greaterThan">
      <formula>22</formula>
    </cfRule>
  </conditionalFormatting>
  <conditionalFormatting sqref="B230">
    <cfRule type="cellIs" dxfId="516" priority="228" stopIfTrue="1" operator="greaterThan">
      <formula>22</formula>
    </cfRule>
  </conditionalFormatting>
  <conditionalFormatting sqref="B231">
    <cfRule type="cellIs" dxfId="515" priority="229" stopIfTrue="1" operator="greaterThan">
      <formula>22</formula>
    </cfRule>
  </conditionalFormatting>
  <conditionalFormatting sqref="B232">
    <cfRule type="cellIs" dxfId="514" priority="230" stopIfTrue="1" operator="greaterThan">
      <formula>22</formula>
    </cfRule>
  </conditionalFormatting>
  <conditionalFormatting sqref="B233">
    <cfRule type="cellIs" dxfId="513" priority="231" stopIfTrue="1" operator="greaterThan">
      <formula>22</formula>
    </cfRule>
  </conditionalFormatting>
  <conditionalFormatting sqref="B234">
    <cfRule type="cellIs" dxfId="512" priority="232" stopIfTrue="1" operator="greaterThan">
      <formula>22</formula>
    </cfRule>
  </conditionalFormatting>
  <conditionalFormatting sqref="B235">
    <cfRule type="cellIs" dxfId="511" priority="233" stopIfTrue="1" operator="greaterThan">
      <formula>22</formula>
    </cfRule>
  </conditionalFormatting>
  <conditionalFormatting sqref="B236">
    <cfRule type="cellIs" dxfId="510" priority="234" stopIfTrue="1" operator="greaterThan">
      <formula>22</formula>
    </cfRule>
  </conditionalFormatting>
  <conditionalFormatting sqref="B237">
    <cfRule type="cellIs" dxfId="509" priority="235" stopIfTrue="1" operator="greaterThan">
      <formula>22</formula>
    </cfRule>
  </conditionalFormatting>
  <conditionalFormatting sqref="B238">
    <cfRule type="cellIs" dxfId="508" priority="236" stopIfTrue="1" operator="greaterThan">
      <formula>22</formula>
    </cfRule>
  </conditionalFormatting>
  <conditionalFormatting sqref="B239">
    <cfRule type="cellIs" dxfId="507" priority="237" stopIfTrue="1" operator="greaterThan">
      <formula>22</formula>
    </cfRule>
  </conditionalFormatting>
  <conditionalFormatting sqref="B240">
    <cfRule type="cellIs" dxfId="506" priority="238" stopIfTrue="1" operator="greaterThan">
      <formula>22</formula>
    </cfRule>
  </conditionalFormatting>
  <conditionalFormatting sqref="B241">
    <cfRule type="cellIs" dxfId="505" priority="239" stopIfTrue="1" operator="greaterThan">
      <formula>22</formula>
    </cfRule>
  </conditionalFormatting>
  <conditionalFormatting sqref="B242">
    <cfRule type="cellIs" dxfId="504" priority="240" stopIfTrue="1" operator="greaterThan">
      <formula>22</formula>
    </cfRule>
  </conditionalFormatting>
  <conditionalFormatting sqref="B243">
    <cfRule type="cellIs" dxfId="503" priority="241" stopIfTrue="1" operator="greaterThan">
      <formula>22</formula>
    </cfRule>
  </conditionalFormatting>
  <conditionalFormatting sqref="B244">
    <cfRule type="cellIs" dxfId="502" priority="242" stopIfTrue="1" operator="greaterThan">
      <formula>22</formula>
    </cfRule>
  </conditionalFormatting>
  <conditionalFormatting sqref="B245">
    <cfRule type="cellIs" dxfId="501" priority="243" stopIfTrue="1" operator="greaterThan">
      <formula>22</formula>
    </cfRule>
  </conditionalFormatting>
  <conditionalFormatting sqref="B246">
    <cfRule type="cellIs" dxfId="500" priority="244" stopIfTrue="1" operator="greaterThan">
      <formula>22</formula>
    </cfRule>
  </conditionalFormatting>
  <conditionalFormatting sqref="B247">
    <cfRule type="cellIs" dxfId="499" priority="245" stopIfTrue="1" operator="greaterThan">
      <formula>22</formula>
    </cfRule>
  </conditionalFormatting>
  <conditionalFormatting sqref="B248">
    <cfRule type="cellIs" dxfId="498" priority="246" stopIfTrue="1" operator="greaterThan">
      <formula>22</formula>
    </cfRule>
  </conditionalFormatting>
  <conditionalFormatting sqref="B249">
    <cfRule type="cellIs" dxfId="497" priority="247" stopIfTrue="1" operator="greaterThan">
      <formula>22</formula>
    </cfRule>
  </conditionalFormatting>
  <conditionalFormatting sqref="B250">
    <cfRule type="cellIs" dxfId="496" priority="248" stopIfTrue="1" operator="greaterThan">
      <formula>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6B8BE-E32D-46F9-B8AB-6A73D84BA71A}">
  <sheetPr codeName="Folha19"/>
  <dimension ref="A1:ZZ250"/>
  <sheetViews>
    <sheetView tabSelected="1" workbookViewId="0"/>
  </sheetViews>
  <sheetFormatPr defaultRowHeight="14.4" x14ac:dyDescent="0.3"/>
  <cols>
    <col min="1" max="1" width="35.77734375" style="2" customWidth="1"/>
    <col min="2" max="2" width="3" style="2" bestFit="1" customWidth="1"/>
    <col min="3" max="3" width="5.109375" style="2" bestFit="1" customWidth="1"/>
    <col min="4" max="4" width="14.88671875" style="2" bestFit="1" customWidth="1"/>
    <col min="5" max="702" width="8.88671875" style="2"/>
  </cols>
  <sheetData>
    <row r="1" spans="1:4" x14ac:dyDescent="0.3">
      <c r="B1" s="8">
        <v>20</v>
      </c>
      <c r="C1" s="8">
        <v>20</v>
      </c>
      <c r="D1" s="8">
        <v>12</v>
      </c>
    </row>
    <row r="2" spans="1:4" x14ac:dyDescent="0.3">
      <c r="A2" s="7" t="s">
        <v>11</v>
      </c>
      <c r="B2" s="7" t="s">
        <v>17</v>
      </c>
      <c r="C2" s="7" t="s">
        <v>12</v>
      </c>
      <c r="D2" s="7" t="s">
        <v>13</v>
      </c>
    </row>
    <row r="3" spans="1:4" x14ac:dyDescent="0.3">
      <c r="A3" s="2" t="str">
        <f>IF(Alunos!A3&lt;&gt;"",Alunos!A3,"")</f>
        <v>Rui</v>
      </c>
      <c r="C3" s="2">
        <f>IF(A3&lt;&gt;"",SUM(B3),"")</f>
        <v>0</v>
      </c>
      <c r="D3" s="2">
        <f>IF(A3&lt;&gt;"",(Exame!D1*Exame!C3)/Exame!C1, "")</f>
        <v>0</v>
      </c>
    </row>
    <row r="4" spans="1:4" x14ac:dyDescent="0.3">
      <c r="A4" s="2" t="str">
        <f>IF(Alunos!A4&lt;&gt;"",Alunos!A4,"")</f>
        <v/>
      </c>
      <c r="C4" s="2" t="str">
        <f>IF(A4&lt;&gt;"",SUM(B4),"")</f>
        <v/>
      </c>
      <c r="D4" s="2" t="str">
        <f>IF(A4&lt;&gt;"",(Exame!D1*Exame!C4)/Exame!C1, "")</f>
        <v/>
      </c>
    </row>
    <row r="5" spans="1:4" x14ac:dyDescent="0.3">
      <c r="A5" s="2" t="str">
        <f>IF(Alunos!A5&lt;&gt;"",Alunos!A5,"")</f>
        <v/>
      </c>
      <c r="C5" s="2" t="str">
        <f>IF(A5&lt;&gt;"",SUM(B5),"")</f>
        <v/>
      </c>
      <c r="D5" s="2" t="str">
        <f>IF(A5&lt;&gt;"",(Exame!D1*Exame!C5)/Exame!C1, "")</f>
        <v/>
      </c>
    </row>
    <row r="6" spans="1:4" x14ac:dyDescent="0.3">
      <c r="A6" s="2" t="str">
        <f>IF(Alunos!A6&lt;&gt;"",Alunos!A6,"")</f>
        <v/>
      </c>
      <c r="C6" s="2" t="str">
        <f>IF(A6&lt;&gt;"",SUM(B6),"")</f>
        <v/>
      </c>
      <c r="D6" s="2" t="str">
        <f>IF(A6&lt;&gt;"",(Exame!D1*Exame!C6)/Exame!C1, "")</f>
        <v/>
      </c>
    </row>
    <row r="7" spans="1:4" x14ac:dyDescent="0.3">
      <c r="A7" s="2" t="str">
        <f>IF(Alunos!A7&lt;&gt;"",Alunos!A7,"")</f>
        <v>Ruben</v>
      </c>
      <c r="C7" s="2">
        <f>IF(A7&lt;&gt;"",SUM(B7),"")</f>
        <v>0</v>
      </c>
      <c r="D7" s="2">
        <f>IF(A7&lt;&gt;"",(Exame!D1*Exame!C7)/Exame!C1, "")</f>
        <v>0</v>
      </c>
    </row>
    <row r="8" spans="1:4" x14ac:dyDescent="0.3">
      <c r="A8" s="2" t="str">
        <f>IF(Alunos!A8&lt;&gt;"",Alunos!A8,"")</f>
        <v/>
      </c>
      <c r="C8" s="2" t="str">
        <f>IF(A8&lt;&gt;"",SUM(B8),"")</f>
        <v/>
      </c>
      <c r="D8" s="2" t="str">
        <f>IF(A8&lt;&gt;"",(Exame!D1*Exame!C8)/Exame!C1, "")</f>
        <v/>
      </c>
    </row>
    <row r="9" spans="1:4" x14ac:dyDescent="0.3">
      <c r="A9" s="2" t="str">
        <f>IF(Alunos!A9&lt;&gt;"",Alunos!A9,"")</f>
        <v/>
      </c>
      <c r="C9" s="2" t="str">
        <f>IF(A9&lt;&gt;"",SUM(B9),"")</f>
        <v/>
      </c>
      <c r="D9" s="2" t="str">
        <f>IF(A9&lt;&gt;"",(Exame!D1*Exame!C9)/Exame!C1, "")</f>
        <v/>
      </c>
    </row>
    <row r="10" spans="1:4" x14ac:dyDescent="0.3">
      <c r="A10" s="2" t="str">
        <f>IF(Alunos!A10&lt;&gt;"",Alunos!A10,"")</f>
        <v/>
      </c>
      <c r="C10" s="2" t="str">
        <f>IF(A10&lt;&gt;"",SUM(B10),"")</f>
        <v/>
      </c>
      <c r="D10" s="2" t="str">
        <f>IF(A10&lt;&gt;"",(Exame!D1*Exame!C10)/Exame!C1, "")</f>
        <v/>
      </c>
    </row>
    <row r="11" spans="1:4" x14ac:dyDescent="0.3">
      <c r="A11" s="2" t="str">
        <f>IF(Alunos!A11&lt;&gt;"",Alunos!A11,"")</f>
        <v/>
      </c>
      <c r="C11" s="2" t="str">
        <f>IF(A11&lt;&gt;"",SUM(B11),"")</f>
        <v/>
      </c>
      <c r="D11" s="2" t="str">
        <f>IF(A11&lt;&gt;"",(Exame!D1*Exame!C11)/Exame!C1, "")</f>
        <v/>
      </c>
    </row>
    <row r="12" spans="1:4" x14ac:dyDescent="0.3">
      <c r="A12" s="2" t="str">
        <f>IF(Alunos!A12&lt;&gt;"",Alunos!A12,"")</f>
        <v/>
      </c>
      <c r="C12" s="2" t="str">
        <f>IF(A12&lt;&gt;"",SUM(B12),"")</f>
        <v/>
      </c>
      <c r="D12" s="2" t="str">
        <f>IF(A12&lt;&gt;"",(Exame!D1*Exame!C12)/Exame!C1, "")</f>
        <v/>
      </c>
    </row>
    <row r="13" spans="1:4" x14ac:dyDescent="0.3">
      <c r="A13" s="2" t="str">
        <f>IF(Alunos!A13&lt;&gt;"",Alunos!A13,"")</f>
        <v/>
      </c>
      <c r="C13" s="2" t="str">
        <f>IF(A13&lt;&gt;"",SUM(B13),"")</f>
        <v/>
      </c>
      <c r="D13" s="2" t="str">
        <f>IF(A13&lt;&gt;"",(Exame!D1*Exame!C13)/Exame!C1, "")</f>
        <v/>
      </c>
    </row>
    <row r="14" spans="1:4" x14ac:dyDescent="0.3">
      <c r="A14" s="2" t="str">
        <f>IF(Alunos!A14&lt;&gt;"",Alunos!A14,"")</f>
        <v/>
      </c>
      <c r="C14" s="2" t="str">
        <f>IF(A14&lt;&gt;"",SUM(B14),"")</f>
        <v/>
      </c>
      <c r="D14" s="2" t="str">
        <f>IF(A14&lt;&gt;"",(Exame!D1*Exame!C14)/Exame!C1, "")</f>
        <v/>
      </c>
    </row>
    <row r="15" spans="1:4" x14ac:dyDescent="0.3">
      <c r="A15" s="2" t="str">
        <f>IF(Alunos!A15&lt;&gt;"",Alunos!A15,"")</f>
        <v/>
      </c>
      <c r="C15" s="2" t="str">
        <f>IF(A15&lt;&gt;"",SUM(B15),"")</f>
        <v/>
      </c>
      <c r="D15" s="2" t="str">
        <f>IF(A15&lt;&gt;"",(Exame!D1*Exame!C15)/Exame!C1, "")</f>
        <v/>
      </c>
    </row>
    <row r="16" spans="1:4" x14ac:dyDescent="0.3">
      <c r="A16" s="2" t="str">
        <f>IF(Alunos!A16&lt;&gt;"",Alunos!A16,"")</f>
        <v/>
      </c>
      <c r="C16" s="2" t="str">
        <f>IF(A16&lt;&gt;"",SUM(B16),"")</f>
        <v/>
      </c>
      <c r="D16" s="2" t="str">
        <f>IF(A16&lt;&gt;"",(Exame!D1*Exame!C16)/Exame!C1, "")</f>
        <v/>
      </c>
    </row>
    <row r="17" spans="1:4" x14ac:dyDescent="0.3">
      <c r="A17" s="2" t="str">
        <f>IF(Alunos!A17&lt;&gt;"",Alunos!A17,"")</f>
        <v/>
      </c>
      <c r="C17" s="2" t="str">
        <f>IF(A17&lt;&gt;"",SUM(B17),"")</f>
        <v/>
      </c>
      <c r="D17" s="2" t="str">
        <f>IF(A17&lt;&gt;"",(Exame!D1*Exame!C17)/Exame!C1, "")</f>
        <v/>
      </c>
    </row>
    <row r="18" spans="1:4" x14ac:dyDescent="0.3">
      <c r="A18" s="2" t="str">
        <f>IF(Alunos!A18&lt;&gt;"",Alunos!A18,"")</f>
        <v/>
      </c>
      <c r="C18" s="2" t="str">
        <f>IF(A18&lt;&gt;"",SUM(B18),"")</f>
        <v/>
      </c>
      <c r="D18" s="2" t="str">
        <f>IF(A18&lt;&gt;"",(Exame!D1*Exame!C18)/Exame!C1, "")</f>
        <v/>
      </c>
    </row>
    <row r="19" spans="1:4" x14ac:dyDescent="0.3">
      <c r="A19" s="2" t="str">
        <f>IF(Alunos!A19&lt;&gt;"",Alunos!A19,"")</f>
        <v/>
      </c>
      <c r="C19" s="2" t="str">
        <f>IF(A19&lt;&gt;"",SUM(B19),"")</f>
        <v/>
      </c>
      <c r="D19" s="2" t="str">
        <f>IF(A19&lt;&gt;"",(Exame!D1*Exame!C19)/Exame!C1, "")</f>
        <v/>
      </c>
    </row>
    <row r="20" spans="1:4" x14ac:dyDescent="0.3">
      <c r="A20" s="2" t="str">
        <f>IF(Alunos!A20&lt;&gt;"",Alunos!A20,"")</f>
        <v/>
      </c>
      <c r="C20" s="2" t="str">
        <f>IF(A20&lt;&gt;"",SUM(B20),"")</f>
        <v/>
      </c>
      <c r="D20" s="2" t="str">
        <f>IF(A20&lt;&gt;"",(Exame!D1*Exame!C20)/Exame!C1, "")</f>
        <v/>
      </c>
    </row>
    <row r="21" spans="1:4" x14ac:dyDescent="0.3">
      <c r="A21" s="2" t="str">
        <f>IF(Alunos!A21&lt;&gt;"",Alunos!A21,"")</f>
        <v/>
      </c>
      <c r="C21" s="2" t="str">
        <f>IF(A21&lt;&gt;"",SUM(B21),"")</f>
        <v/>
      </c>
      <c r="D21" s="2" t="str">
        <f>IF(A21&lt;&gt;"",(Exame!D1*Exame!C21)/Exame!C1, "")</f>
        <v/>
      </c>
    </row>
    <row r="22" spans="1:4" x14ac:dyDescent="0.3">
      <c r="A22" s="2" t="str">
        <f>IF(Alunos!A22&lt;&gt;"",Alunos!A22,"")</f>
        <v/>
      </c>
      <c r="C22" s="2" t="str">
        <f>IF(A22&lt;&gt;"",SUM(B22),"")</f>
        <v/>
      </c>
      <c r="D22" s="2" t="str">
        <f>IF(A22&lt;&gt;"",(Exame!D1*Exame!C22)/Exame!C1, "")</f>
        <v/>
      </c>
    </row>
    <row r="23" spans="1:4" x14ac:dyDescent="0.3">
      <c r="A23" s="2" t="str">
        <f>IF(Alunos!A23&lt;&gt;"",Alunos!A23,"")</f>
        <v/>
      </c>
      <c r="C23" s="2" t="str">
        <f>IF(A23&lt;&gt;"",SUM(B23),"")</f>
        <v/>
      </c>
      <c r="D23" s="2" t="str">
        <f>IF(A23&lt;&gt;"",(Exame!D1*Exame!C23)/Exame!C1, "")</f>
        <v/>
      </c>
    </row>
    <row r="24" spans="1:4" x14ac:dyDescent="0.3">
      <c r="A24" s="2" t="str">
        <f>IF(Alunos!A24&lt;&gt;"",Alunos!A24,"")</f>
        <v/>
      </c>
      <c r="C24" s="2" t="str">
        <f>IF(A24&lt;&gt;"",SUM(B24),"")</f>
        <v/>
      </c>
      <c r="D24" s="2" t="str">
        <f>IF(A24&lt;&gt;"",(Exame!D1*Exame!C24)/Exame!C1, "")</f>
        <v/>
      </c>
    </row>
    <row r="25" spans="1:4" x14ac:dyDescent="0.3">
      <c r="A25" s="2" t="str">
        <f>IF(Alunos!A25&lt;&gt;"",Alunos!A25,"")</f>
        <v/>
      </c>
      <c r="C25" s="2" t="str">
        <f>IF(A25&lt;&gt;"",SUM(B25),"")</f>
        <v/>
      </c>
      <c r="D25" s="2" t="str">
        <f>IF(A25&lt;&gt;"",(Exame!D1*Exame!C25)/Exame!C1, "")</f>
        <v/>
      </c>
    </row>
    <row r="26" spans="1:4" x14ac:dyDescent="0.3">
      <c r="A26" s="2" t="str">
        <f>IF(Alunos!A26&lt;&gt;"",Alunos!A26,"")</f>
        <v/>
      </c>
      <c r="C26" s="2" t="str">
        <f>IF(A26&lt;&gt;"",SUM(B26),"")</f>
        <v/>
      </c>
      <c r="D26" s="2" t="str">
        <f>IF(A26&lt;&gt;"",(Exame!D1*Exame!C26)/Exame!C1, "")</f>
        <v/>
      </c>
    </row>
    <row r="27" spans="1:4" x14ac:dyDescent="0.3">
      <c r="A27" s="2" t="str">
        <f>IF(Alunos!A27&lt;&gt;"",Alunos!A27,"")</f>
        <v/>
      </c>
      <c r="C27" s="2" t="str">
        <f>IF(A27&lt;&gt;"",SUM(B27),"")</f>
        <v/>
      </c>
      <c r="D27" s="2" t="str">
        <f>IF(A27&lt;&gt;"",(Exame!D1*Exame!C27)/Exame!C1, "")</f>
        <v/>
      </c>
    </row>
    <row r="28" spans="1:4" x14ac:dyDescent="0.3">
      <c r="A28" s="2" t="str">
        <f>IF(Alunos!A28&lt;&gt;"",Alunos!A28,"")</f>
        <v/>
      </c>
      <c r="C28" s="2" t="str">
        <f>IF(A28&lt;&gt;"",SUM(B28),"")</f>
        <v/>
      </c>
      <c r="D28" s="2" t="str">
        <f>IF(A28&lt;&gt;"",(Exame!D1*Exame!C28)/Exame!C1, "")</f>
        <v/>
      </c>
    </row>
    <row r="29" spans="1:4" x14ac:dyDescent="0.3">
      <c r="A29" s="2" t="str">
        <f>IF(Alunos!A29&lt;&gt;"",Alunos!A29,"")</f>
        <v/>
      </c>
      <c r="C29" s="2" t="str">
        <f>IF(A29&lt;&gt;"",SUM(B29),"")</f>
        <v/>
      </c>
      <c r="D29" s="2" t="str">
        <f>IF(A29&lt;&gt;"",(Exame!D1*Exame!C29)/Exame!C1, "")</f>
        <v/>
      </c>
    </row>
    <row r="30" spans="1:4" x14ac:dyDescent="0.3">
      <c r="A30" s="2" t="str">
        <f>IF(Alunos!A30&lt;&gt;"",Alunos!A30,"")</f>
        <v/>
      </c>
      <c r="C30" s="2" t="str">
        <f>IF(A30&lt;&gt;"",SUM(B30),"")</f>
        <v/>
      </c>
      <c r="D30" s="2" t="str">
        <f>IF(A30&lt;&gt;"",(Exame!D1*Exame!C30)/Exame!C1, "")</f>
        <v/>
      </c>
    </row>
    <row r="31" spans="1:4" x14ac:dyDescent="0.3">
      <c r="A31" s="2" t="str">
        <f>IF(Alunos!A31&lt;&gt;"",Alunos!A31,"")</f>
        <v/>
      </c>
      <c r="C31" s="2" t="str">
        <f>IF(A31&lt;&gt;"",SUM(B31),"")</f>
        <v/>
      </c>
      <c r="D31" s="2" t="str">
        <f>IF(A31&lt;&gt;"",(Exame!D1*Exame!C31)/Exame!C1, "")</f>
        <v/>
      </c>
    </row>
    <row r="32" spans="1:4" x14ac:dyDescent="0.3">
      <c r="A32" s="2" t="str">
        <f>IF(Alunos!A32&lt;&gt;"",Alunos!A32,"")</f>
        <v/>
      </c>
      <c r="C32" s="2" t="str">
        <f>IF(A32&lt;&gt;"",SUM(B32),"")</f>
        <v/>
      </c>
      <c r="D32" s="2" t="str">
        <f>IF(A32&lt;&gt;"",(Exame!D1*Exame!C32)/Exame!C1, "")</f>
        <v/>
      </c>
    </row>
    <row r="33" spans="1:4" x14ac:dyDescent="0.3">
      <c r="A33" s="2" t="str">
        <f>IF(Alunos!A33&lt;&gt;"",Alunos!A33,"")</f>
        <v/>
      </c>
      <c r="C33" s="2" t="str">
        <f>IF(A33&lt;&gt;"",SUM(B33),"")</f>
        <v/>
      </c>
      <c r="D33" s="2" t="str">
        <f>IF(A33&lt;&gt;"",(Exame!D1*Exame!C33)/Exame!C1, "")</f>
        <v/>
      </c>
    </row>
    <row r="34" spans="1:4" x14ac:dyDescent="0.3">
      <c r="A34" s="2" t="str">
        <f>IF(Alunos!A34&lt;&gt;"",Alunos!A34,"")</f>
        <v/>
      </c>
      <c r="C34" s="2" t="str">
        <f>IF(A34&lt;&gt;"",SUM(B34),"")</f>
        <v/>
      </c>
      <c r="D34" s="2" t="str">
        <f>IF(A34&lt;&gt;"",(Exame!D1*Exame!C34)/Exame!C1, "")</f>
        <v/>
      </c>
    </row>
    <row r="35" spans="1:4" x14ac:dyDescent="0.3">
      <c r="A35" s="2" t="str">
        <f>IF(Alunos!A35&lt;&gt;"",Alunos!A35,"")</f>
        <v/>
      </c>
      <c r="C35" s="2" t="str">
        <f>IF(A35&lt;&gt;"",SUM(B35),"")</f>
        <v/>
      </c>
      <c r="D35" s="2" t="str">
        <f>IF(A35&lt;&gt;"",(Exame!D1*Exame!C35)/Exame!C1, "")</f>
        <v/>
      </c>
    </row>
    <row r="36" spans="1:4" x14ac:dyDescent="0.3">
      <c r="A36" s="2" t="str">
        <f>IF(Alunos!A36&lt;&gt;"",Alunos!A36,"")</f>
        <v/>
      </c>
      <c r="C36" s="2" t="str">
        <f>IF(A36&lt;&gt;"",SUM(B36),"")</f>
        <v/>
      </c>
      <c r="D36" s="2" t="str">
        <f>IF(A36&lt;&gt;"",(Exame!D1*Exame!C36)/Exame!C1, "")</f>
        <v/>
      </c>
    </row>
    <row r="37" spans="1:4" x14ac:dyDescent="0.3">
      <c r="A37" s="2" t="str">
        <f>IF(Alunos!A37&lt;&gt;"",Alunos!A37,"")</f>
        <v/>
      </c>
      <c r="C37" s="2" t="str">
        <f>IF(A37&lt;&gt;"",SUM(B37),"")</f>
        <v/>
      </c>
      <c r="D37" s="2" t="str">
        <f>IF(A37&lt;&gt;"",(Exame!D1*Exame!C37)/Exame!C1, "")</f>
        <v/>
      </c>
    </row>
    <row r="38" spans="1:4" x14ac:dyDescent="0.3">
      <c r="A38" s="2" t="str">
        <f>IF(Alunos!A38&lt;&gt;"",Alunos!A38,"")</f>
        <v/>
      </c>
      <c r="C38" s="2" t="str">
        <f>IF(A38&lt;&gt;"",SUM(B38),"")</f>
        <v/>
      </c>
      <c r="D38" s="2" t="str">
        <f>IF(A38&lt;&gt;"",(Exame!D1*Exame!C38)/Exame!C1, "")</f>
        <v/>
      </c>
    </row>
    <row r="39" spans="1:4" x14ac:dyDescent="0.3">
      <c r="A39" s="2" t="str">
        <f>IF(Alunos!A39&lt;&gt;"",Alunos!A39,"")</f>
        <v/>
      </c>
      <c r="C39" s="2" t="str">
        <f>IF(A39&lt;&gt;"",SUM(B39),"")</f>
        <v/>
      </c>
      <c r="D39" s="2" t="str">
        <f>IF(A39&lt;&gt;"",(Exame!D1*Exame!C39)/Exame!C1, "")</f>
        <v/>
      </c>
    </row>
    <row r="40" spans="1:4" x14ac:dyDescent="0.3">
      <c r="A40" s="2" t="str">
        <f>IF(Alunos!A40&lt;&gt;"",Alunos!A40,"")</f>
        <v/>
      </c>
      <c r="C40" s="2" t="str">
        <f>IF(A40&lt;&gt;"",SUM(B40),"")</f>
        <v/>
      </c>
      <c r="D40" s="2" t="str">
        <f>IF(A40&lt;&gt;"",(Exame!D1*Exame!C40)/Exame!C1, "")</f>
        <v/>
      </c>
    </row>
    <row r="41" spans="1:4" x14ac:dyDescent="0.3">
      <c r="A41" s="2" t="str">
        <f>IF(Alunos!A41&lt;&gt;"",Alunos!A41,"")</f>
        <v/>
      </c>
      <c r="C41" s="2" t="str">
        <f>IF(A41&lt;&gt;"",SUM(B41),"")</f>
        <v/>
      </c>
      <c r="D41" s="2" t="str">
        <f>IF(A41&lt;&gt;"",(Exame!D1*Exame!C41)/Exame!C1, "")</f>
        <v/>
      </c>
    </row>
    <row r="42" spans="1:4" x14ac:dyDescent="0.3">
      <c r="A42" s="2" t="str">
        <f>IF(Alunos!A42&lt;&gt;"",Alunos!A42,"")</f>
        <v/>
      </c>
      <c r="C42" s="2" t="str">
        <f>IF(A42&lt;&gt;"",SUM(B42),"")</f>
        <v/>
      </c>
      <c r="D42" s="2" t="str">
        <f>IF(A42&lt;&gt;"",(Exame!D1*Exame!C42)/Exame!C1, "")</f>
        <v/>
      </c>
    </row>
    <row r="43" spans="1:4" x14ac:dyDescent="0.3">
      <c r="A43" s="2" t="str">
        <f>IF(Alunos!A43&lt;&gt;"",Alunos!A43,"")</f>
        <v/>
      </c>
      <c r="C43" s="2" t="str">
        <f>IF(A43&lt;&gt;"",SUM(B43),"")</f>
        <v/>
      </c>
      <c r="D43" s="2" t="str">
        <f>IF(A43&lt;&gt;"",(Exame!D1*Exame!C43)/Exame!C1, "")</f>
        <v/>
      </c>
    </row>
    <row r="44" spans="1:4" x14ac:dyDescent="0.3">
      <c r="A44" s="2" t="str">
        <f>IF(Alunos!A44&lt;&gt;"",Alunos!A44,"")</f>
        <v/>
      </c>
      <c r="C44" s="2" t="str">
        <f>IF(A44&lt;&gt;"",SUM(B44),"")</f>
        <v/>
      </c>
      <c r="D44" s="2" t="str">
        <f>IF(A44&lt;&gt;"",(Exame!D1*Exame!C44)/Exame!C1, "")</f>
        <v/>
      </c>
    </row>
    <row r="45" spans="1:4" x14ac:dyDescent="0.3">
      <c r="A45" s="2" t="str">
        <f>IF(Alunos!A45&lt;&gt;"",Alunos!A45,"")</f>
        <v/>
      </c>
      <c r="C45" s="2" t="str">
        <f>IF(A45&lt;&gt;"",SUM(B45),"")</f>
        <v/>
      </c>
      <c r="D45" s="2" t="str">
        <f>IF(A45&lt;&gt;"",(Exame!D1*Exame!C45)/Exame!C1, "")</f>
        <v/>
      </c>
    </row>
    <row r="46" spans="1:4" x14ac:dyDescent="0.3">
      <c r="A46" s="2" t="str">
        <f>IF(Alunos!A46&lt;&gt;"",Alunos!A46,"")</f>
        <v/>
      </c>
      <c r="C46" s="2" t="str">
        <f>IF(A46&lt;&gt;"",SUM(B46),"")</f>
        <v/>
      </c>
      <c r="D46" s="2" t="str">
        <f>IF(A46&lt;&gt;"",(Exame!D1*Exame!C46)/Exame!C1, "")</f>
        <v/>
      </c>
    </row>
    <row r="47" spans="1:4" x14ac:dyDescent="0.3">
      <c r="A47" s="2" t="str">
        <f>IF(Alunos!A47&lt;&gt;"",Alunos!A47,"")</f>
        <v/>
      </c>
      <c r="C47" s="2" t="str">
        <f>IF(A47&lt;&gt;"",SUM(B47),"")</f>
        <v/>
      </c>
      <c r="D47" s="2" t="str">
        <f>IF(A47&lt;&gt;"",(Exame!D1*Exame!C47)/Exame!C1, "")</f>
        <v/>
      </c>
    </row>
    <row r="48" spans="1:4" x14ac:dyDescent="0.3">
      <c r="A48" s="2" t="str">
        <f>IF(Alunos!A48&lt;&gt;"",Alunos!A48,"")</f>
        <v/>
      </c>
      <c r="C48" s="2" t="str">
        <f>IF(A48&lt;&gt;"",SUM(B48),"")</f>
        <v/>
      </c>
      <c r="D48" s="2" t="str">
        <f>IF(A48&lt;&gt;"",(Exame!D1*Exame!C48)/Exame!C1, "")</f>
        <v/>
      </c>
    </row>
    <row r="49" spans="1:4" x14ac:dyDescent="0.3">
      <c r="A49" s="2" t="str">
        <f>IF(Alunos!A49&lt;&gt;"",Alunos!A49,"")</f>
        <v/>
      </c>
      <c r="C49" s="2" t="str">
        <f>IF(A49&lt;&gt;"",SUM(B49),"")</f>
        <v/>
      </c>
      <c r="D49" s="2" t="str">
        <f>IF(A49&lt;&gt;"",(Exame!D1*Exame!C49)/Exame!C1, "")</f>
        <v/>
      </c>
    </row>
    <row r="50" spans="1:4" x14ac:dyDescent="0.3">
      <c r="A50" s="2" t="str">
        <f>IF(Alunos!A50&lt;&gt;"",Alunos!A50,"")</f>
        <v/>
      </c>
      <c r="C50" s="2" t="str">
        <f>IF(A50&lt;&gt;"",SUM(B50),"")</f>
        <v/>
      </c>
      <c r="D50" s="2" t="str">
        <f>IF(A50&lt;&gt;"",(Exame!D1*Exame!C50)/Exame!C1, "")</f>
        <v/>
      </c>
    </row>
    <row r="51" spans="1:4" x14ac:dyDescent="0.3">
      <c r="A51" s="2" t="str">
        <f>IF(Alunos!A51&lt;&gt;"",Alunos!A51,"")</f>
        <v/>
      </c>
      <c r="C51" s="2" t="str">
        <f>IF(A51&lt;&gt;"",SUM(B51),"")</f>
        <v/>
      </c>
      <c r="D51" s="2" t="str">
        <f>IF(A51&lt;&gt;"",(Exame!D1*Exame!C51)/Exame!C1, "")</f>
        <v/>
      </c>
    </row>
    <row r="52" spans="1:4" x14ac:dyDescent="0.3">
      <c r="A52" s="2" t="str">
        <f>IF(Alunos!A52&lt;&gt;"",Alunos!A52,"")</f>
        <v/>
      </c>
      <c r="C52" s="2" t="str">
        <f>IF(A52&lt;&gt;"",SUM(B52),"")</f>
        <v/>
      </c>
      <c r="D52" s="2" t="str">
        <f>IF(A52&lt;&gt;"",(Exame!D1*Exame!C52)/Exame!C1, "")</f>
        <v/>
      </c>
    </row>
    <row r="53" spans="1:4" x14ac:dyDescent="0.3">
      <c r="A53" s="2" t="str">
        <f>IF(Alunos!A53&lt;&gt;"",Alunos!A53,"")</f>
        <v/>
      </c>
      <c r="C53" s="2" t="str">
        <f>IF(A53&lt;&gt;"",SUM(B53),"")</f>
        <v/>
      </c>
      <c r="D53" s="2" t="str">
        <f>IF(A53&lt;&gt;"",(Exame!D1*Exame!C53)/Exame!C1, "")</f>
        <v/>
      </c>
    </row>
    <row r="54" spans="1:4" x14ac:dyDescent="0.3">
      <c r="A54" s="2" t="str">
        <f>IF(Alunos!A54&lt;&gt;"",Alunos!A54,"")</f>
        <v/>
      </c>
      <c r="C54" s="2" t="str">
        <f>IF(A54&lt;&gt;"",SUM(B54),"")</f>
        <v/>
      </c>
      <c r="D54" s="2" t="str">
        <f>IF(A54&lt;&gt;"",(Exame!D1*Exame!C54)/Exame!C1, "")</f>
        <v/>
      </c>
    </row>
    <row r="55" spans="1:4" x14ac:dyDescent="0.3">
      <c r="A55" s="2" t="str">
        <f>IF(Alunos!A55&lt;&gt;"",Alunos!A55,"")</f>
        <v/>
      </c>
      <c r="C55" s="2" t="str">
        <f>IF(A55&lt;&gt;"",SUM(B55),"")</f>
        <v/>
      </c>
      <c r="D55" s="2" t="str">
        <f>IF(A55&lt;&gt;"",(Exame!D1*Exame!C55)/Exame!C1, "")</f>
        <v/>
      </c>
    </row>
    <row r="56" spans="1:4" x14ac:dyDescent="0.3">
      <c r="A56" s="2" t="str">
        <f>IF(Alunos!A56&lt;&gt;"",Alunos!A56,"")</f>
        <v/>
      </c>
      <c r="C56" s="2" t="str">
        <f>IF(A56&lt;&gt;"",SUM(B56),"")</f>
        <v/>
      </c>
      <c r="D56" s="2" t="str">
        <f>IF(A56&lt;&gt;"",(Exame!D1*Exame!C56)/Exame!C1, "")</f>
        <v/>
      </c>
    </row>
    <row r="57" spans="1:4" x14ac:dyDescent="0.3">
      <c r="A57" s="2" t="str">
        <f>IF(Alunos!A57&lt;&gt;"",Alunos!A57,"")</f>
        <v/>
      </c>
      <c r="C57" s="2" t="str">
        <f>IF(A57&lt;&gt;"",SUM(B57),"")</f>
        <v/>
      </c>
      <c r="D57" s="2" t="str">
        <f>IF(A57&lt;&gt;"",(Exame!D1*Exame!C57)/Exame!C1, "")</f>
        <v/>
      </c>
    </row>
    <row r="58" spans="1:4" x14ac:dyDescent="0.3">
      <c r="A58" s="2" t="str">
        <f>IF(Alunos!A58&lt;&gt;"",Alunos!A58,"")</f>
        <v/>
      </c>
      <c r="C58" s="2" t="str">
        <f>IF(A58&lt;&gt;"",SUM(B58),"")</f>
        <v/>
      </c>
      <c r="D58" s="2" t="str">
        <f>IF(A58&lt;&gt;"",(Exame!D1*Exame!C58)/Exame!C1, "")</f>
        <v/>
      </c>
    </row>
    <row r="59" spans="1:4" x14ac:dyDescent="0.3">
      <c r="A59" s="2" t="str">
        <f>IF(Alunos!A59&lt;&gt;"",Alunos!A59,"")</f>
        <v/>
      </c>
      <c r="C59" s="2" t="str">
        <f>IF(A59&lt;&gt;"",SUM(B59),"")</f>
        <v/>
      </c>
      <c r="D59" s="2" t="str">
        <f>IF(A59&lt;&gt;"",(Exame!D1*Exame!C59)/Exame!C1, "")</f>
        <v/>
      </c>
    </row>
    <row r="60" spans="1:4" x14ac:dyDescent="0.3">
      <c r="A60" s="2" t="str">
        <f>IF(Alunos!A60&lt;&gt;"",Alunos!A60,"")</f>
        <v/>
      </c>
      <c r="C60" s="2" t="str">
        <f>IF(A60&lt;&gt;"",SUM(B60),"")</f>
        <v/>
      </c>
      <c r="D60" s="2" t="str">
        <f>IF(A60&lt;&gt;"",(Exame!D1*Exame!C60)/Exame!C1, "")</f>
        <v/>
      </c>
    </row>
    <row r="61" spans="1:4" x14ac:dyDescent="0.3">
      <c r="A61" s="2" t="str">
        <f>IF(Alunos!A61&lt;&gt;"",Alunos!A61,"")</f>
        <v/>
      </c>
      <c r="C61" s="2" t="str">
        <f>IF(A61&lt;&gt;"",SUM(B61),"")</f>
        <v/>
      </c>
      <c r="D61" s="2" t="str">
        <f>IF(A61&lt;&gt;"",(Exame!D1*Exame!C61)/Exame!C1, "")</f>
        <v/>
      </c>
    </row>
    <row r="62" spans="1:4" x14ac:dyDescent="0.3">
      <c r="A62" s="2" t="str">
        <f>IF(Alunos!A62&lt;&gt;"",Alunos!A62,"")</f>
        <v/>
      </c>
      <c r="C62" s="2" t="str">
        <f>IF(A62&lt;&gt;"",SUM(B62),"")</f>
        <v/>
      </c>
      <c r="D62" s="2" t="str">
        <f>IF(A62&lt;&gt;"",(Exame!D1*Exame!C62)/Exame!C1, "")</f>
        <v/>
      </c>
    </row>
    <row r="63" spans="1:4" x14ac:dyDescent="0.3">
      <c r="A63" s="2" t="str">
        <f>IF(Alunos!A63&lt;&gt;"",Alunos!A63,"")</f>
        <v/>
      </c>
      <c r="C63" s="2" t="str">
        <f>IF(A63&lt;&gt;"",SUM(B63),"")</f>
        <v/>
      </c>
      <c r="D63" s="2" t="str">
        <f>IF(A63&lt;&gt;"",(Exame!D1*Exame!C63)/Exame!C1, "")</f>
        <v/>
      </c>
    </row>
    <row r="64" spans="1:4" x14ac:dyDescent="0.3">
      <c r="A64" s="2" t="str">
        <f>IF(Alunos!A64&lt;&gt;"",Alunos!A64,"")</f>
        <v/>
      </c>
      <c r="C64" s="2" t="str">
        <f>IF(A64&lt;&gt;"",SUM(B64),"")</f>
        <v/>
      </c>
      <c r="D64" s="2" t="str">
        <f>IF(A64&lt;&gt;"",(Exame!D1*Exame!C64)/Exame!C1, "")</f>
        <v/>
      </c>
    </row>
    <row r="65" spans="1:4" x14ac:dyDescent="0.3">
      <c r="A65" s="2" t="str">
        <f>IF(Alunos!A65&lt;&gt;"",Alunos!A65,"")</f>
        <v/>
      </c>
      <c r="C65" s="2" t="str">
        <f>IF(A65&lt;&gt;"",SUM(B65),"")</f>
        <v/>
      </c>
      <c r="D65" s="2" t="str">
        <f>IF(A65&lt;&gt;"",(Exame!D1*Exame!C65)/Exame!C1, "")</f>
        <v/>
      </c>
    </row>
    <row r="66" spans="1:4" x14ac:dyDescent="0.3">
      <c r="A66" s="2" t="str">
        <f>IF(Alunos!A66&lt;&gt;"",Alunos!A66,"")</f>
        <v/>
      </c>
      <c r="C66" s="2" t="str">
        <f>IF(A66&lt;&gt;"",SUM(B66),"")</f>
        <v/>
      </c>
      <c r="D66" s="2" t="str">
        <f>IF(A66&lt;&gt;"",(Exame!D1*Exame!C66)/Exame!C1, "")</f>
        <v/>
      </c>
    </row>
    <row r="67" spans="1:4" x14ac:dyDescent="0.3">
      <c r="A67" s="2" t="str">
        <f>IF(Alunos!A67&lt;&gt;"",Alunos!A67,"")</f>
        <v/>
      </c>
      <c r="C67" s="2" t="str">
        <f>IF(A67&lt;&gt;"",SUM(B67),"")</f>
        <v/>
      </c>
      <c r="D67" s="2" t="str">
        <f>IF(A67&lt;&gt;"",(Exame!D1*Exame!C67)/Exame!C1, "")</f>
        <v/>
      </c>
    </row>
    <row r="68" spans="1:4" x14ac:dyDescent="0.3">
      <c r="A68" s="2" t="str">
        <f>IF(Alunos!A68&lt;&gt;"",Alunos!A68,"")</f>
        <v/>
      </c>
      <c r="C68" s="2" t="str">
        <f>IF(A68&lt;&gt;"",SUM(B68),"")</f>
        <v/>
      </c>
      <c r="D68" s="2" t="str">
        <f>IF(A68&lt;&gt;"",(Exame!D1*Exame!C68)/Exame!C1, "")</f>
        <v/>
      </c>
    </row>
    <row r="69" spans="1:4" x14ac:dyDescent="0.3">
      <c r="A69" s="2" t="str">
        <f>IF(Alunos!A69&lt;&gt;"",Alunos!A69,"")</f>
        <v/>
      </c>
      <c r="C69" s="2" t="str">
        <f>IF(A69&lt;&gt;"",SUM(B69),"")</f>
        <v/>
      </c>
      <c r="D69" s="2" t="str">
        <f>IF(A69&lt;&gt;"",(Exame!D1*Exame!C69)/Exame!C1, "")</f>
        <v/>
      </c>
    </row>
    <row r="70" spans="1:4" x14ac:dyDescent="0.3">
      <c r="A70" s="2" t="str">
        <f>IF(Alunos!A70&lt;&gt;"",Alunos!A70,"")</f>
        <v/>
      </c>
      <c r="C70" s="2" t="str">
        <f>IF(A70&lt;&gt;"",SUM(B70),"")</f>
        <v/>
      </c>
      <c r="D70" s="2" t="str">
        <f>IF(A70&lt;&gt;"",(Exame!D1*Exame!C70)/Exame!C1, "")</f>
        <v/>
      </c>
    </row>
    <row r="71" spans="1:4" x14ac:dyDescent="0.3">
      <c r="A71" s="2" t="str">
        <f>IF(Alunos!A71&lt;&gt;"",Alunos!A71,"")</f>
        <v/>
      </c>
      <c r="C71" s="2" t="str">
        <f>IF(A71&lt;&gt;"",SUM(B71),"")</f>
        <v/>
      </c>
      <c r="D71" s="2" t="str">
        <f>IF(A71&lt;&gt;"",(Exame!D1*Exame!C71)/Exame!C1, "")</f>
        <v/>
      </c>
    </row>
    <row r="72" spans="1:4" x14ac:dyDescent="0.3">
      <c r="A72" s="2" t="str">
        <f>IF(Alunos!A72&lt;&gt;"",Alunos!A72,"")</f>
        <v/>
      </c>
      <c r="C72" s="2" t="str">
        <f>IF(A72&lt;&gt;"",SUM(B72),"")</f>
        <v/>
      </c>
      <c r="D72" s="2" t="str">
        <f>IF(A72&lt;&gt;"",(Exame!D1*Exame!C72)/Exame!C1, "")</f>
        <v/>
      </c>
    </row>
    <row r="73" spans="1:4" x14ac:dyDescent="0.3">
      <c r="A73" s="2" t="str">
        <f>IF(Alunos!A73&lt;&gt;"",Alunos!A73,"")</f>
        <v/>
      </c>
      <c r="C73" s="2" t="str">
        <f>IF(A73&lt;&gt;"",SUM(B73),"")</f>
        <v/>
      </c>
      <c r="D73" s="2" t="str">
        <f>IF(A73&lt;&gt;"",(Exame!D1*Exame!C73)/Exame!C1, "")</f>
        <v/>
      </c>
    </row>
    <row r="74" spans="1:4" x14ac:dyDescent="0.3">
      <c r="A74" s="2" t="str">
        <f>IF(Alunos!A74&lt;&gt;"",Alunos!A74,"")</f>
        <v/>
      </c>
      <c r="C74" s="2" t="str">
        <f>IF(A74&lt;&gt;"",SUM(B74),"")</f>
        <v/>
      </c>
      <c r="D74" s="2" t="str">
        <f>IF(A74&lt;&gt;"",(Exame!D1*Exame!C74)/Exame!C1, "")</f>
        <v/>
      </c>
    </row>
    <row r="75" spans="1:4" x14ac:dyDescent="0.3">
      <c r="A75" s="2" t="str">
        <f>IF(Alunos!A75&lt;&gt;"",Alunos!A75,"")</f>
        <v/>
      </c>
      <c r="C75" s="2" t="str">
        <f>IF(A75&lt;&gt;"",SUM(B75),"")</f>
        <v/>
      </c>
      <c r="D75" s="2" t="str">
        <f>IF(A75&lt;&gt;"",(Exame!D1*Exame!C75)/Exame!C1, "")</f>
        <v/>
      </c>
    </row>
    <row r="76" spans="1:4" x14ac:dyDescent="0.3">
      <c r="A76" s="2" t="str">
        <f>IF(Alunos!A76&lt;&gt;"",Alunos!A76,"")</f>
        <v/>
      </c>
      <c r="C76" s="2" t="str">
        <f>IF(A76&lt;&gt;"",SUM(B76),"")</f>
        <v/>
      </c>
      <c r="D76" s="2" t="str">
        <f>IF(A76&lt;&gt;"",(Exame!D1*Exame!C76)/Exame!C1, "")</f>
        <v/>
      </c>
    </row>
    <row r="77" spans="1:4" x14ac:dyDescent="0.3">
      <c r="A77" s="2" t="str">
        <f>IF(Alunos!A77&lt;&gt;"",Alunos!A77,"")</f>
        <v/>
      </c>
      <c r="C77" s="2" t="str">
        <f>IF(A77&lt;&gt;"",SUM(B77),"")</f>
        <v/>
      </c>
      <c r="D77" s="2" t="str">
        <f>IF(A77&lt;&gt;"",(Exame!D1*Exame!C77)/Exame!C1, "")</f>
        <v/>
      </c>
    </row>
    <row r="78" spans="1:4" x14ac:dyDescent="0.3">
      <c r="A78" s="2" t="str">
        <f>IF(Alunos!A78&lt;&gt;"",Alunos!A78,"")</f>
        <v/>
      </c>
      <c r="C78" s="2" t="str">
        <f>IF(A78&lt;&gt;"",SUM(B78),"")</f>
        <v/>
      </c>
      <c r="D78" s="2" t="str">
        <f>IF(A78&lt;&gt;"",(Exame!D1*Exame!C78)/Exame!C1, "")</f>
        <v/>
      </c>
    </row>
    <row r="79" spans="1:4" x14ac:dyDescent="0.3">
      <c r="A79" s="2" t="str">
        <f>IF(Alunos!A79&lt;&gt;"",Alunos!A79,"")</f>
        <v/>
      </c>
      <c r="C79" s="2" t="str">
        <f>IF(A79&lt;&gt;"",SUM(B79),"")</f>
        <v/>
      </c>
      <c r="D79" s="2" t="str">
        <f>IF(A79&lt;&gt;"",(Exame!D1*Exame!C79)/Exame!C1, "")</f>
        <v/>
      </c>
    </row>
    <row r="80" spans="1:4" x14ac:dyDescent="0.3">
      <c r="A80" s="2" t="str">
        <f>IF(Alunos!A80&lt;&gt;"",Alunos!A80,"")</f>
        <v/>
      </c>
      <c r="C80" s="2" t="str">
        <f>IF(A80&lt;&gt;"",SUM(B80),"")</f>
        <v/>
      </c>
      <c r="D80" s="2" t="str">
        <f>IF(A80&lt;&gt;"",(Exame!D1*Exame!C80)/Exame!C1, "")</f>
        <v/>
      </c>
    </row>
    <row r="81" spans="1:4" x14ac:dyDescent="0.3">
      <c r="A81" s="2" t="str">
        <f>IF(Alunos!A81&lt;&gt;"",Alunos!A81,"")</f>
        <v/>
      </c>
      <c r="C81" s="2" t="str">
        <f>IF(A81&lt;&gt;"",SUM(B81),"")</f>
        <v/>
      </c>
      <c r="D81" s="2" t="str">
        <f>IF(A81&lt;&gt;"",(Exame!D1*Exame!C81)/Exame!C1, "")</f>
        <v/>
      </c>
    </row>
    <row r="82" spans="1:4" x14ac:dyDescent="0.3">
      <c r="A82" s="2" t="str">
        <f>IF(Alunos!A82&lt;&gt;"",Alunos!A82,"")</f>
        <v/>
      </c>
      <c r="C82" s="2" t="str">
        <f>IF(A82&lt;&gt;"",SUM(B82),"")</f>
        <v/>
      </c>
      <c r="D82" s="2" t="str">
        <f>IF(A82&lt;&gt;"",(Exame!D1*Exame!C82)/Exame!C1, "")</f>
        <v/>
      </c>
    </row>
    <row r="83" spans="1:4" x14ac:dyDescent="0.3">
      <c r="A83" s="2" t="str">
        <f>IF(Alunos!A83&lt;&gt;"",Alunos!A83,"")</f>
        <v/>
      </c>
      <c r="C83" s="2" t="str">
        <f>IF(A83&lt;&gt;"",SUM(B83),"")</f>
        <v/>
      </c>
      <c r="D83" s="2" t="str">
        <f>IF(A83&lt;&gt;"",(Exame!D1*Exame!C83)/Exame!C1, "")</f>
        <v/>
      </c>
    </row>
    <row r="84" spans="1:4" x14ac:dyDescent="0.3">
      <c r="A84" s="2" t="str">
        <f>IF(Alunos!A84&lt;&gt;"",Alunos!A84,"")</f>
        <v/>
      </c>
      <c r="C84" s="2" t="str">
        <f>IF(A84&lt;&gt;"",SUM(B84),"")</f>
        <v/>
      </c>
      <c r="D84" s="2" t="str">
        <f>IF(A84&lt;&gt;"",(Exame!D1*Exame!C84)/Exame!C1, "")</f>
        <v/>
      </c>
    </row>
    <row r="85" spans="1:4" x14ac:dyDescent="0.3">
      <c r="A85" s="2" t="str">
        <f>IF(Alunos!A85&lt;&gt;"",Alunos!A85,"")</f>
        <v/>
      </c>
      <c r="C85" s="2" t="str">
        <f>IF(A85&lt;&gt;"",SUM(B85),"")</f>
        <v/>
      </c>
      <c r="D85" s="2" t="str">
        <f>IF(A85&lt;&gt;"",(Exame!D1*Exame!C85)/Exame!C1, "")</f>
        <v/>
      </c>
    </row>
    <row r="86" spans="1:4" x14ac:dyDescent="0.3">
      <c r="A86" s="2" t="str">
        <f>IF(Alunos!A86&lt;&gt;"",Alunos!A86,"")</f>
        <v/>
      </c>
      <c r="C86" s="2" t="str">
        <f>IF(A86&lt;&gt;"",SUM(B86),"")</f>
        <v/>
      </c>
      <c r="D86" s="2" t="str">
        <f>IF(A86&lt;&gt;"",(Exame!D1*Exame!C86)/Exame!C1, "")</f>
        <v/>
      </c>
    </row>
    <row r="87" spans="1:4" x14ac:dyDescent="0.3">
      <c r="A87" s="2" t="str">
        <f>IF(Alunos!A87&lt;&gt;"",Alunos!A87,"")</f>
        <v/>
      </c>
      <c r="C87" s="2" t="str">
        <f>IF(A87&lt;&gt;"",SUM(B87),"")</f>
        <v/>
      </c>
      <c r="D87" s="2" t="str">
        <f>IF(A87&lt;&gt;"",(Exame!D1*Exame!C87)/Exame!C1, "")</f>
        <v/>
      </c>
    </row>
    <row r="88" spans="1:4" x14ac:dyDescent="0.3">
      <c r="A88" s="2" t="str">
        <f>IF(Alunos!A88&lt;&gt;"",Alunos!A88,"")</f>
        <v/>
      </c>
      <c r="C88" s="2" t="str">
        <f>IF(A88&lt;&gt;"",SUM(B88),"")</f>
        <v/>
      </c>
      <c r="D88" s="2" t="str">
        <f>IF(A88&lt;&gt;"",(Exame!D1*Exame!C88)/Exame!C1, "")</f>
        <v/>
      </c>
    </row>
    <row r="89" spans="1:4" x14ac:dyDescent="0.3">
      <c r="A89" s="2" t="str">
        <f>IF(Alunos!A89&lt;&gt;"",Alunos!A89,"")</f>
        <v/>
      </c>
      <c r="C89" s="2" t="str">
        <f>IF(A89&lt;&gt;"",SUM(B89),"")</f>
        <v/>
      </c>
      <c r="D89" s="2" t="str">
        <f>IF(A89&lt;&gt;"",(Exame!D1*Exame!C89)/Exame!C1, "")</f>
        <v/>
      </c>
    </row>
    <row r="90" spans="1:4" x14ac:dyDescent="0.3">
      <c r="A90" s="2" t="str">
        <f>IF(Alunos!A90&lt;&gt;"",Alunos!A90,"")</f>
        <v/>
      </c>
      <c r="C90" s="2" t="str">
        <f>IF(A90&lt;&gt;"",SUM(B90),"")</f>
        <v/>
      </c>
      <c r="D90" s="2" t="str">
        <f>IF(A90&lt;&gt;"",(Exame!D1*Exame!C90)/Exame!C1, "")</f>
        <v/>
      </c>
    </row>
    <row r="91" spans="1:4" x14ac:dyDescent="0.3">
      <c r="A91" s="2" t="str">
        <f>IF(Alunos!A91&lt;&gt;"",Alunos!A91,"")</f>
        <v/>
      </c>
      <c r="C91" s="2" t="str">
        <f>IF(A91&lt;&gt;"",SUM(B91),"")</f>
        <v/>
      </c>
      <c r="D91" s="2" t="str">
        <f>IF(A91&lt;&gt;"",(Exame!D1*Exame!C91)/Exame!C1, "")</f>
        <v/>
      </c>
    </row>
    <row r="92" spans="1:4" x14ac:dyDescent="0.3">
      <c r="A92" s="2" t="str">
        <f>IF(Alunos!A92&lt;&gt;"",Alunos!A92,"")</f>
        <v/>
      </c>
      <c r="C92" s="2" t="str">
        <f>IF(A92&lt;&gt;"",SUM(B92),"")</f>
        <v/>
      </c>
      <c r="D92" s="2" t="str">
        <f>IF(A92&lt;&gt;"",(Exame!D1*Exame!C92)/Exame!C1, "")</f>
        <v/>
      </c>
    </row>
    <row r="93" spans="1:4" x14ac:dyDescent="0.3">
      <c r="A93" s="2" t="str">
        <f>IF(Alunos!A93&lt;&gt;"",Alunos!A93,"")</f>
        <v/>
      </c>
      <c r="C93" s="2" t="str">
        <f>IF(A93&lt;&gt;"",SUM(B93),"")</f>
        <v/>
      </c>
      <c r="D93" s="2" t="str">
        <f>IF(A93&lt;&gt;"",(Exame!D1*Exame!C93)/Exame!C1, "")</f>
        <v/>
      </c>
    </row>
    <row r="94" spans="1:4" x14ac:dyDescent="0.3">
      <c r="A94" s="2" t="str">
        <f>IF(Alunos!A94&lt;&gt;"",Alunos!A94,"")</f>
        <v/>
      </c>
      <c r="C94" s="2" t="str">
        <f>IF(A94&lt;&gt;"",SUM(B94),"")</f>
        <v/>
      </c>
      <c r="D94" s="2" t="str">
        <f>IF(A94&lt;&gt;"",(Exame!D1*Exame!C94)/Exame!C1, "")</f>
        <v/>
      </c>
    </row>
    <row r="95" spans="1:4" x14ac:dyDescent="0.3">
      <c r="A95" s="2" t="str">
        <f>IF(Alunos!A95&lt;&gt;"",Alunos!A95,"")</f>
        <v/>
      </c>
      <c r="C95" s="2" t="str">
        <f>IF(A95&lt;&gt;"",SUM(B95),"")</f>
        <v/>
      </c>
      <c r="D95" s="2" t="str">
        <f>IF(A95&lt;&gt;"",(Exame!D1*Exame!C95)/Exame!C1, "")</f>
        <v/>
      </c>
    </row>
    <row r="96" spans="1:4" x14ac:dyDescent="0.3">
      <c r="A96" s="2" t="str">
        <f>IF(Alunos!A96&lt;&gt;"",Alunos!A96,"")</f>
        <v/>
      </c>
      <c r="C96" s="2" t="str">
        <f>IF(A96&lt;&gt;"",SUM(B96),"")</f>
        <v/>
      </c>
      <c r="D96" s="2" t="str">
        <f>IF(A96&lt;&gt;"",(Exame!D1*Exame!C96)/Exame!C1, "")</f>
        <v/>
      </c>
    </row>
    <row r="97" spans="1:4" x14ac:dyDescent="0.3">
      <c r="A97" s="2" t="str">
        <f>IF(Alunos!A97&lt;&gt;"",Alunos!A97,"")</f>
        <v/>
      </c>
      <c r="C97" s="2" t="str">
        <f>IF(A97&lt;&gt;"",SUM(B97),"")</f>
        <v/>
      </c>
      <c r="D97" s="2" t="str">
        <f>IF(A97&lt;&gt;"",(Exame!D1*Exame!C97)/Exame!C1, "")</f>
        <v/>
      </c>
    </row>
    <row r="98" spans="1:4" x14ac:dyDescent="0.3">
      <c r="A98" s="2" t="str">
        <f>IF(Alunos!A98&lt;&gt;"",Alunos!A98,"")</f>
        <v/>
      </c>
      <c r="C98" s="2" t="str">
        <f>IF(A98&lt;&gt;"",SUM(B98),"")</f>
        <v/>
      </c>
      <c r="D98" s="2" t="str">
        <f>IF(A98&lt;&gt;"",(Exame!D1*Exame!C98)/Exame!C1, "")</f>
        <v/>
      </c>
    </row>
    <row r="99" spans="1:4" x14ac:dyDescent="0.3">
      <c r="A99" s="2" t="str">
        <f>IF(Alunos!A99&lt;&gt;"",Alunos!A99,"")</f>
        <v/>
      </c>
      <c r="C99" s="2" t="str">
        <f>IF(A99&lt;&gt;"",SUM(B99),"")</f>
        <v/>
      </c>
      <c r="D99" s="2" t="str">
        <f>IF(A99&lt;&gt;"",(Exame!D1*Exame!C99)/Exame!C1, "")</f>
        <v/>
      </c>
    </row>
    <row r="100" spans="1:4" x14ac:dyDescent="0.3">
      <c r="A100" s="2" t="str">
        <f>IF(Alunos!A100&lt;&gt;"",Alunos!A100,"")</f>
        <v/>
      </c>
      <c r="C100" s="2" t="str">
        <f>IF(A100&lt;&gt;"",SUM(B100),"")</f>
        <v/>
      </c>
      <c r="D100" s="2" t="str">
        <f>IF(A100&lt;&gt;"",(Exame!D1*Exame!C100)/Exame!C1, "")</f>
        <v/>
      </c>
    </row>
    <row r="101" spans="1:4" x14ac:dyDescent="0.3">
      <c r="A101" s="2" t="str">
        <f>IF(Alunos!A101&lt;&gt;"",Alunos!A101,"")</f>
        <v/>
      </c>
      <c r="C101" s="2" t="str">
        <f>IF(A101&lt;&gt;"",SUM(B101),"")</f>
        <v/>
      </c>
      <c r="D101" s="2" t="str">
        <f>IF(A101&lt;&gt;"",(Exame!D1*Exame!C101)/Exame!C1, "")</f>
        <v/>
      </c>
    </row>
    <row r="102" spans="1:4" x14ac:dyDescent="0.3">
      <c r="A102" s="2" t="str">
        <f>IF(Alunos!A102&lt;&gt;"",Alunos!A102,"")</f>
        <v/>
      </c>
      <c r="C102" s="2" t="str">
        <f>IF(A102&lt;&gt;"",SUM(B102),"")</f>
        <v/>
      </c>
      <c r="D102" s="2" t="str">
        <f>IF(A102&lt;&gt;"",(Exame!D1*Exame!C102)/Exame!C1, "")</f>
        <v/>
      </c>
    </row>
    <row r="103" spans="1:4" x14ac:dyDescent="0.3">
      <c r="A103" s="2" t="str">
        <f>IF(Alunos!A103&lt;&gt;"",Alunos!A103,"")</f>
        <v/>
      </c>
      <c r="C103" s="2" t="str">
        <f>IF(A103&lt;&gt;"",SUM(B103),"")</f>
        <v/>
      </c>
      <c r="D103" s="2" t="str">
        <f>IF(A103&lt;&gt;"",(Exame!D1*Exame!C103)/Exame!C1, "")</f>
        <v/>
      </c>
    </row>
    <row r="104" spans="1:4" x14ac:dyDescent="0.3">
      <c r="A104" s="2" t="str">
        <f>IF(Alunos!A104&lt;&gt;"",Alunos!A104,"")</f>
        <v/>
      </c>
      <c r="C104" s="2" t="str">
        <f>IF(A104&lt;&gt;"",SUM(B104),"")</f>
        <v/>
      </c>
      <c r="D104" s="2" t="str">
        <f>IF(A104&lt;&gt;"",(Exame!D1*Exame!C104)/Exame!C1, "")</f>
        <v/>
      </c>
    </row>
    <row r="105" spans="1:4" x14ac:dyDescent="0.3">
      <c r="A105" s="2" t="str">
        <f>IF(Alunos!A105&lt;&gt;"",Alunos!A105,"")</f>
        <v/>
      </c>
      <c r="C105" s="2" t="str">
        <f>IF(A105&lt;&gt;"",SUM(B105),"")</f>
        <v/>
      </c>
      <c r="D105" s="2" t="str">
        <f>IF(A105&lt;&gt;"",(Exame!D1*Exame!C105)/Exame!C1, "")</f>
        <v/>
      </c>
    </row>
    <row r="106" spans="1:4" x14ac:dyDescent="0.3">
      <c r="A106" s="2" t="str">
        <f>IF(Alunos!A106&lt;&gt;"",Alunos!A106,"")</f>
        <v/>
      </c>
      <c r="C106" s="2" t="str">
        <f>IF(A106&lt;&gt;"",SUM(B106),"")</f>
        <v/>
      </c>
      <c r="D106" s="2" t="str">
        <f>IF(A106&lt;&gt;"",(Exame!D1*Exame!C106)/Exame!C1, "")</f>
        <v/>
      </c>
    </row>
    <row r="107" spans="1:4" x14ac:dyDescent="0.3">
      <c r="A107" s="2" t="str">
        <f>IF(Alunos!A107&lt;&gt;"",Alunos!A107,"")</f>
        <v/>
      </c>
      <c r="C107" s="2" t="str">
        <f>IF(A107&lt;&gt;"",SUM(B107),"")</f>
        <v/>
      </c>
      <c r="D107" s="2" t="str">
        <f>IF(A107&lt;&gt;"",(Exame!D1*Exame!C107)/Exame!C1, "")</f>
        <v/>
      </c>
    </row>
    <row r="108" spans="1:4" x14ac:dyDescent="0.3">
      <c r="A108" s="2" t="str">
        <f>IF(Alunos!A108&lt;&gt;"",Alunos!A108,"")</f>
        <v/>
      </c>
      <c r="C108" s="2" t="str">
        <f>IF(A108&lt;&gt;"",SUM(B108),"")</f>
        <v/>
      </c>
      <c r="D108" s="2" t="str">
        <f>IF(A108&lt;&gt;"",(Exame!D1*Exame!C108)/Exame!C1, "")</f>
        <v/>
      </c>
    </row>
    <row r="109" spans="1:4" x14ac:dyDescent="0.3">
      <c r="A109" s="2" t="str">
        <f>IF(Alunos!A109&lt;&gt;"",Alunos!A109,"")</f>
        <v/>
      </c>
      <c r="C109" s="2" t="str">
        <f>IF(A109&lt;&gt;"",SUM(B109),"")</f>
        <v/>
      </c>
      <c r="D109" s="2" t="str">
        <f>IF(A109&lt;&gt;"",(Exame!D1*Exame!C109)/Exame!C1, "")</f>
        <v/>
      </c>
    </row>
    <row r="110" spans="1:4" x14ac:dyDescent="0.3">
      <c r="A110" s="2" t="str">
        <f>IF(Alunos!A110&lt;&gt;"",Alunos!A110,"")</f>
        <v/>
      </c>
      <c r="C110" s="2" t="str">
        <f>IF(A110&lt;&gt;"",SUM(B110),"")</f>
        <v/>
      </c>
      <c r="D110" s="2" t="str">
        <f>IF(A110&lt;&gt;"",(Exame!D1*Exame!C110)/Exame!C1, "")</f>
        <v/>
      </c>
    </row>
    <row r="111" spans="1:4" x14ac:dyDescent="0.3">
      <c r="A111" s="2" t="str">
        <f>IF(Alunos!A111&lt;&gt;"",Alunos!A111,"")</f>
        <v/>
      </c>
      <c r="C111" s="2" t="str">
        <f>IF(A111&lt;&gt;"",SUM(B111),"")</f>
        <v/>
      </c>
      <c r="D111" s="2" t="str">
        <f>IF(A111&lt;&gt;"",(Exame!D1*Exame!C111)/Exame!C1, "")</f>
        <v/>
      </c>
    </row>
    <row r="112" spans="1:4" x14ac:dyDescent="0.3">
      <c r="A112" s="2" t="str">
        <f>IF(Alunos!A112&lt;&gt;"",Alunos!A112,"")</f>
        <v/>
      </c>
      <c r="C112" s="2" t="str">
        <f>IF(A112&lt;&gt;"",SUM(B112),"")</f>
        <v/>
      </c>
      <c r="D112" s="2" t="str">
        <f>IF(A112&lt;&gt;"",(Exame!D1*Exame!C112)/Exame!C1, "")</f>
        <v/>
      </c>
    </row>
    <row r="113" spans="1:4" x14ac:dyDescent="0.3">
      <c r="A113" s="2" t="str">
        <f>IF(Alunos!A113&lt;&gt;"",Alunos!A113,"")</f>
        <v/>
      </c>
      <c r="C113" s="2" t="str">
        <f>IF(A113&lt;&gt;"",SUM(B113),"")</f>
        <v/>
      </c>
      <c r="D113" s="2" t="str">
        <f>IF(A113&lt;&gt;"",(Exame!D1*Exame!C113)/Exame!C1, "")</f>
        <v/>
      </c>
    </row>
    <row r="114" spans="1:4" x14ac:dyDescent="0.3">
      <c r="A114" s="2" t="str">
        <f>IF(Alunos!A114&lt;&gt;"",Alunos!A114,"")</f>
        <v/>
      </c>
      <c r="C114" s="2" t="str">
        <f>IF(A114&lt;&gt;"",SUM(B114),"")</f>
        <v/>
      </c>
      <c r="D114" s="2" t="str">
        <f>IF(A114&lt;&gt;"",(Exame!D1*Exame!C114)/Exame!C1, "")</f>
        <v/>
      </c>
    </row>
    <row r="115" spans="1:4" x14ac:dyDescent="0.3">
      <c r="A115" s="2" t="str">
        <f>IF(Alunos!A115&lt;&gt;"",Alunos!A115,"")</f>
        <v/>
      </c>
      <c r="C115" s="2" t="str">
        <f>IF(A115&lt;&gt;"",SUM(B115),"")</f>
        <v/>
      </c>
      <c r="D115" s="2" t="str">
        <f>IF(A115&lt;&gt;"",(Exame!D1*Exame!C115)/Exame!C1, "")</f>
        <v/>
      </c>
    </row>
    <row r="116" spans="1:4" x14ac:dyDescent="0.3">
      <c r="A116" s="2" t="str">
        <f>IF(Alunos!A116&lt;&gt;"",Alunos!A116,"")</f>
        <v/>
      </c>
      <c r="C116" s="2" t="str">
        <f>IF(A116&lt;&gt;"",SUM(B116),"")</f>
        <v/>
      </c>
      <c r="D116" s="2" t="str">
        <f>IF(A116&lt;&gt;"",(Exame!D1*Exame!C116)/Exame!C1, "")</f>
        <v/>
      </c>
    </row>
    <row r="117" spans="1:4" x14ac:dyDescent="0.3">
      <c r="A117" s="2" t="str">
        <f>IF(Alunos!A117&lt;&gt;"",Alunos!A117,"")</f>
        <v/>
      </c>
      <c r="C117" s="2" t="str">
        <f>IF(A117&lt;&gt;"",SUM(B117),"")</f>
        <v/>
      </c>
      <c r="D117" s="2" t="str">
        <f>IF(A117&lt;&gt;"",(Exame!D1*Exame!C117)/Exame!C1, "")</f>
        <v/>
      </c>
    </row>
    <row r="118" spans="1:4" x14ac:dyDescent="0.3">
      <c r="A118" s="2" t="str">
        <f>IF(Alunos!A118&lt;&gt;"",Alunos!A118,"")</f>
        <v/>
      </c>
      <c r="C118" s="2" t="str">
        <f>IF(A118&lt;&gt;"",SUM(B118),"")</f>
        <v/>
      </c>
      <c r="D118" s="2" t="str">
        <f>IF(A118&lt;&gt;"",(Exame!D1*Exame!C118)/Exame!C1, "")</f>
        <v/>
      </c>
    </row>
    <row r="119" spans="1:4" x14ac:dyDescent="0.3">
      <c r="A119" s="2" t="str">
        <f>IF(Alunos!A119&lt;&gt;"",Alunos!A119,"")</f>
        <v/>
      </c>
      <c r="C119" s="2" t="str">
        <f>IF(A119&lt;&gt;"",SUM(B119),"")</f>
        <v/>
      </c>
      <c r="D119" s="2" t="str">
        <f>IF(A119&lt;&gt;"",(Exame!D1*Exame!C119)/Exame!C1, "")</f>
        <v/>
      </c>
    </row>
    <row r="120" spans="1:4" x14ac:dyDescent="0.3">
      <c r="A120" s="2" t="str">
        <f>IF(Alunos!A120&lt;&gt;"",Alunos!A120,"")</f>
        <v/>
      </c>
      <c r="C120" s="2" t="str">
        <f>IF(A120&lt;&gt;"",SUM(B120),"")</f>
        <v/>
      </c>
      <c r="D120" s="2" t="str">
        <f>IF(A120&lt;&gt;"",(Exame!D1*Exame!C120)/Exame!C1, "")</f>
        <v/>
      </c>
    </row>
    <row r="121" spans="1:4" x14ac:dyDescent="0.3">
      <c r="A121" s="2" t="str">
        <f>IF(Alunos!A121&lt;&gt;"",Alunos!A121,"")</f>
        <v/>
      </c>
      <c r="C121" s="2" t="str">
        <f>IF(A121&lt;&gt;"",SUM(B121),"")</f>
        <v/>
      </c>
      <c r="D121" s="2" t="str">
        <f>IF(A121&lt;&gt;"",(Exame!D1*Exame!C121)/Exame!C1, "")</f>
        <v/>
      </c>
    </row>
    <row r="122" spans="1:4" x14ac:dyDescent="0.3">
      <c r="A122" s="2" t="str">
        <f>IF(Alunos!A122&lt;&gt;"",Alunos!A122,"")</f>
        <v/>
      </c>
      <c r="C122" s="2" t="str">
        <f>IF(A122&lt;&gt;"",SUM(B122),"")</f>
        <v/>
      </c>
      <c r="D122" s="2" t="str">
        <f>IF(A122&lt;&gt;"",(Exame!D1*Exame!C122)/Exame!C1, "")</f>
        <v/>
      </c>
    </row>
    <row r="123" spans="1:4" x14ac:dyDescent="0.3">
      <c r="A123" s="2" t="str">
        <f>IF(Alunos!A123&lt;&gt;"",Alunos!A123,"")</f>
        <v/>
      </c>
      <c r="C123" s="2" t="str">
        <f>IF(A123&lt;&gt;"",SUM(B123),"")</f>
        <v/>
      </c>
      <c r="D123" s="2" t="str">
        <f>IF(A123&lt;&gt;"",(Exame!D1*Exame!C123)/Exame!C1, "")</f>
        <v/>
      </c>
    </row>
    <row r="124" spans="1:4" x14ac:dyDescent="0.3">
      <c r="A124" s="2" t="str">
        <f>IF(Alunos!A124&lt;&gt;"",Alunos!A124,"")</f>
        <v/>
      </c>
      <c r="C124" s="2" t="str">
        <f>IF(A124&lt;&gt;"",SUM(B124),"")</f>
        <v/>
      </c>
      <c r="D124" s="2" t="str">
        <f>IF(A124&lt;&gt;"",(Exame!D1*Exame!C124)/Exame!C1, "")</f>
        <v/>
      </c>
    </row>
    <row r="125" spans="1:4" x14ac:dyDescent="0.3">
      <c r="A125" s="2" t="str">
        <f>IF(Alunos!A125&lt;&gt;"",Alunos!A125,"")</f>
        <v/>
      </c>
      <c r="C125" s="2" t="str">
        <f>IF(A125&lt;&gt;"",SUM(B125),"")</f>
        <v/>
      </c>
      <c r="D125" s="2" t="str">
        <f>IF(A125&lt;&gt;"",(Exame!D1*Exame!C125)/Exame!C1, "")</f>
        <v/>
      </c>
    </row>
    <row r="126" spans="1:4" x14ac:dyDescent="0.3">
      <c r="A126" s="2" t="str">
        <f>IF(Alunos!A126&lt;&gt;"",Alunos!A126,"")</f>
        <v/>
      </c>
      <c r="C126" s="2" t="str">
        <f>IF(A126&lt;&gt;"",SUM(B126),"")</f>
        <v/>
      </c>
      <c r="D126" s="2" t="str">
        <f>IF(A126&lt;&gt;"",(Exame!D1*Exame!C126)/Exame!C1, "")</f>
        <v/>
      </c>
    </row>
    <row r="127" spans="1:4" x14ac:dyDescent="0.3">
      <c r="A127" s="2" t="str">
        <f>IF(Alunos!A127&lt;&gt;"",Alunos!A127,"")</f>
        <v/>
      </c>
      <c r="C127" s="2" t="str">
        <f>IF(A127&lt;&gt;"",SUM(B127),"")</f>
        <v/>
      </c>
      <c r="D127" s="2" t="str">
        <f>IF(A127&lt;&gt;"",(Exame!D1*Exame!C127)/Exame!C1, "")</f>
        <v/>
      </c>
    </row>
    <row r="128" spans="1:4" x14ac:dyDescent="0.3">
      <c r="A128" s="2" t="str">
        <f>IF(Alunos!A128&lt;&gt;"",Alunos!A128,"")</f>
        <v/>
      </c>
      <c r="C128" s="2" t="str">
        <f>IF(A128&lt;&gt;"",SUM(B128),"")</f>
        <v/>
      </c>
      <c r="D128" s="2" t="str">
        <f>IF(A128&lt;&gt;"",(Exame!D1*Exame!C128)/Exame!C1, "")</f>
        <v/>
      </c>
    </row>
    <row r="129" spans="1:4" x14ac:dyDescent="0.3">
      <c r="A129" s="2" t="str">
        <f>IF(Alunos!A129&lt;&gt;"",Alunos!A129,"")</f>
        <v/>
      </c>
      <c r="C129" s="2" t="str">
        <f>IF(A129&lt;&gt;"",SUM(B129),"")</f>
        <v/>
      </c>
      <c r="D129" s="2" t="str">
        <f>IF(A129&lt;&gt;"",(Exame!D1*Exame!C129)/Exame!C1, "")</f>
        <v/>
      </c>
    </row>
    <row r="130" spans="1:4" x14ac:dyDescent="0.3">
      <c r="A130" s="2" t="str">
        <f>IF(Alunos!A130&lt;&gt;"",Alunos!A130,"")</f>
        <v/>
      </c>
      <c r="C130" s="2" t="str">
        <f>IF(A130&lt;&gt;"",SUM(B130),"")</f>
        <v/>
      </c>
      <c r="D130" s="2" t="str">
        <f>IF(A130&lt;&gt;"",(Exame!D1*Exame!C130)/Exame!C1, "")</f>
        <v/>
      </c>
    </row>
    <row r="131" spans="1:4" x14ac:dyDescent="0.3">
      <c r="A131" s="2" t="str">
        <f>IF(Alunos!A131&lt;&gt;"",Alunos!A131,"")</f>
        <v/>
      </c>
      <c r="C131" s="2" t="str">
        <f>IF(A131&lt;&gt;"",SUM(B131),"")</f>
        <v/>
      </c>
      <c r="D131" s="2" t="str">
        <f>IF(A131&lt;&gt;"",(Exame!D1*Exame!C131)/Exame!C1, "")</f>
        <v/>
      </c>
    </row>
    <row r="132" spans="1:4" x14ac:dyDescent="0.3">
      <c r="A132" s="2" t="str">
        <f>IF(Alunos!A132&lt;&gt;"",Alunos!A132,"")</f>
        <v/>
      </c>
      <c r="C132" s="2" t="str">
        <f>IF(A132&lt;&gt;"",SUM(B132),"")</f>
        <v/>
      </c>
      <c r="D132" s="2" t="str">
        <f>IF(A132&lt;&gt;"",(Exame!D1*Exame!C132)/Exame!C1, "")</f>
        <v/>
      </c>
    </row>
    <row r="133" spans="1:4" x14ac:dyDescent="0.3">
      <c r="A133" s="2" t="str">
        <f>IF(Alunos!A133&lt;&gt;"",Alunos!A133,"")</f>
        <v/>
      </c>
      <c r="C133" s="2" t="str">
        <f>IF(A133&lt;&gt;"",SUM(B133),"")</f>
        <v/>
      </c>
      <c r="D133" s="2" t="str">
        <f>IF(A133&lt;&gt;"",(Exame!D1*Exame!C133)/Exame!C1, "")</f>
        <v/>
      </c>
    </row>
    <row r="134" spans="1:4" x14ac:dyDescent="0.3">
      <c r="A134" s="2" t="str">
        <f>IF(Alunos!A134&lt;&gt;"",Alunos!A134,"")</f>
        <v/>
      </c>
      <c r="C134" s="2" t="str">
        <f>IF(A134&lt;&gt;"",SUM(B134),"")</f>
        <v/>
      </c>
      <c r="D134" s="2" t="str">
        <f>IF(A134&lt;&gt;"",(Exame!D1*Exame!C134)/Exame!C1, "")</f>
        <v/>
      </c>
    </row>
    <row r="135" spans="1:4" x14ac:dyDescent="0.3">
      <c r="A135" s="2" t="str">
        <f>IF(Alunos!A135&lt;&gt;"",Alunos!A135,"")</f>
        <v/>
      </c>
      <c r="C135" s="2" t="str">
        <f>IF(A135&lt;&gt;"",SUM(B135),"")</f>
        <v/>
      </c>
      <c r="D135" s="2" t="str">
        <f>IF(A135&lt;&gt;"",(Exame!D1*Exame!C135)/Exame!C1, "")</f>
        <v/>
      </c>
    </row>
    <row r="136" spans="1:4" x14ac:dyDescent="0.3">
      <c r="A136" s="2" t="str">
        <f>IF(Alunos!A136&lt;&gt;"",Alunos!A136,"")</f>
        <v/>
      </c>
      <c r="C136" s="2" t="str">
        <f>IF(A136&lt;&gt;"",SUM(B136),"")</f>
        <v/>
      </c>
      <c r="D136" s="2" t="str">
        <f>IF(A136&lt;&gt;"",(Exame!D1*Exame!C136)/Exame!C1, "")</f>
        <v/>
      </c>
    </row>
    <row r="137" spans="1:4" x14ac:dyDescent="0.3">
      <c r="A137" s="2" t="str">
        <f>IF(Alunos!A137&lt;&gt;"",Alunos!A137,"")</f>
        <v/>
      </c>
      <c r="C137" s="2" t="str">
        <f>IF(A137&lt;&gt;"",SUM(B137),"")</f>
        <v/>
      </c>
      <c r="D137" s="2" t="str">
        <f>IF(A137&lt;&gt;"",(Exame!D1*Exame!C137)/Exame!C1, "")</f>
        <v/>
      </c>
    </row>
    <row r="138" spans="1:4" x14ac:dyDescent="0.3">
      <c r="A138" s="2" t="str">
        <f>IF(Alunos!A138&lt;&gt;"",Alunos!A138,"")</f>
        <v/>
      </c>
      <c r="C138" s="2" t="str">
        <f>IF(A138&lt;&gt;"",SUM(B138),"")</f>
        <v/>
      </c>
      <c r="D138" s="2" t="str">
        <f>IF(A138&lt;&gt;"",(Exame!D1*Exame!C138)/Exame!C1, "")</f>
        <v/>
      </c>
    </row>
    <row r="139" spans="1:4" x14ac:dyDescent="0.3">
      <c r="A139" s="2" t="str">
        <f>IF(Alunos!A139&lt;&gt;"",Alunos!A139,"")</f>
        <v/>
      </c>
      <c r="C139" s="2" t="str">
        <f>IF(A139&lt;&gt;"",SUM(B139),"")</f>
        <v/>
      </c>
      <c r="D139" s="2" t="str">
        <f>IF(A139&lt;&gt;"",(Exame!D1*Exame!C139)/Exame!C1, "")</f>
        <v/>
      </c>
    </row>
    <row r="140" spans="1:4" x14ac:dyDescent="0.3">
      <c r="A140" s="2" t="str">
        <f>IF(Alunos!A140&lt;&gt;"",Alunos!A140,"")</f>
        <v/>
      </c>
      <c r="C140" s="2" t="str">
        <f>IF(A140&lt;&gt;"",SUM(B140),"")</f>
        <v/>
      </c>
      <c r="D140" s="2" t="str">
        <f>IF(A140&lt;&gt;"",(Exame!D1*Exame!C140)/Exame!C1, "")</f>
        <v/>
      </c>
    </row>
    <row r="141" spans="1:4" x14ac:dyDescent="0.3">
      <c r="A141" s="2" t="str">
        <f>IF(Alunos!A141&lt;&gt;"",Alunos!A141,"")</f>
        <v/>
      </c>
      <c r="C141" s="2" t="str">
        <f>IF(A141&lt;&gt;"",SUM(B141),"")</f>
        <v/>
      </c>
      <c r="D141" s="2" t="str">
        <f>IF(A141&lt;&gt;"",(Exame!D1*Exame!C141)/Exame!C1, "")</f>
        <v/>
      </c>
    </row>
    <row r="142" spans="1:4" x14ac:dyDescent="0.3">
      <c r="A142" s="2" t="str">
        <f>IF(Alunos!A142&lt;&gt;"",Alunos!A142,"")</f>
        <v/>
      </c>
      <c r="C142" s="2" t="str">
        <f>IF(A142&lt;&gt;"",SUM(B142),"")</f>
        <v/>
      </c>
      <c r="D142" s="2" t="str">
        <f>IF(A142&lt;&gt;"",(Exame!D1*Exame!C142)/Exame!C1, "")</f>
        <v/>
      </c>
    </row>
    <row r="143" spans="1:4" x14ac:dyDescent="0.3">
      <c r="A143" s="2" t="str">
        <f>IF(Alunos!A143&lt;&gt;"",Alunos!A143,"")</f>
        <v/>
      </c>
      <c r="C143" s="2" t="str">
        <f>IF(A143&lt;&gt;"",SUM(B143),"")</f>
        <v/>
      </c>
      <c r="D143" s="2" t="str">
        <f>IF(A143&lt;&gt;"",(Exame!D1*Exame!C143)/Exame!C1, "")</f>
        <v/>
      </c>
    </row>
    <row r="144" spans="1:4" x14ac:dyDescent="0.3">
      <c r="A144" s="2" t="str">
        <f>IF(Alunos!A144&lt;&gt;"",Alunos!A144,"")</f>
        <v/>
      </c>
      <c r="C144" s="2" t="str">
        <f>IF(A144&lt;&gt;"",SUM(B144),"")</f>
        <v/>
      </c>
      <c r="D144" s="2" t="str">
        <f>IF(A144&lt;&gt;"",(Exame!D1*Exame!C144)/Exame!C1, "")</f>
        <v/>
      </c>
    </row>
    <row r="145" spans="1:4" x14ac:dyDescent="0.3">
      <c r="A145" s="2" t="str">
        <f>IF(Alunos!A145&lt;&gt;"",Alunos!A145,"")</f>
        <v/>
      </c>
      <c r="C145" s="2" t="str">
        <f>IF(A145&lt;&gt;"",SUM(B145),"")</f>
        <v/>
      </c>
      <c r="D145" s="2" t="str">
        <f>IF(A145&lt;&gt;"",(Exame!D1*Exame!C145)/Exame!C1, "")</f>
        <v/>
      </c>
    </row>
    <row r="146" spans="1:4" x14ac:dyDescent="0.3">
      <c r="A146" s="2" t="str">
        <f>IF(Alunos!A146&lt;&gt;"",Alunos!A146,"")</f>
        <v/>
      </c>
      <c r="C146" s="2" t="str">
        <f>IF(A146&lt;&gt;"",SUM(B146),"")</f>
        <v/>
      </c>
      <c r="D146" s="2" t="str">
        <f>IF(A146&lt;&gt;"",(Exame!D1*Exame!C146)/Exame!C1, "")</f>
        <v/>
      </c>
    </row>
    <row r="147" spans="1:4" x14ac:dyDescent="0.3">
      <c r="A147" s="2" t="str">
        <f>IF(Alunos!A147&lt;&gt;"",Alunos!A147,"")</f>
        <v/>
      </c>
      <c r="C147" s="2" t="str">
        <f>IF(A147&lt;&gt;"",SUM(B147),"")</f>
        <v/>
      </c>
      <c r="D147" s="2" t="str">
        <f>IF(A147&lt;&gt;"",(Exame!D1*Exame!C147)/Exame!C1, "")</f>
        <v/>
      </c>
    </row>
    <row r="148" spans="1:4" x14ac:dyDescent="0.3">
      <c r="A148" s="2" t="str">
        <f>IF(Alunos!A148&lt;&gt;"",Alunos!A148,"")</f>
        <v/>
      </c>
      <c r="C148" s="2" t="str">
        <f>IF(A148&lt;&gt;"",SUM(B148),"")</f>
        <v/>
      </c>
      <c r="D148" s="2" t="str">
        <f>IF(A148&lt;&gt;"",(Exame!D1*Exame!C148)/Exame!C1, "")</f>
        <v/>
      </c>
    </row>
    <row r="149" spans="1:4" x14ac:dyDescent="0.3">
      <c r="A149" s="2" t="str">
        <f>IF(Alunos!A149&lt;&gt;"",Alunos!A149,"")</f>
        <v/>
      </c>
      <c r="C149" s="2" t="str">
        <f>IF(A149&lt;&gt;"",SUM(B149),"")</f>
        <v/>
      </c>
      <c r="D149" s="2" t="str">
        <f>IF(A149&lt;&gt;"",(Exame!D1*Exame!C149)/Exame!C1, "")</f>
        <v/>
      </c>
    </row>
    <row r="150" spans="1:4" x14ac:dyDescent="0.3">
      <c r="A150" s="2" t="str">
        <f>IF(Alunos!A150&lt;&gt;"",Alunos!A150,"")</f>
        <v/>
      </c>
      <c r="C150" s="2" t="str">
        <f>IF(A150&lt;&gt;"",SUM(B150),"")</f>
        <v/>
      </c>
      <c r="D150" s="2" t="str">
        <f>IF(A150&lt;&gt;"",(Exame!D1*Exame!C150)/Exame!C1, "")</f>
        <v/>
      </c>
    </row>
    <row r="151" spans="1:4" x14ac:dyDescent="0.3">
      <c r="A151" s="2" t="str">
        <f>IF(Alunos!A151&lt;&gt;"",Alunos!A151,"")</f>
        <v/>
      </c>
      <c r="C151" s="2" t="str">
        <f>IF(A151&lt;&gt;"",SUM(B151),"")</f>
        <v/>
      </c>
      <c r="D151" s="2" t="str">
        <f>IF(A151&lt;&gt;"",(Exame!D1*Exame!C151)/Exame!C1, "")</f>
        <v/>
      </c>
    </row>
    <row r="152" spans="1:4" x14ac:dyDescent="0.3">
      <c r="A152" s="2" t="str">
        <f>IF(Alunos!A152&lt;&gt;"",Alunos!A152,"")</f>
        <v/>
      </c>
      <c r="C152" s="2" t="str">
        <f>IF(A152&lt;&gt;"",SUM(B152),"")</f>
        <v/>
      </c>
      <c r="D152" s="2" t="str">
        <f>IF(A152&lt;&gt;"",(Exame!D1*Exame!C152)/Exame!C1, "")</f>
        <v/>
      </c>
    </row>
    <row r="153" spans="1:4" x14ac:dyDescent="0.3">
      <c r="A153" s="2" t="str">
        <f>IF(Alunos!A153&lt;&gt;"",Alunos!A153,"")</f>
        <v/>
      </c>
      <c r="C153" s="2" t="str">
        <f>IF(A153&lt;&gt;"",SUM(B153),"")</f>
        <v/>
      </c>
      <c r="D153" s="2" t="str">
        <f>IF(A153&lt;&gt;"",(Exame!D1*Exame!C153)/Exame!C1, "")</f>
        <v/>
      </c>
    </row>
    <row r="154" spans="1:4" x14ac:dyDescent="0.3">
      <c r="A154" s="2" t="str">
        <f>IF(Alunos!A154&lt;&gt;"",Alunos!A154,"")</f>
        <v/>
      </c>
      <c r="C154" s="2" t="str">
        <f>IF(A154&lt;&gt;"",SUM(B154),"")</f>
        <v/>
      </c>
      <c r="D154" s="2" t="str">
        <f>IF(A154&lt;&gt;"",(Exame!D1*Exame!C154)/Exame!C1, "")</f>
        <v/>
      </c>
    </row>
    <row r="155" spans="1:4" x14ac:dyDescent="0.3">
      <c r="A155" s="2" t="str">
        <f>IF(Alunos!A155&lt;&gt;"",Alunos!A155,"")</f>
        <v/>
      </c>
      <c r="C155" s="2" t="str">
        <f>IF(A155&lt;&gt;"",SUM(B155),"")</f>
        <v/>
      </c>
      <c r="D155" s="2" t="str">
        <f>IF(A155&lt;&gt;"",(Exame!D1*Exame!C155)/Exame!C1, "")</f>
        <v/>
      </c>
    </row>
    <row r="156" spans="1:4" x14ac:dyDescent="0.3">
      <c r="A156" s="2" t="str">
        <f>IF(Alunos!A156&lt;&gt;"",Alunos!A156,"")</f>
        <v/>
      </c>
      <c r="C156" s="2" t="str">
        <f>IF(A156&lt;&gt;"",SUM(B156),"")</f>
        <v/>
      </c>
      <c r="D156" s="2" t="str">
        <f>IF(A156&lt;&gt;"",(Exame!D1*Exame!C156)/Exame!C1, "")</f>
        <v/>
      </c>
    </row>
    <row r="157" spans="1:4" x14ac:dyDescent="0.3">
      <c r="A157" s="2" t="str">
        <f>IF(Alunos!A157&lt;&gt;"",Alunos!A157,"")</f>
        <v/>
      </c>
      <c r="C157" s="2" t="str">
        <f>IF(A157&lt;&gt;"",SUM(B157),"")</f>
        <v/>
      </c>
      <c r="D157" s="2" t="str">
        <f>IF(A157&lt;&gt;"",(Exame!D1*Exame!C157)/Exame!C1, "")</f>
        <v/>
      </c>
    </row>
    <row r="158" spans="1:4" x14ac:dyDescent="0.3">
      <c r="A158" s="2" t="str">
        <f>IF(Alunos!A158&lt;&gt;"",Alunos!A158,"")</f>
        <v/>
      </c>
      <c r="C158" s="2" t="str">
        <f>IF(A158&lt;&gt;"",SUM(B158),"")</f>
        <v/>
      </c>
      <c r="D158" s="2" t="str">
        <f>IF(A158&lt;&gt;"",(Exame!D1*Exame!C158)/Exame!C1, "")</f>
        <v/>
      </c>
    </row>
    <row r="159" spans="1:4" x14ac:dyDescent="0.3">
      <c r="A159" s="2" t="str">
        <f>IF(Alunos!A159&lt;&gt;"",Alunos!A159,"")</f>
        <v/>
      </c>
      <c r="C159" s="2" t="str">
        <f>IF(A159&lt;&gt;"",SUM(B159),"")</f>
        <v/>
      </c>
      <c r="D159" s="2" t="str">
        <f>IF(A159&lt;&gt;"",(Exame!D1*Exame!C159)/Exame!C1, "")</f>
        <v/>
      </c>
    </row>
    <row r="160" spans="1:4" x14ac:dyDescent="0.3">
      <c r="A160" s="2" t="str">
        <f>IF(Alunos!A160&lt;&gt;"",Alunos!A160,"")</f>
        <v/>
      </c>
      <c r="C160" s="2" t="str">
        <f>IF(A160&lt;&gt;"",SUM(B160),"")</f>
        <v/>
      </c>
      <c r="D160" s="2" t="str">
        <f>IF(A160&lt;&gt;"",(Exame!D1*Exame!C160)/Exame!C1, "")</f>
        <v/>
      </c>
    </row>
    <row r="161" spans="1:4" x14ac:dyDescent="0.3">
      <c r="A161" s="2" t="str">
        <f>IF(Alunos!A161&lt;&gt;"",Alunos!A161,"")</f>
        <v/>
      </c>
      <c r="C161" s="2" t="str">
        <f>IF(A161&lt;&gt;"",SUM(B161),"")</f>
        <v/>
      </c>
      <c r="D161" s="2" t="str">
        <f>IF(A161&lt;&gt;"",(Exame!D1*Exame!C161)/Exame!C1, "")</f>
        <v/>
      </c>
    </row>
    <row r="162" spans="1:4" x14ac:dyDescent="0.3">
      <c r="A162" s="2" t="str">
        <f>IF(Alunos!A162&lt;&gt;"",Alunos!A162,"")</f>
        <v/>
      </c>
      <c r="C162" s="2" t="str">
        <f>IF(A162&lt;&gt;"",SUM(B162),"")</f>
        <v/>
      </c>
      <c r="D162" s="2" t="str">
        <f>IF(A162&lt;&gt;"",(Exame!D1*Exame!C162)/Exame!C1, "")</f>
        <v/>
      </c>
    </row>
    <row r="163" spans="1:4" x14ac:dyDescent="0.3">
      <c r="A163" s="2" t="str">
        <f>IF(Alunos!A163&lt;&gt;"",Alunos!A163,"")</f>
        <v/>
      </c>
      <c r="C163" s="2" t="str">
        <f>IF(A163&lt;&gt;"",SUM(B163),"")</f>
        <v/>
      </c>
      <c r="D163" s="2" t="str">
        <f>IF(A163&lt;&gt;"",(Exame!D1*Exame!C163)/Exame!C1, "")</f>
        <v/>
      </c>
    </row>
    <row r="164" spans="1:4" x14ac:dyDescent="0.3">
      <c r="A164" s="2" t="str">
        <f>IF(Alunos!A164&lt;&gt;"",Alunos!A164,"")</f>
        <v/>
      </c>
      <c r="C164" s="2" t="str">
        <f>IF(A164&lt;&gt;"",SUM(B164),"")</f>
        <v/>
      </c>
      <c r="D164" s="2" t="str">
        <f>IF(A164&lt;&gt;"",(Exame!D1*Exame!C164)/Exame!C1, "")</f>
        <v/>
      </c>
    </row>
    <row r="165" spans="1:4" x14ac:dyDescent="0.3">
      <c r="A165" s="2" t="str">
        <f>IF(Alunos!A165&lt;&gt;"",Alunos!A165,"")</f>
        <v/>
      </c>
      <c r="C165" s="2" t="str">
        <f>IF(A165&lt;&gt;"",SUM(B165),"")</f>
        <v/>
      </c>
      <c r="D165" s="2" t="str">
        <f>IF(A165&lt;&gt;"",(Exame!D1*Exame!C165)/Exame!C1, "")</f>
        <v/>
      </c>
    </row>
    <row r="166" spans="1:4" x14ac:dyDescent="0.3">
      <c r="A166" s="2" t="str">
        <f>IF(Alunos!A166&lt;&gt;"",Alunos!A166,"")</f>
        <v/>
      </c>
      <c r="C166" s="2" t="str">
        <f>IF(A166&lt;&gt;"",SUM(B166),"")</f>
        <v/>
      </c>
      <c r="D166" s="2" t="str">
        <f>IF(A166&lt;&gt;"",(Exame!D1*Exame!C166)/Exame!C1, "")</f>
        <v/>
      </c>
    </row>
    <row r="167" spans="1:4" x14ac:dyDescent="0.3">
      <c r="A167" s="2" t="str">
        <f>IF(Alunos!A167&lt;&gt;"",Alunos!A167,"")</f>
        <v/>
      </c>
      <c r="C167" s="2" t="str">
        <f>IF(A167&lt;&gt;"",SUM(B167),"")</f>
        <v/>
      </c>
      <c r="D167" s="2" t="str">
        <f>IF(A167&lt;&gt;"",(Exame!D1*Exame!C167)/Exame!C1, "")</f>
        <v/>
      </c>
    </row>
    <row r="168" spans="1:4" x14ac:dyDescent="0.3">
      <c r="A168" s="2" t="str">
        <f>IF(Alunos!A168&lt;&gt;"",Alunos!A168,"")</f>
        <v/>
      </c>
      <c r="C168" s="2" t="str">
        <f>IF(A168&lt;&gt;"",SUM(B168),"")</f>
        <v/>
      </c>
      <c r="D168" s="2" t="str">
        <f>IF(A168&lt;&gt;"",(Exame!D1*Exame!C168)/Exame!C1, "")</f>
        <v/>
      </c>
    </row>
    <row r="169" spans="1:4" x14ac:dyDescent="0.3">
      <c r="A169" s="2" t="str">
        <f>IF(Alunos!A169&lt;&gt;"",Alunos!A169,"")</f>
        <v/>
      </c>
      <c r="C169" s="2" t="str">
        <f>IF(A169&lt;&gt;"",SUM(B169),"")</f>
        <v/>
      </c>
      <c r="D169" s="2" t="str">
        <f>IF(A169&lt;&gt;"",(Exame!D1*Exame!C169)/Exame!C1, "")</f>
        <v/>
      </c>
    </row>
    <row r="170" spans="1:4" x14ac:dyDescent="0.3">
      <c r="A170" s="2" t="str">
        <f>IF(Alunos!A170&lt;&gt;"",Alunos!A170,"")</f>
        <v/>
      </c>
      <c r="C170" s="2" t="str">
        <f>IF(A170&lt;&gt;"",SUM(B170),"")</f>
        <v/>
      </c>
      <c r="D170" s="2" t="str">
        <f>IF(A170&lt;&gt;"",(Exame!D1*Exame!C170)/Exame!C1, "")</f>
        <v/>
      </c>
    </row>
    <row r="171" spans="1:4" x14ac:dyDescent="0.3">
      <c r="A171" s="2" t="str">
        <f>IF(Alunos!A171&lt;&gt;"",Alunos!A171,"")</f>
        <v/>
      </c>
      <c r="C171" s="2" t="str">
        <f>IF(A171&lt;&gt;"",SUM(B171),"")</f>
        <v/>
      </c>
      <c r="D171" s="2" t="str">
        <f>IF(A171&lt;&gt;"",(Exame!D1*Exame!C171)/Exame!C1, "")</f>
        <v/>
      </c>
    </row>
    <row r="172" spans="1:4" x14ac:dyDescent="0.3">
      <c r="A172" s="2" t="str">
        <f>IF(Alunos!A172&lt;&gt;"",Alunos!A172,"")</f>
        <v/>
      </c>
      <c r="C172" s="2" t="str">
        <f>IF(A172&lt;&gt;"",SUM(B172),"")</f>
        <v/>
      </c>
      <c r="D172" s="2" t="str">
        <f>IF(A172&lt;&gt;"",(Exame!D1*Exame!C172)/Exame!C1, "")</f>
        <v/>
      </c>
    </row>
    <row r="173" spans="1:4" x14ac:dyDescent="0.3">
      <c r="A173" s="2" t="str">
        <f>IF(Alunos!A173&lt;&gt;"",Alunos!A173,"")</f>
        <v/>
      </c>
      <c r="C173" s="2" t="str">
        <f>IF(A173&lt;&gt;"",SUM(B173),"")</f>
        <v/>
      </c>
      <c r="D173" s="2" t="str">
        <f>IF(A173&lt;&gt;"",(Exame!D1*Exame!C173)/Exame!C1, "")</f>
        <v/>
      </c>
    </row>
    <row r="174" spans="1:4" x14ac:dyDescent="0.3">
      <c r="A174" s="2" t="str">
        <f>IF(Alunos!A174&lt;&gt;"",Alunos!A174,"")</f>
        <v/>
      </c>
      <c r="C174" s="2" t="str">
        <f>IF(A174&lt;&gt;"",SUM(B174),"")</f>
        <v/>
      </c>
      <c r="D174" s="2" t="str">
        <f>IF(A174&lt;&gt;"",(Exame!D1*Exame!C174)/Exame!C1, "")</f>
        <v/>
      </c>
    </row>
    <row r="175" spans="1:4" x14ac:dyDescent="0.3">
      <c r="A175" s="2" t="str">
        <f>IF(Alunos!A175&lt;&gt;"",Alunos!A175,"")</f>
        <v/>
      </c>
      <c r="C175" s="2" t="str">
        <f>IF(A175&lt;&gt;"",SUM(B175),"")</f>
        <v/>
      </c>
      <c r="D175" s="2" t="str">
        <f>IF(A175&lt;&gt;"",(Exame!D1*Exame!C175)/Exame!C1, "")</f>
        <v/>
      </c>
    </row>
    <row r="176" spans="1:4" x14ac:dyDescent="0.3">
      <c r="A176" s="2" t="str">
        <f>IF(Alunos!A176&lt;&gt;"",Alunos!A176,"")</f>
        <v/>
      </c>
      <c r="C176" s="2" t="str">
        <f>IF(A176&lt;&gt;"",SUM(B176),"")</f>
        <v/>
      </c>
      <c r="D176" s="2" t="str">
        <f>IF(A176&lt;&gt;"",(Exame!D1*Exame!C176)/Exame!C1, "")</f>
        <v/>
      </c>
    </row>
    <row r="177" spans="1:4" x14ac:dyDescent="0.3">
      <c r="A177" s="2" t="str">
        <f>IF(Alunos!A177&lt;&gt;"",Alunos!A177,"")</f>
        <v/>
      </c>
      <c r="C177" s="2" t="str">
        <f>IF(A177&lt;&gt;"",SUM(B177),"")</f>
        <v/>
      </c>
      <c r="D177" s="2" t="str">
        <f>IF(A177&lt;&gt;"",(Exame!D1*Exame!C177)/Exame!C1, "")</f>
        <v/>
      </c>
    </row>
    <row r="178" spans="1:4" x14ac:dyDescent="0.3">
      <c r="A178" s="2" t="str">
        <f>IF(Alunos!A178&lt;&gt;"",Alunos!A178,"")</f>
        <v/>
      </c>
      <c r="C178" s="2" t="str">
        <f>IF(A178&lt;&gt;"",SUM(B178),"")</f>
        <v/>
      </c>
      <c r="D178" s="2" t="str">
        <f>IF(A178&lt;&gt;"",(Exame!D1*Exame!C178)/Exame!C1, "")</f>
        <v/>
      </c>
    </row>
    <row r="179" spans="1:4" x14ac:dyDescent="0.3">
      <c r="A179" s="2" t="str">
        <f>IF(Alunos!A179&lt;&gt;"",Alunos!A179,"")</f>
        <v/>
      </c>
      <c r="C179" s="2" t="str">
        <f>IF(A179&lt;&gt;"",SUM(B179),"")</f>
        <v/>
      </c>
      <c r="D179" s="2" t="str">
        <f>IF(A179&lt;&gt;"",(Exame!D1*Exame!C179)/Exame!C1, "")</f>
        <v/>
      </c>
    </row>
    <row r="180" spans="1:4" x14ac:dyDescent="0.3">
      <c r="A180" s="2" t="str">
        <f>IF(Alunos!A180&lt;&gt;"",Alunos!A180,"")</f>
        <v/>
      </c>
      <c r="C180" s="2" t="str">
        <f>IF(A180&lt;&gt;"",SUM(B180),"")</f>
        <v/>
      </c>
      <c r="D180" s="2" t="str">
        <f>IF(A180&lt;&gt;"",(Exame!D1*Exame!C180)/Exame!C1, "")</f>
        <v/>
      </c>
    </row>
    <row r="181" spans="1:4" x14ac:dyDescent="0.3">
      <c r="A181" s="2" t="str">
        <f>IF(Alunos!A181&lt;&gt;"",Alunos!A181,"")</f>
        <v/>
      </c>
      <c r="C181" s="2" t="str">
        <f>IF(A181&lt;&gt;"",SUM(B181),"")</f>
        <v/>
      </c>
      <c r="D181" s="2" t="str">
        <f>IF(A181&lt;&gt;"",(Exame!D1*Exame!C181)/Exame!C1, "")</f>
        <v/>
      </c>
    </row>
    <row r="182" spans="1:4" x14ac:dyDescent="0.3">
      <c r="A182" s="2" t="str">
        <f>IF(Alunos!A182&lt;&gt;"",Alunos!A182,"")</f>
        <v/>
      </c>
      <c r="C182" s="2" t="str">
        <f>IF(A182&lt;&gt;"",SUM(B182),"")</f>
        <v/>
      </c>
      <c r="D182" s="2" t="str">
        <f>IF(A182&lt;&gt;"",(Exame!D1*Exame!C182)/Exame!C1, "")</f>
        <v/>
      </c>
    </row>
    <row r="183" spans="1:4" x14ac:dyDescent="0.3">
      <c r="A183" s="2" t="str">
        <f>IF(Alunos!A183&lt;&gt;"",Alunos!A183,"")</f>
        <v/>
      </c>
      <c r="C183" s="2" t="str">
        <f>IF(A183&lt;&gt;"",SUM(B183),"")</f>
        <v/>
      </c>
      <c r="D183" s="2" t="str">
        <f>IF(A183&lt;&gt;"",(Exame!D1*Exame!C183)/Exame!C1, "")</f>
        <v/>
      </c>
    </row>
    <row r="184" spans="1:4" x14ac:dyDescent="0.3">
      <c r="A184" s="2" t="str">
        <f>IF(Alunos!A184&lt;&gt;"",Alunos!A184,"")</f>
        <v/>
      </c>
      <c r="C184" s="2" t="str">
        <f>IF(A184&lt;&gt;"",SUM(B184),"")</f>
        <v/>
      </c>
      <c r="D184" s="2" t="str">
        <f>IF(A184&lt;&gt;"",(Exame!D1*Exame!C184)/Exame!C1, "")</f>
        <v/>
      </c>
    </row>
    <row r="185" spans="1:4" x14ac:dyDescent="0.3">
      <c r="A185" s="2" t="str">
        <f>IF(Alunos!A185&lt;&gt;"",Alunos!A185,"")</f>
        <v/>
      </c>
      <c r="C185" s="2" t="str">
        <f>IF(A185&lt;&gt;"",SUM(B185),"")</f>
        <v/>
      </c>
      <c r="D185" s="2" t="str">
        <f>IF(A185&lt;&gt;"",(Exame!D1*Exame!C185)/Exame!C1, "")</f>
        <v/>
      </c>
    </row>
    <row r="186" spans="1:4" x14ac:dyDescent="0.3">
      <c r="A186" s="2" t="str">
        <f>IF(Alunos!A186&lt;&gt;"",Alunos!A186,"")</f>
        <v/>
      </c>
      <c r="C186" s="2" t="str">
        <f>IF(A186&lt;&gt;"",SUM(B186),"")</f>
        <v/>
      </c>
      <c r="D186" s="2" t="str">
        <f>IF(A186&lt;&gt;"",(Exame!D1*Exame!C186)/Exame!C1, "")</f>
        <v/>
      </c>
    </row>
    <row r="187" spans="1:4" x14ac:dyDescent="0.3">
      <c r="A187" s="2" t="str">
        <f>IF(Alunos!A187&lt;&gt;"",Alunos!A187,"")</f>
        <v/>
      </c>
      <c r="C187" s="2" t="str">
        <f>IF(A187&lt;&gt;"",SUM(B187),"")</f>
        <v/>
      </c>
      <c r="D187" s="2" t="str">
        <f>IF(A187&lt;&gt;"",(Exame!D1*Exame!C187)/Exame!C1, "")</f>
        <v/>
      </c>
    </row>
    <row r="188" spans="1:4" x14ac:dyDescent="0.3">
      <c r="A188" s="2" t="str">
        <f>IF(Alunos!A188&lt;&gt;"",Alunos!A188,"")</f>
        <v/>
      </c>
      <c r="C188" s="2" t="str">
        <f>IF(A188&lt;&gt;"",SUM(B188),"")</f>
        <v/>
      </c>
      <c r="D188" s="2" t="str">
        <f>IF(A188&lt;&gt;"",(Exame!D1*Exame!C188)/Exame!C1, "")</f>
        <v/>
      </c>
    </row>
    <row r="189" spans="1:4" x14ac:dyDescent="0.3">
      <c r="A189" s="2" t="str">
        <f>IF(Alunos!A189&lt;&gt;"",Alunos!A189,"")</f>
        <v/>
      </c>
      <c r="C189" s="2" t="str">
        <f>IF(A189&lt;&gt;"",SUM(B189),"")</f>
        <v/>
      </c>
      <c r="D189" s="2" t="str">
        <f>IF(A189&lt;&gt;"",(Exame!D1*Exame!C189)/Exame!C1, "")</f>
        <v/>
      </c>
    </row>
    <row r="190" spans="1:4" x14ac:dyDescent="0.3">
      <c r="A190" s="2" t="str">
        <f>IF(Alunos!A190&lt;&gt;"",Alunos!A190,"")</f>
        <v/>
      </c>
      <c r="C190" s="2" t="str">
        <f>IF(A190&lt;&gt;"",SUM(B190),"")</f>
        <v/>
      </c>
      <c r="D190" s="2" t="str">
        <f>IF(A190&lt;&gt;"",(Exame!D1*Exame!C190)/Exame!C1, "")</f>
        <v/>
      </c>
    </row>
    <row r="191" spans="1:4" x14ac:dyDescent="0.3">
      <c r="A191" s="2" t="str">
        <f>IF(Alunos!A191&lt;&gt;"",Alunos!A191,"")</f>
        <v/>
      </c>
      <c r="C191" s="2" t="str">
        <f>IF(A191&lt;&gt;"",SUM(B191),"")</f>
        <v/>
      </c>
      <c r="D191" s="2" t="str">
        <f>IF(A191&lt;&gt;"",(Exame!D1*Exame!C191)/Exame!C1, "")</f>
        <v/>
      </c>
    </row>
    <row r="192" spans="1:4" x14ac:dyDescent="0.3">
      <c r="A192" s="2" t="str">
        <f>IF(Alunos!A192&lt;&gt;"",Alunos!A192,"")</f>
        <v/>
      </c>
      <c r="C192" s="2" t="str">
        <f>IF(A192&lt;&gt;"",SUM(B192),"")</f>
        <v/>
      </c>
      <c r="D192" s="2" t="str">
        <f>IF(A192&lt;&gt;"",(Exame!D1*Exame!C192)/Exame!C1, "")</f>
        <v/>
      </c>
    </row>
    <row r="193" spans="1:4" x14ac:dyDescent="0.3">
      <c r="A193" s="2" t="str">
        <f>IF(Alunos!A193&lt;&gt;"",Alunos!A193,"")</f>
        <v/>
      </c>
      <c r="C193" s="2" t="str">
        <f>IF(A193&lt;&gt;"",SUM(B193),"")</f>
        <v/>
      </c>
      <c r="D193" s="2" t="str">
        <f>IF(A193&lt;&gt;"",(Exame!D1*Exame!C193)/Exame!C1, "")</f>
        <v/>
      </c>
    </row>
    <row r="194" spans="1:4" x14ac:dyDescent="0.3">
      <c r="A194" s="2" t="str">
        <f>IF(Alunos!A194&lt;&gt;"",Alunos!A194,"")</f>
        <v/>
      </c>
      <c r="C194" s="2" t="str">
        <f>IF(A194&lt;&gt;"",SUM(B194),"")</f>
        <v/>
      </c>
      <c r="D194" s="2" t="str">
        <f>IF(A194&lt;&gt;"",(Exame!D1*Exame!C194)/Exame!C1, "")</f>
        <v/>
      </c>
    </row>
    <row r="195" spans="1:4" x14ac:dyDescent="0.3">
      <c r="A195" s="2" t="str">
        <f>IF(Alunos!A195&lt;&gt;"",Alunos!A195,"")</f>
        <v/>
      </c>
      <c r="C195" s="2" t="str">
        <f>IF(A195&lt;&gt;"",SUM(B195),"")</f>
        <v/>
      </c>
      <c r="D195" s="2" t="str">
        <f>IF(A195&lt;&gt;"",(Exame!D1*Exame!C195)/Exame!C1, "")</f>
        <v/>
      </c>
    </row>
    <row r="196" spans="1:4" x14ac:dyDescent="0.3">
      <c r="A196" s="2" t="str">
        <f>IF(Alunos!A196&lt;&gt;"",Alunos!A196,"")</f>
        <v/>
      </c>
      <c r="C196" s="2" t="str">
        <f>IF(A196&lt;&gt;"",SUM(B196),"")</f>
        <v/>
      </c>
      <c r="D196" s="2" t="str">
        <f>IF(A196&lt;&gt;"",(Exame!D1*Exame!C196)/Exame!C1, "")</f>
        <v/>
      </c>
    </row>
    <row r="197" spans="1:4" x14ac:dyDescent="0.3">
      <c r="A197" s="2" t="str">
        <f>IF(Alunos!A197&lt;&gt;"",Alunos!A197,"")</f>
        <v/>
      </c>
      <c r="C197" s="2" t="str">
        <f>IF(A197&lt;&gt;"",SUM(B197),"")</f>
        <v/>
      </c>
      <c r="D197" s="2" t="str">
        <f>IF(A197&lt;&gt;"",(Exame!D1*Exame!C197)/Exame!C1, "")</f>
        <v/>
      </c>
    </row>
    <row r="198" spans="1:4" x14ac:dyDescent="0.3">
      <c r="A198" s="2" t="str">
        <f>IF(Alunos!A198&lt;&gt;"",Alunos!A198,"")</f>
        <v/>
      </c>
      <c r="C198" s="2" t="str">
        <f>IF(A198&lt;&gt;"",SUM(B198),"")</f>
        <v/>
      </c>
      <c r="D198" s="2" t="str">
        <f>IF(A198&lt;&gt;"",(Exame!D1*Exame!C198)/Exame!C1, "")</f>
        <v/>
      </c>
    </row>
    <row r="199" spans="1:4" x14ac:dyDescent="0.3">
      <c r="A199" s="2" t="str">
        <f>IF(Alunos!A199&lt;&gt;"",Alunos!A199,"")</f>
        <v/>
      </c>
      <c r="C199" s="2" t="str">
        <f>IF(A199&lt;&gt;"",SUM(B199),"")</f>
        <v/>
      </c>
      <c r="D199" s="2" t="str">
        <f>IF(A199&lt;&gt;"",(Exame!D1*Exame!C199)/Exame!C1, "")</f>
        <v/>
      </c>
    </row>
    <row r="200" spans="1:4" x14ac:dyDescent="0.3">
      <c r="A200" s="2" t="str">
        <f>IF(Alunos!A200&lt;&gt;"",Alunos!A200,"")</f>
        <v/>
      </c>
      <c r="C200" s="2" t="str">
        <f>IF(A200&lt;&gt;"",SUM(B200),"")</f>
        <v/>
      </c>
      <c r="D200" s="2" t="str">
        <f>IF(A200&lt;&gt;"",(Exame!D1*Exame!C200)/Exame!C1, "")</f>
        <v/>
      </c>
    </row>
    <row r="201" spans="1:4" x14ac:dyDescent="0.3">
      <c r="A201" s="2" t="str">
        <f>IF(Alunos!A201&lt;&gt;"",Alunos!A201,"")</f>
        <v/>
      </c>
      <c r="C201" s="2" t="str">
        <f>IF(A201&lt;&gt;"",SUM(B201),"")</f>
        <v/>
      </c>
      <c r="D201" s="2" t="str">
        <f>IF(A201&lt;&gt;"",(Exame!D1*Exame!C201)/Exame!C1, "")</f>
        <v/>
      </c>
    </row>
    <row r="202" spans="1:4" x14ac:dyDescent="0.3">
      <c r="A202" s="2" t="str">
        <f>IF(Alunos!A202&lt;&gt;"",Alunos!A202,"")</f>
        <v/>
      </c>
      <c r="C202" s="2" t="str">
        <f>IF(A202&lt;&gt;"",SUM(B202),"")</f>
        <v/>
      </c>
      <c r="D202" s="2" t="str">
        <f>IF(A202&lt;&gt;"",(Exame!D1*Exame!C202)/Exame!C1, "")</f>
        <v/>
      </c>
    </row>
    <row r="203" spans="1:4" x14ac:dyDescent="0.3">
      <c r="A203" s="2" t="str">
        <f>IF(Alunos!A203&lt;&gt;"",Alunos!A203,"")</f>
        <v/>
      </c>
      <c r="C203" s="2" t="str">
        <f>IF(A203&lt;&gt;"",SUM(B203),"")</f>
        <v/>
      </c>
      <c r="D203" s="2" t="str">
        <f>IF(A203&lt;&gt;"",(Exame!D1*Exame!C203)/Exame!C1, "")</f>
        <v/>
      </c>
    </row>
    <row r="204" spans="1:4" x14ac:dyDescent="0.3">
      <c r="A204" s="2" t="str">
        <f>IF(Alunos!A204&lt;&gt;"",Alunos!A204,"")</f>
        <v/>
      </c>
      <c r="C204" s="2" t="str">
        <f>IF(A204&lt;&gt;"",SUM(B204),"")</f>
        <v/>
      </c>
      <c r="D204" s="2" t="str">
        <f>IF(A204&lt;&gt;"",(Exame!D1*Exame!C204)/Exame!C1, "")</f>
        <v/>
      </c>
    </row>
    <row r="205" spans="1:4" x14ac:dyDescent="0.3">
      <c r="A205" s="2" t="str">
        <f>IF(Alunos!A205&lt;&gt;"",Alunos!A205,"")</f>
        <v/>
      </c>
      <c r="C205" s="2" t="str">
        <f>IF(A205&lt;&gt;"",SUM(B205),"")</f>
        <v/>
      </c>
      <c r="D205" s="2" t="str">
        <f>IF(A205&lt;&gt;"",(Exame!D1*Exame!C205)/Exame!C1, "")</f>
        <v/>
      </c>
    </row>
    <row r="206" spans="1:4" x14ac:dyDescent="0.3">
      <c r="A206" s="2" t="str">
        <f>IF(Alunos!A206&lt;&gt;"",Alunos!A206,"")</f>
        <v/>
      </c>
      <c r="C206" s="2" t="str">
        <f>IF(A206&lt;&gt;"",SUM(B206),"")</f>
        <v/>
      </c>
      <c r="D206" s="2" t="str">
        <f>IF(A206&lt;&gt;"",(Exame!D1*Exame!C206)/Exame!C1, "")</f>
        <v/>
      </c>
    </row>
    <row r="207" spans="1:4" x14ac:dyDescent="0.3">
      <c r="A207" s="2" t="str">
        <f>IF(Alunos!A207&lt;&gt;"",Alunos!A207,"")</f>
        <v/>
      </c>
      <c r="C207" s="2" t="str">
        <f>IF(A207&lt;&gt;"",SUM(B207),"")</f>
        <v/>
      </c>
      <c r="D207" s="2" t="str">
        <f>IF(A207&lt;&gt;"",(Exame!D1*Exame!C207)/Exame!C1, "")</f>
        <v/>
      </c>
    </row>
    <row r="208" spans="1:4" x14ac:dyDescent="0.3">
      <c r="A208" s="2" t="str">
        <f>IF(Alunos!A208&lt;&gt;"",Alunos!A208,"")</f>
        <v/>
      </c>
      <c r="C208" s="2" t="str">
        <f>IF(A208&lt;&gt;"",SUM(B208),"")</f>
        <v/>
      </c>
      <c r="D208" s="2" t="str">
        <f>IF(A208&lt;&gt;"",(Exame!D1*Exame!C208)/Exame!C1, "")</f>
        <v/>
      </c>
    </row>
    <row r="209" spans="1:4" x14ac:dyDescent="0.3">
      <c r="A209" s="2" t="str">
        <f>IF(Alunos!A209&lt;&gt;"",Alunos!A209,"")</f>
        <v/>
      </c>
      <c r="C209" s="2" t="str">
        <f>IF(A209&lt;&gt;"",SUM(B209),"")</f>
        <v/>
      </c>
      <c r="D209" s="2" t="str">
        <f>IF(A209&lt;&gt;"",(Exame!D1*Exame!C209)/Exame!C1, "")</f>
        <v/>
      </c>
    </row>
    <row r="210" spans="1:4" x14ac:dyDescent="0.3">
      <c r="A210" s="2" t="str">
        <f>IF(Alunos!A210&lt;&gt;"",Alunos!A210,"")</f>
        <v/>
      </c>
      <c r="C210" s="2" t="str">
        <f>IF(A210&lt;&gt;"",SUM(B210),"")</f>
        <v/>
      </c>
      <c r="D210" s="2" t="str">
        <f>IF(A210&lt;&gt;"",(Exame!D1*Exame!C210)/Exame!C1, "")</f>
        <v/>
      </c>
    </row>
    <row r="211" spans="1:4" x14ac:dyDescent="0.3">
      <c r="A211" s="2" t="str">
        <f>IF(Alunos!A211&lt;&gt;"",Alunos!A211,"")</f>
        <v/>
      </c>
      <c r="C211" s="2" t="str">
        <f>IF(A211&lt;&gt;"",SUM(B211),"")</f>
        <v/>
      </c>
      <c r="D211" s="2" t="str">
        <f>IF(A211&lt;&gt;"",(Exame!D1*Exame!C211)/Exame!C1, "")</f>
        <v/>
      </c>
    </row>
    <row r="212" spans="1:4" x14ac:dyDescent="0.3">
      <c r="A212" s="2" t="str">
        <f>IF(Alunos!A212&lt;&gt;"",Alunos!A212,"")</f>
        <v/>
      </c>
      <c r="C212" s="2" t="str">
        <f>IF(A212&lt;&gt;"",SUM(B212),"")</f>
        <v/>
      </c>
      <c r="D212" s="2" t="str">
        <f>IF(A212&lt;&gt;"",(Exame!D1*Exame!C212)/Exame!C1, "")</f>
        <v/>
      </c>
    </row>
    <row r="213" spans="1:4" x14ac:dyDescent="0.3">
      <c r="A213" s="2" t="str">
        <f>IF(Alunos!A213&lt;&gt;"",Alunos!A213,"")</f>
        <v/>
      </c>
      <c r="C213" s="2" t="str">
        <f>IF(A213&lt;&gt;"",SUM(B213),"")</f>
        <v/>
      </c>
      <c r="D213" s="2" t="str">
        <f>IF(A213&lt;&gt;"",(Exame!D1*Exame!C213)/Exame!C1, "")</f>
        <v/>
      </c>
    </row>
    <row r="214" spans="1:4" x14ac:dyDescent="0.3">
      <c r="A214" s="2" t="str">
        <f>IF(Alunos!A214&lt;&gt;"",Alunos!A214,"")</f>
        <v/>
      </c>
      <c r="C214" s="2" t="str">
        <f>IF(A214&lt;&gt;"",SUM(B214),"")</f>
        <v/>
      </c>
      <c r="D214" s="2" t="str">
        <f>IF(A214&lt;&gt;"",(Exame!D1*Exame!C214)/Exame!C1, "")</f>
        <v/>
      </c>
    </row>
    <row r="215" spans="1:4" x14ac:dyDescent="0.3">
      <c r="A215" s="2" t="str">
        <f>IF(Alunos!A215&lt;&gt;"",Alunos!A215,"")</f>
        <v/>
      </c>
      <c r="C215" s="2" t="str">
        <f>IF(A215&lt;&gt;"",SUM(B215),"")</f>
        <v/>
      </c>
      <c r="D215" s="2" t="str">
        <f>IF(A215&lt;&gt;"",(Exame!D1*Exame!C215)/Exame!C1, "")</f>
        <v/>
      </c>
    </row>
    <row r="216" spans="1:4" x14ac:dyDescent="0.3">
      <c r="A216" s="2" t="str">
        <f>IF(Alunos!A216&lt;&gt;"",Alunos!A216,"")</f>
        <v/>
      </c>
      <c r="C216" s="2" t="str">
        <f>IF(A216&lt;&gt;"",SUM(B216),"")</f>
        <v/>
      </c>
      <c r="D216" s="2" t="str">
        <f>IF(A216&lt;&gt;"",(Exame!D1*Exame!C216)/Exame!C1, "")</f>
        <v/>
      </c>
    </row>
    <row r="217" spans="1:4" x14ac:dyDescent="0.3">
      <c r="A217" s="2" t="str">
        <f>IF(Alunos!A217&lt;&gt;"",Alunos!A217,"")</f>
        <v/>
      </c>
      <c r="C217" s="2" t="str">
        <f>IF(A217&lt;&gt;"",SUM(B217),"")</f>
        <v/>
      </c>
      <c r="D217" s="2" t="str">
        <f>IF(A217&lt;&gt;"",(Exame!D1*Exame!C217)/Exame!C1, "")</f>
        <v/>
      </c>
    </row>
    <row r="218" spans="1:4" x14ac:dyDescent="0.3">
      <c r="A218" s="2" t="str">
        <f>IF(Alunos!A218&lt;&gt;"",Alunos!A218,"")</f>
        <v/>
      </c>
      <c r="C218" s="2" t="str">
        <f>IF(A218&lt;&gt;"",SUM(B218),"")</f>
        <v/>
      </c>
      <c r="D218" s="2" t="str">
        <f>IF(A218&lt;&gt;"",(Exame!D1*Exame!C218)/Exame!C1, "")</f>
        <v/>
      </c>
    </row>
    <row r="219" spans="1:4" x14ac:dyDescent="0.3">
      <c r="A219" s="2" t="str">
        <f>IF(Alunos!A219&lt;&gt;"",Alunos!A219,"")</f>
        <v/>
      </c>
      <c r="C219" s="2" t="str">
        <f>IF(A219&lt;&gt;"",SUM(B219),"")</f>
        <v/>
      </c>
      <c r="D219" s="2" t="str">
        <f>IF(A219&lt;&gt;"",(Exame!D1*Exame!C219)/Exame!C1, "")</f>
        <v/>
      </c>
    </row>
    <row r="220" spans="1:4" x14ac:dyDescent="0.3">
      <c r="A220" s="2" t="str">
        <f>IF(Alunos!A220&lt;&gt;"",Alunos!A220,"")</f>
        <v/>
      </c>
      <c r="C220" s="2" t="str">
        <f>IF(A220&lt;&gt;"",SUM(B220),"")</f>
        <v/>
      </c>
      <c r="D220" s="2" t="str">
        <f>IF(A220&lt;&gt;"",(Exame!D1*Exame!C220)/Exame!C1, "")</f>
        <v/>
      </c>
    </row>
    <row r="221" spans="1:4" x14ac:dyDescent="0.3">
      <c r="A221" s="2" t="str">
        <f>IF(Alunos!A221&lt;&gt;"",Alunos!A221,"")</f>
        <v/>
      </c>
      <c r="C221" s="2" t="str">
        <f>IF(A221&lt;&gt;"",SUM(B221),"")</f>
        <v/>
      </c>
      <c r="D221" s="2" t="str">
        <f>IF(A221&lt;&gt;"",(Exame!D1*Exame!C221)/Exame!C1, "")</f>
        <v/>
      </c>
    </row>
    <row r="222" spans="1:4" x14ac:dyDescent="0.3">
      <c r="A222" s="2" t="str">
        <f>IF(Alunos!A222&lt;&gt;"",Alunos!A222,"")</f>
        <v/>
      </c>
      <c r="C222" s="2" t="str">
        <f>IF(A222&lt;&gt;"",SUM(B222),"")</f>
        <v/>
      </c>
      <c r="D222" s="2" t="str">
        <f>IF(A222&lt;&gt;"",(Exame!D1*Exame!C222)/Exame!C1, "")</f>
        <v/>
      </c>
    </row>
    <row r="223" spans="1:4" x14ac:dyDescent="0.3">
      <c r="A223" s="2" t="str">
        <f>IF(Alunos!A223&lt;&gt;"",Alunos!A223,"")</f>
        <v/>
      </c>
      <c r="C223" s="2" t="str">
        <f>IF(A223&lt;&gt;"",SUM(B223),"")</f>
        <v/>
      </c>
      <c r="D223" s="2" t="str">
        <f>IF(A223&lt;&gt;"",(Exame!D1*Exame!C223)/Exame!C1, "")</f>
        <v/>
      </c>
    </row>
    <row r="224" spans="1:4" x14ac:dyDescent="0.3">
      <c r="A224" s="2" t="str">
        <f>IF(Alunos!A224&lt;&gt;"",Alunos!A224,"")</f>
        <v/>
      </c>
      <c r="C224" s="2" t="str">
        <f>IF(A224&lt;&gt;"",SUM(B224),"")</f>
        <v/>
      </c>
      <c r="D224" s="2" t="str">
        <f>IF(A224&lt;&gt;"",(Exame!D1*Exame!C224)/Exame!C1, "")</f>
        <v/>
      </c>
    </row>
    <row r="225" spans="1:4" x14ac:dyDescent="0.3">
      <c r="A225" s="2" t="str">
        <f>IF(Alunos!A225&lt;&gt;"",Alunos!A225,"")</f>
        <v/>
      </c>
      <c r="C225" s="2" t="str">
        <f>IF(A225&lt;&gt;"",SUM(B225),"")</f>
        <v/>
      </c>
      <c r="D225" s="2" t="str">
        <f>IF(A225&lt;&gt;"",(Exame!D1*Exame!C225)/Exame!C1, "")</f>
        <v/>
      </c>
    </row>
    <row r="226" spans="1:4" x14ac:dyDescent="0.3">
      <c r="A226" s="2" t="str">
        <f>IF(Alunos!A226&lt;&gt;"",Alunos!A226,"")</f>
        <v/>
      </c>
      <c r="C226" s="2" t="str">
        <f>IF(A226&lt;&gt;"",SUM(B226),"")</f>
        <v/>
      </c>
      <c r="D226" s="2" t="str">
        <f>IF(A226&lt;&gt;"",(Exame!D1*Exame!C226)/Exame!C1, "")</f>
        <v/>
      </c>
    </row>
    <row r="227" spans="1:4" x14ac:dyDescent="0.3">
      <c r="A227" s="2" t="str">
        <f>IF(Alunos!A227&lt;&gt;"",Alunos!A227,"")</f>
        <v/>
      </c>
      <c r="C227" s="2" t="str">
        <f>IF(A227&lt;&gt;"",SUM(B227),"")</f>
        <v/>
      </c>
      <c r="D227" s="2" t="str">
        <f>IF(A227&lt;&gt;"",(Exame!D1*Exame!C227)/Exame!C1, "")</f>
        <v/>
      </c>
    </row>
    <row r="228" spans="1:4" x14ac:dyDescent="0.3">
      <c r="A228" s="2" t="str">
        <f>IF(Alunos!A228&lt;&gt;"",Alunos!A228,"")</f>
        <v/>
      </c>
      <c r="C228" s="2" t="str">
        <f>IF(A228&lt;&gt;"",SUM(B228),"")</f>
        <v/>
      </c>
      <c r="D228" s="2" t="str">
        <f>IF(A228&lt;&gt;"",(Exame!D1*Exame!C228)/Exame!C1, "")</f>
        <v/>
      </c>
    </row>
    <row r="229" spans="1:4" x14ac:dyDescent="0.3">
      <c r="A229" s="2" t="str">
        <f>IF(Alunos!A229&lt;&gt;"",Alunos!A229,"")</f>
        <v/>
      </c>
      <c r="C229" s="2" t="str">
        <f>IF(A229&lt;&gt;"",SUM(B229),"")</f>
        <v/>
      </c>
      <c r="D229" s="2" t="str">
        <f>IF(A229&lt;&gt;"",(Exame!D1*Exame!C229)/Exame!C1, "")</f>
        <v/>
      </c>
    </row>
    <row r="230" spans="1:4" x14ac:dyDescent="0.3">
      <c r="A230" s="2" t="str">
        <f>IF(Alunos!A230&lt;&gt;"",Alunos!A230,"")</f>
        <v/>
      </c>
      <c r="C230" s="2" t="str">
        <f>IF(A230&lt;&gt;"",SUM(B230),"")</f>
        <v/>
      </c>
      <c r="D230" s="2" t="str">
        <f>IF(A230&lt;&gt;"",(Exame!D1*Exame!C230)/Exame!C1, "")</f>
        <v/>
      </c>
    </row>
    <row r="231" spans="1:4" x14ac:dyDescent="0.3">
      <c r="A231" s="2" t="str">
        <f>IF(Alunos!A231&lt;&gt;"",Alunos!A231,"")</f>
        <v/>
      </c>
      <c r="C231" s="2" t="str">
        <f>IF(A231&lt;&gt;"",SUM(B231),"")</f>
        <v/>
      </c>
      <c r="D231" s="2" t="str">
        <f>IF(A231&lt;&gt;"",(Exame!D1*Exame!C231)/Exame!C1, "")</f>
        <v/>
      </c>
    </row>
    <row r="232" spans="1:4" x14ac:dyDescent="0.3">
      <c r="A232" s="2" t="str">
        <f>IF(Alunos!A232&lt;&gt;"",Alunos!A232,"")</f>
        <v/>
      </c>
      <c r="C232" s="2" t="str">
        <f>IF(A232&lt;&gt;"",SUM(B232),"")</f>
        <v/>
      </c>
      <c r="D232" s="2" t="str">
        <f>IF(A232&lt;&gt;"",(Exame!D1*Exame!C232)/Exame!C1, "")</f>
        <v/>
      </c>
    </row>
    <row r="233" spans="1:4" x14ac:dyDescent="0.3">
      <c r="A233" s="2" t="str">
        <f>IF(Alunos!A233&lt;&gt;"",Alunos!A233,"")</f>
        <v/>
      </c>
      <c r="C233" s="2" t="str">
        <f>IF(A233&lt;&gt;"",SUM(B233),"")</f>
        <v/>
      </c>
      <c r="D233" s="2" t="str">
        <f>IF(A233&lt;&gt;"",(Exame!D1*Exame!C233)/Exame!C1, "")</f>
        <v/>
      </c>
    </row>
    <row r="234" spans="1:4" x14ac:dyDescent="0.3">
      <c r="A234" s="2" t="str">
        <f>IF(Alunos!A234&lt;&gt;"",Alunos!A234,"")</f>
        <v/>
      </c>
      <c r="C234" s="2" t="str">
        <f>IF(A234&lt;&gt;"",SUM(B234),"")</f>
        <v/>
      </c>
      <c r="D234" s="2" t="str">
        <f>IF(A234&lt;&gt;"",(Exame!D1*Exame!C234)/Exame!C1, "")</f>
        <v/>
      </c>
    </row>
    <row r="235" spans="1:4" x14ac:dyDescent="0.3">
      <c r="A235" s="2" t="str">
        <f>IF(Alunos!A235&lt;&gt;"",Alunos!A235,"")</f>
        <v/>
      </c>
      <c r="C235" s="2" t="str">
        <f>IF(A235&lt;&gt;"",SUM(B235),"")</f>
        <v/>
      </c>
      <c r="D235" s="2" t="str">
        <f>IF(A235&lt;&gt;"",(Exame!D1*Exame!C235)/Exame!C1, "")</f>
        <v/>
      </c>
    </row>
    <row r="236" spans="1:4" x14ac:dyDescent="0.3">
      <c r="A236" s="2" t="str">
        <f>IF(Alunos!A236&lt;&gt;"",Alunos!A236,"")</f>
        <v/>
      </c>
      <c r="C236" s="2" t="str">
        <f>IF(A236&lt;&gt;"",SUM(B236),"")</f>
        <v/>
      </c>
      <c r="D236" s="2" t="str">
        <f>IF(A236&lt;&gt;"",(Exame!D1*Exame!C236)/Exame!C1, "")</f>
        <v/>
      </c>
    </row>
    <row r="237" spans="1:4" x14ac:dyDescent="0.3">
      <c r="A237" s="2" t="str">
        <f>IF(Alunos!A237&lt;&gt;"",Alunos!A237,"")</f>
        <v/>
      </c>
      <c r="C237" s="2" t="str">
        <f>IF(A237&lt;&gt;"",SUM(B237),"")</f>
        <v/>
      </c>
      <c r="D237" s="2" t="str">
        <f>IF(A237&lt;&gt;"",(Exame!D1*Exame!C237)/Exame!C1, "")</f>
        <v/>
      </c>
    </row>
    <row r="238" spans="1:4" x14ac:dyDescent="0.3">
      <c r="A238" s="2" t="str">
        <f>IF(Alunos!A238&lt;&gt;"",Alunos!A238,"")</f>
        <v/>
      </c>
      <c r="C238" s="2" t="str">
        <f>IF(A238&lt;&gt;"",SUM(B238),"")</f>
        <v/>
      </c>
      <c r="D238" s="2" t="str">
        <f>IF(A238&lt;&gt;"",(Exame!D1*Exame!C238)/Exame!C1, "")</f>
        <v/>
      </c>
    </row>
    <row r="239" spans="1:4" x14ac:dyDescent="0.3">
      <c r="A239" s="2" t="str">
        <f>IF(Alunos!A239&lt;&gt;"",Alunos!A239,"")</f>
        <v/>
      </c>
      <c r="C239" s="2" t="str">
        <f>IF(A239&lt;&gt;"",SUM(B239),"")</f>
        <v/>
      </c>
      <c r="D239" s="2" t="str">
        <f>IF(A239&lt;&gt;"",(Exame!D1*Exame!C239)/Exame!C1, "")</f>
        <v/>
      </c>
    </row>
    <row r="240" spans="1:4" x14ac:dyDescent="0.3">
      <c r="A240" s="2" t="str">
        <f>IF(Alunos!A240&lt;&gt;"",Alunos!A240,"")</f>
        <v/>
      </c>
      <c r="C240" s="2" t="str">
        <f>IF(A240&lt;&gt;"",SUM(B240),"")</f>
        <v/>
      </c>
      <c r="D240" s="2" t="str">
        <f>IF(A240&lt;&gt;"",(Exame!D1*Exame!C240)/Exame!C1, "")</f>
        <v/>
      </c>
    </row>
    <row r="241" spans="1:4" x14ac:dyDescent="0.3">
      <c r="A241" s="2" t="str">
        <f>IF(Alunos!A241&lt;&gt;"",Alunos!A241,"")</f>
        <v/>
      </c>
      <c r="C241" s="2" t="str">
        <f>IF(A241&lt;&gt;"",SUM(B241),"")</f>
        <v/>
      </c>
      <c r="D241" s="2" t="str">
        <f>IF(A241&lt;&gt;"",(Exame!D1*Exame!C241)/Exame!C1, "")</f>
        <v/>
      </c>
    </row>
    <row r="242" spans="1:4" x14ac:dyDescent="0.3">
      <c r="A242" s="2" t="str">
        <f>IF(Alunos!A242&lt;&gt;"",Alunos!A242,"")</f>
        <v/>
      </c>
      <c r="C242" s="2" t="str">
        <f>IF(A242&lt;&gt;"",SUM(B242),"")</f>
        <v/>
      </c>
      <c r="D242" s="2" t="str">
        <f>IF(A242&lt;&gt;"",(Exame!D1*Exame!C242)/Exame!C1, "")</f>
        <v/>
      </c>
    </row>
    <row r="243" spans="1:4" x14ac:dyDescent="0.3">
      <c r="A243" s="2" t="str">
        <f>IF(Alunos!A243&lt;&gt;"",Alunos!A243,"")</f>
        <v/>
      </c>
      <c r="C243" s="2" t="str">
        <f>IF(A243&lt;&gt;"",SUM(B243),"")</f>
        <v/>
      </c>
      <c r="D243" s="2" t="str">
        <f>IF(A243&lt;&gt;"",(Exame!D1*Exame!C243)/Exame!C1, "")</f>
        <v/>
      </c>
    </row>
    <row r="244" spans="1:4" x14ac:dyDescent="0.3">
      <c r="A244" s="2" t="str">
        <f>IF(Alunos!A244&lt;&gt;"",Alunos!A244,"")</f>
        <v/>
      </c>
      <c r="C244" s="2" t="str">
        <f>IF(A244&lt;&gt;"",SUM(B244),"")</f>
        <v/>
      </c>
      <c r="D244" s="2" t="str">
        <f>IF(A244&lt;&gt;"",(Exame!D1*Exame!C244)/Exame!C1, "")</f>
        <v/>
      </c>
    </row>
    <row r="245" spans="1:4" x14ac:dyDescent="0.3">
      <c r="A245" s="2" t="str">
        <f>IF(Alunos!A245&lt;&gt;"",Alunos!A245,"")</f>
        <v/>
      </c>
      <c r="C245" s="2" t="str">
        <f>IF(A245&lt;&gt;"",SUM(B245),"")</f>
        <v/>
      </c>
      <c r="D245" s="2" t="str">
        <f>IF(A245&lt;&gt;"",(Exame!D1*Exame!C245)/Exame!C1, "")</f>
        <v/>
      </c>
    </row>
    <row r="246" spans="1:4" x14ac:dyDescent="0.3">
      <c r="A246" s="2" t="str">
        <f>IF(Alunos!A246&lt;&gt;"",Alunos!A246,"")</f>
        <v/>
      </c>
      <c r="C246" s="2" t="str">
        <f>IF(A246&lt;&gt;"",SUM(B246),"")</f>
        <v/>
      </c>
      <c r="D246" s="2" t="str">
        <f>IF(A246&lt;&gt;"",(Exame!D1*Exame!C246)/Exame!C1, "")</f>
        <v/>
      </c>
    </row>
    <row r="247" spans="1:4" x14ac:dyDescent="0.3">
      <c r="A247" s="2" t="str">
        <f>IF(Alunos!A247&lt;&gt;"",Alunos!A247,"")</f>
        <v/>
      </c>
      <c r="C247" s="2" t="str">
        <f>IF(A247&lt;&gt;"",SUM(B247),"")</f>
        <v/>
      </c>
      <c r="D247" s="2" t="str">
        <f>IF(A247&lt;&gt;"",(Exame!D1*Exame!C247)/Exame!C1, "")</f>
        <v/>
      </c>
    </row>
    <row r="248" spans="1:4" x14ac:dyDescent="0.3">
      <c r="A248" s="2" t="str">
        <f>IF(Alunos!A248&lt;&gt;"",Alunos!A248,"")</f>
        <v/>
      </c>
      <c r="C248" s="2" t="str">
        <f>IF(A248&lt;&gt;"",SUM(B248),"")</f>
        <v/>
      </c>
      <c r="D248" s="2" t="str">
        <f>IF(A248&lt;&gt;"",(Exame!D1*Exame!C248)/Exame!C1, "")</f>
        <v/>
      </c>
    </row>
    <row r="249" spans="1:4" x14ac:dyDescent="0.3">
      <c r="A249" s="2" t="str">
        <f>IF(Alunos!A249&lt;&gt;"",Alunos!A249,"")</f>
        <v/>
      </c>
      <c r="C249" s="2" t="str">
        <f>IF(A249&lt;&gt;"",SUM(B249),"")</f>
        <v/>
      </c>
      <c r="D249" s="2" t="str">
        <f>IF(A249&lt;&gt;"",(Exame!D1*Exame!C249)/Exame!C1, "")</f>
        <v/>
      </c>
    </row>
    <row r="250" spans="1:4" x14ac:dyDescent="0.3">
      <c r="A250" s="2" t="str">
        <f>IF(Alunos!A250&lt;&gt;"",Alunos!A250,"")</f>
        <v/>
      </c>
      <c r="C250" s="2" t="str">
        <f>IF(A250&lt;&gt;"",SUM(B250),"")</f>
        <v/>
      </c>
      <c r="D250" s="2" t="str">
        <f>IF(A250&lt;&gt;"",(Exame!D1*Exame!C250)/Exame!C1, "")</f>
        <v/>
      </c>
    </row>
  </sheetData>
  <conditionalFormatting sqref="B3">
    <cfRule type="cellIs" dxfId="991" priority="1" stopIfTrue="1" operator="greaterThan">
      <formula>20</formula>
    </cfRule>
  </conditionalFormatting>
  <conditionalFormatting sqref="B4">
    <cfRule type="cellIs" dxfId="990" priority="2" stopIfTrue="1" operator="greaterThan">
      <formula>20</formula>
    </cfRule>
  </conditionalFormatting>
  <conditionalFormatting sqref="B5">
    <cfRule type="cellIs" dxfId="989" priority="3" stopIfTrue="1" operator="greaterThan">
      <formula>20</formula>
    </cfRule>
  </conditionalFormatting>
  <conditionalFormatting sqref="B6">
    <cfRule type="cellIs" dxfId="988" priority="4" stopIfTrue="1" operator="greaterThan">
      <formula>20</formula>
    </cfRule>
  </conditionalFormatting>
  <conditionalFormatting sqref="B7">
    <cfRule type="cellIs" dxfId="987" priority="5" stopIfTrue="1" operator="greaterThan">
      <formula>20</formula>
    </cfRule>
  </conditionalFormatting>
  <conditionalFormatting sqref="B8">
    <cfRule type="cellIs" dxfId="986" priority="6" stopIfTrue="1" operator="greaterThan">
      <formula>20</formula>
    </cfRule>
  </conditionalFormatting>
  <conditionalFormatting sqref="B9">
    <cfRule type="cellIs" dxfId="985" priority="7" stopIfTrue="1" operator="greaterThan">
      <formula>20</formula>
    </cfRule>
  </conditionalFormatting>
  <conditionalFormatting sqref="B10">
    <cfRule type="cellIs" dxfId="984" priority="8" stopIfTrue="1" operator="greaterThan">
      <formula>20</formula>
    </cfRule>
  </conditionalFormatting>
  <conditionalFormatting sqref="B11">
    <cfRule type="cellIs" dxfId="983" priority="9" stopIfTrue="1" operator="greaterThan">
      <formula>20</formula>
    </cfRule>
  </conditionalFormatting>
  <conditionalFormatting sqref="B12">
    <cfRule type="cellIs" dxfId="982" priority="10" stopIfTrue="1" operator="greaterThan">
      <formula>20</formula>
    </cfRule>
  </conditionalFormatting>
  <conditionalFormatting sqref="B13">
    <cfRule type="cellIs" dxfId="981" priority="11" stopIfTrue="1" operator="greaterThan">
      <formula>20</formula>
    </cfRule>
  </conditionalFormatting>
  <conditionalFormatting sqref="B14">
    <cfRule type="cellIs" dxfId="980" priority="12" stopIfTrue="1" operator="greaterThan">
      <formula>20</formula>
    </cfRule>
  </conditionalFormatting>
  <conditionalFormatting sqref="B15">
    <cfRule type="cellIs" dxfId="979" priority="13" stopIfTrue="1" operator="greaterThan">
      <formula>20</formula>
    </cfRule>
  </conditionalFormatting>
  <conditionalFormatting sqref="B16">
    <cfRule type="cellIs" dxfId="978" priority="14" stopIfTrue="1" operator="greaterThan">
      <formula>20</formula>
    </cfRule>
  </conditionalFormatting>
  <conditionalFormatting sqref="B17">
    <cfRule type="cellIs" dxfId="977" priority="15" stopIfTrue="1" operator="greaterThan">
      <formula>20</formula>
    </cfRule>
  </conditionalFormatting>
  <conditionalFormatting sqref="B18">
    <cfRule type="cellIs" dxfId="976" priority="16" stopIfTrue="1" operator="greaterThan">
      <formula>20</formula>
    </cfRule>
  </conditionalFormatting>
  <conditionalFormatting sqref="B19">
    <cfRule type="cellIs" dxfId="975" priority="17" stopIfTrue="1" operator="greaterThan">
      <formula>20</formula>
    </cfRule>
  </conditionalFormatting>
  <conditionalFormatting sqref="B20">
    <cfRule type="cellIs" dxfId="974" priority="18" stopIfTrue="1" operator="greaterThan">
      <formula>20</formula>
    </cfRule>
  </conditionalFormatting>
  <conditionalFormatting sqref="B21">
    <cfRule type="cellIs" dxfId="973" priority="19" stopIfTrue="1" operator="greaterThan">
      <formula>20</formula>
    </cfRule>
  </conditionalFormatting>
  <conditionalFormatting sqref="B22">
    <cfRule type="cellIs" dxfId="972" priority="20" stopIfTrue="1" operator="greaterThan">
      <formula>20</formula>
    </cfRule>
  </conditionalFormatting>
  <conditionalFormatting sqref="B23">
    <cfRule type="cellIs" dxfId="971" priority="21" stopIfTrue="1" operator="greaterThan">
      <formula>20</formula>
    </cfRule>
  </conditionalFormatting>
  <conditionalFormatting sqref="B24">
    <cfRule type="cellIs" dxfId="970" priority="22" stopIfTrue="1" operator="greaterThan">
      <formula>20</formula>
    </cfRule>
  </conditionalFormatting>
  <conditionalFormatting sqref="B25">
    <cfRule type="cellIs" dxfId="969" priority="23" stopIfTrue="1" operator="greaterThan">
      <formula>20</formula>
    </cfRule>
  </conditionalFormatting>
  <conditionalFormatting sqref="B26">
    <cfRule type="cellIs" dxfId="968" priority="24" stopIfTrue="1" operator="greaterThan">
      <formula>20</formula>
    </cfRule>
  </conditionalFormatting>
  <conditionalFormatting sqref="B27">
    <cfRule type="cellIs" dxfId="967" priority="25" stopIfTrue="1" operator="greaterThan">
      <formula>20</formula>
    </cfRule>
  </conditionalFormatting>
  <conditionalFormatting sqref="B28">
    <cfRule type="cellIs" dxfId="966" priority="26" stopIfTrue="1" operator="greaterThan">
      <formula>20</formula>
    </cfRule>
  </conditionalFormatting>
  <conditionalFormatting sqref="B29">
    <cfRule type="cellIs" dxfId="965" priority="27" stopIfTrue="1" operator="greaterThan">
      <formula>20</formula>
    </cfRule>
  </conditionalFormatting>
  <conditionalFormatting sqref="B30">
    <cfRule type="cellIs" dxfId="964" priority="28" stopIfTrue="1" operator="greaterThan">
      <formula>20</formula>
    </cfRule>
  </conditionalFormatting>
  <conditionalFormatting sqref="B31">
    <cfRule type="cellIs" dxfId="963" priority="29" stopIfTrue="1" operator="greaterThan">
      <formula>20</formula>
    </cfRule>
  </conditionalFormatting>
  <conditionalFormatting sqref="B32">
    <cfRule type="cellIs" dxfId="962" priority="30" stopIfTrue="1" operator="greaterThan">
      <formula>20</formula>
    </cfRule>
  </conditionalFormatting>
  <conditionalFormatting sqref="B33">
    <cfRule type="cellIs" dxfId="961" priority="31" stopIfTrue="1" operator="greaterThan">
      <formula>20</formula>
    </cfRule>
  </conditionalFormatting>
  <conditionalFormatting sqref="B34">
    <cfRule type="cellIs" dxfId="960" priority="32" stopIfTrue="1" operator="greaterThan">
      <formula>20</formula>
    </cfRule>
  </conditionalFormatting>
  <conditionalFormatting sqref="B35">
    <cfRule type="cellIs" dxfId="959" priority="33" stopIfTrue="1" operator="greaterThan">
      <formula>20</formula>
    </cfRule>
  </conditionalFormatting>
  <conditionalFormatting sqref="B36">
    <cfRule type="cellIs" dxfId="958" priority="34" stopIfTrue="1" operator="greaterThan">
      <formula>20</formula>
    </cfRule>
  </conditionalFormatting>
  <conditionalFormatting sqref="B37">
    <cfRule type="cellIs" dxfId="957" priority="35" stopIfTrue="1" operator="greaterThan">
      <formula>20</formula>
    </cfRule>
  </conditionalFormatting>
  <conditionalFormatting sqref="B38">
    <cfRule type="cellIs" dxfId="956" priority="36" stopIfTrue="1" operator="greaterThan">
      <formula>20</formula>
    </cfRule>
  </conditionalFormatting>
  <conditionalFormatting sqref="B39">
    <cfRule type="cellIs" dxfId="955" priority="37" stopIfTrue="1" operator="greaterThan">
      <formula>20</formula>
    </cfRule>
  </conditionalFormatting>
  <conditionalFormatting sqref="B40">
    <cfRule type="cellIs" dxfId="954" priority="38" stopIfTrue="1" operator="greaterThan">
      <formula>20</formula>
    </cfRule>
  </conditionalFormatting>
  <conditionalFormatting sqref="B41">
    <cfRule type="cellIs" dxfId="953" priority="39" stopIfTrue="1" operator="greaterThan">
      <formula>20</formula>
    </cfRule>
  </conditionalFormatting>
  <conditionalFormatting sqref="B42">
    <cfRule type="cellIs" dxfId="952" priority="40" stopIfTrue="1" operator="greaterThan">
      <formula>20</formula>
    </cfRule>
  </conditionalFormatting>
  <conditionalFormatting sqref="B43">
    <cfRule type="cellIs" dxfId="951" priority="41" stopIfTrue="1" operator="greaterThan">
      <formula>20</formula>
    </cfRule>
  </conditionalFormatting>
  <conditionalFormatting sqref="B44">
    <cfRule type="cellIs" dxfId="950" priority="42" stopIfTrue="1" operator="greaterThan">
      <formula>20</formula>
    </cfRule>
  </conditionalFormatting>
  <conditionalFormatting sqref="B45">
    <cfRule type="cellIs" dxfId="949" priority="43" stopIfTrue="1" operator="greaterThan">
      <formula>20</formula>
    </cfRule>
  </conditionalFormatting>
  <conditionalFormatting sqref="B46">
    <cfRule type="cellIs" dxfId="948" priority="44" stopIfTrue="1" operator="greaterThan">
      <formula>20</formula>
    </cfRule>
  </conditionalFormatting>
  <conditionalFormatting sqref="B47">
    <cfRule type="cellIs" dxfId="947" priority="45" stopIfTrue="1" operator="greaterThan">
      <formula>20</formula>
    </cfRule>
  </conditionalFormatting>
  <conditionalFormatting sqref="B48">
    <cfRule type="cellIs" dxfId="946" priority="46" stopIfTrue="1" operator="greaterThan">
      <formula>20</formula>
    </cfRule>
  </conditionalFormatting>
  <conditionalFormatting sqref="B49">
    <cfRule type="cellIs" dxfId="945" priority="47" stopIfTrue="1" operator="greaterThan">
      <formula>20</formula>
    </cfRule>
  </conditionalFormatting>
  <conditionalFormatting sqref="B50">
    <cfRule type="cellIs" dxfId="944" priority="48" stopIfTrue="1" operator="greaterThan">
      <formula>20</formula>
    </cfRule>
  </conditionalFormatting>
  <conditionalFormatting sqref="B51">
    <cfRule type="cellIs" dxfId="943" priority="49" stopIfTrue="1" operator="greaterThan">
      <formula>20</formula>
    </cfRule>
  </conditionalFormatting>
  <conditionalFormatting sqref="B52">
    <cfRule type="cellIs" dxfId="942" priority="50" stopIfTrue="1" operator="greaterThan">
      <formula>20</formula>
    </cfRule>
  </conditionalFormatting>
  <conditionalFormatting sqref="B53">
    <cfRule type="cellIs" dxfId="941" priority="51" stopIfTrue="1" operator="greaterThan">
      <formula>20</formula>
    </cfRule>
  </conditionalFormatting>
  <conditionalFormatting sqref="B54">
    <cfRule type="cellIs" dxfId="940" priority="52" stopIfTrue="1" operator="greaterThan">
      <formula>20</formula>
    </cfRule>
  </conditionalFormatting>
  <conditionalFormatting sqref="B55">
    <cfRule type="cellIs" dxfId="939" priority="53" stopIfTrue="1" operator="greaterThan">
      <formula>20</formula>
    </cfRule>
  </conditionalFormatting>
  <conditionalFormatting sqref="B56">
    <cfRule type="cellIs" dxfId="938" priority="54" stopIfTrue="1" operator="greaterThan">
      <formula>20</formula>
    </cfRule>
  </conditionalFormatting>
  <conditionalFormatting sqref="B57">
    <cfRule type="cellIs" dxfId="937" priority="55" stopIfTrue="1" operator="greaterThan">
      <formula>20</formula>
    </cfRule>
  </conditionalFormatting>
  <conditionalFormatting sqref="B58">
    <cfRule type="cellIs" dxfId="936" priority="56" stopIfTrue="1" operator="greaterThan">
      <formula>20</formula>
    </cfRule>
  </conditionalFormatting>
  <conditionalFormatting sqref="B59">
    <cfRule type="cellIs" dxfId="935" priority="57" stopIfTrue="1" operator="greaterThan">
      <formula>20</formula>
    </cfRule>
  </conditionalFormatting>
  <conditionalFormatting sqref="B60">
    <cfRule type="cellIs" dxfId="934" priority="58" stopIfTrue="1" operator="greaterThan">
      <formula>20</formula>
    </cfRule>
  </conditionalFormatting>
  <conditionalFormatting sqref="B61">
    <cfRule type="cellIs" dxfId="933" priority="59" stopIfTrue="1" operator="greaterThan">
      <formula>20</formula>
    </cfRule>
  </conditionalFormatting>
  <conditionalFormatting sqref="B62">
    <cfRule type="cellIs" dxfId="932" priority="60" stopIfTrue="1" operator="greaterThan">
      <formula>20</formula>
    </cfRule>
  </conditionalFormatting>
  <conditionalFormatting sqref="B63">
    <cfRule type="cellIs" dxfId="931" priority="61" stopIfTrue="1" operator="greaterThan">
      <formula>20</formula>
    </cfRule>
  </conditionalFormatting>
  <conditionalFormatting sqref="B64">
    <cfRule type="cellIs" dxfId="930" priority="62" stopIfTrue="1" operator="greaterThan">
      <formula>20</formula>
    </cfRule>
  </conditionalFormatting>
  <conditionalFormatting sqref="B65">
    <cfRule type="cellIs" dxfId="929" priority="63" stopIfTrue="1" operator="greaterThan">
      <formula>20</formula>
    </cfRule>
  </conditionalFormatting>
  <conditionalFormatting sqref="B66">
    <cfRule type="cellIs" dxfId="928" priority="64" stopIfTrue="1" operator="greaterThan">
      <formula>20</formula>
    </cfRule>
  </conditionalFormatting>
  <conditionalFormatting sqref="B67">
    <cfRule type="cellIs" dxfId="927" priority="65" stopIfTrue="1" operator="greaterThan">
      <formula>20</formula>
    </cfRule>
  </conditionalFormatting>
  <conditionalFormatting sqref="B68">
    <cfRule type="cellIs" dxfId="926" priority="66" stopIfTrue="1" operator="greaterThan">
      <formula>20</formula>
    </cfRule>
  </conditionalFormatting>
  <conditionalFormatting sqref="B69">
    <cfRule type="cellIs" dxfId="925" priority="67" stopIfTrue="1" operator="greaterThan">
      <formula>20</formula>
    </cfRule>
  </conditionalFormatting>
  <conditionalFormatting sqref="B70">
    <cfRule type="cellIs" dxfId="924" priority="68" stopIfTrue="1" operator="greaterThan">
      <formula>20</formula>
    </cfRule>
  </conditionalFormatting>
  <conditionalFormatting sqref="B71">
    <cfRule type="cellIs" dxfId="923" priority="69" stopIfTrue="1" operator="greaterThan">
      <formula>20</formula>
    </cfRule>
  </conditionalFormatting>
  <conditionalFormatting sqref="B72">
    <cfRule type="cellIs" dxfId="922" priority="70" stopIfTrue="1" operator="greaterThan">
      <formula>20</formula>
    </cfRule>
  </conditionalFormatting>
  <conditionalFormatting sqref="B73">
    <cfRule type="cellIs" dxfId="921" priority="71" stopIfTrue="1" operator="greaterThan">
      <formula>20</formula>
    </cfRule>
  </conditionalFormatting>
  <conditionalFormatting sqref="B74">
    <cfRule type="cellIs" dxfId="920" priority="72" stopIfTrue="1" operator="greaterThan">
      <formula>20</formula>
    </cfRule>
  </conditionalFormatting>
  <conditionalFormatting sqref="B75">
    <cfRule type="cellIs" dxfId="919" priority="73" stopIfTrue="1" operator="greaterThan">
      <formula>20</formula>
    </cfRule>
  </conditionalFormatting>
  <conditionalFormatting sqref="B76">
    <cfRule type="cellIs" dxfId="918" priority="74" stopIfTrue="1" operator="greaterThan">
      <formula>20</formula>
    </cfRule>
  </conditionalFormatting>
  <conditionalFormatting sqref="B77">
    <cfRule type="cellIs" dxfId="917" priority="75" stopIfTrue="1" operator="greaterThan">
      <formula>20</formula>
    </cfRule>
  </conditionalFormatting>
  <conditionalFormatting sqref="B78">
    <cfRule type="cellIs" dxfId="916" priority="76" stopIfTrue="1" operator="greaterThan">
      <formula>20</formula>
    </cfRule>
  </conditionalFormatting>
  <conditionalFormatting sqref="B79">
    <cfRule type="cellIs" dxfId="915" priority="77" stopIfTrue="1" operator="greaterThan">
      <formula>20</formula>
    </cfRule>
  </conditionalFormatting>
  <conditionalFormatting sqref="B80">
    <cfRule type="cellIs" dxfId="914" priority="78" stopIfTrue="1" operator="greaterThan">
      <formula>20</formula>
    </cfRule>
  </conditionalFormatting>
  <conditionalFormatting sqref="B81">
    <cfRule type="cellIs" dxfId="913" priority="79" stopIfTrue="1" operator="greaterThan">
      <formula>20</formula>
    </cfRule>
  </conditionalFormatting>
  <conditionalFormatting sqref="B82">
    <cfRule type="cellIs" dxfId="912" priority="80" stopIfTrue="1" operator="greaterThan">
      <formula>20</formula>
    </cfRule>
  </conditionalFormatting>
  <conditionalFormatting sqref="B83">
    <cfRule type="cellIs" dxfId="911" priority="81" stopIfTrue="1" operator="greaterThan">
      <formula>20</formula>
    </cfRule>
  </conditionalFormatting>
  <conditionalFormatting sqref="B84">
    <cfRule type="cellIs" dxfId="910" priority="82" stopIfTrue="1" operator="greaterThan">
      <formula>20</formula>
    </cfRule>
  </conditionalFormatting>
  <conditionalFormatting sqref="B85">
    <cfRule type="cellIs" dxfId="909" priority="83" stopIfTrue="1" operator="greaterThan">
      <formula>20</formula>
    </cfRule>
  </conditionalFormatting>
  <conditionalFormatting sqref="B86">
    <cfRule type="cellIs" dxfId="908" priority="84" stopIfTrue="1" operator="greaterThan">
      <formula>20</formula>
    </cfRule>
  </conditionalFormatting>
  <conditionalFormatting sqref="B87">
    <cfRule type="cellIs" dxfId="907" priority="85" stopIfTrue="1" operator="greaterThan">
      <formula>20</formula>
    </cfRule>
  </conditionalFormatting>
  <conditionalFormatting sqref="B88">
    <cfRule type="cellIs" dxfId="906" priority="86" stopIfTrue="1" operator="greaterThan">
      <formula>20</formula>
    </cfRule>
  </conditionalFormatting>
  <conditionalFormatting sqref="B89">
    <cfRule type="cellIs" dxfId="905" priority="87" stopIfTrue="1" operator="greaterThan">
      <formula>20</formula>
    </cfRule>
  </conditionalFormatting>
  <conditionalFormatting sqref="B90">
    <cfRule type="cellIs" dxfId="904" priority="88" stopIfTrue="1" operator="greaterThan">
      <formula>20</formula>
    </cfRule>
  </conditionalFormatting>
  <conditionalFormatting sqref="B91">
    <cfRule type="cellIs" dxfId="903" priority="89" stopIfTrue="1" operator="greaterThan">
      <formula>20</formula>
    </cfRule>
  </conditionalFormatting>
  <conditionalFormatting sqref="B92">
    <cfRule type="cellIs" dxfId="902" priority="90" stopIfTrue="1" operator="greaterThan">
      <formula>20</formula>
    </cfRule>
  </conditionalFormatting>
  <conditionalFormatting sqref="B93">
    <cfRule type="cellIs" dxfId="901" priority="91" stopIfTrue="1" operator="greaterThan">
      <formula>20</formula>
    </cfRule>
  </conditionalFormatting>
  <conditionalFormatting sqref="B94">
    <cfRule type="cellIs" dxfId="900" priority="92" stopIfTrue="1" operator="greaterThan">
      <formula>20</formula>
    </cfRule>
  </conditionalFormatting>
  <conditionalFormatting sqref="B95">
    <cfRule type="cellIs" dxfId="899" priority="93" stopIfTrue="1" operator="greaterThan">
      <formula>20</formula>
    </cfRule>
  </conditionalFormatting>
  <conditionalFormatting sqref="B96">
    <cfRule type="cellIs" dxfId="898" priority="94" stopIfTrue="1" operator="greaterThan">
      <formula>20</formula>
    </cfRule>
  </conditionalFormatting>
  <conditionalFormatting sqref="B97">
    <cfRule type="cellIs" dxfId="897" priority="95" stopIfTrue="1" operator="greaterThan">
      <formula>20</formula>
    </cfRule>
  </conditionalFormatting>
  <conditionalFormatting sqref="B98">
    <cfRule type="cellIs" dxfId="896" priority="96" stopIfTrue="1" operator="greaterThan">
      <formula>20</formula>
    </cfRule>
  </conditionalFormatting>
  <conditionalFormatting sqref="B99">
    <cfRule type="cellIs" dxfId="895" priority="97" stopIfTrue="1" operator="greaterThan">
      <formula>20</formula>
    </cfRule>
  </conditionalFormatting>
  <conditionalFormatting sqref="B100">
    <cfRule type="cellIs" dxfId="894" priority="98" stopIfTrue="1" operator="greaterThan">
      <formula>20</formula>
    </cfRule>
  </conditionalFormatting>
  <conditionalFormatting sqref="B101">
    <cfRule type="cellIs" dxfId="893" priority="99" stopIfTrue="1" operator="greaterThan">
      <formula>20</formula>
    </cfRule>
  </conditionalFormatting>
  <conditionalFormatting sqref="B102">
    <cfRule type="cellIs" dxfId="892" priority="100" stopIfTrue="1" operator="greaterThan">
      <formula>20</formula>
    </cfRule>
  </conditionalFormatting>
  <conditionalFormatting sqref="B103">
    <cfRule type="cellIs" dxfId="891" priority="101" stopIfTrue="1" operator="greaterThan">
      <formula>20</formula>
    </cfRule>
  </conditionalFormatting>
  <conditionalFormatting sqref="B104">
    <cfRule type="cellIs" dxfId="890" priority="102" stopIfTrue="1" operator="greaterThan">
      <formula>20</formula>
    </cfRule>
  </conditionalFormatting>
  <conditionalFormatting sqref="B105">
    <cfRule type="cellIs" dxfId="889" priority="103" stopIfTrue="1" operator="greaterThan">
      <formula>20</formula>
    </cfRule>
  </conditionalFormatting>
  <conditionalFormatting sqref="B106">
    <cfRule type="cellIs" dxfId="888" priority="104" stopIfTrue="1" operator="greaterThan">
      <formula>20</formula>
    </cfRule>
  </conditionalFormatting>
  <conditionalFormatting sqref="B107">
    <cfRule type="cellIs" dxfId="887" priority="105" stopIfTrue="1" operator="greaterThan">
      <formula>20</formula>
    </cfRule>
  </conditionalFormatting>
  <conditionalFormatting sqref="B108">
    <cfRule type="cellIs" dxfId="886" priority="106" stopIfTrue="1" operator="greaterThan">
      <formula>20</formula>
    </cfRule>
  </conditionalFormatting>
  <conditionalFormatting sqref="B109">
    <cfRule type="cellIs" dxfId="885" priority="107" stopIfTrue="1" operator="greaterThan">
      <formula>20</formula>
    </cfRule>
  </conditionalFormatting>
  <conditionalFormatting sqref="B110">
    <cfRule type="cellIs" dxfId="884" priority="108" stopIfTrue="1" operator="greaterThan">
      <formula>20</formula>
    </cfRule>
  </conditionalFormatting>
  <conditionalFormatting sqref="B111">
    <cfRule type="cellIs" dxfId="883" priority="109" stopIfTrue="1" operator="greaterThan">
      <formula>20</formula>
    </cfRule>
  </conditionalFormatting>
  <conditionalFormatting sqref="B112">
    <cfRule type="cellIs" dxfId="882" priority="110" stopIfTrue="1" operator="greaterThan">
      <formula>20</formula>
    </cfRule>
  </conditionalFormatting>
  <conditionalFormatting sqref="B113">
    <cfRule type="cellIs" dxfId="881" priority="111" stopIfTrue="1" operator="greaterThan">
      <formula>20</formula>
    </cfRule>
  </conditionalFormatting>
  <conditionalFormatting sqref="B114">
    <cfRule type="cellIs" dxfId="880" priority="112" stopIfTrue="1" operator="greaterThan">
      <formula>20</formula>
    </cfRule>
  </conditionalFormatting>
  <conditionalFormatting sqref="B115">
    <cfRule type="cellIs" dxfId="879" priority="113" stopIfTrue="1" operator="greaterThan">
      <formula>20</formula>
    </cfRule>
  </conditionalFormatting>
  <conditionalFormatting sqref="B116">
    <cfRule type="cellIs" dxfId="878" priority="114" stopIfTrue="1" operator="greaterThan">
      <formula>20</formula>
    </cfRule>
  </conditionalFormatting>
  <conditionalFormatting sqref="B117">
    <cfRule type="cellIs" dxfId="877" priority="115" stopIfTrue="1" operator="greaterThan">
      <formula>20</formula>
    </cfRule>
  </conditionalFormatting>
  <conditionalFormatting sqref="B118">
    <cfRule type="cellIs" dxfId="876" priority="116" stopIfTrue="1" operator="greaterThan">
      <formula>20</formula>
    </cfRule>
  </conditionalFormatting>
  <conditionalFormatting sqref="B119">
    <cfRule type="cellIs" dxfId="875" priority="117" stopIfTrue="1" operator="greaterThan">
      <formula>20</formula>
    </cfRule>
  </conditionalFormatting>
  <conditionalFormatting sqref="B120">
    <cfRule type="cellIs" dxfId="874" priority="118" stopIfTrue="1" operator="greaterThan">
      <formula>20</formula>
    </cfRule>
  </conditionalFormatting>
  <conditionalFormatting sqref="B121">
    <cfRule type="cellIs" dxfId="873" priority="119" stopIfTrue="1" operator="greaterThan">
      <formula>20</formula>
    </cfRule>
  </conditionalFormatting>
  <conditionalFormatting sqref="B122">
    <cfRule type="cellIs" dxfId="872" priority="120" stopIfTrue="1" operator="greaterThan">
      <formula>20</formula>
    </cfRule>
  </conditionalFormatting>
  <conditionalFormatting sqref="B123">
    <cfRule type="cellIs" dxfId="871" priority="121" stopIfTrue="1" operator="greaterThan">
      <formula>20</formula>
    </cfRule>
  </conditionalFormatting>
  <conditionalFormatting sqref="B124">
    <cfRule type="cellIs" dxfId="870" priority="122" stopIfTrue="1" operator="greaterThan">
      <formula>20</formula>
    </cfRule>
  </conditionalFormatting>
  <conditionalFormatting sqref="B125">
    <cfRule type="cellIs" dxfId="869" priority="123" stopIfTrue="1" operator="greaterThan">
      <formula>20</formula>
    </cfRule>
  </conditionalFormatting>
  <conditionalFormatting sqref="B126">
    <cfRule type="cellIs" dxfId="868" priority="124" stopIfTrue="1" operator="greaterThan">
      <formula>20</formula>
    </cfRule>
  </conditionalFormatting>
  <conditionalFormatting sqref="B127">
    <cfRule type="cellIs" dxfId="867" priority="125" stopIfTrue="1" operator="greaterThan">
      <formula>20</formula>
    </cfRule>
  </conditionalFormatting>
  <conditionalFormatting sqref="B128">
    <cfRule type="cellIs" dxfId="866" priority="126" stopIfTrue="1" operator="greaterThan">
      <formula>20</formula>
    </cfRule>
  </conditionalFormatting>
  <conditionalFormatting sqref="B129">
    <cfRule type="cellIs" dxfId="865" priority="127" stopIfTrue="1" operator="greaterThan">
      <formula>20</formula>
    </cfRule>
  </conditionalFormatting>
  <conditionalFormatting sqref="B130">
    <cfRule type="cellIs" dxfId="864" priority="128" stopIfTrue="1" operator="greaterThan">
      <formula>20</formula>
    </cfRule>
  </conditionalFormatting>
  <conditionalFormatting sqref="B131">
    <cfRule type="cellIs" dxfId="863" priority="129" stopIfTrue="1" operator="greaterThan">
      <formula>20</formula>
    </cfRule>
  </conditionalFormatting>
  <conditionalFormatting sqref="B132">
    <cfRule type="cellIs" dxfId="862" priority="130" stopIfTrue="1" operator="greaterThan">
      <formula>20</formula>
    </cfRule>
  </conditionalFormatting>
  <conditionalFormatting sqref="B133">
    <cfRule type="cellIs" dxfId="861" priority="131" stopIfTrue="1" operator="greaterThan">
      <formula>20</formula>
    </cfRule>
  </conditionalFormatting>
  <conditionalFormatting sqref="B134">
    <cfRule type="cellIs" dxfId="860" priority="132" stopIfTrue="1" operator="greaterThan">
      <formula>20</formula>
    </cfRule>
  </conditionalFormatting>
  <conditionalFormatting sqref="B135">
    <cfRule type="cellIs" dxfId="859" priority="133" stopIfTrue="1" operator="greaterThan">
      <formula>20</formula>
    </cfRule>
  </conditionalFormatting>
  <conditionalFormatting sqref="B136">
    <cfRule type="cellIs" dxfId="858" priority="134" stopIfTrue="1" operator="greaterThan">
      <formula>20</formula>
    </cfRule>
  </conditionalFormatting>
  <conditionalFormatting sqref="B137">
    <cfRule type="cellIs" dxfId="857" priority="135" stopIfTrue="1" operator="greaterThan">
      <formula>20</formula>
    </cfRule>
  </conditionalFormatting>
  <conditionalFormatting sqref="B138">
    <cfRule type="cellIs" dxfId="856" priority="136" stopIfTrue="1" operator="greaterThan">
      <formula>20</formula>
    </cfRule>
  </conditionalFormatting>
  <conditionalFormatting sqref="B139">
    <cfRule type="cellIs" dxfId="855" priority="137" stopIfTrue="1" operator="greaterThan">
      <formula>20</formula>
    </cfRule>
  </conditionalFormatting>
  <conditionalFormatting sqref="B140">
    <cfRule type="cellIs" dxfId="854" priority="138" stopIfTrue="1" operator="greaterThan">
      <formula>20</formula>
    </cfRule>
  </conditionalFormatting>
  <conditionalFormatting sqref="B141">
    <cfRule type="cellIs" dxfId="853" priority="139" stopIfTrue="1" operator="greaterThan">
      <formula>20</formula>
    </cfRule>
  </conditionalFormatting>
  <conditionalFormatting sqref="B142">
    <cfRule type="cellIs" dxfId="852" priority="140" stopIfTrue="1" operator="greaterThan">
      <formula>20</formula>
    </cfRule>
  </conditionalFormatting>
  <conditionalFormatting sqref="B143">
    <cfRule type="cellIs" dxfId="851" priority="141" stopIfTrue="1" operator="greaterThan">
      <formula>20</formula>
    </cfRule>
  </conditionalFormatting>
  <conditionalFormatting sqref="B144">
    <cfRule type="cellIs" dxfId="850" priority="142" stopIfTrue="1" operator="greaterThan">
      <formula>20</formula>
    </cfRule>
  </conditionalFormatting>
  <conditionalFormatting sqref="B145">
    <cfRule type="cellIs" dxfId="849" priority="143" stopIfTrue="1" operator="greaterThan">
      <formula>20</formula>
    </cfRule>
  </conditionalFormatting>
  <conditionalFormatting sqref="B146">
    <cfRule type="cellIs" dxfId="848" priority="144" stopIfTrue="1" operator="greaterThan">
      <formula>20</formula>
    </cfRule>
  </conditionalFormatting>
  <conditionalFormatting sqref="B147">
    <cfRule type="cellIs" dxfId="847" priority="145" stopIfTrue="1" operator="greaterThan">
      <formula>20</formula>
    </cfRule>
  </conditionalFormatting>
  <conditionalFormatting sqref="B148">
    <cfRule type="cellIs" dxfId="846" priority="146" stopIfTrue="1" operator="greaterThan">
      <formula>20</formula>
    </cfRule>
  </conditionalFormatting>
  <conditionalFormatting sqref="B149">
    <cfRule type="cellIs" dxfId="845" priority="147" stopIfTrue="1" operator="greaterThan">
      <formula>20</formula>
    </cfRule>
  </conditionalFormatting>
  <conditionalFormatting sqref="B150">
    <cfRule type="cellIs" dxfId="844" priority="148" stopIfTrue="1" operator="greaterThan">
      <formula>20</formula>
    </cfRule>
  </conditionalFormatting>
  <conditionalFormatting sqref="B151">
    <cfRule type="cellIs" dxfId="843" priority="149" stopIfTrue="1" operator="greaterThan">
      <formula>20</formula>
    </cfRule>
  </conditionalFormatting>
  <conditionalFormatting sqref="B152">
    <cfRule type="cellIs" dxfId="842" priority="150" stopIfTrue="1" operator="greaterThan">
      <formula>20</formula>
    </cfRule>
  </conditionalFormatting>
  <conditionalFormatting sqref="B153">
    <cfRule type="cellIs" dxfId="841" priority="151" stopIfTrue="1" operator="greaterThan">
      <formula>20</formula>
    </cfRule>
  </conditionalFormatting>
  <conditionalFormatting sqref="B154">
    <cfRule type="cellIs" dxfId="840" priority="152" stopIfTrue="1" operator="greaterThan">
      <formula>20</formula>
    </cfRule>
  </conditionalFormatting>
  <conditionalFormatting sqref="B155">
    <cfRule type="cellIs" dxfId="839" priority="153" stopIfTrue="1" operator="greaterThan">
      <formula>20</formula>
    </cfRule>
  </conditionalFormatting>
  <conditionalFormatting sqref="B156">
    <cfRule type="cellIs" dxfId="838" priority="154" stopIfTrue="1" operator="greaterThan">
      <formula>20</formula>
    </cfRule>
  </conditionalFormatting>
  <conditionalFormatting sqref="B157">
    <cfRule type="cellIs" dxfId="837" priority="155" stopIfTrue="1" operator="greaterThan">
      <formula>20</formula>
    </cfRule>
  </conditionalFormatting>
  <conditionalFormatting sqref="B158">
    <cfRule type="cellIs" dxfId="836" priority="156" stopIfTrue="1" operator="greaterThan">
      <formula>20</formula>
    </cfRule>
  </conditionalFormatting>
  <conditionalFormatting sqref="B159">
    <cfRule type="cellIs" dxfId="835" priority="157" stopIfTrue="1" operator="greaterThan">
      <formula>20</formula>
    </cfRule>
  </conditionalFormatting>
  <conditionalFormatting sqref="B160">
    <cfRule type="cellIs" dxfId="834" priority="158" stopIfTrue="1" operator="greaterThan">
      <formula>20</formula>
    </cfRule>
  </conditionalFormatting>
  <conditionalFormatting sqref="B161">
    <cfRule type="cellIs" dxfId="833" priority="159" stopIfTrue="1" operator="greaterThan">
      <formula>20</formula>
    </cfRule>
  </conditionalFormatting>
  <conditionalFormatting sqref="B162">
    <cfRule type="cellIs" dxfId="832" priority="160" stopIfTrue="1" operator="greaterThan">
      <formula>20</formula>
    </cfRule>
  </conditionalFormatting>
  <conditionalFormatting sqref="B163">
    <cfRule type="cellIs" dxfId="831" priority="161" stopIfTrue="1" operator="greaterThan">
      <formula>20</formula>
    </cfRule>
  </conditionalFormatting>
  <conditionalFormatting sqref="B164">
    <cfRule type="cellIs" dxfId="830" priority="162" stopIfTrue="1" operator="greaterThan">
      <formula>20</formula>
    </cfRule>
  </conditionalFormatting>
  <conditionalFormatting sqref="B165">
    <cfRule type="cellIs" dxfId="829" priority="163" stopIfTrue="1" operator="greaterThan">
      <formula>20</formula>
    </cfRule>
  </conditionalFormatting>
  <conditionalFormatting sqref="B166">
    <cfRule type="cellIs" dxfId="828" priority="164" stopIfTrue="1" operator="greaterThan">
      <formula>20</formula>
    </cfRule>
  </conditionalFormatting>
  <conditionalFormatting sqref="B167">
    <cfRule type="cellIs" dxfId="827" priority="165" stopIfTrue="1" operator="greaterThan">
      <formula>20</formula>
    </cfRule>
  </conditionalFormatting>
  <conditionalFormatting sqref="B168">
    <cfRule type="cellIs" dxfId="826" priority="166" stopIfTrue="1" operator="greaterThan">
      <formula>20</formula>
    </cfRule>
  </conditionalFormatting>
  <conditionalFormatting sqref="B169">
    <cfRule type="cellIs" dxfId="825" priority="167" stopIfTrue="1" operator="greaterThan">
      <formula>20</formula>
    </cfRule>
  </conditionalFormatting>
  <conditionalFormatting sqref="B170">
    <cfRule type="cellIs" dxfId="824" priority="168" stopIfTrue="1" operator="greaterThan">
      <formula>20</formula>
    </cfRule>
  </conditionalFormatting>
  <conditionalFormatting sqref="B171">
    <cfRule type="cellIs" dxfId="823" priority="169" stopIfTrue="1" operator="greaterThan">
      <formula>20</formula>
    </cfRule>
  </conditionalFormatting>
  <conditionalFormatting sqref="B172">
    <cfRule type="cellIs" dxfId="822" priority="170" stopIfTrue="1" operator="greaterThan">
      <formula>20</formula>
    </cfRule>
  </conditionalFormatting>
  <conditionalFormatting sqref="B173">
    <cfRule type="cellIs" dxfId="821" priority="171" stopIfTrue="1" operator="greaterThan">
      <formula>20</formula>
    </cfRule>
  </conditionalFormatting>
  <conditionalFormatting sqref="B174">
    <cfRule type="cellIs" dxfId="820" priority="172" stopIfTrue="1" operator="greaterThan">
      <formula>20</formula>
    </cfRule>
  </conditionalFormatting>
  <conditionalFormatting sqref="B175">
    <cfRule type="cellIs" dxfId="819" priority="173" stopIfTrue="1" operator="greaterThan">
      <formula>20</formula>
    </cfRule>
  </conditionalFormatting>
  <conditionalFormatting sqref="B176">
    <cfRule type="cellIs" dxfId="818" priority="174" stopIfTrue="1" operator="greaterThan">
      <formula>20</formula>
    </cfRule>
  </conditionalFormatting>
  <conditionalFormatting sqref="B177">
    <cfRule type="cellIs" dxfId="817" priority="175" stopIfTrue="1" operator="greaterThan">
      <formula>20</formula>
    </cfRule>
  </conditionalFormatting>
  <conditionalFormatting sqref="B178">
    <cfRule type="cellIs" dxfId="816" priority="176" stopIfTrue="1" operator="greaterThan">
      <formula>20</formula>
    </cfRule>
  </conditionalFormatting>
  <conditionalFormatting sqref="B179">
    <cfRule type="cellIs" dxfId="815" priority="177" stopIfTrue="1" operator="greaterThan">
      <formula>20</formula>
    </cfRule>
  </conditionalFormatting>
  <conditionalFormatting sqref="B180">
    <cfRule type="cellIs" dxfId="814" priority="178" stopIfTrue="1" operator="greaterThan">
      <formula>20</formula>
    </cfRule>
  </conditionalFormatting>
  <conditionalFormatting sqref="B181">
    <cfRule type="cellIs" dxfId="813" priority="179" stopIfTrue="1" operator="greaterThan">
      <formula>20</formula>
    </cfRule>
  </conditionalFormatting>
  <conditionalFormatting sqref="B182">
    <cfRule type="cellIs" dxfId="812" priority="180" stopIfTrue="1" operator="greaterThan">
      <formula>20</formula>
    </cfRule>
  </conditionalFormatting>
  <conditionalFormatting sqref="B183">
    <cfRule type="cellIs" dxfId="811" priority="181" stopIfTrue="1" operator="greaterThan">
      <formula>20</formula>
    </cfRule>
  </conditionalFormatting>
  <conditionalFormatting sqref="B184">
    <cfRule type="cellIs" dxfId="810" priority="182" stopIfTrue="1" operator="greaterThan">
      <formula>20</formula>
    </cfRule>
  </conditionalFormatting>
  <conditionalFormatting sqref="B185">
    <cfRule type="cellIs" dxfId="809" priority="183" stopIfTrue="1" operator="greaterThan">
      <formula>20</formula>
    </cfRule>
  </conditionalFormatting>
  <conditionalFormatting sqref="B186">
    <cfRule type="cellIs" dxfId="808" priority="184" stopIfTrue="1" operator="greaterThan">
      <formula>20</formula>
    </cfRule>
  </conditionalFormatting>
  <conditionalFormatting sqref="B187">
    <cfRule type="cellIs" dxfId="807" priority="185" stopIfTrue="1" operator="greaterThan">
      <formula>20</formula>
    </cfRule>
  </conditionalFormatting>
  <conditionalFormatting sqref="B188">
    <cfRule type="cellIs" dxfId="806" priority="186" stopIfTrue="1" operator="greaterThan">
      <formula>20</formula>
    </cfRule>
  </conditionalFormatting>
  <conditionalFormatting sqref="B189">
    <cfRule type="cellIs" dxfId="805" priority="187" stopIfTrue="1" operator="greaterThan">
      <formula>20</formula>
    </cfRule>
  </conditionalFormatting>
  <conditionalFormatting sqref="B190">
    <cfRule type="cellIs" dxfId="804" priority="188" stopIfTrue="1" operator="greaterThan">
      <formula>20</formula>
    </cfRule>
  </conditionalFormatting>
  <conditionalFormatting sqref="B191">
    <cfRule type="cellIs" dxfId="803" priority="189" stopIfTrue="1" operator="greaterThan">
      <formula>20</formula>
    </cfRule>
  </conditionalFormatting>
  <conditionalFormatting sqref="B192">
    <cfRule type="cellIs" dxfId="802" priority="190" stopIfTrue="1" operator="greaterThan">
      <formula>20</formula>
    </cfRule>
  </conditionalFormatting>
  <conditionalFormatting sqref="B193">
    <cfRule type="cellIs" dxfId="801" priority="191" stopIfTrue="1" operator="greaterThan">
      <formula>20</formula>
    </cfRule>
  </conditionalFormatting>
  <conditionalFormatting sqref="B194">
    <cfRule type="cellIs" dxfId="800" priority="192" stopIfTrue="1" operator="greaterThan">
      <formula>20</formula>
    </cfRule>
  </conditionalFormatting>
  <conditionalFormatting sqref="B195">
    <cfRule type="cellIs" dxfId="799" priority="193" stopIfTrue="1" operator="greaterThan">
      <formula>20</formula>
    </cfRule>
  </conditionalFormatting>
  <conditionalFormatting sqref="B196">
    <cfRule type="cellIs" dxfId="798" priority="194" stopIfTrue="1" operator="greaterThan">
      <formula>20</formula>
    </cfRule>
  </conditionalFormatting>
  <conditionalFormatting sqref="B197">
    <cfRule type="cellIs" dxfId="797" priority="195" stopIfTrue="1" operator="greaterThan">
      <formula>20</formula>
    </cfRule>
  </conditionalFormatting>
  <conditionalFormatting sqref="B198">
    <cfRule type="cellIs" dxfId="796" priority="196" stopIfTrue="1" operator="greaterThan">
      <formula>20</formula>
    </cfRule>
  </conditionalFormatting>
  <conditionalFormatting sqref="B199">
    <cfRule type="cellIs" dxfId="795" priority="197" stopIfTrue="1" operator="greaterThan">
      <formula>20</formula>
    </cfRule>
  </conditionalFormatting>
  <conditionalFormatting sqref="B200">
    <cfRule type="cellIs" dxfId="794" priority="198" stopIfTrue="1" operator="greaterThan">
      <formula>20</formula>
    </cfRule>
  </conditionalFormatting>
  <conditionalFormatting sqref="B201">
    <cfRule type="cellIs" dxfId="793" priority="199" stopIfTrue="1" operator="greaterThan">
      <formula>20</formula>
    </cfRule>
  </conditionalFormatting>
  <conditionalFormatting sqref="B202">
    <cfRule type="cellIs" dxfId="792" priority="200" stopIfTrue="1" operator="greaterThan">
      <formula>20</formula>
    </cfRule>
  </conditionalFormatting>
  <conditionalFormatting sqref="B203">
    <cfRule type="cellIs" dxfId="791" priority="201" stopIfTrue="1" operator="greaterThan">
      <formula>20</formula>
    </cfRule>
  </conditionalFormatting>
  <conditionalFormatting sqref="B204">
    <cfRule type="cellIs" dxfId="790" priority="202" stopIfTrue="1" operator="greaterThan">
      <formula>20</formula>
    </cfRule>
  </conditionalFormatting>
  <conditionalFormatting sqref="B205">
    <cfRule type="cellIs" dxfId="789" priority="203" stopIfTrue="1" operator="greaterThan">
      <formula>20</formula>
    </cfRule>
  </conditionalFormatting>
  <conditionalFormatting sqref="B206">
    <cfRule type="cellIs" dxfId="788" priority="204" stopIfTrue="1" operator="greaterThan">
      <formula>20</formula>
    </cfRule>
  </conditionalFormatting>
  <conditionalFormatting sqref="B207">
    <cfRule type="cellIs" dxfId="787" priority="205" stopIfTrue="1" operator="greaterThan">
      <formula>20</formula>
    </cfRule>
  </conditionalFormatting>
  <conditionalFormatting sqref="B208">
    <cfRule type="cellIs" dxfId="786" priority="206" stopIfTrue="1" operator="greaterThan">
      <formula>20</formula>
    </cfRule>
  </conditionalFormatting>
  <conditionalFormatting sqref="B209">
    <cfRule type="cellIs" dxfId="785" priority="207" stopIfTrue="1" operator="greaterThan">
      <formula>20</formula>
    </cfRule>
  </conditionalFormatting>
  <conditionalFormatting sqref="B210">
    <cfRule type="cellIs" dxfId="784" priority="208" stopIfTrue="1" operator="greaterThan">
      <formula>20</formula>
    </cfRule>
  </conditionalFormatting>
  <conditionalFormatting sqref="B211">
    <cfRule type="cellIs" dxfId="783" priority="209" stopIfTrue="1" operator="greaterThan">
      <formula>20</formula>
    </cfRule>
  </conditionalFormatting>
  <conditionalFormatting sqref="B212">
    <cfRule type="cellIs" dxfId="782" priority="210" stopIfTrue="1" operator="greaterThan">
      <formula>20</formula>
    </cfRule>
  </conditionalFormatting>
  <conditionalFormatting sqref="B213">
    <cfRule type="cellIs" dxfId="781" priority="211" stopIfTrue="1" operator="greaterThan">
      <formula>20</formula>
    </cfRule>
  </conditionalFormatting>
  <conditionalFormatting sqref="B214">
    <cfRule type="cellIs" dxfId="780" priority="212" stopIfTrue="1" operator="greaterThan">
      <formula>20</formula>
    </cfRule>
  </conditionalFormatting>
  <conditionalFormatting sqref="B215">
    <cfRule type="cellIs" dxfId="779" priority="213" stopIfTrue="1" operator="greaterThan">
      <formula>20</formula>
    </cfRule>
  </conditionalFormatting>
  <conditionalFormatting sqref="B216">
    <cfRule type="cellIs" dxfId="778" priority="214" stopIfTrue="1" operator="greaterThan">
      <formula>20</formula>
    </cfRule>
  </conditionalFormatting>
  <conditionalFormatting sqref="B217">
    <cfRule type="cellIs" dxfId="777" priority="215" stopIfTrue="1" operator="greaterThan">
      <formula>20</formula>
    </cfRule>
  </conditionalFormatting>
  <conditionalFormatting sqref="B218">
    <cfRule type="cellIs" dxfId="776" priority="216" stopIfTrue="1" operator="greaterThan">
      <formula>20</formula>
    </cfRule>
  </conditionalFormatting>
  <conditionalFormatting sqref="B219">
    <cfRule type="cellIs" dxfId="775" priority="217" stopIfTrue="1" operator="greaterThan">
      <formula>20</formula>
    </cfRule>
  </conditionalFormatting>
  <conditionalFormatting sqref="B220">
    <cfRule type="cellIs" dxfId="774" priority="218" stopIfTrue="1" operator="greaterThan">
      <formula>20</formula>
    </cfRule>
  </conditionalFormatting>
  <conditionalFormatting sqref="B221">
    <cfRule type="cellIs" dxfId="773" priority="219" stopIfTrue="1" operator="greaterThan">
      <formula>20</formula>
    </cfRule>
  </conditionalFormatting>
  <conditionalFormatting sqref="B222">
    <cfRule type="cellIs" dxfId="772" priority="220" stopIfTrue="1" operator="greaterThan">
      <formula>20</formula>
    </cfRule>
  </conditionalFormatting>
  <conditionalFormatting sqref="B223">
    <cfRule type="cellIs" dxfId="771" priority="221" stopIfTrue="1" operator="greaterThan">
      <formula>20</formula>
    </cfRule>
  </conditionalFormatting>
  <conditionalFormatting sqref="B224">
    <cfRule type="cellIs" dxfId="770" priority="222" stopIfTrue="1" operator="greaterThan">
      <formula>20</formula>
    </cfRule>
  </conditionalFormatting>
  <conditionalFormatting sqref="B225">
    <cfRule type="cellIs" dxfId="769" priority="223" stopIfTrue="1" operator="greaterThan">
      <formula>20</formula>
    </cfRule>
  </conditionalFormatting>
  <conditionalFormatting sqref="B226">
    <cfRule type="cellIs" dxfId="768" priority="224" stopIfTrue="1" operator="greaterThan">
      <formula>20</formula>
    </cfRule>
  </conditionalFormatting>
  <conditionalFormatting sqref="B227">
    <cfRule type="cellIs" dxfId="767" priority="225" stopIfTrue="1" operator="greaterThan">
      <formula>20</formula>
    </cfRule>
  </conditionalFormatting>
  <conditionalFormatting sqref="B228">
    <cfRule type="cellIs" dxfId="766" priority="226" stopIfTrue="1" operator="greaterThan">
      <formula>20</formula>
    </cfRule>
  </conditionalFormatting>
  <conditionalFormatting sqref="B229">
    <cfRule type="cellIs" dxfId="765" priority="227" stopIfTrue="1" operator="greaterThan">
      <formula>20</formula>
    </cfRule>
  </conditionalFormatting>
  <conditionalFormatting sqref="B230">
    <cfRule type="cellIs" dxfId="764" priority="228" stopIfTrue="1" operator="greaterThan">
      <formula>20</formula>
    </cfRule>
  </conditionalFormatting>
  <conditionalFormatting sqref="B231">
    <cfRule type="cellIs" dxfId="763" priority="229" stopIfTrue="1" operator="greaterThan">
      <formula>20</formula>
    </cfRule>
  </conditionalFormatting>
  <conditionalFormatting sqref="B232">
    <cfRule type="cellIs" dxfId="762" priority="230" stopIfTrue="1" operator="greaterThan">
      <formula>20</formula>
    </cfRule>
  </conditionalFormatting>
  <conditionalFormatting sqref="B233">
    <cfRule type="cellIs" dxfId="761" priority="231" stopIfTrue="1" operator="greaterThan">
      <formula>20</formula>
    </cfRule>
  </conditionalFormatting>
  <conditionalFormatting sqref="B234">
    <cfRule type="cellIs" dxfId="760" priority="232" stopIfTrue="1" operator="greaterThan">
      <formula>20</formula>
    </cfRule>
  </conditionalFormatting>
  <conditionalFormatting sqref="B235">
    <cfRule type="cellIs" dxfId="759" priority="233" stopIfTrue="1" operator="greaterThan">
      <formula>20</formula>
    </cfRule>
  </conditionalFormatting>
  <conditionalFormatting sqref="B236">
    <cfRule type="cellIs" dxfId="758" priority="234" stopIfTrue="1" operator="greaterThan">
      <formula>20</formula>
    </cfRule>
  </conditionalFormatting>
  <conditionalFormatting sqref="B237">
    <cfRule type="cellIs" dxfId="757" priority="235" stopIfTrue="1" operator="greaterThan">
      <formula>20</formula>
    </cfRule>
  </conditionalFormatting>
  <conditionalFormatting sqref="B238">
    <cfRule type="cellIs" dxfId="756" priority="236" stopIfTrue="1" operator="greaterThan">
      <formula>20</formula>
    </cfRule>
  </conditionalFormatting>
  <conditionalFormatting sqref="B239">
    <cfRule type="cellIs" dxfId="755" priority="237" stopIfTrue="1" operator="greaterThan">
      <formula>20</formula>
    </cfRule>
  </conditionalFormatting>
  <conditionalFormatting sqref="B240">
    <cfRule type="cellIs" dxfId="754" priority="238" stopIfTrue="1" operator="greaterThan">
      <formula>20</formula>
    </cfRule>
  </conditionalFormatting>
  <conditionalFormatting sqref="B241">
    <cfRule type="cellIs" dxfId="753" priority="239" stopIfTrue="1" operator="greaterThan">
      <formula>20</formula>
    </cfRule>
  </conditionalFormatting>
  <conditionalFormatting sqref="B242">
    <cfRule type="cellIs" dxfId="752" priority="240" stopIfTrue="1" operator="greaterThan">
      <formula>20</formula>
    </cfRule>
  </conditionalFormatting>
  <conditionalFormatting sqref="B243">
    <cfRule type="cellIs" dxfId="751" priority="241" stopIfTrue="1" operator="greaterThan">
      <formula>20</formula>
    </cfRule>
  </conditionalFormatting>
  <conditionalFormatting sqref="B244">
    <cfRule type="cellIs" dxfId="750" priority="242" stopIfTrue="1" operator="greaterThan">
      <formula>20</formula>
    </cfRule>
  </conditionalFormatting>
  <conditionalFormatting sqref="B245">
    <cfRule type="cellIs" dxfId="749" priority="243" stopIfTrue="1" operator="greaterThan">
      <formula>20</formula>
    </cfRule>
  </conditionalFormatting>
  <conditionalFormatting sqref="B246">
    <cfRule type="cellIs" dxfId="748" priority="244" stopIfTrue="1" operator="greaterThan">
      <formula>20</formula>
    </cfRule>
  </conditionalFormatting>
  <conditionalFormatting sqref="B247">
    <cfRule type="cellIs" dxfId="747" priority="245" stopIfTrue="1" operator="greaterThan">
      <formula>20</formula>
    </cfRule>
  </conditionalFormatting>
  <conditionalFormatting sqref="B248">
    <cfRule type="cellIs" dxfId="746" priority="246" stopIfTrue="1" operator="greaterThan">
      <formula>20</formula>
    </cfRule>
  </conditionalFormatting>
  <conditionalFormatting sqref="B249">
    <cfRule type="cellIs" dxfId="745" priority="247" stopIfTrue="1" operator="greaterThan">
      <formula>20</formula>
    </cfRule>
  </conditionalFormatting>
  <conditionalFormatting sqref="B250">
    <cfRule type="cellIs" dxfId="744" priority="248" stopIfTrue="1" operator="greaterThan">
      <formula>20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0DB60-4219-4C7B-B082-B2E4C9F34BB5}">
  <sheetPr codeName="Folha18"/>
  <dimension ref="A2:ZZ2"/>
  <sheetViews>
    <sheetView workbookViewId="0"/>
  </sheetViews>
  <sheetFormatPr defaultRowHeight="14.4" x14ac:dyDescent="0.3"/>
  <cols>
    <col min="1" max="1" width="35.77734375" style="2" customWidth="1"/>
    <col min="2" max="2" width="3.21875" style="2" bestFit="1" customWidth="1"/>
    <col min="3" max="702" width="8.88671875" style="2"/>
  </cols>
  <sheetData>
    <row r="2" spans="1:2" x14ac:dyDescent="0.3">
      <c r="A2" s="7" t="s">
        <v>11</v>
      </c>
      <c r="B2" s="7" t="s"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C4799-D513-4BFE-80FF-59821179A6B6}">
  <sheetPr codeName="Folha17"/>
  <dimension ref="A1:ZZ12"/>
  <sheetViews>
    <sheetView workbookViewId="0"/>
  </sheetViews>
  <sheetFormatPr defaultRowHeight="14.4" x14ac:dyDescent="0.3"/>
  <cols>
    <col min="1" max="1" width="13.88671875" style="2" bestFit="1" customWidth="1"/>
    <col min="2" max="2" width="16" style="2" bestFit="1" customWidth="1"/>
    <col min="3" max="3" width="12" style="2" bestFit="1" customWidth="1"/>
    <col min="4" max="4" width="11.88671875" style="2" bestFit="1" customWidth="1"/>
    <col min="5" max="5" width="14.109375" style="2" bestFit="1" customWidth="1"/>
    <col min="6" max="6" width="11.5546875" style="2" bestFit="1" customWidth="1"/>
    <col min="7" max="7" width="16" style="2" bestFit="1" customWidth="1"/>
    <col min="8" max="8" width="12" style="2" bestFit="1" customWidth="1"/>
    <col min="9" max="9" width="11.88671875" style="2" bestFit="1" customWidth="1"/>
    <col min="10" max="10" width="14.109375" style="2" bestFit="1" customWidth="1"/>
    <col min="11" max="11" width="11.5546875" style="2" bestFit="1" customWidth="1"/>
    <col min="12" max="12" width="16" style="2" bestFit="1" customWidth="1"/>
    <col min="13" max="13" width="12" style="2" bestFit="1" customWidth="1"/>
    <col min="14" max="14" width="11.88671875" style="2" bestFit="1" customWidth="1"/>
    <col min="15" max="15" width="14.109375" style="2" bestFit="1" customWidth="1"/>
    <col min="16" max="16" width="11.5546875" style="2" bestFit="1" customWidth="1"/>
    <col min="17" max="17" width="16" style="2" bestFit="1" customWidth="1"/>
    <col min="18" max="18" width="12" style="2" bestFit="1" customWidth="1"/>
    <col min="19" max="19" width="11.88671875" style="2" bestFit="1" customWidth="1"/>
    <col min="20" max="20" width="14.109375" style="2" bestFit="1" customWidth="1"/>
    <col min="21" max="702" width="8.88671875" style="2"/>
  </cols>
  <sheetData>
    <row r="1" spans="1:20" x14ac:dyDescent="0.3">
      <c r="A1" s="7" t="s">
        <v>0</v>
      </c>
      <c r="B1" s="1"/>
      <c r="D1" s="3"/>
    </row>
    <row r="2" spans="1:20" x14ac:dyDescent="0.3">
      <c r="A2" s="7" t="s">
        <v>1</v>
      </c>
      <c r="B2" s="1">
        <f>COUNTA(Alunos!A:A)-1</f>
        <v>2</v>
      </c>
      <c r="D2" s="4"/>
    </row>
    <row r="3" spans="1:20" x14ac:dyDescent="0.3">
      <c r="A3" s="7" t="s">
        <v>2</v>
      </c>
      <c r="B3" s="1">
        <v>0</v>
      </c>
      <c r="D3" s="5"/>
    </row>
    <row r="4" spans="1:20" x14ac:dyDescent="0.3">
      <c r="D4" s="6"/>
    </row>
    <row r="10" spans="1:20" x14ac:dyDescent="0.3">
      <c r="A10" s="3" t="s">
        <v>3</v>
      </c>
      <c r="B10" s="4" t="s">
        <v>4</v>
      </c>
      <c r="C10" s="4" t="s">
        <v>5</v>
      </c>
      <c r="D10" s="4" t="s">
        <v>6</v>
      </c>
      <c r="E10" s="4" t="s">
        <v>7</v>
      </c>
      <c r="F10" s="3" t="s">
        <v>3</v>
      </c>
      <c r="G10" s="4" t="s">
        <v>4</v>
      </c>
      <c r="H10" s="4" t="s">
        <v>5</v>
      </c>
      <c r="I10" s="4" t="s">
        <v>6</v>
      </c>
      <c r="J10" s="4" t="s">
        <v>7</v>
      </c>
      <c r="K10" s="3" t="s">
        <v>3</v>
      </c>
      <c r="L10" s="4" t="s">
        <v>4</v>
      </c>
      <c r="M10" s="4" t="s">
        <v>5</v>
      </c>
      <c r="N10" s="4" t="s">
        <v>6</v>
      </c>
      <c r="O10" s="4" t="s">
        <v>7</v>
      </c>
      <c r="P10" s="3" t="s">
        <v>3</v>
      </c>
      <c r="Q10" s="4" t="s">
        <v>4</v>
      </c>
      <c r="R10" s="4" t="s">
        <v>5</v>
      </c>
      <c r="S10" s="4" t="s">
        <v>6</v>
      </c>
      <c r="T10" s="4" t="s">
        <v>7</v>
      </c>
    </row>
    <row r="11" spans="1:20" x14ac:dyDescent="0.3">
      <c r="A11" s="5" t="s">
        <v>8</v>
      </c>
      <c r="B11" s="5">
        <v>12</v>
      </c>
      <c r="C11" s="5"/>
      <c r="D11" s="5">
        <v>1</v>
      </c>
      <c r="E11" s="5"/>
      <c r="F11" s="5" t="s">
        <v>9</v>
      </c>
      <c r="G11" s="5">
        <v>12</v>
      </c>
      <c r="H11" s="5"/>
      <c r="I11" s="5">
        <v>1</v>
      </c>
      <c r="J11" s="5"/>
      <c r="K11" s="5" t="s">
        <v>20</v>
      </c>
      <c r="L11" s="5">
        <v>33</v>
      </c>
      <c r="M11" s="5" t="s">
        <v>10</v>
      </c>
      <c r="N11" s="5">
        <v>1</v>
      </c>
      <c r="O11" s="5"/>
      <c r="P11" s="5" t="s">
        <v>19</v>
      </c>
      <c r="Q11" s="5">
        <v>12</v>
      </c>
      <c r="R11" s="5" t="s">
        <v>10</v>
      </c>
      <c r="S11" s="5">
        <v>1</v>
      </c>
      <c r="T11" s="5"/>
    </row>
    <row r="12" spans="1:20" x14ac:dyDescent="0.3">
      <c r="A12" s="6" t="s">
        <v>17</v>
      </c>
      <c r="E12" s="6">
        <v>20</v>
      </c>
      <c r="F12" s="6" t="s">
        <v>18</v>
      </c>
      <c r="J12" s="6">
        <v>22</v>
      </c>
      <c r="K12" s="6" t="s">
        <v>21</v>
      </c>
      <c r="O12" s="6">
        <v>4</v>
      </c>
      <c r="P12" s="6" t="s">
        <v>22</v>
      </c>
      <c r="T12" s="6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8</vt:i4>
      </vt:variant>
    </vt:vector>
  </HeadingPairs>
  <TitlesOfParts>
    <vt:vector size="8" baseType="lpstr">
      <vt:lpstr>Start</vt:lpstr>
      <vt:lpstr>Alunos</vt:lpstr>
      <vt:lpstr>SDASD</vt:lpstr>
      <vt:lpstr>FDGDF</vt:lpstr>
      <vt:lpstr>Recurso</vt:lpstr>
      <vt:lpstr>Exame</vt:lpstr>
      <vt:lpstr>Agrupamentos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Ramos</dc:creator>
  <cp:lastModifiedBy>Rui Ramos</cp:lastModifiedBy>
  <dcterms:created xsi:type="dcterms:W3CDTF">2020-03-21T16:39:50Z</dcterms:created>
  <dcterms:modified xsi:type="dcterms:W3CDTF">2020-04-07T16:43:11Z</dcterms:modified>
</cp:coreProperties>
</file>