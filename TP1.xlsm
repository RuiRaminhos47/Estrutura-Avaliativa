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Faculdade\SA\"/>
    </mc:Choice>
  </mc:AlternateContent>
  <xr:revisionPtr revIDLastSave="0" documentId="13_ncr:1_{152F66DB-0A33-4AE0-8A2D-B34070818CF1}" xr6:coauthVersionLast="45" xr6:coauthVersionMax="45" xr10:uidLastSave="{00000000-0000-0000-0000-000000000000}"/>
  <bookViews>
    <workbookView xWindow="-108" yWindow="-108" windowWidth="23256" windowHeight="12576" activeTab="1" xr2:uid="{C5B5C72F-8080-4377-ACBE-2EFD018A0851}"/>
  </bookViews>
  <sheets>
    <sheet name="Start" sheetId="1" r:id="rId1"/>
    <sheet name="Alunos" sheetId="338" r:id="rId2"/>
    <sheet name="TP2" sheetId="337" r:id="rId3"/>
    <sheet name="Recurso" sheetId="336" r:id="rId4"/>
    <sheet name="TP1" sheetId="335" r:id="rId5"/>
    <sheet name="Exame" sheetId="334" r:id="rId6"/>
    <sheet name="Agrupamentos" sheetId="333" r:id="rId7"/>
    <sheet name="Auxiliar" sheetId="33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0" i="338" l="1"/>
  <c r="K160" i="338" s="1"/>
  <c r="I1000" i="338"/>
  <c r="J1000" i="338" s="1"/>
  <c r="K1000" i="338" s="1"/>
  <c r="I999" i="338"/>
  <c r="J999" i="338" s="1"/>
  <c r="K999" i="338" s="1"/>
  <c r="I998" i="338"/>
  <c r="J998" i="338" s="1"/>
  <c r="K998" i="338" s="1"/>
  <c r="I997" i="338"/>
  <c r="J997" i="338" s="1"/>
  <c r="K997" i="338" s="1"/>
  <c r="I996" i="338"/>
  <c r="J996" i="338" s="1"/>
  <c r="K996" i="338" s="1"/>
  <c r="I995" i="338"/>
  <c r="J995" i="338" s="1"/>
  <c r="K995" i="338" s="1"/>
  <c r="I994" i="338"/>
  <c r="J994" i="338" s="1"/>
  <c r="K994" i="338" s="1"/>
  <c r="I993" i="338"/>
  <c r="J993" i="338" s="1"/>
  <c r="K993" i="338" s="1"/>
  <c r="I992" i="338"/>
  <c r="J992" i="338" s="1"/>
  <c r="K992" i="338" s="1"/>
  <c r="I991" i="338"/>
  <c r="J991" i="338" s="1"/>
  <c r="K991" i="338" s="1"/>
  <c r="I990" i="338"/>
  <c r="J990" i="338" s="1"/>
  <c r="K990" i="338" s="1"/>
  <c r="I989" i="338"/>
  <c r="J989" i="338" s="1"/>
  <c r="K989" i="338" s="1"/>
  <c r="I988" i="338"/>
  <c r="J988" i="338" s="1"/>
  <c r="K988" i="338" s="1"/>
  <c r="I987" i="338"/>
  <c r="J987" i="338" s="1"/>
  <c r="K987" i="338" s="1"/>
  <c r="I986" i="338"/>
  <c r="J986" i="338" s="1"/>
  <c r="K986" i="338" s="1"/>
  <c r="I985" i="338"/>
  <c r="J985" i="338" s="1"/>
  <c r="K985" i="338" s="1"/>
  <c r="I984" i="338"/>
  <c r="J984" i="338" s="1"/>
  <c r="K984" i="338" s="1"/>
  <c r="I983" i="338"/>
  <c r="J983" i="338" s="1"/>
  <c r="K983" i="338" s="1"/>
  <c r="I982" i="338"/>
  <c r="J982" i="338" s="1"/>
  <c r="K982" i="338" s="1"/>
  <c r="I981" i="338"/>
  <c r="J981" i="338" s="1"/>
  <c r="K981" i="338" s="1"/>
  <c r="I980" i="338"/>
  <c r="J980" i="338" s="1"/>
  <c r="K980" i="338" s="1"/>
  <c r="I979" i="338"/>
  <c r="J979" i="338" s="1"/>
  <c r="K979" i="338" s="1"/>
  <c r="I978" i="338"/>
  <c r="J978" i="338" s="1"/>
  <c r="K978" i="338" s="1"/>
  <c r="I977" i="338"/>
  <c r="J977" i="338" s="1"/>
  <c r="K977" i="338" s="1"/>
  <c r="I976" i="338"/>
  <c r="J976" i="338" s="1"/>
  <c r="K976" i="338" s="1"/>
  <c r="I975" i="338"/>
  <c r="J975" i="338" s="1"/>
  <c r="K975" i="338" s="1"/>
  <c r="I974" i="338"/>
  <c r="J974" i="338" s="1"/>
  <c r="K974" i="338" s="1"/>
  <c r="I973" i="338"/>
  <c r="J973" i="338" s="1"/>
  <c r="K973" i="338" s="1"/>
  <c r="I972" i="338"/>
  <c r="J972" i="338" s="1"/>
  <c r="K972" i="338" s="1"/>
  <c r="I971" i="338"/>
  <c r="J971" i="338" s="1"/>
  <c r="K971" i="338" s="1"/>
  <c r="I970" i="338"/>
  <c r="J970" i="338" s="1"/>
  <c r="K970" i="338" s="1"/>
  <c r="I969" i="338"/>
  <c r="J969" i="338" s="1"/>
  <c r="K969" i="338" s="1"/>
  <c r="I968" i="338"/>
  <c r="J968" i="338" s="1"/>
  <c r="K968" i="338" s="1"/>
  <c r="I967" i="338"/>
  <c r="J967" i="338" s="1"/>
  <c r="K967" i="338" s="1"/>
  <c r="I966" i="338"/>
  <c r="J966" i="338" s="1"/>
  <c r="K966" i="338" s="1"/>
  <c r="I965" i="338"/>
  <c r="J965" i="338" s="1"/>
  <c r="K965" i="338" s="1"/>
  <c r="I964" i="338"/>
  <c r="J964" i="338" s="1"/>
  <c r="K964" i="338" s="1"/>
  <c r="I963" i="338"/>
  <c r="J963" i="338" s="1"/>
  <c r="K963" i="338" s="1"/>
  <c r="I962" i="338"/>
  <c r="J962" i="338" s="1"/>
  <c r="K962" i="338" s="1"/>
  <c r="I961" i="338"/>
  <c r="J961" i="338" s="1"/>
  <c r="K961" i="338" s="1"/>
  <c r="I960" i="338"/>
  <c r="J960" i="338" s="1"/>
  <c r="K960" i="338" s="1"/>
  <c r="I959" i="338"/>
  <c r="J959" i="338" s="1"/>
  <c r="K959" i="338" s="1"/>
  <c r="I958" i="338"/>
  <c r="J958" i="338" s="1"/>
  <c r="K958" i="338" s="1"/>
  <c r="I957" i="338"/>
  <c r="J957" i="338" s="1"/>
  <c r="K957" i="338" s="1"/>
  <c r="I956" i="338"/>
  <c r="J956" i="338" s="1"/>
  <c r="K956" i="338" s="1"/>
  <c r="I955" i="338"/>
  <c r="J955" i="338" s="1"/>
  <c r="K955" i="338" s="1"/>
  <c r="I954" i="338"/>
  <c r="J954" i="338" s="1"/>
  <c r="K954" i="338" s="1"/>
  <c r="I953" i="338"/>
  <c r="J953" i="338" s="1"/>
  <c r="K953" i="338" s="1"/>
  <c r="I952" i="338"/>
  <c r="J952" i="338" s="1"/>
  <c r="K952" i="338" s="1"/>
  <c r="I951" i="338"/>
  <c r="J951" i="338" s="1"/>
  <c r="K951" i="338" s="1"/>
  <c r="I950" i="338"/>
  <c r="J950" i="338" s="1"/>
  <c r="K950" i="338" s="1"/>
  <c r="I949" i="338"/>
  <c r="J949" i="338" s="1"/>
  <c r="K949" i="338" s="1"/>
  <c r="I948" i="338"/>
  <c r="J948" i="338" s="1"/>
  <c r="K948" i="338" s="1"/>
  <c r="I947" i="338"/>
  <c r="J947" i="338" s="1"/>
  <c r="K947" i="338" s="1"/>
  <c r="I946" i="338"/>
  <c r="J946" i="338" s="1"/>
  <c r="K946" i="338" s="1"/>
  <c r="I945" i="338"/>
  <c r="J945" i="338" s="1"/>
  <c r="K945" i="338" s="1"/>
  <c r="I944" i="338"/>
  <c r="J944" i="338" s="1"/>
  <c r="K944" i="338" s="1"/>
  <c r="I943" i="338"/>
  <c r="J943" i="338" s="1"/>
  <c r="K943" i="338" s="1"/>
  <c r="I942" i="338"/>
  <c r="J942" i="338" s="1"/>
  <c r="K942" i="338" s="1"/>
  <c r="I941" i="338"/>
  <c r="J941" i="338" s="1"/>
  <c r="K941" i="338" s="1"/>
  <c r="I940" i="338"/>
  <c r="J940" i="338" s="1"/>
  <c r="K940" i="338" s="1"/>
  <c r="I939" i="338"/>
  <c r="J939" i="338" s="1"/>
  <c r="K939" i="338" s="1"/>
  <c r="I938" i="338"/>
  <c r="J938" i="338" s="1"/>
  <c r="K938" i="338" s="1"/>
  <c r="I937" i="338"/>
  <c r="J937" i="338" s="1"/>
  <c r="K937" i="338" s="1"/>
  <c r="I936" i="338"/>
  <c r="J936" i="338" s="1"/>
  <c r="K936" i="338" s="1"/>
  <c r="I935" i="338"/>
  <c r="J935" i="338" s="1"/>
  <c r="K935" i="338" s="1"/>
  <c r="I934" i="338"/>
  <c r="J934" i="338" s="1"/>
  <c r="K934" i="338" s="1"/>
  <c r="I933" i="338"/>
  <c r="J933" i="338" s="1"/>
  <c r="K933" i="338" s="1"/>
  <c r="I932" i="338"/>
  <c r="J932" i="338" s="1"/>
  <c r="K932" i="338" s="1"/>
  <c r="I931" i="338"/>
  <c r="J931" i="338" s="1"/>
  <c r="K931" i="338" s="1"/>
  <c r="I930" i="338"/>
  <c r="J930" i="338" s="1"/>
  <c r="K930" i="338" s="1"/>
  <c r="I929" i="338"/>
  <c r="J929" i="338" s="1"/>
  <c r="K929" i="338" s="1"/>
  <c r="I928" i="338"/>
  <c r="J928" i="338" s="1"/>
  <c r="K928" i="338" s="1"/>
  <c r="I927" i="338"/>
  <c r="J927" i="338" s="1"/>
  <c r="K927" i="338" s="1"/>
  <c r="I926" i="338"/>
  <c r="J926" i="338" s="1"/>
  <c r="K926" i="338" s="1"/>
  <c r="I925" i="338"/>
  <c r="J925" i="338" s="1"/>
  <c r="K925" i="338" s="1"/>
  <c r="I924" i="338"/>
  <c r="J924" i="338" s="1"/>
  <c r="K924" i="338" s="1"/>
  <c r="I923" i="338"/>
  <c r="J923" i="338" s="1"/>
  <c r="K923" i="338" s="1"/>
  <c r="I922" i="338"/>
  <c r="J922" i="338" s="1"/>
  <c r="K922" i="338" s="1"/>
  <c r="I921" i="338"/>
  <c r="J921" i="338" s="1"/>
  <c r="K921" i="338" s="1"/>
  <c r="I920" i="338"/>
  <c r="J920" i="338" s="1"/>
  <c r="K920" i="338" s="1"/>
  <c r="I919" i="338"/>
  <c r="J919" i="338" s="1"/>
  <c r="K919" i="338" s="1"/>
  <c r="I918" i="338"/>
  <c r="J918" i="338" s="1"/>
  <c r="K918" i="338" s="1"/>
  <c r="I917" i="338"/>
  <c r="J917" i="338" s="1"/>
  <c r="K917" i="338" s="1"/>
  <c r="I916" i="338"/>
  <c r="J916" i="338" s="1"/>
  <c r="K916" i="338" s="1"/>
  <c r="I915" i="338"/>
  <c r="J915" i="338" s="1"/>
  <c r="K915" i="338" s="1"/>
  <c r="I914" i="338"/>
  <c r="J914" i="338" s="1"/>
  <c r="K914" i="338" s="1"/>
  <c r="I913" i="338"/>
  <c r="J913" i="338" s="1"/>
  <c r="K913" i="338" s="1"/>
  <c r="I912" i="338"/>
  <c r="J912" i="338" s="1"/>
  <c r="K912" i="338" s="1"/>
  <c r="I911" i="338"/>
  <c r="J911" i="338" s="1"/>
  <c r="K911" i="338" s="1"/>
  <c r="I910" i="338"/>
  <c r="J910" i="338" s="1"/>
  <c r="K910" i="338" s="1"/>
  <c r="I909" i="338"/>
  <c r="J909" i="338" s="1"/>
  <c r="K909" i="338" s="1"/>
  <c r="I908" i="338"/>
  <c r="J908" i="338" s="1"/>
  <c r="K908" i="338" s="1"/>
  <c r="I907" i="338"/>
  <c r="J907" i="338" s="1"/>
  <c r="K907" i="338" s="1"/>
  <c r="I906" i="338"/>
  <c r="J906" i="338" s="1"/>
  <c r="K906" i="338" s="1"/>
  <c r="I905" i="338"/>
  <c r="J905" i="338" s="1"/>
  <c r="K905" i="338" s="1"/>
  <c r="I904" i="338"/>
  <c r="J904" i="338" s="1"/>
  <c r="K904" i="338" s="1"/>
  <c r="I903" i="338"/>
  <c r="J903" i="338" s="1"/>
  <c r="K903" i="338" s="1"/>
  <c r="I902" i="338"/>
  <c r="J902" i="338" s="1"/>
  <c r="K902" i="338" s="1"/>
  <c r="I901" i="338"/>
  <c r="J901" i="338" s="1"/>
  <c r="K901" i="338" s="1"/>
  <c r="I900" i="338"/>
  <c r="J900" i="338" s="1"/>
  <c r="K900" i="338" s="1"/>
  <c r="I899" i="338"/>
  <c r="J899" i="338" s="1"/>
  <c r="K899" i="338" s="1"/>
  <c r="I898" i="338"/>
  <c r="J898" i="338" s="1"/>
  <c r="K898" i="338" s="1"/>
  <c r="I897" i="338"/>
  <c r="J897" i="338" s="1"/>
  <c r="K897" i="338" s="1"/>
  <c r="I896" i="338"/>
  <c r="J896" i="338" s="1"/>
  <c r="K896" i="338" s="1"/>
  <c r="I895" i="338"/>
  <c r="J895" i="338" s="1"/>
  <c r="K895" i="338" s="1"/>
  <c r="I894" i="338"/>
  <c r="J894" i="338" s="1"/>
  <c r="K894" i="338" s="1"/>
  <c r="I893" i="338"/>
  <c r="J893" i="338" s="1"/>
  <c r="K893" i="338" s="1"/>
  <c r="I892" i="338"/>
  <c r="J892" i="338" s="1"/>
  <c r="K892" i="338" s="1"/>
  <c r="I891" i="338"/>
  <c r="J891" i="338" s="1"/>
  <c r="K891" i="338" s="1"/>
  <c r="I890" i="338"/>
  <c r="J890" i="338" s="1"/>
  <c r="K890" i="338" s="1"/>
  <c r="I889" i="338"/>
  <c r="J889" i="338" s="1"/>
  <c r="K889" i="338" s="1"/>
  <c r="I888" i="338"/>
  <c r="J888" i="338" s="1"/>
  <c r="K888" i="338" s="1"/>
  <c r="I887" i="338"/>
  <c r="J887" i="338" s="1"/>
  <c r="K887" i="338" s="1"/>
  <c r="I886" i="338"/>
  <c r="J886" i="338" s="1"/>
  <c r="K886" i="338" s="1"/>
  <c r="I885" i="338"/>
  <c r="J885" i="338" s="1"/>
  <c r="K885" i="338" s="1"/>
  <c r="I884" i="338"/>
  <c r="J884" i="338" s="1"/>
  <c r="K884" i="338" s="1"/>
  <c r="I883" i="338"/>
  <c r="J883" i="338" s="1"/>
  <c r="K883" i="338" s="1"/>
  <c r="I882" i="338"/>
  <c r="J882" i="338" s="1"/>
  <c r="K882" i="338" s="1"/>
  <c r="I881" i="338"/>
  <c r="J881" i="338" s="1"/>
  <c r="K881" i="338" s="1"/>
  <c r="I880" i="338"/>
  <c r="J880" i="338" s="1"/>
  <c r="K880" i="338" s="1"/>
  <c r="I879" i="338"/>
  <c r="J879" i="338" s="1"/>
  <c r="K879" i="338" s="1"/>
  <c r="I878" i="338"/>
  <c r="J878" i="338" s="1"/>
  <c r="K878" i="338" s="1"/>
  <c r="I877" i="338"/>
  <c r="J877" i="338" s="1"/>
  <c r="K877" i="338" s="1"/>
  <c r="I876" i="338"/>
  <c r="J876" i="338" s="1"/>
  <c r="K876" i="338" s="1"/>
  <c r="I875" i="338"/>
  <c r="J875" i="338" s="1"/>
  <c r="K875" i="338" s="1"/>
  <c r="I874" i="338"/>
  <c r="J874" i="338" s="1"/>
  <c r="K874" i="338" s="1"/>
  <c r="I873" i="338"/>
  <c r="J873" i="338" s="1"/>
  <c r="K873" i="338" s="1"/>
  <c r="I872" i="338"/>
  <c r="J872" i="338" s="1"/>
  <c r="K872" i="338" s="1"/>
  <c r="I871" i="338"/>
  <c r="J871" i="338" s="1"/>
  <c r="K871" i="338" s="1"/>
  <c r="I870" i="338"/>
  <c r="J870" i="338" s="1"/>
  <c r="K870" i="338" s="1"/>
  <c r="I869" i="338"/>
  <c r="J869" i="338" s="1"/>
  <c r="K869" i="338" s="1"/>
  <c r="I868" i="338"/>
  <c r="J868" i="338" s="1"/>
  <c r="K868" i="338" s="1"/>
  <c r="I867" i="338"/>
  <c r="J867" i="338" s="1"/>
  <c r="K867" i="338" s="1"/>
  <c r="I866" i="338"/>
  <c r="J866" i="338" s="1"/>
  <c r="K866" i="338" s="1"/>
  <c r="I865" i="338"/>
  <c r="J865" i="338" s="1"/>
  <c r="K865" i="338" s="1"/>
  <c r="I864" i="338"/>
  <c r="J864" i="338" s="1"/>
  <c r="K864" i="338" s="1"/>
  <c r="I863" i="338"/>
  <c r="J863" i="338" s="1"/>
  <c r="K863" i="338" s="1"/>
  <c r="I862" i="338"/>
  <c r="J862" i="338" s="1"/>
  <c r="K862" i="338" s="1"/>
  <c r="I861" i="338"/>
  <c r="J861" i="338" s="1"/>
  <c r="K861" i="338" s="1"/>
  <c r="I860" i="338"/>
  <c r="J860" i="338" s="1"/>
  <c r="K860" i="338" s="1"/>
  <c r="I859" i="338"/>
  <c r="J859" i="338" s="1"/>
  <c r="K859" i="338" s="1"/>
  <c r="I858" i="338"/>
  <c r="J858" i="338" s="1"/>
  <c r="K858" i="338" s="1"/>
  <c r="I857" i="338"/>
  <c r="J857" i="338" s="1"/>
  <c r="K857" i="338" s="1"/>
  <c r="I856" i="338"/>
  <c r="J856" i="338" s="1"/>
  <c r="K856" i="338" s="1"/>
  <c r="I855" i="338"/>
  <c r="J855" i="338" s="1"/>
  <c r="K855" i="338" s="1"/>
  <c r="I854" i="338"/>
  <c r="J854" i="338" s="1"/>
  <c r="K854" i="338" s="1"/>
  <c r="I853" i="338"/>
  <c r="J853" i="338" s="1"/>
  <c r="K853" i="338" s="1"/>
  <c r="I852" i="338"/>
  <c r="J852" i="338" s="1"/>
  <c r="K852" i="338" s="1"/>
  <c r="I851" i="338"/>
  <c r="J851" i="338" s="1"/>
  <c r="K851" i="338" s="1"/>
  <c r="I850" i="338"/>
  <c r="J850" i="338" s="1"/>
  <c r="K850" i="338" s="1"/>
  <c r="I849" i="338"/>
  <c r="J849" i="338" s="1"/>
  <c r="K849" i="338" s="1"/>
  <c r="I848" i="338"/>
  <c r="J848" i="338" s="1"/>
  <c r="K848" i="338" s="1"/>
  <c r="I847" i="338"/>
  <c r="J847" i="338" s="1"/>
  <c r="K847" i="338" s="1"/>
  <c r="I846" i="338"/>
  <c r="J846" i="338" s="1"/>
  <c r="K846" i="338" s="1"/>
  <c r="I845" i="338"/>
  <c r="J845" i="338" s="1"/>
  <c r="K845" i="338" s="1"/>
  <c r="I844" i="338"/>
  <c r="J844" i="338" s="1"/>
  <c r="K844" i="338" s="1"/>
  <c r="I843" i="338"/>
  <c r="J843" i="338" s="1"/>
  <c r="K843" i="338" s="1"/>
  <c r="I842" i="338"/>
  <c r="J842" i="338" s="1"/>
  <c r="K842" i="338" s="1"/>
  <c r="I841" i="338"/>
  <c r="J841" i="338" s="1"/>
  <c r="K841" i="338" s="1"/>
  <c r="I840" i="338"/>
  <c r="J840" i="338" s="1"/>
  <c r="K840" i="338" s="1"/>
  <c r="I839" i="338"/>
  <c r="J839" i="338" s="1"/>
  <c r="K839" i="338" s="1"/>
  <c r="I838" i="338"/>
  <c r="J838" i="338" s="1"/>
  <c r="K838" i="338" s="1"/>
  <c r="I837" i="338"/>
  <c r="J837" i="338" s="1"/>
  <c r="K837" i="338" s="1"/>
  <c r="I836" i="338"/>
  <c r="J836" i="338" s="1"/>
  <c r="K836" i="338" s="1"/>
  <c r="I835" i="338"/>
  <c r="J835" i="338" s="1"/>
  <c r="K835" i="338" s="1"/>
  <c r="I834" i="338"/>
  <c r="J834" i="338" s="1"/>
  <c r="K834" i="338" s="1"/>
  <c r="I833" i="338"/>
  <c r="J833" i="338" s="1"/>
  <c r="K833" i="338" s="1"/>
  <c r="I832" i="338"/>
  <c r="J832" i="338" s="1"/>
  <c r="K832" i="338" s="1"/>
  <c r="I831" i="338"/>
  <c r="J831" i="338" s="1"/>
  <c r="K831" i="338" s="1"/>
  <c r="I830" i="338"/>
  <c r="J830" i="338" s="1"/>
  <c r="K830" i="338" s="1"/>
  <c r="I829" i="338"/>
  <c r="J829" i="338" s="1"/>
  <c r="K829" i="338" s="1"/>
  <c r="I828" i="338"/>
  <c r="J828" i="338" s="1"/>
  <c r="K828" i="338" s="1"/>
  <c r="I827" i="338"/>
  <c r="J827" i="338" s="1"/>
  <c r="K827" i="338" s="1"/>
  <c r="I826" i="338"/>
  <c r="J826" i="338" s="1"/>
  <c r="K826" i="338" s="1"/>
  <c r="I825" i="338"/>
  <c r="J825" i="338" s="1"/>
  <c r="K825" i="338" s="1"/>
  <c r="I824" i="338"/>
  <c r="J824" i="338" s="1"/>
  <c r="K824" i="338" s="1"/>
  <c r="I823" i="338"/>
  <c r="J823" i="338" s="1"/>
  <c r="K823" i="338" s="1"/>
  <c r="I822" i="338"/>
  <c r="J822" i="338" s="1"/>
  <c r="K822" i="338" s="1"/>
  <c r="I821" i="338"/>
  <c r="J821" i="338" s="1"/>
  <c r="K821" i="338" s="1"/>
  <c r="I820" i="338"/>
  <c r="J820" i="338" s="1"/>
  <c r="K820" i="338" s="1"/>
  <c r="I819" i="338"/>
  <c r="J819" i="338" s="1"/>
  <c r="K819" i="338" s="1"/>
  <c r="I818" i="338"/>
  <c r="J818" i="338" s="1"/>
  <c r="K818" i="338" s="1"/>
  <c r="I817" i="338"/>
  <c r="J817" i="338" s="1"/>
  <c r="K817" i="338" s="1"/>
  <c r="I816" i="338"/>
  <c r="J816" i="338" s="1"/>
  <c r="K816" i="338" s="1"/>
  <c r="I815" i="338"/>
  <c r="J815" i="338" s="1"/>
  <c r="K815" i="338" s="1"/>
  <c r="I814" i="338"/>
  <c r="J814" i="338" s="1"/>
  <c r="K814" i="338" s="1"/>
  <c r="I813" i="338"/>
  <c r="J813" i="338" s="1"/>
  <c r="K813" i="338" s="1"/>
  <c r="I812" i="338"/>
  <c r="J812" i="338" s="1"/>
  <c r="K812" i="338" s="1"/>
  <c r="I811" i="338"/>
  <c r="J811" i="338" s="1"/>
  <c r="K811" i="338" s="1"/>
  <c r="I810" i="338"/>
  <c r="J810" i="338" s="1"/>
  <c r="K810" i="338" s="1"/>
  <c r="I809" i="338"/>
  <c r="J809" i="338" s="1"/>
  <c r="K809" i="338" s="1"/>
  <c r="I808" i="338"/>
  <c r="J808" i="338" s="1"/>
  <c r="K808" i="338" s="1"/>
  <c r="I807" i="338"/>
  <c r="J807" i="338" s="1"/>
  <c r="K807" i="338" s="1"/>
  <c r="I806" i="338"/>
  <c r="J806" i="338" s="1"/>
  <c r="K806" i="338" s="1"/>
  <c r="I805" i="338"/>
  <c r="J805" i="338" s="1"/>
  <c r="K805" i="338" s="1"/>
  <c r="I804" i="338"/>
  <c r="J804" i="338" s="1"/>
  <c r="K804" i="338" s="1"/>
  <c r="I803" i="338"/>
  <c r="J803" i="338" s="1"/>
  <c r="K803" i="338" s="1"/>
  <c r="I802" i="338"/>
  <c r="J802" i="338" s="1"/>
  <c r="K802" i="338" s="1"/>
  <c r="I801" i="338"/>
  <c r="J801" i="338" s="1"/>
  <c r="K801" i="338" s="1"/>
  <c r="I800" i="338"/>
  <c r="J800" i="338" s="1"/>
  <c r="K800" i="338" s="1"/>
  <c r="I799" i="338"/>
  <c r="J799" i="338" s="1"/>
  <c r="K799" i="338" s="1"/>
  <c r="I798" i="338"/>
  <c r="J798" i="338" s="1"/>
  <c r="K798" i="338" s="1"/>
  <c r="I797" i="338"/>
  <c r="J797" i="338" s="1"/>
  <c r="K797" i="338" s="1"/>
  <c r="I796" i="338"/>
  <c r="J796" i="338" s="1"/>
  <c r="K796" i="338" s="1"/>
  <c r="I795" i="338"/>
  <c r="J795" i="338" s="1"/>
  <c r="K795" i="338" s="1"/>
  <c r="I794" i="338"/>
  <c r="J794" i="338" s="1"/>
  <c r="K794" i="338" s="1"/>
  <c r="I793" i="338"/>
  <c r="J793" i="338" s="1"/>
  <c r="K793" i="338" s="1"/>
  <c r="I792" i="338"/>
  <c r="J792" i="338" s="1"/>
  <c r="K792" i="338" s="1"/>
  <c r="I791" i="338"/>
  <c r="J791" i="338" s="1"/>
  <c r="K791" i="338" s="1"/>
  <c r="I790" i="338"/>
  <c r="J790" i="338" s="1"/>
  <c r="K790" i="338" s="1"/>
  <c r="I789" i="338"/>
  <c r="J789" i="338" s="1"/>
  <c r="K789" i="338" s="1"/>
  <c r="I788" i="338"/>
  <c r="J788" i="338" s="1"/>
  <c r="K788" i="338" s="1"/>
  <c r="I787" i="338"/>
  <c r="J787" i="338" s="1"/>
  <c r="K787" i="338" s="1"/>
  <c r="I786" i="338"/>
  <c r="J786" i="338" s="1"/>
  <c r="K786" i="338" s="1"/>
  <c r="I785" i="338"/>
  <c r="J785" i="338" s="1"/>
  <c r="K785" i="338" s="1"/>
  <c r="I784" i="338"/>
  <c r="J784" i="338" s="1"/>
  <c r="K784" i="338" s="1"/>
  <c r="I783" i="338"/>
  <c r="J783" i="338" s="1"/>
  <c r="K783" i="338" s="1"/>
  <c r="I782" i="338"/>
  <c r="J782" i="338" s="1"/>
  <c r="K782" i="338" s="1"/>
  <c r="I781" i="338"/>
  <c r="J781" i="338" s="1"/>
  <c r="K781" i="338" s="1"/>
  <c r="I780" i="338"/>
  <c r="J780" i="338" s="1"/>
  <c r="K780" i="338" s="1"/>
  <c r="I779" i="338"/>
  <c r="J779" i="338" s="1"/>
  <c r="K779" i="338" s="1"/>
  <c r="I778" i="338"/>
  <c r="J778" i="338" s="1"/>
  <c r="K778" i="338" s="1"/>
  <c r="I777" i="338"/>
  <c r="J777" i="338" s="1"/>
  <c r="K777" i="338" s="1"/>
  <c r="I776" i="338"/>
  <c r="J776" i="338" s="1"/>
  <c r="K776" i="338" s="1"/>
  <c r="I775" i="338"/>
  <c r="J775" i="338" s="1"/>
  <c r="K775" i="338" s="1"/>
  <c r="I774" i="338"/>
  <c r="J774" i="338" s="1"/>
  <c r="K774" i="338" s="1"/>
  <c r="I773" i="338"/>
  <c r="J773" i="338" s="1"/>
  <c r="K773" i="338" s="1"/>
  <c r="I772" i="338"/>
  <c r="J772" i="338" s="1"/>
  <c r="K772" i="338" s="1"/>
  <c r="I771" i="338"/>
  <c r="J771" i="338" s="1"/>
  <c r="K771" i="338" s="1"/>
  <c r="I770" i="338"/>
  <c r="J770" i="338" s="1"/>
  <c r="K770" i="338" s="1"/>
  <c r="I769" i="338"/>
  <c r="J769" i="338" s="1"/>
  <c r="K769" i="338" s="1"/>
  <c r="I768" i="338"/>
  <c r="J768" i="338" s="1"/>
  <c r="K768" i="338" s="1"/>
  <c r="I767" i="338"/>
  <c r="J767" i="338" s="1"/>
  <c r="K767" i="338" s="1"/>
  <c r="I766" i="338"/>
  <c r="J766" i="338" s="1"/>
  <c r="K766" i="338" s="1"/>
  <c r="I765" i="338"/>
  <c r="J765" i="338" s="1"/>
  <c r="K765" i="338" s="1"/>
  <c r="I764" i="338"/>
  <c r="J764" i="338" s="1"/>
  <c r="K764" i="338" s="1"/>
  <c r="I763" i="338"/>
  <c r="J763" i="338" s="1"/>
  <c r="K763" i="338" s="1"/>
  <c r="I762" i="338"/>
  <c r="J762" i="338" s="1"/>
  <c r="K762" i="338" s="1"/>
  <c r="I761" i="338"/>
  <c r="J761" i="338" s="1"/>
  <c r="K761" i="338" s="1"/>
  <c r="I760" i="338"/>
  <c r="J760" i="338" s="1"/>
  <c r="K760" i="338" s="1"/>
  <c r="I759" i="338"/>
  <c r="J759" i="338" s="1"/>
  <c r="K759" i="338" s="1"/>
  <c r="I758" i="338"/>
  <c r="J758" i="338" s="1"/>
  <c r="K758" i="338" s="1"/>
  <c r="I757" i="338"/>
  <c r="J757" i="338" s="1"/>
  <c r="K757" i="338" s="1"/>
  <c r="I756" i="338"/>
  <c r="J756" i="338" s="1"/>
  <c r="K756" i="338" s="1"/>
  <c r="I755" i="338"/>
  <c r="J755" i="338" s="1"/>
  <c r="K755" i="338" s="1"/>
  <c r="I754" i="338"/>
  <c r="J754" i="338" s="1"/>
  <c r="K754" i="338" s="1"/>
  <c r="I753" i="338"/>
  <c r="J753" i="338" s="1"/>
  <c r="K753" i="338" s="1"/>
  <c r="I752" i="338"/>
  <c r="J752" i="338" s="1"/>
  <c r="K752" i="338" s="1"/>
  <c r="I751" i="338"/>
  <c r="J751" i="338" s="1"/>
  <c r="K751" i="338" s="1"/>
  <c r="I750" i="338"/>
  <c r="J750" i="338" s="1"/>
  <c r="K750" i="338" s="1"/>
  <c r="I749" i="338"/>
  <c r="J749" i="338" s="1"/>
  <c r="K749" i="338" s="1"/>
  <c r="I748" i="338"/>
  <c r="J748" i="338" s="1"/>
  <c r="K748" i="338" s="1"/>
  <c r="I747" i="338"/>
  <c r="J747" i="338" s="1"/>
  <c r="K747" i="338" s="1"/>
  <c r="I746" i="338"/>
  <c r="J746" i="338" s="1"/>
  <c r="K746" i="338" s="1"/>
  <c r="I745" i="338"/>
  <c r="J745" i="338" s="1"/>
  <c r="K745" i="338" s="1"/>
  <c r="I744" i="338"/>
  <c r="J744" i="338" s="1"/>
  <c r="K744" i="338" s="1"/>
  <c r="I743" i="338"/>
  <c r="J743" i="338" s="1"/>
  <c r="K743" i="338" s="1"/>
  <c r="I742" i="338"/>
  <c r="J742" i="338" s="1"/>
  <c r="K742" i="338" s="1"/>
  <c r="I741" i="338"/>
  <c r="J741" i="338" s="1"/>
  <c r="K741" i="338" s="1"/>
  <c r="I740" i="338"/>
  <c r="J740" i="338" s="1"/>
  <c r="K740" i="338" s="1"/>
  <c r="I739" i="338"/>
  <c r="J739" i="338" s="1"/>
  <c r="K739" i="338" s="1"/>
  <c r="I738" i="338"/>
  <c r="J738" i="338" s="1"/>
  <c r="K738" i="338" s="1"/>
  <c r="I737" i="338"/>
  <c r="J737" i="338" s="1"/>
  <c r="K737" i="338" s="1"/>
  <c r="I736" i="338"/>
  <c r="J736" i="338" s="1"/>
  <c r="K736" i="338" s="1"/>
  <c r="I735" i="338"/>
  <c r="J735" i="338" s="1"/>
  <c r="K735" i="338" s="1"/>
  <c r="I734" i="338"/>
  <c r="J734" i="338" s="1"/>
  <c r="K734" i="338" s="1"/>
  <c r="I733" i="338"/>
  <c r="J733" i="338" s="1"/>
  <c r="K733" i="338" s="1"/>
  <c r="I732" i="338"/>
  <c r="J732" i="338" s="1"/>
  <c r="K732" i="338" s="1"/>
  <c r="I731" i="338"/>
  <c r="J731" i="338" s="1"/>
  <c r="K731" i="338" s="1"/>
  <c r="I730" i="338"/>
  <c r="J730" i="338" s="1"/>
  <c r="K730" i="338" s="1"/>
  <c r="I729" i="338"/>
  <c r="J729" i="338" s="1"/>
  <c r="K729" i="338" s="1"/>
  <c r="I728" i="338"/>
  <c r="J728" i="338" s="1"/>
  <c r="K728" i="338" s="1"/>
  <c r="I727" i="338"/>
  <c r="J727" i="338" s="1"/>
  <c r="K727" i="338" s="1"/>
  <c r="I726" i="338"/>
  <c r="J726" i="338" s="1"/>
  <c r="K726" i="338" s="1"/>
  <c r="I725" i="338"/>
  <c r="J725" i="338" s="1"/>
  <c r="K725" i="338" s="1"/>
  <c r="I724" i="338"/>
  <c r="J724" i="338" s="1"/>
  <c r="K724" i="338" s="1"/>
  <c r="I723" i="338"/>
  <c r="J723" i="338" s="1"/>
  <c r="K723" i="338" s="1"/>
  <c r="I722" i="338"/>
  <c r="J722" i="338" s="1"/>
  <c r="K722" i="338" s="1"/>
  <c r="I721" i="338"/>
  <c r="J721" i="338" s="1"/>
  <c r="K721" i="338" s="1"/>
  <c r="I720" i="338"/>
  <c r="J720" i="338" s="1"/>
  <c r="K720" i="338" s="1"/>
  <c r="I719" i="338"/>
  <c r="J719" i="338" s="1"/>
  <c r="K719" i="338" s="1"/>
  <c r="I718" i="338"/>
  <c r="J718" i="338" s="1"/>
  <c r="K718" i="338" s="1"/>
  <c r="I717" i="338"/>
  <c r="J717" i="338" s="1"/>
  <c r="K717" i="338" s="1"/>
  <c r="I716" i="338"/>
  <c r="J716" i="338" s="1"/>
  <c r="K716" i="338" s="1"/>
  <c r="I715" i="338"/>
  <c r="J715" i="338" s="1"/>
  <c r="K715" i="338" s="1"/>
  <c r="I714" i="338"/>
  <c r="J714" i="338" s="1"/>
  <c r="K714" i="338" s="1"/>
  <c r="I713" i="338"/>
  <c r="J713" i="338" s="1"/>
  <c r="K713" i="338" s="1"/>
  <c r="I712" i="338"/>
  <c r="J712" i="338" s="1"/>
  <c r="K712" i="338" s="1"/>
  <c r="I711" i="338"/>
  <c r="J711" i="338" s="1"/>
  <c r="K711" i="338" s="1"/>
  <c r="I710" i="338"/>
  <c r="J710" i="338" s="1"/>
  <c r="K710" i="338" s="1"/>
  <c r="I709" i="338"/>
  <c r="J709" i="338" s="1"/>
  <c r="K709" i="338" s="1"/>
  <c r="I708" i="338"/>
  <c r="J708" i="338" s="1"/>
  <c r="K708" i="338" s="1"/>
  <c r="I707" i="338"/>
  <c r="J707" i="338" s="1"/>
  <c r="K707" i="338" s="1"/>
  <c r="I706" i="338"/>
  <c r="J706" i="338" s="1"/>
  <c r="K706" i="338" s="1"/>
  <c r="I705" i="338"/>
  <c r="J705" i="338" s="1"/>
  <c r="K705" i="338" s="1"/>
  <c r="I704" i="338"/>
  <c r="J704" i="338" s="1"/>
  <c r="K704" i="338" s="1"/>
  <c r="I703" i="338"/>
  <c r="J703" i="338" s="1"/>
  <c r="K703" i="338" s="1"/>
  <c r="I702" i="338"/>
  <c r="J702" i="338" s="1"/>
  <c r="K702" i="338" s="1"/>
  <c r="I701" i="338"/>
  <c r="J701" i="338" s="1"/>
  <c r="K701" i="338" s="1"/>
  <c r="I700" i="338"/>
  <c r="J700" i="338" s="1"/>
  <c r="K700" i="338" s="1"/>
  <c r="I699" i="338"/>
  <c r="J699" i="338" s="1"/>
  <c r="K699" i="338" s="1"/>
  <c r="I698" i="338"/>
  <c r="J698" i="338" s="1"/>
  <c r="K698" i="338" s="1"/>
  <c r="I697" i="338"/>
  <c r="J697" i="338" s="1"/>
  <c r="K697" i="338" s="1"/>
  <c r="I696" i="338"/>
  <c r="J696" i="338" s="1"/>
  <c r="K696" i="338" s="1"/>
  <c r="I695" i="338"/>
  <c r="J695" i="338" s="1"/>
  <c r="K695" i="338" s="1"/>
  <c r="I694" i="338"/>
  <c r="J694" i="338" s="1"/>
  <c r="K694" i="338" s="1"/>
  <c r="I693" i="338"/>
  <c r="J693" i="338" s="1"/>
  <c r="K693" i="338" s="1"/>
  <c r="I692" i="338"/>
  <c r="J692" i="338" s="1"/>
  <c r="K692" i="338" s="1"/>
  <c r="I691" i="338"/>
  <c r="J691" i="338" s="1"/>
  <c r="K691" i="338" s="1"/>
  <c r="I690" i="338"/>
  <c r="J690" i="338" s="1"/>
  <c r="K690" i="338" s="1"/>
  <c r="I689" i="338"/>
  <c r="J689" i="338" s="1"/>
  <c r="K689" i="338" s="1"/>
  <c r="I688" i="338"/>
  <c r="J688" i="338" s="1"/>
  <c r="K688" i="338" s="1"/>
  <c r="I687" i="338"/>
  <c r="J687" i="338" s="1"/>
  <c r="K687" i="338" s="1"/>
  <c r="I686" i="338"/>
  <c r="J686" i="338" s="1"/>
  <c r="K686" i="338" s="1"/>
  <c r="I685" i="338"/>
  <c r="J685" i="338" s="1"/>
  <c r="K685" i="338" s="1"/>
  <c r="I684" i="338"/>
  <c r="J684" i="338" s="1"/>
  <c r="K684" i="338" s="1"/>
  <c r="I683" i="338"/>
  <c r="J683" i="338" s="1"/>
  <c r="K683" i="338" s="1"/>
  <c r="I682" i="338"/>
  <c r="J682" i="338" s="1"/>
  <c r="K682" i="338" s="1"/>
  <c r="I681" i="338"/>
  <c r="J681" i="338" s="1"/>
  <c r="K681" i="338" s="1"/>
  <c r="I680" i="338"/>
  <c r="J680" i="338" s="1"/>
  <c r="K680" i="338" s="1"/>
  <c r="I679" i="338"/>
  <c r="J679" i="338" s="1"/>
  <c r="K679" i="338" s="1"/>
  <c r="I678" i="338"/>
  <c r="J678" i="338" s="1"/>
  <c r="K678" i="338" s="1"/>
  <c r="I677" i="338"/>
  <c r="J677" i="338" s="1"/>
  <c r="K677" i="338" s="1"/>
  <c r="I676" i="338"/>
  <c r="J676" i="338" s="1"/>
  <c r="K676" i="338" s="1"/>
  <c r="I675" i="338"/>
  <c r="J675" i="338" s="1"/>
  <c r="K675" i="338" s="1"/>
  <c r="I674" i="338"/>
  <c r="J674" i="338" s="1"/>
  <c r="K674" i="338" s="1"/>
  <c r="I673" i="338"/>
  <c r="J673" i="338" s="1"/>
  <c r="K673" i="338" s="1"/>
  <c r="I672" i="338"/>
  <c r="J672" i="338" s="1"/>
  <c r="K672" i="338" s="1"/>
  <c r="I671" i="338"/>
  <c r="J671" i="338" s="1"/>
  <c r="K671" i="338" s="1"/>
  <c r="I670" i="338"/>
  <c r="J670" i="338" s="1"/>
  <c r="K670" i="338" s="1"/>
  <c r="I669" i="338"/>
  <c r="J669" i="338" s="1"/>
  <c r="K669" i="338" s="1"/>
  <c r="I668" i="338"/>
  <c r="J668" i="338" s="1"/>
  <c r="K668" i="338" s="1"/>
  <c r="I667" i="338"/>
  <c r="J667" i="338" s="1"/>
  <c r="K667" i="338" s="1"/>
  <c r="I666" i="338"/>
  <c r="J666" i="338" s="1"/>
  <c r="K666" i="338" s="1"/>
  <c r="I665" i="338"/>
  <c r="J665" i="338" s="1"/>
  <c r="K665" i="338" s="1"/>
  <c r="I664" i="338"/>
  <c r="J664" i="338" s="1"/>
  <c r="K664" i="338" s="1"/>
  <c r="I663" i="338"/>
  <c r="J663" i="338" s="1"/>
  <c r="K663" i="338" s="1"/>
  <c r="I662" i="338"/>
  <c r="J662" i="338" s="1"/>
  <c r="K662" i="338" s="1"/>
  <c r="I661" i="338"/>
  <c r="J661" i="338" s="1"/>
  <c r="K661" i="338" s="1"/>
  <c r="I660" i="338"/>
  <c r="J660" i="338" s="1"/>
  <c r="K660" i="338" s="1"/>
  <c r="I659" i="338"/>
  <c r="J659" i="338" s="1"/>
  <c r="K659" i="338" s="1"/>
  <c r="I658" i="338"/>
  <c r="J658" i="338" s="1"/>
  <c r="K658" i="338" s="1"/>
  <c r="I657" i="338"/>
  <c r="J657" i="338" s="1"/>
  <c r="K657" i="338" s="1"/>
  <c r="I656" i="338"/>
  <c r="J656" i="338" s="1"/>
  <c r="K656" i="338" s="1"/>
  <c r="I655" i="338"/>
  <c r="J655" i="338" s="1"/>
  <c r="K655" i="338" s="1"/>
  <c r="I654" i="338"/>
  <c r="J654" i="338" s="1"/>
  <c r="K654" i="338" s="1"/>
  <c r="I653" i="338"/>
  <c r="J653" i="338" s="1"/>
  <c r="K653" i="338" s="1"/>
  <c r="I652" i="338"/>
  <c r="J652" i="338" s="1"/>
  <c r="K652" i="338" s="1"/>
  <c r="I651" i="338"/>
  <c r="J651" i="338" s="1"/>
  <c r="K651" i="338" s="1"/>
  <c r="I650" i="338"/>
  <c r="J650" i="338" s="1"/>
  <c r="K650" i="338" s="1"/>
  <c r="I649" i="338"/>
  <c r="J649" i="338" s="1"/>
  <c r="K649" i="338" s="1"/>
  <c r="I648" i="338"/>
  <c r="J648" i="338" s="1"/>
  <c r="K648" i="338" s="1"/>
  <c r="I647" i="338"/>
  <c r="J647" i="338" s="1"/>
  <c r="K647" i="338" s="1"/>
  <c r="I646" i="338"/>
  <c r="J646" i="338" s="1"/>
  <c r="K646" i="338" s="1"/>
  <c r="I645" i="338"/>
  <c r="J645" i="338" s="1"/>
  <c r="K645" i="338" s="1"/>
  <c r="I644" i="338"/>
  <c r="J644" i="338" s="1"/>
  <c r="K644" i="338" s="1"/>
  <c r="I643" i="338"/>
  <c r="J643" i="338" s="1"/>
  <c r="K643" i="338" s="1"/>
  <c r="I642" i="338"/>
  <c r="J642" i="338" s="1"/>
  <c r="K642" i="338" s="1"/>
  <c r="I641" i="338"/>
  <c r="J641" i="338" s="1"/>
  <c r="K641" i="338" s="1"/>
  <c r="I640" i="338"/>
  <c r="J640" i="338" s="1"/>
  <c r="K640" i="338" s="1"/>
  <c r="I639" i="338"/>
  <c r="J639" i="338" s="1"/>
  <c r="K639" i="338" s="1"/>
  <c r="I638" i="338"/>
  <c r="J638" i="338" s="1"/>
  <c r="K638" i="338" s="1"/>
  <c r="I637" i="338"/>
  <c r="J637" i="338" s="1"/>
  <c r="K637" i="338" s="1"/>
  <c r="I636" i="338"/>
  <c r="J636" i="338" s="1"/>
  <c r="K636" i="338" s="1"/>
  <c r="I635" i="338"/>
  <c r="J635" i="338" s="1"/>
  <c r="K635" i="338" s="1"/>
  <c r="I634" i="338"/>
  <c r="J634" i="338" s="1"/>
  <c r="K634" i="338" s="1"/>
  <c r="I633" i="338"/>
  <c r="J633" i="338" s="1"/>
  <c r="K633" i="338" s="1"/>
  <c r="I632" i="338"/>
  <c r="J632" i="338" s="1"/>
  <c r="K632" i="338" s="1"/>
  <c r="I631" i="338"/>
  <c r="J631" i="338" s="1"/>
  <c r="K631" i="338" s="1"/>
  <c r="I630" i="338"/>
  <c r="J630" i="338" s="1"/>
  <c r="K630" i="338" s="1"/>
  <c r="I629" i="338"/>
  <c r="J629" i="338" s="1"/>
  <c r="K629" i="338" s="1"/>
  <c r="I628" i="338"/>
  <c r="J628" i="338" s="1"/>
  <c r="K628" i="338" s="1"/>
  <c r="I627" i="338"/>
  <c r="J627" i="338" s="1"/>
  <c r="K627" i="338" s="1"/>
  <c r="I626" i="338"/>
  <c r="J626" i="338" s="1"/>
  <c r="K626" i="338" s="1"/>
  <c r="I625" i="338"/>
  <c r="J625" i="338" s="1"/>
  <c r="K625" i="338" s="1"/>
  <c r="I624" i="338"/>
  <c r="J624" i="338" s="1"/>
  <c r="K624" i="338" s="1"/>
  <c r="I623" i="338"/>
  <c r="J623" i="338" s="1"/>
  <c r="K623" i="338" s="1"/>
  <c r="I622" i="338"/>
  <c r="J622" i="338" s="1"/>
  <c r="K622" i="338" s="1"/>
  <c r="I621" i="338"/>
  <c r="J621" i="338" s="1"/>
  <c r="K621" i="338" s="1"/>
  <c r="I620" i="338"/>
  <c r="J620" i="338" s="1"/>
  <c r="K620" i="338" s="1"/>
  <c r="I619" i="338"/>
  <c r="J619" i="338" s="1"/>
  <c r="K619" i="338" s="1"/>
  <c r="I618" i="338"/>
  <c r="J618" i="338" s="1"/>
  <c r="K618" i="338" s="1"/>
  <c r="I617" i="338"/>
  <c r="J617" i="338" s="1"/>
  <c r="K617" i="338" s="1"/>
  <c r="I616" i="338"/>
  <c r="J616" i="338" s="1"/>
  <c r="K616" i="338" s="1"/>
  <c r="I615" i="338"/>
  <c r="J615" i="338" s="1"/>
  <c r="K615" i="338" s="1"/>
  <c r="I614" i="338"/>
  <c r="J614" i="338" s="1"/>
  <c r="K614" i="338" s="1"/>
  <c r="I613" i="338"/>
  <c r="J613" i="338" s="1"/>
  <c r="K613" i="338" s="1"/>
  <c r="I612" i="338"/>
  <c r="J612" i="338" s="1"/>
  <c r="K612" i="338" s="1"/>
  <c r="I611" i="338"/>
  <c r="J611" i="338" s="1"/>
  <c r="K611" i="338" s="1"/>
  <c r="I610" i="338"/>
  <c r="J610" i="338" s="1"/>
  <c r="K610" i="338" s="1"/>
  <c r="I609" i="338"/>
  <c r="J609" i="338" s="1"/>
  <c r="K609" i="338" s="1"/>
  <c r="I608" i="338"/>
  <c r="J608" i="338" s="1"/>
  <c r="K608" i="338" s="1"/>
  <c r="I607" i="338"/>
  <c r="J607" i="338" s="1"/>
  <c r="K607" i="338" s="1"/>
  <c r="I606" i="338"/>
  <c r="J606" i="338" s="1"/>
  <c r="K606" i="338" s="1"/>
  <c r="I605" i="338"/>
  <c r="J605" i="338" s="1"/>
  <c r="K605" i="338" s="1"/>
  <c r="I604" i="338"/>
  <c r="J604" i="338" s="1"/>
  <c r="K604" i="338" s="1"/>
  <c r="I603" i="338"/>
  <c r="J603" i="338" s="1"/>
  <c r="K603" i="338" s="1"/>
  <c r="I602" i="338"/>
  <c r="J602" i="338" s="1"/>
  <c r="K602" i="338" s="1"/>
  <c r="I601" i="338"/>
  <c r="J601" i="338" s="1"/>
  <c r="K601" i="338" s="1"/>
  <c r="I600" i="338"/>
  <c r="J600" i="338" s="1"/>
  <c r="K600" i="338" s="1"/>
  <c r="I599" i="338"/>
  <c r="J599" i="338" s="1"/>
  <c r="K599" i="338" s="1"/>
  <c r="I598" i="338"/>
  <c r="J598" i="338" s="1"/>
  <c r="K598" i="338" s="1"/>
  <c r="I597" i="338"/>
  <c r="J597" i="338" s="1"/>
  <c r="K597" i="338" s="1"/>
  <c r="I596" i="338"/>
  <c r="J596" i="338" s="1"/>
  <c r="K596" i="338" s="1"/>
  <c r="I595" i="338"/>
  <c r="J595" i="338" s="1"/>
  <c r="K595" i="338" s="1"/>
  <c r="I594" i="338"/>
  <c r="J594" i="338" s="1"/>
  <c r="K594" i="338" s="1"/>
  <c r="I593" i="338"/>
  <c r="J593" i="338" s="1"/>
  <c r="K593" i="338" s="1"/>
  <c r="I592" i="338"/>
  <c r="J592" i="338" s="1"/>
  <c r="K592" i="338" s="1"/>
  <c r="I591" i="338"/>
  <c r="J591" i="338" s="1"/>
  <c r="K591" i="338" s="1"/>
  <c r="I590" i="338"/>
  <c r="J590" i="338" s="1"/>
  <c r="K590" i="338" s="1"/>
  <c r="I589" i="338"/>
  <c r="J589" i="338" s="1"/>
  <c r="K589" i="338" s="1"/>
  <c r="I588" i="338"/>
  <c r="J588" i="338" s="1"/>
  <c r="K588" i="338" s="1"/>
  <c r="I587" i="338"/>
  <c r="J587" i="338" s="1"/>
  <c r="K587" i="338" s="1"/>
  <c r="I586" i="338"/>
  <c r="J586" i="338" s="1"/>
  <c r="K586" i="338" s="1"/>
  <c r="I585" i="338"/>
  <c r="J585" i="338" s="1"/>
  <c r="K585" i="338" s="1"/>
  <c r="I584" i="338"/>
  <c r="J584" i="338" s="1"/>
  <c r="K584" i="338" s="1"/>
  <c r="I583" i="338"/>
  <c r="J583" i="338" s="1"/>
  <c r="K583" i="338" s="1"/>
  <c r="I582" i="338"/>
  <c r="J582" i="338" s="1"/>
  <c r="K582" i="338" s="1"/>
  <c r="I581" i="338"/>
  <c r="J581" i="338" s="1"/>
  <c r="K581" i="338" s="1"/>
  <c r="I580" i="338"/>
  <c r="J580" i="338" s="1"/>
  <c r="K580" i="338" s="1"/>
  <c r="I579" i="338"/>
  <c r="J579" i="338" s="1"/>
  <c r="K579" i="338" s="1"/>
  <c r="I578" i="338"/>
  <c r="J578" i="338" s="1"/>
  <c r="K578" i="338" s="1"/>
  <c r="I577" i="338"/>
  <c r="J577" i="338" s="1"/>
  <c r="K577" i="338" s="1"/>
  <c r="I576" i="338"/>
  <c r="J576" i="338" s="1"/>
  <c r="K576" i="338" s="1"/>
  <c r="I575" i="338"/>
  <c r="J575" i="338" s="1"/>
  <c r="K575" i="338" s="1"/>
  <c r="I574" i="338"/>
  <c r="J574" i="338" s="1"/>
  <c r="K574" i="338" s="1"/>
  <c r="I573" i="338"/>
  <c r="J573" i="338" s="1"/>
  <c r="K573" i="338" s="1"/>
  <c r="I572" i="338"/>
  <c r="J572" i="338" s="1"/>
  <c r="K572" i="338" s="1"/>
  <c r="I571" i="338"/>
  <c r="J571" i="338" s="1"/>
  <c r="K571" i="338" s="1"/>
  <c r="I570" i="338"/>
  <c r="J570" i="338" s="1"/>
  <c r="K570" i="338" s="1"/>
  <c r="I569" i="338"/>
  <c r="J569" i="338" s="1"/>
  <c r="K569" i="338" s="1"/>
  <c r="I568" i="338"/>
  <c r="J568" i="338" s="1"/>
  <c r="K568" i="338" s="1"/>
  <c r="I567" i="338"/>
  <c r="J567" i="338" s="1"/>
  <c r="K567" i="338" s="1"/>
  <c r="I566" i="338"/>
  <c r="J566" i="338" s="1"/>
  <c r="K566" i="338" s="1"/>
  <c r="I565" i="338"/>
  <c r="J565" i="338" s="1"/>
  <c r="K565" i="338" s="1"/>
  <c r="I564" i="338"/>
  <c r="J564" i="338" s="1"/>
  <c r="K564" i="338" s="1"/>
  <c r="I563" i="338"/>
  <c r="J563" i="338" s="1"/>
  <c r="K563" i="338" s="1"/>
  <c r="I562" i="338"/>
  <c r="J562" i="338" s="1"/>
  <c r="K562" i="338" s="1"/>
  <c r="I561" i="338"/>
  <c r="J561" i="338" s="1"/>
  <c r="K561" i="338" s="1"/>
  <c r="I560" i="338"/>
  <c r="J560" i="338" s="1"/>
  <c r="K560" i="338" s="1"/>
  <c r="I559" i="338"/>
  <c r="J559" i="338" s="1"/>
  <c r="K559" i="338" s="1"/>
  <c r="I558" i="338"/>
  <c r="J558" i="338" s="1"/>
  <c r="K558" i="338" s="1"/>
  <c r="I557" i="338"/>
  <c r="J557" i="338" s="1"/>
  <c r="K557" i="338" s="1"/>
  <c r="I556" i="338"/>
  <c r="J556" i="338" s="1"/>
  <c r="K556" i="338" s="1"/>
  <c r="I555" i="338"/>
  <c r="J555" i="338" s="1"/>
  <c r="K555" i="338" s="1"/>
  <c r="I554" i="338"/>
  <c r="J554" i="338" s="1"/>
  <c r="K554" i="338" s="1"/>
  <c r="I553" i="338"/>
  <c r="J553" i="338" s="1"/>
  <c r="K553" i="338" s="1"/>
  <c r="I552" i="338"/>
  <c r="J552" i="338" s="1"/>
  <c r="K552" i="338" s="1"/>
  <c r="I551" i="338"/>
  <c r="J551" i="338" s="1"/>
  <c r="K551" i="338" s="1"/>
  <c r="I550" i="338"/>
  <c r="J550" i="338" s="1"/>
  <c r="K550" i="338" s="1"/>
  <c r="I549" i="338"/>
  <c r="J549" i="338" s="1"/>
  <c r="K549" i="338" s="1"/>
  <c r="I548" i="338"/>
  <c r="J548" i="338" s="1"/>
  <c r="K548" i="338" s="1"/>
  <c r="I547" i="338"/>
  <c r="J547" i="338" s="1"/>
  <c r="K547" i="338" s="1"/>
  <c r="I546" i="338"/>
  <c r="J546" i="338" s="1"/>
  <c r="K546" i="338" s="1"/>
  <c r="I545" i="338"/>
  <c r="J545" i="338" s="1"/>
  <c r="K545" i="338" s="1"/>
  <c r="I544" i="338"/>
  <c r="J544" i="338" s="1"/>
  <c r="K544" i="338" s="1"/>
  <c r="I543" i="338"/>
  <c r="J543" i="338" s="1"/>
  <c r="K543" i="338" s="1"/>
  <c r="I542" i="338"/>
  <c r="J542" i="338" s="1"/>
  <c r="K542" i="338" s="1"/>
  <c r="I541" i="338"/>
  <c r="J541" i="338" s="1"/>
  <c r="K541" i="338" s="1"/>
  <c r="I540" i="338"/>
  <c r="J540" i="338" s="1"/>
  <c r="K540" i="338" s="1"/>
  <c r="I539" i="338"/>
  <c r="J539" i="338" s="1"/>
  <c r="K539" i="338" s="1"/>
  <c r="I538" i="338"/>
  <c r="J538" i="338" s="1"/>
  <c r="K538" i="338" s="1"/>
  <c r="I537" i="338"/>
  <c r="J537" i="338" s="1"/>
  <c r="K537" i="338" s="1"/>
  <c r="I536" i="338"/>
  <c r="J536" i="338" s="1"/>
  <c r="K536" i="338" s="1"/>
  <c r="I535" i="338"/>
  <c r="J535" i="338" s="1"/>
  <c r="K535" i="338" s="1"/>
  <c r="I534" i="338"/>
  <c r="J534" i="338" s="1"/>
  <c r="K534" i="338" s="1"/>
  <c r="I533" i="338"/>
  <c r="J533" i="338" s="1"/>
  <c r="K533" i="338" s="1"/>
  <c r="I532" i="338"/>
  <c r="J532" i="338" s="1"/>
  <c r="K532" i="338" s="1"/>
  <c r="I531" i="338"/>
  <c r="J531" i="338" s="1"/>
  <c r="K531" i="338" s="1"/>
  <c r="I530" i="338"/>
  <c r="J530" i="338" s="1"/>
  <c r="K530" i="338" s="1"/>
  <c r="I529" i="338"/>
  <c r="J529" i="338" s="1"/>
  <c r="K529" i="338" s="1"/>
  <c r="I528" i="338"/>
  <c r="J528" i="338" s="1"/>
  <c r="K528" i="338" s="1"/>
  <c r="I527" i="338"/>
  <c r="J527" i="338" s="1"/>
  <c r="K527" i="338" s="1"/>
  <c r="I526" i="338"/>
  <c r="J526" i="338" s="1"/>
  <c r="K526" i="338" s="1"/>
  <c r="I525" i="338"/>
  <c r="J525" i="338" s="1"/>
  <c r="K525" i="338" s="1"/>
  <c r="I524" i="338"/>
  <c r="J524" i="338" s="1"/>
  <c r="K524" i="338" s="1"/>
  <c r="I523" i="338"/>
  <c r="J523" i="338" s="1"/>
  <c r="K523" i="338" s="1"/>
  <c r="I522" i="338"/>
  <c r="J522" i="338" s="1"/>
  <c r="K522" i="338" s="1"/>
  <c r="I521" i="338"/>
  <c r="J521" i="338" s="1"/>
  <c r="K521" i="338" s="1"/>
  <c r="I520" i="338"/>
  <c r="J520" i="338" s="1"/>
  <c r="K520" i="338" s="1"/>
  <c r="I519" i="338"/>
  <c r="J519" i="338" s="1"/>
  <c r="K519" i="338" s="1"/>
  <c r="I518" i="338"/>
  <c r="J518" i="338" s="1"/>
  <c r="K518" i="338" s="1"/>
  <c r="I517" i="338"/>
  <c r="J517" i="338" s="1"/>
  <c r="K517" i="338" s="1"/>
  <c r="I516" i="338"/>
  <c r="J516" i="338" s="1"/>
  <c r="K516" i="338" s="1"/>
  <c r="I515" i="338"/>
  <c r="J515" i="338" s="1"/>
  <c r="K515" i="338" s="1"/>
  <c r="I514" i="338"/>
  <c r="J514" i="338" s="1"/>
  <c r="K514" i="338" s="1"/>
  <c r="I513" i="338"/>
  <c r="J513" i="338" s="1"/>
  <c r="K513" i="338" s="1"/>
  <c r="I512" i="338"/>
  <c r="J512" i="338" s="1"/>
  <c r="K512" i="338" s="1"/>
  <c r="I511" i="338"/>
  <c r="J511" i="338" s="1"/>
  <c r="K511" i="338" s="1"/>
  <c r="I510" i="338"/>
  <c r="J510" i="338" s="1"/>
  <c r="K510" i="338" s="1"/>
  <c r="I509" i="338"/>
  <c r="J509" i="338" s="1"/>
  <c r="K509" i="338" s="1"/>
  <c r="I508" i="338"/>
  <c r="J508" i="338" s="1"/>
  <c r="K508" i="338" s="1"/>
  <c r="I507" i="338"/>
  <c r="J507" i="338" s="1"/>
  <c r="K507" i="338" s="1"/>
  <c r="I506" i="338"/>
  <c r="J506" i="338" s="1"/>
  <c r="K506" i="338" s="1"/>
  <c r="I505" i="338"/>
  <c r="J505" i="338" s="1"/>
  <c r="K505" i="338" s="1"/>
  <c r="I504" i="338"/>
  <c r="J504" i="338" s="1"/>
  <c r="K504" i="338" s="1"/>
  <c r="I503" i="338"/>
  <c r="J503" i="338" s="1"/>
  <c r="K503" i="338" s="1"/>
  <c r="I502" i="338"/>
  <c r="J502" i="338" s="1"/>
  <c r="K502" i="338" s="1"/>
  <c r="I501" i="338"/>
  <c r="J501" i="338" s="1"/>
  <c r="K501" i="338" s="1"/>
  <c r="I500" i="338"/>
  <c r="J500" i="338" s="1"/>
  <c r="K500" i="338" s="1"/>
  <c r="I499" i="338"/>
  <c r="J499" i="338" s="1"/>
  <c r="K499" i="338" s="1"/>
  <c r="I498" i="338"/>
  <c r="J498" i="338" s="1"/>
  <c r="K498" i="338" s="1"/>
  <c r="I497" i="338"/>
  <c r="J497" i="338" s="1"/>
  <c r="K497" i="338" s="1"/>
  <c r="I496" i="338"/>
  <c r="J496" i="338" s="1"/>
  <c r="K496" i="338" s="1"/>
  <c r="I495" i="338"/>
  <c r="J495" i="338" s="1"/>
  <c r="K495" i="338" s="1"/>
  <c r="I494" i="338"/>
  <c r="J494" i="338" s="1"/>
  <c r="K494" i="338" s="1"/>
  <c r="I493" i="338"/>
  <c r="J493" i="338" s="1"/>
  <c r="K493" i="338" s="1"/>
  <c r="I492" i="338"/>
  <c r="J492" i="338" s="1"/>
  <c r="K492" i="338" s="1"/>
  <c r="I491" i="338"/>
  <c r="J491" i="338" s="1"/>
  <c r="K491" i="338" s="1"/>
  <c r="I490" i="338"/>
  <c r="J490" i="338" s="1"/>
  <c r="K490" i="338" s="1"/>
  <c r="I489" i="338"/>
  <c r="J489" i="338" s="1"/>
  <c r="K489" i="338" s="1"/>
  <c r="I488" i="338"/>
  <c r="J488" i="338" s="1"/>
  <c r="K488" i="338" s="1"/>
  <c r="I487" i="338"/>
  <c r="J487" i="338" s="1"/>
  <c r="K487" i="338" s="1"/>
  <c r="I486" i="338"/>
  <c r="J486" i="338" s="1"/>
  <c r="K486" i="338" s="1"/>
  <c r="I485" i="338"/>
  <c r="J485" i="338" s="1"/>
  <c r="K485" i="338" s="1"/>
  <c r="I484" i="338"/>
  <c r="J484" i="338" s="1"/>
  <c r="K484" i="338" s="1"/>
  <c r="I483" i="338"/>
  <c r="J483" i="338" s="1"/>
  <c r="K483" i="338" s="1"/>
  <c r="I482" i="338"/>
  <c r="J482" i="338" s="1"/>
  <c r="K482" i="338" s="1"/>
  <c r="I481" i="338"/>
  <c r="J481" i="338" s="1"/>
  <c r="K481" i="338" s="1"/>
  <c r="I480" i="338"/>
  <c r="J480" i="338" s="1"/>
  <c r="K480" i="338" s="1"/>
  <c r="I479" i="338"/>
  <c r="J479" i="338" s="1"/>
  <c r="K479" i="338" s="1"/>
  <c r="I478" i="338"/>
  <c r="J478" i="338" s="1"/>
  <c r="K478" i="338" s="1"/>
  <c r="I477" i="338"/>
  <c r="J477" i="338" s="1"/>
  <c r="K477" i="338" s="1"/>
  <c r="I476" i="338"/>
  <c r="J476" i="338" s="1"/>
  <c r="K476" i="338" s="1"/>
  <c r="I475" i="338"/>
  <c r="J475" i="338" s="1"/>
  <c r="K475" i="338" s="1"/>
  <c r="I474" i="338"/>
  <c r="J474" i="338" s="1"/>
  <c r="K474" i="338" s="1"/>
  <c r="I473" i="338"/>
  <c r="J473" i="338" s="1"/>
  <c r="K473" i="338" s="1"/>
  <c r="I472" i="338"/>
  <c r="J472" i="338" s="1"/>
  <c r="K472" i="338" s="1"/>
  <c r="I471" i="338"/>
  <c r="J471" i="338" s="1"/>
  <c r="K471" i="338" s="1"/>
  <c r="I470" i="338"/>
  <c r="J470" i="338" s="1"/>
  <c r="K470" i="338" s="1"/>
  <c r="I469" i="338"/>
  <c r="J469" i="338" s="1"/>
  <c r="K469" i="338" s="1"/>
  <c r="I468" i="338"/>
  <c r="J468" i="338" s="1"/>
  <c r="K468" i="338" s="1"/>
  <c r="I467" i="338"/>
  <c r="J467" i="338" s="1"/>
  <c r="K467" i="338" s="1"/>
  <c r="I466" i="338"/>
  <c r="J466" i="338" s="1"/>
  <c r="K466" i="338" s="1"/>
  <c r="I465" i="338"/>
  <c r="J465" i="338" s="1"/>
  <c r="K465" i="338" s="1"/>
  <c r="I464" i="338"/>
  <c r="J464" i="338" s="1"/>
  <c r="K464" i="338" s="1"/>
  <c r="I463" i="338"/>
  <c r="J463" i="338" s="1"/>
  <c r="K463" i="338" s="1"/>
  <c r="I462" i="338"/>
  <c r="J462" i="338" s="1"/>
  <c r="K462" i="338" s="1"/>
  <c r="I461" i="338"/>
  <c r="J461" i="338" s="1"/>
  <c r="K461" i="338" s="1"/>
  <c r="I460" i="338"/>
  <c r="J460" i="338" s="1"/>
  <c r="K460" i="338" s="1"/>
  <c r="I459" i="338"/>
  <c r="J459" i="338" s="1"/>
  <c r="K459" i="338" s="1"/>
  <c r="I458" i="338"/>
  <c r="J458" i="338" s="1"/>
  <c r="K458" i="338" s="1"/>
  <c r="I457" i="338"/>
  <c r="J457" i="338" s="1"/>
  <c r="K457" i="338" s="1"/>
  <c r="I456" i="338"/>
  <c r="J456" i="338" s="1"/>
  <c r="K456" i="338" s="1"/>
  <c r="I455" i="338"/>
  <c r="J455" i="338" s="1"/>
  <c r="K455" i="338" s="1"/>
  <c r="I454" i="338"/>
  <c r="J454" i="338" s="1"/>
  <c r="K454" i="338" s="1"/>
  <c r="I453" i="338"/>
  <c r="J453" i="338" s="1"/>
  <c r="K453" i="338" s="1"/>
  <c r="I452" i="338"/>
  <c r="J452" i="338" s="1"/>
  <c r="K452" i="338" s="1"/>
  <c r="I451" i="338"/>
  <c r="J451" i="338" s="1"/>
  <c r="K451" i="338" s="1"/>
  <c r="I450" i="338"/>
  <c r="J450" i="338" s="1"/>
  <c r="K450" i="338" s="1"/>
  <c r="I449" i="338"/>
  <c r="J449" i="338" s="1"/>
  <c r="K449" i="338" s="1"/>
  <c r="I448" i="338"/>
  <c r="J448" i="338" s="1"/>
  <c r="K448" i="338" s="1"/>
  <c r="I447" i="338"/>
  <c r="J447" i="338" s="1"/>
  <c r="K447" i="338" s="1"/>
  <c r="I446" i="338"/>
  <c r="J446" i="338" s="1"/>
  <c r="K446" i="338" s="1"/>
  <c r="I445" i="338"/>
  <c r="J445" i="338" s="1"/>
  <c r="K445" i="338" s="1"/>
  <c r="I444" i="338"/>
  <c r="J444" i="338" s="1"/>
  <c r="K444" i="338" s="1"/>
  <c r="I443" i="338"/>
  <c r="J443" i="338" s="1"/>
  <c r="K443" i="338" s="1"/>
  <c r="I442" i="338"/>
  <c r="J442" i="338" s="1"/>
  <c r="K442" i="338" s="1"/>
  <c r="I441" i="338"/>
  <c r="J441" i="338" s="1"/>
  <c r="K441" i="338" s="1"/>
  <c r="I440" i="338"/>
  <c r="J440" i="338" s="1"/>
  <c r="K440" i="338" s="1"/>
  <c r="I439" i="338"/>
  <c r="J439" i="338" s="1"/>
  <c r="K439" i="338" s="1"/>
  <c r="I438" i="338"/>
  <c r="J438" i="338" s="1"/>
  <c r="K438" i="338" s="1"/>
  <c r="I437" i="338"/>
  <c r="J437" i="338" s="1"/>
  <c r="K437" i="338" s="1"/>
  <c r="I436" i="338"/>
  <c r="J436" i="338" s="1"/>
  <c r="K436" i="338" s="1"/>
  <c r="I435" i="338"/>
  <c r="J435" i="338" s="1"/>
  <c r="K435" i="338" s="1"/>
  <c r="I434" i="338"/>
  <c r="J434" i="338" s="1"/>
  <c r="K434" i="338" s="1"/>
  <c r="I433" i="338"/>
  <c r="J433" i="338" s="1"/>
  <c r="K433" i="338" s="1"/>
  <c r="I432" i="338"/>
  <c r="J432" i="338" s="1"/>
  <c r="K432" i="338" s="1"/>
  <c r="I431" i="338"/>
  <c r="J431" i="338" s="1"/>
  <c r="K431" i="338" s="1"/>
  <c r="I430" i="338"/>
  <c r="J430" i="338" s="1"/>
  <c r="K430" i="338" s="1"/>
  <c r="I429" i="338"/>
  <c r="J429" i="338" s="1"/>
  <c r="K429" i="338" s="1"/>
  <c r="I428" i="338"/>
  <c r="J428" i="338" s="1"/>
  <c r="K428" i="338" s="1"/>
  <c r="I427" i="338"/>
  <c r="J427" i="338" s="1"/>
  <c r="K427" i="338" s="1"/>
  <c r="I426" i="338"/>
  <c r="J426" i="338" s="1"/>
  <c r="K426" i="338" s="1"/>
  <c r="I425" i="338"/>
  <c r="J425" i="338" s="1"/>
  <c r="K425" i="338" s="1"/>
  <c r="I424" i="338"/>
  <c r="J424" i="338" s="1"/>
  <c r="K424" i="338" s="1"/>
  <c r="I423" i="338"/>
  <c r="J423" i="338" s="1"/>
  <c r="K423" i="338" s="1"/>
  <c r="I422" i="338"/>
  <c r="J422" i="338" s="1"/>
  <c r="K422" i="338" s="1"/>
  <c r="I421" i="338"/>
  <c r="J421" i="338" s="1"/>
  <c r="K421" i="338" s="1"/>
  <c r="I420" i="338"/>
  <c r="J420" i="338" s="1"/>
  <c r="K420" i="338" s="1"/>
  <c r="I419" i="338"/>
  <c r="J419" i="338" s="1"/>
  <c r="K419" i="338" s="1"/>
  <c r="I418" i="338"/>
  <c r="J418" i="338" s="1"/>
  <c r="K418" i="338" s="1"/>
  <c r="I417" i="338"/>
  <c r="J417" i="338" s="1"/>
  <c r="K417" i="338" s="1"/>
  <c r="I416" i="338"/>
  <c r="J416" i="338" s="1"/>
  <c r="K416" i="338" s="1"/>
  <c r="I415" i="338"/>
  <c r="J415" i="338" s="1"/>
  <c r="K415" i="338" s="1"/>
  <c r="I414" i="338"/>
  <c r="J414" i="338" s="1"/>
  <c r="K414" i="338" s="1"/>
  <c r="I413" i="338"/>
  <c r="J413" i="338" s="1"/>
  <c r="K413" i="338" s="1"/>
  <c r="I412" i="338"/>
  <c r="J412" i="338" s="1"/>
  <c r="K412" i="338" s="1"/>
  <c r="I411" i="338"/>
  <c r="J411" i="338" s="1"/>
  <c r="K411" i="338" s="1"/>
  <c r="I410" i="338"/>
  <c r="J410" i="338" s="1"/>
  <c r="K410" i="338" s="1"/>
  <c r="I409" i="338"/>
  <c r="J409" i="338" s="1"/>
  <c r="K409" i="338" s="1"/>
  <c r="I408" i="338"/>
  <c r="J408" i="338" s="1"/>
  <c r="K408" i="338" s="1"/>
  <c r="I407" i="338"/>
  <c r="J407" i="338" s="1"/>
  <c r="K407" i="338" s="1"/>
  <c r="I406" i="338"/>
  <c r="J406" i="338" s="1"/>
  <c r="K406" i="338" s="1"/>
  <c r="I405" i="338"/>
  <c r="J405" i="338" s="1"/>
  <c r="K405" i="338" s="1"/>
  <c r="I404" i="338"/>
  <c r="J404" i="338" s="1"/>
  <c r="K404" i="338" s="1"/>
  <c r="I403" i="338"/>
  <c r="J403" i="338" s="1"/>
  <c r="K403" i="338" s="1"/>
  <c r="I402" i="338"/>
  <c r="J402" i="338" s="1"/>
  <c r="K402" i="338" s="1"/>
  <c r="I401" i="338"/>
  <c r="J401" i="338" s="1"/>
  <c r="K401" i="338" s="1"/>
  <c r="I400" i="338"/>
  <c r="J400" i="338" s="1"/>
  <c r="K400" i="338" s="1"/>
  <c r="I399" i="338"/>
  <c r="J399" i="338" s="1"/>
  <c r="K399" i="338" s="1"/>
  <c r="I398" i="338"/>
  <c r="J398" i="338" s="1"/>
  <c r="K398" i="338" s="1"/>
  <c r="I397" i="338"/>
  <c r="J397" i="338" s="1"/>
  <c r="K397" i="338" s="1"/>
  <c r="I396" i="338"/>
  <c r="J396" i="338" s="1"/>
  <c r="K396" i="338" s="1"/>
  <c r="I395" i="338"/>
  <c r="J395" i="338" s="1"/>
  <c r="K395" i="338" s="1"/>
  <c r="I394" i="338"/>
  <c r="J394" i="338" s="1"/>
  <c r="K394" i="338" s="1"/>
  <c r="I393" i="338"/>
  <c r="J393" i="338" s="1"/>
  <c r="K393" i="338" s="1"/>
  <c r="I392" i="338"/>
  <c r="J392" i="338" s="1"/>
  <c r="K392" i="338" s="1"/>
  <c r="I391" i="338"/>
  <c r="J391" i="338" s="1"/>
  <c r="K391" i="338" s="1"/>
  <c r="I390" i="338"/>
  <c r="J390" i="338" s="1"/>
  <c r="K390" i="338" s="1"/>
  <c r="I389" i="338"/>
  <c r="J389" i="338" s="1"/>
  <c r="K389" i="338" s="1"/>
  <c r="I388" i="338"/>
  <c r="J388" i="338" s="1"/>
  <c r="K388" i="338" s="1"/>
  <c r="I387" i="338"/>
  <c r="J387" i="338" s="1"/>
  <c r="K387" i="338" s="1"/>
  <c r="I386" i="338"/>
  <c r="J386" i="338" s="1"/>
  <c r="K386" i="338" s="1"/>
  <c r="I385" i="338"/>
  <c r="J385" i="338" s="1"/>
  <c r="K385" i="338" s="1"/>
  <c r="I384" i="338"/>
  <c r="J384" i="338" s="1"/>
  <c r="K384" i="338" s="1"/>
  <c r="I383" i="338"/>
  <c r="J383" i="338" s="1"/>
  <c r="K383" i="338" s="1"/>
  <c r="I382" i="338"/>
  <c r="J382" i="338" s="1"/>
  <c r="K382" i="338" s="1"/>
  <c r="I381" i="338"/>
  <c r="J381" i="338" s="1"/>
  <c r="K381" i="338" s="1"/>
  <c r="I380" i="338"/>
  <c r="J380" i="338" s="1"/>
  <c r="K380" i="338" s="1"/>
  <c r="I379" i="338"/>
  <c r="J379" i="338" s="1"/>
  <c r="K379" i="338" s="1"/>
  <c r="I378" i="338"/>
  <c r="J378" i="338" s="1"/>
  <c r="K378" i="338" s="1"/>
  <c r="I377" i="338"/>
  <c r="J377" i="338" s="1"/>
  <c r="K377" i="338" s="1"/>
  <c r="I376" i="338"/>
  <c r="J376" i="338" s="1"/>
  <c r="K376" i="338" s="1"/>
  <c r="I375" i="338"/>
  <c r="J375" i="338" s="1"/>
  <c r="K375" i="338" s="1"/>
  <c r="I374" i="338"/>
  <c r="J374" i="338" s="1"/>
  <c r="K374" i="338" s="1"/>
  <c r="I373" i="338"/>
  <c r="J373" i="338" s="1"/>
  <c r="K373" i="338" s="1"/>
  <c r="I372" i="338"/>
  <c r="J372" i="338" s="1"/>
  <c r="K372" i="338" s="1"/>
  <c r="I371" i="338"/>
  <c r="J371" i="338" s="1"/>
  <c r="K371" i="338" s="1"/>
  <c r="I370" i="338"/>
  <c r="J370" i="338" s="1"/>
  <c r="K370" i="338" s="1"/>
  <c r="I369" i="338"/>
  <c r="J369" i="338" s="1"/>
  <c r="K369" i="338" s="1"/>
  <c r="I368" i="338"/>
  <c r="J368" i="338" s="1"/>
  <c r="K368" i="338" s="1"/>
  <c r="I367" i="338"/>
  <c r="J367" i="338" s="1"/>
  <c r="K367" i="338" s="1"/>
  <c r="I366" i="338"/>
  <c r="J366" i="338" s="1"/>
  <c r="K366" i="338" s="1"/>
  <c r="I365" i="338"/>
  <c r="J365" i="338" s="1"/>
  <c r="K365" i="338" s="1"/>
  <c r="I364" i="338"/>
  <c r="J364" i="338" s="1"/>
  <c r="K364" i="338" s="1"/>
  <c r="I363" i="338"/>
  <c r="J363" i="338" s="1"/>
  <c r="K363" i="338" s="1"/>
  <c r="I362" i="338"/>
  <c r="J362" i="338" s="1"/>
  <c r="K362" i="338" s="1"/>
  <c r="I361" i="338"/>
  <c r="J361" i="338" s="1"/>
  <c r="K361" i="338" s="1"/>
  <c r="I360" i="338"/>
  <c r="J360" i="338" s="1"/>
  <c r="K360" i="338" s="1"/>
  <c r="I359" i="338"/>
  <c r="J359" i="338" s="1"/>
  <c r="K359" i="338" s="1"/>
  <c r="I358" i="338"/>
  <c r="J358" i="338" s="1"/>
  <c r="K358" i="338" s="1"/>
  <c r="I357" i="338"/>
  <c r="J357" i="338" s="1"/>
  <c r="K357" i="338" s="1"/>
  <c r="I356" i="338"/>
  <c r="J356" i="338" s="1"/>
  <c r="K356" i="338" s="1"/>
  <c r="I355" i="338"/>
  <c r="J355" i="338" s="1"/>
  <c r="K355" i="338" s="1"/>
  <c r="I354" i="338"/>
  <c r="J354" i="338" s="1"/>
  <c r="K354" i="338" s="1"/>
  <c r="I353" i="338"/>
  <c r="J353" i="338" s="1"/>
  <c r="K353" i="338" s="1"/>
  <c r="I352" i="338"/>
  <c r="J352" i="338" s="1"/>
  <c r="K352" i="338" s="1"/>
  <c r="I351" i="338"/>
  <c r="J351" i="338" s="1"/>
  <c r="K351" i="338" s="1"/>
  <c r="I350" i="338"/>
  <c r="J350" i="338" s="1"/>
  <c r="K350" i="338" s="1"/>
  <c r="I349" i="338"/>
  <c r="J349" i="338" s="1"/>
  <c r="K349" i="338" s="1"/>
  <c r="I348" i="338"/>
  <c r="J348" i="338" s="1"/>
  <c r="K348" i="338" s="1"/>
  <c r="I347" i="338"/>
  <c r="J347" i="338" s="1"/>
  <c r="K347" i="338" s="1"/>
  <c r="I346" i="338"/>
  <c r="J346" i="338" s="1"/>
  <c r="K346" i="338" s="1"/>
  <c r="I345" i="338"/>
  <c r="J345" i="338" s="1"/>
  <c r="K345" i="338" s="1"/>
  <c r="I344" i="338"/>
  <c r="J344" i="338" s="1"/>
  <c r="K344" i="338" s="1"/>
  <c r="I343" i="338"/>
  <c r="J343" i="338" s="1"/>
  <c r="K343" i="338" s="1"/>
  <c r="I342" i="338"/>
  <c r="J342" i="338" s="1"/>
  <c r="K342" i="338" s="1"/>
  <c r="I341" i="338"/>
  <c r="J341" i="338" s="1"/>
  <c r="K341" i="338" s="1"/>
  <c r="I340" i="338"/>
  <c r="J340" i="338" s="1"/>
  <c r="K340" i="338" s="1"/>
  <c r="I339" i="338"/>
  <c r="J339" i="338" s="1"/>
  <c r="K339" i="338" s="1"/>
  <c r="I338" i="338"/>
  <c r="J338" i="338" s="1"/>
  <c r="K338" i="338" s="1"/>
  <c r="I337" i="338"/>
  <c r="J337" i="338" s="1"/>
  <c r="K337" i="338" s="1"/>
  <c r="I336" i="338"/>
  <c r="J336" i="338" s="1"/>
  <c r="K336" i="338" s="1"/>
  <c r="I335" i="338"/>
  <c r="J335" i="338" s="1"/>
  <c r="K335" i="338" s="1"/>
  <c r="I334" i="338"/>
  <c r="J334" i="338" s="1"/>
  <c r="K334" i="338" s="1"/>
  <c r="I333" i="338"/>
  <c r="J333" i="338" s="1"/>
  <c r="K333" i="338" s="1"/>
  <c r="I332" i="338"/>
  <c r="J332" i="338" s="1"/>
  <c r="K332" i="338" s="1"/>
  <c r="I331" i="338"/>
  <c r="J331" i="338" s="1"/>
  <c r="K331" i="338" s="1"/>
  <c r="I330" i="338"/>
  <c r="J330" i="338" s="1"/>
  <c r="K330" i="338" s="1"/>
  <c r="I329" i="338"/>
  <c r="J329" i="338" s="1"/>
  <c r="K329" i="338" s="1"/>
  <c r="I328" i="338"/>
  <c r="J328" i="338" s="1"/>
  <c r="K328" i="338" s="1"/>
  <c r="I327" i="338"/>
  <c r="J327" i="338" s="1"/>
  <c r="K327" i="338" s="1"/>
  <c r="I326" i="338"/>
  <c r="J326" i="338" s="1"/>
  <c r="K326" i="338" s="1"/>
  <c r="I325" i="338"/>
  <c r="J325" i="338" s="1"/>
  <c r="K325" i="338" s="1"/>
  <c r="I324" i="338"/>
  <c r="J324" i="338" s="1"/>
  <c r="K324" i="338" s="1"/>
  <c r="I323" i="338"/>
  <c r="J323" i="338" s="1"/>
  <c r="K323" i="338" s="1"/>
  <c r="I322" i="338"/>
  <c r="J322" i="338" s="1"/>
  <c r="K322" i="338" s="1"/>
  <c r="I321" i="338"/>
  <c r="J321" i="338" s="1"/>
  <c r="K321" i="338" s="1"/>
  <c r="I320" i="338"/>
  <c r="J320" i="338" s="1"/>
  <c r="K320" i="338" s="1"/>
  <c r="I319" i="338"/>
  <c r="J319" i="338" s="1"/>
  <c r="K319" i="338" s="1"/>
  <c r="I318" i="338"/>
  <c r="J318" i="338" s="1"/>
  <c r="K318" i="338" s="1"/>
  <c r="I317" i="338"/>
  <c r="J317" i="338" s="1"/>
  <c r="K317" i="338" s="1"/>
  <c r="I316" i="338"/>
  <c r="J316" i="338" s="1"/>
  <c r="K316" i="338" s="1"/>
  <c r="I315" i="338"/>
  <c r="J315" i="338" s="1"/>
  <c r="K315" i="338" s="1"/>
  <c r="I314" i="338"/>
  <c r="J314" i="338" s="1"/>
  <c r="K314" i="338" s="1"/>
  <c r="I313" i="338"/>
  <c r="J313" i="338" s="1"/>
  <c r="K313" i="338" s="1"/>
  <c r="I312" i="338"/>
  <c r="J312" i="338" s="1"/>
  <c r="K312" i="338" s="1"/>
  <c r="I311" i="338"/>
  <c r="J311" i="338" s="1"/>
  <c r="K311" i="338" s="1"/>
  <c r="I310" i="338"/>
  <c r="J310" i="338" s="1"/>
  <c r="K310" i="338" s="1"/>
  <c r="I309" i="338"/>
  <c r="J309" i="338" s="1"/>
  <c r="K309" i="338" s="1"/>
  <c r="I308" i="338"/>
  <c r="J308" i="338" s="1"/>
  <c r="K308" i="338" s="1"/>
  <c r="I307" i="338"/>
  <c r="J307" i="338" s="1"/>
  <c r="K307" i="338" s="1"/>
  <c r="I306" i="338"/>
  <c r="J306" i="338" s="1"/>
  <c r="K306" i="338" s="1"/>
  <c r="I305" i="338"/>
  <c r="J305" i="338" s="1"/>
  <c r="K305" i="338" s="1"/>
  <c r="I304" i="338"/>
  <c r="J304" i="338" s="1"/>
  <c r="K304" i="338" s="1"/>
  <c r="I303" i="338"/>
  <c r="J303" i="338" s="1"/>
  <c r="K303" i="338" s="1"/>
  <c r="I302" i="338"/>
  <c r="J302" i="338" s="1"/>
  <c r="K302" i="338" s="1"/>
  <c r="I301" i="338"/>
  <c r="J301" i="338" s="1"/>
  <c r="K301" i="338" s="1"/>
  <c r="I300" i="338"/>
  <c r="J300" i="338" s="1"/>
  <c r="K300" i="338" s="1"/>
  <c r="I299" i="338"/>
  <c r="J299" i="338" s="1"/>
  <c r="K299" i="338" s="1"/>
  <c r="I298" i="338"/>
  <c r="J298" i="338" s="1"/>
  <c r="K298" i="338" s="1"/>
  <c r="I297" i="338"/>
  <c r="J297" i="338" s="1"/>
  <c r="K297" i="338" s="1"/>
  <c r="I296" i="338"/>
  <c r="J296" i="338" s="1"/>
  <c r="K296" i="338" s="1"/>
  <c r="I295" i="338"/>
  <c r="J295" i="338" s="1"/>
  <c r="K295" i="338" s="1"/>
  <c r="I294" i="338"/>
  <c r="J294" i="338" s="1"/>
  <c r="K294" i="338" s="1"/>
  <c r="I293" i="338"/>
  <c r="J293" i="338" s="1"/>
  <c r="K293" i="338" s="1"/>
  <c r="I292" i="338"/>
  <c r="J292" i="338" s="1"/>
  <c r="K292" i="338" s="1"/>
  <c r="I291" i="338"/>
  <c r="J291" i="338" s="1"/>
  <c r="K291" i="338" s="1"/>
  <c r="I290" i="338"/>
  <c r="J290" i="338" s="1"/>
  <c r="K290" i="338" s="1"/>
  <c r="I289" i="338"/>
  <c r="J289" i="338" s="1"/>
  <c r="K289" i="338" s="1"/>
  <c r="I288" i="338"/>
  <c r="J288" i="338" s="1"/>
  <c r="K288" i="338" s="1"/>
  <c r="I287" i="338"/>
  <c r="J287" i="338" s="1"/>
  <c r="K287" i="338" s="1"/>
  <c r="I286" i="338"/>
  <c r="J286" i="338" s="1"/>
  <c r="K286" i="338" s="1"/>
  <c r="I285" i="338"/>
  <c r="J285" i="338" s="1"/>
  <c r="K285" i="338" s="1"/>
  <c r="I284" i="338"/>
  <c r="J284" i="338" s="1"/>
  <c r="K284" i="338" s="1"/>
  <c r="I283" i="338"/>
  <c r="J283" i="338" s="1"/>
  <c r="K283" i="338" s="1"/>
  <c r="I282" i="338"/>
  <c r="J282" i="338" s="1"/>
  <c r="K282" i="338" s="1"/>
  <c r="I281" i="338"/>
  <c r="J281" i="338" s="1"/>
  <c r="K281" i="338" s="1"/>
  <c r="I280" i="338"/>
  <c r="J280" i="338" s="1"/>
  <c r="K280" i="338" s="1"/>
  <c r="I279" i="338"/>
  <c r="J279" i="338" s="1"/>
  <c r="K279" i="338" s="1"/>
  <c r="I278" i="338"/>
  <c r="J278" i="338" s="1"/>
  <c r="K278" i="338" s="1"/>
  <c r="I277" i="338"/>
  <c r="J277" i="338" s="1"/>
  <c r="K277" i="338" s="1"/>
  <c r="I276" i="338"/>
  <c r="J276" i="338" s="1"/>
  <c r="K276" i="338" s="1"/>
  <c r="I275" i="338"/>
  <c r="J275" i="338" s="1"/>
  <c r="K275" i="338" s="1"/>
  <c r="I274" i="338"/>
  <c r="J274" i="338" s="1"/>
  <c r="K274" i="338" s="1"/>
  <c r="I273" i="338"/>
  <c r="J273" i="338" s="1"/>
  <c r="K273" i="338" s="1"/>
  <c r="I272" i="338"/>
  <c r="J272" i="338" s="1"/>
  <c r="K272" i="338" s="1"/>
  <c r="I271" i="338"/>
  <c r="J271" i="338" s="1"/>
  <c r="K271" i="338" s="1"/>
  <c r="I270" i="338"/>
  <c r="J270" i="338" s="1"/>
  <c r="K270" i="338" s="1"/>
  <c r="I269" i="338"/>
  <c r="J269" i="338" s="1"/>
  <c r="K269" i="338" s="1"/>
  <c r="I268" i="338"/>
  <c r="J268" i="338" s="1"/>
  <c r="K268" i="338" s="1"/>
  <c r="I267" i="338"/>
  <c r="J267" i="338" s="1"/>
  <c r="K267" i="338" s="1"/>
  <c r="I266" i="338"/>
  <c r="J266" i="338" s="1"/>
  <c r="K266" i="338" s="1"/>
  <c r="I265" i="338"/>
  <c r="J265" i="338" s="1"/>
  <c r="K265" i="338" s="1"/>
  <c r="I264" i="338"/>
  <c r="J264" i="338" s="1"/>
  <c r="K264" i="338" s="1"/>
  <c r="I263" i="338"/>
  <c r="J263" i="338" s="1"/>
  <c r="K263" i="338" s="1"/>
  <c r="I262" i="338"/>
  <c r="J262" i="338" s="1"/>
  <c r="K262" i="338" s="1"/>
  <c r="I261" i="338"/>
  <c r="J261" i="338" s="1"/>
  <c r="K261" i="338" s="1"/>
  <c r="I260" i="338"/>
  <c r="J260" i="338" s="1"/>
  <c r="K260" i="338" s="1"/>
  <c r="I259" i="338"/>
  <c r="J259" i="338" s="1"/>
  <c r="K259" i="338" s="1"/>
  <c r="I258" i="338"/>
  <c r="J258" i="338" s="1"/>
  <c r="K258" i="338" s="1"/>
  <c r="I257" i="338"/>
  <c r="J257" i="338" s="1"/>
  <c r="K257" i="338" s="1"/>
  <c r="I256" i="338"/>
  <c r="J256" i="338" s="1"/>
  <c r="K256" i="338" s="1"/>
  <c r="I255" i="338"/>
  <c r="J255" i="338" s="1"/>
  <c r="K255" i="338" s="1"/>
  <c r="I254" i="338"/>
  <c r="J254" i="338" s="1"/>
  <c r="K254" i="338" s="1"/>
  <c r="I253" i="338"/>
  <c r="J253" i="338" s="1"/>
  <c r="K253" i="338" s="1"/>
  <c r="I252" i="338"/>
  <c r="J252" i="338" s="1"/>
  <c r="K252" i="338" s="1"/>
  <c r="I251" i="338"/>
  <c r="J251" i="338" s="1"/>
  <c r="K251" i="338" s="1"/>
  <c r="I250" i="338"/>
  <c r="J250" i="338" s="1"/>
  <c r="K250" i="338" s="1"/>
  <c r="I249" i="338"/>
  <c r="J249" i="338" s="1"/>
  <c r="K249" i="338" s="1"/>
  <c r="I248" i="338"/>
  <c r="J248" i="338" s="1"/>
  <c r="K248" i="338" s="1"/>
  <c r="I247" i="338"/>
  <c r="J247" i="338" s="1"/>
  <c r="K247" i="338" s="1"/>
  <c r="I246" i="338"/>
  <c r="J246" i="338" s="1"/>
  <c r="K246" i="338" s="1"/>
  <c r="I245" i="338"/>
  <c r="J245" i="338" s="1"/>
  <c r="K245" i="338" s="1"/>
  <c r="I244" i="338"/>
  <c r="J244" i="338" s="1"/>
  <c r="K244" i="338" s="1"/>
  <c r="I243" i="338"/>
  <c r="J243" i="338" s="1"/>
  <c r="K243" i="338" s="1"/>
  <c r="I242" i="338"/>
  <c r="J242" i="338" s="1"/>
  <c r="K242" i="338" s="1"/>
  <c r="I241" i="338"/>
  <c r="J241" i="338" s="1"/>
  <c r="K241" i="338" s="1"/>
  <c r="I240" i="338"/>
  <c r="J240" i="338" s="1"/>
  <c r="K240" i="338" s="1"/>
  <c r="I239" i="338"/>
  <c r="J239" i="338" s="1"/>
  <c r="K239" i="338" s="1"/>
  <c r="I238" i="338"/>
  <c r="J238" i="338" s="1"/>
  <c r="K238" i="338" s="1"/>
  <c r="I237" i="338"/>
  <c r="J237" i="338" s="1"/>
  <c r="K237" i="338" s="1"/>
  <c r="I236" i="338"/>
  <c r="J236" i="338" s="1"/>
  <c r="K236" i="338" s="1"/>
  <c r="I235" i="338"/>
  <c r="J235" i="338" s="1"/>
  <c r="K235" i="338" s="1"/>
  <c r="I234" i="338"/>
  <c r="J234" i="338" s="1"/>
  <c r="K234" i="338" s="1"/>
  <c r="I233" i="338"/>
  <c r="J233" i="338" s="1"/>
  <c r="K233" i="338" s="1"/>
  <c r="I232" i="338"/>
  <c r="J232" i="338" s="1"/>
  <c r="K232" i="338" s="1"/>
  <c r="I231" i="338"/>
  <c r="J231" i="338" s="1"/>
  <c r="K231" i="338" s="1"/>
  <c r="I230" i="338"/>
  <c r="J230" i="338" s="1"/>
  <c r="K230" i="338" s="1"/>
  <c r="I229" i="338"/>
  <c r="J229" i="338" s="1"/>
  <c r="K229" i="338" s="1"/>
  <c r="I228" i="338"/>
  <c r="J228" i="338" s="1"/>
  <c r="K228" i="338" s="1"/>
  <c r="I227" i="338"/>
  <c r="J227" i="338" s="1"/>
  <c r="K227" i="338" s="1"/>
  <c r="I226" i="338"/>
  <c r="J226" i="338" s="1"/>
  <c r="K226" i="338" s="1"/>
  <c r="I225" i="338"/>
  <c r="J225" i="338" s="1"/>
  <c r="K225" i="338" s="1"/>
  <c r="I224" i="338"/>
  <c r="J224" i="338" s="1"/>
  <c r="K224" i="338" s="1"/>
  <c r="I223" i="338"/>
  <c r="J223" i="338" s="1"/>
  <c r="K223" i="338" s="1"/>
  <c r="I222" i="338"/>
  <c r="J222" i="338" s="1"/>
  <c r="K222" i="338" s="1"/>
  <c r="I221" i="338"/>
  <c r="J221" i="338" s="1"/>
  <c r="K221" i="338" s="1"/>
  <c r="I220" i="338"/>
  <c r="J220" i="338" s="1"/>
  <c r="K220" i="338" s="1"/>
  <c r="I219" i="338"/>
  <c r="J219" i="338" s="1"/>
  <c r="K219" i="338" s="1"/>
  <c r="I218" i="338"/>
  <c r="J218" i="338" s="1"/>
  <c r="K218" i="338" s="1"/>
  <c r="I217" i="338"/>
  <c r="J217" i="338" s="1"/>
  <c r="K217" i="338" s="1"/>
  <c r="I216" i="338"/>
  <c r="J216" i="338" s="1"/>
  <c r="K216" i="338" s="1"/>
  <c r="I215" i="338"/>
  <c r="J215" i="338" s="1"/>
  <c r="K215" i="338" s="1"/>
  <c r="I214" i="338"/>
  <c r="J214" i="338" s="1"/>
  <c r="K214" i="338" s="1"/>
  <c r="I213" i="338"/>
  <c r="J213" i="338" s="1"/>
  <c r="K213" i="338" s="1"/>
  <c r="I212" i="338"/>
  <c r="J212" i="338" s="1"/>
  <c r="K212" i="338" s="1"/>
  <c r="I211" i="338"/>
  <c r="J211" i="338" s="1"/>
  <c r="K211" i="338" s="1"/>
  <c r="I210" i="338"/>
  <c r="J210" i="338" s="1"/>
  <c r="K210" i="338" s="1"/>
  <c r="I209" i="338"/>
  <c r="J209" i="338" s="1"/>
  <c r="K209" i="338" s="1"/>
  <c r="I208" i="338"/>
  <c r="J208" i="338" s="1"/>
  <c r="K208" i="338" s="1"/>
  <c r="I207" i="338"/>
  <c r="J207" i="338" s="1"/>
  <c r="K207" i="338" s="1"/>
  <c r="I206" i="338"/>
  <c r="J206" i="338" s="1"/>
  <c r="K206" i="338" s="1"/>
  <c r="I205" i="338"/>
  <c r="J205" i="338" s="1"/>
  <c r="K205" i="338" s="1"/>
  <c r="I204" i="338"/>
  <c r="J204" i="338" s="1"/>
  <c r="K204" i="338" s="1"/>
  <c r="I203" i="338"/>
  <c r="J203" i="338" s="1"/>
  <c r="K203" i="338" s="1"/>
  <c r="I202" i="338"/>
  <c r="J202" i="338" s="1"/>
  <c r="K202" i="338" s="1"/>
  <c r="I201" i="338"/>
  <c r="J201" i="338" s="1"/>
  <c r="K201" i="338" s="1"/>
  <c r="I200" i="338"/>
  <c r="J200" i="338" s="1"/>
  <c r="K200" i="338" s="1"/>
  <c r="I199" i="338"/>
  <c r="J199" i="338" s="1"/>
  <c r="K199" i="338" s="1"/>
  <c r="I198" i="338"/>
  <c r="J198" i="338" s="1"/>
  <c r="K198" i="338" s="1"/>
  <c r="I197" i="338"/>
  <c r="J197" i="338" s="1"/>
  <c r="K197" i="338" s="1"/>
  <c r="I196" i="338"/>
  <c r="J196" i="338" s="1"/>
  <c r="K196" i="338" s="1"/>
  <c r="I195" i="338"/>
  <c r="J195" i="338" s="1"/>
  <c r="K195" i="338" s="1"/>
  <c r="I194" i="338"/>
  <c r="J194" i="338" s="1"/>
  <c r="K194" i="338" s="1"/>
  <c r="I193" i="338"/>
  <c r="J193" i="338" s="1"/>
  <c r="K193" i="338" s="1"/>
  <c r="I192" i="338"/>
  <c r="J192" i="338" s="1"/>
  <c r="K192" i="338" s="1"/>
  <c r="I191" i="338"/>
  <c r="J191" i="338" s="1"/>
  <c r="K191" i="338" s="1"/>
  <c r="I190" i="338"/>
  <c r="J190" i="338" s="1"/>
  <c r="K190" i="338" s="1"/>
  <c r="I189" i="338"/>
  <c r="J189" i="338" s="1"/>
  <c r="K189" i="338" s="1"/>
  <c r="I188" i="338"/>
  <c r="J188" i="338" s="1"/>
  <c r="K188" i="338" s="1"/>
  <c r="I187" i="338"/>
  <c r="J187" i="338" s="1"/>
  <c r="K187" i="338" s="1"/>
  <c r="I186" i="338"/>
  <c r="J186" i="338" s="1"/>
  <c r="K186" i="338" s="1"/>
  <c r="I185" i="338"/>
  <c r="J185" i="338" s="1"/>
  <c r="K185" i="338" s="1"/>
  <c r="I184" i="338"/>
  <c r="J184" i="338" s="1"/>
  <c r="K184" i="338" s="1"/>
  <c r="I183" i="338"/>
  <c r="J183" i="338" s="1"/>
  <c r="K183" i="338" s="1"/>
  <c r="I182" i="338"/>
  <c r="J182" i="338" s="1"/>
  <c r="K182" i="338" s="1"/>
  <c r="I181" i="338"/>
  <c r="J181" i="338" s="1"/>
  <c r="K181" i="338" s="1"/>
  <c r="I180" i="338"/>
  <c r="J180" i="338" s="1"/>
  <c r="K180" i="338" s="1"/>
  <c r="I179" i="338"/>
  <c r="J179" i="338" s="1"/>
  <c r="K179" i="338" s="1"/>
  <c r="I178" i="338"/>
  <c r="J178" i="338" s="1"/>
  <c r="K178" i="338" s="1"/>
  <c r="I177" i="338"/>
  <c r="J177" i="338" s="1"/>
  <c r="K177" i="338" s="1"/>
  <c r="I176" i="338"/>
  <c r="J176" i="338" s="1"/>
  <c r="K176" i="338" s="1"/>
  <c r="I175" i="338"/>
  <c r="J175" i="338" s="1"/>
  <c r="K175" i="338" s="1"/>
  <c r="I174" i="338"/>
  <c r="J174" i="338" s="1"/>
  <c r="K174" i="338" s="1"/>
  <c r="I173" i="338"/>
  <c r="J173" i="338" s="1"/>
  <c r="K173" i="338" s="1"/>
  <c r="I172" i="338"/>
  <c r="J172" i="338" s="1"/>
  <c r="K172" i="338" s="1"/>
  <c r="I171" i="338"/>
  <c r="J171" i="338" s="1"/>
  <c r="K171" i="338" s="1"/>
  <c r="I170" i="338"/>
  <c r="J170" i="338" s="1"/>
  <c r="K170" i="338" s="1"/>
  <c r="I169" i="338"/>
  <c r="J169" i="338" s="1"/>
  <c r="K169" i="338" s="1"/>
  <c r="I168" i="338"/>
  <c r="J168" i="338" s="1"/>
  <c r="K168" i="338" s="1"/>
  <c r="I167" i="338"/>
  <c r="J167" i="338" s="1"/>
  <c r="K167" i="338" s="1"/>
  <c r="I166" i="338"/>
  <c r="J166" i="338" s="1"/>
  <c r="K166" i="338" s="1"/>
  <c r="I165" i="338"/>
  <c r="J165" i="338" s="1"/>
  <c r="K165" i="338" s="1"/>
  <c r="I164" i="338"/>
  <c r="J164" i="338" s="1"/>
  <c r="K164" i="338" s="1"/>
  <c r="I163" i="338"/>
  <c r="J163" i="338" s="1"/>
  <c r="K163" i="338" s="1"/>
  <c r="I162" i="338"/>
  <c r="J162" i="338" s="1"/>
  <c r="K162" i="338" s="1"/>
  <c r="I161" i="338"/>
  <c r="J161" i="338" s="1"/>
  <c r="K161" i="338" s="1"/>
  <c r="I160" i="338"/>
  <c r="I159" i="338"/>
  <c r="J159" i="338" s="1"/>
  <c r="K159" i="338" s="1"/>
  <c r="I158" i="338"/>
  <c r="J158" i="338" s="1"/>
  <c r="K158" i="338" s="1"/>
  <c r="I157" i="338"/>
  <c r="J157" i="338" s="1"/>
  <c r="K157" i="338" s="1"/>
  <c r="I156" i="338"/>
  <c r="J156" i="338" s="1"/>
  <c r="K156" i="338" s="1"/>
  <c r="I155" i="338"/>
  <c r="J155" i="338" s="1"/>
  <c r="K155" i="338" s="1"/>
  <c r="I154" i="338"/>
  <c r="J154" i="338" s="1"/>
  <c r="K154" i="338" s="1"/>
  <c r="I153" i="338"/>
  <c r="J153" i="338" s="1"/>
  <c r="K153" i="338" s="1"/>
  <c r="I152" i="338"/>
  <c r="J152" i="338" s="1"/>
  <c r="K152" i="338" s="1"/>
  <c r="I151" i="338"/>
  <c r="J151" i="338" s="1"/>
  <c r="K151" i="338" s="1"/>
  <c r="I150" i="338"/>
  <c r="J150" i="338" s="1"/>
  <c r="K150" i="338" s="1"/>
  <c r="I149" i="338"/>
  <c r="J149" i="338" s="1"/>
  <c r="K149" i="338" s="1"/>
  <c r="I148" i="338"/>
  <c r="J148" i="338" s="1"/>
  <c r="K148" i="338" s="1"/>
  <c r="I147" i="338"/>
  <c r="J147" i="338" s="1"/>
  <c r="K147" i="338" s="1"/>
  <c r="I146" i="338"/>
  <c r="J146" i="338" s="1"/>
  <c r="K146" i="338" s="1"/>
  <c r="I145" i="338"/>
  <c r="J145" i="338" s="1"/>
  <c r="K145" i="338" s="1"/>
  <c r="I144" i="338"/>
  <c r="J144" i="338" s="1"/>
  <c r="K144" i="338" s="1"/>
  <c r="I143" i="338"/>
  <c r="J143" i="338" s="1"/>
  <c r="K143" i="338" s="1"/>
  <c r="I142" i="338"/>
  <c r="J142" i="338" s="1"/>
  <c r="K142" i="338" s="1"/>
  <c r="I141" i="338"/>
  <c r="J141" i="338" s="1"/>
  <c r="K141" i="338" s="1"/>
  <c r="I140" i="338"/>
  <c r="J140" i="338" s="1"/>
  <c r="K140" i="338" s="1"/>
  <c r="I139" i="338"/>
  <c r="J139" i="338" s="1"/>
  <c r="K139" i="338" s="1"/>
  <c r="I138" i="338"/>
  <c r="J138" i="338" s="1"/>
  <c r="K138" i="338" s="1"/>
  <c r="I137" i="338"/>
  <c r="J137" i="338" s="1"/>
  <c r="K137" i="338" s="1"/>
  <c r="I136" i="338"/>
  <c r="J136" i="338" s="1"/>
  <c r="K136" i="338" s="1"/>
  <c r="I135" i="338"/>
  <c r="J135" i="338" s="1"/>
  <c r="K135" i="338" s="1"/>
  <c r="I134" i="338"/>
  <c r="J134" i="338" s="1"/>
  <c r="K134" i="338" s="1"/>
  <c r="I133" i="338"/>
  <c r="J133" i="338" s="1"/>
  <c r="K133" i="338" s="1"/>
  <c r="I132" i="338"/>
  <c r="J132" i="338" s="1"/>
  <c r="K132" i="338" s="1"/>
  <c r="I131" i="338"/>
  <c r="J131" i="338" s="1"/>
  <c r="K131" i="338" s="1"/>
  <c r="I130" i="338"/>
  <c r="J130" i="338" s="1"/>
  <c r="K130" i="338" s="1"/>
  <c r="I129" i="338"/>
  <c r="J129" i="338" s="1"/>
  <c r="K129" i="338" s="1"/>
  <c r="I128" i="338"/>
  <c r="J128" i="338" s="1"/>
  <c r="K128" i="338" s="1"/>
  <c r="I127" i="338"/>
  <c r="J127" i="338" s="1"/>
  <c r="K127" i="338" s="1"/>
  <c r="I126" i="338"/>
  <c r="J126" i="338" s="1"/>
  <c r="K126" i="338" s="1"/>
  <c r="I125" i="338"/>
  <c r="J125" i="338" s="1"/>
  <c r="K125" i="338" s="1"/>
  <c r="I124" i="338"/>
  <c r="J124" i="338" s="1"/>
  <c r="K124" i="338" s="1"/>
  <c r="I123" i="338"/>
  <c r="J123" i="338" s="1"/>
  <c r="K123" i="338" s="1"/>
  <c r="I122" i="338"/>
  <c r="J122" i="338" s="1"/>
  <c r="K122" i="338" s="1"/>
  <c r="I121" i="338"/>
  <c r="J121" i="338" s="1"/>
  <c r="K121" i="338" s="1"/>
  <c r="I120" i="338"/>
  <c r="J120" i="338" s="1"/>
  <c r="K120" i="338" s="1"/>
  <c r="I119" i="338"/>
  <c r="J119" i="338" s="1"/>
  <c r="K119" i="338" s="1"/>
  <c r="I118" i="338"/>
  <c r="J118" i="338" s="1"/>
  <c r="K118" i="338" s="1"/>
  <c r="I117" i="338"/>
  <c r="J117" i="338" s="1"/>
  <c r="K117" i="338" s="1"/>
  <c r="I116" i="338"/>
  <c r="J116" i="338" s="1"/>
  <c r="K116" i="338" s="1"/>
  <c r="I115" i="338"/>
  <c r="J115" i="338" s="1"/>
  <c r="K115" i="338" s="1"/>
  <c r="I114" i="338"/>
  <c r="J114" i="338" s="1"/>
  <c r="K114" i="338" s="1"/>
  <c r="I113" i="338"/>
  <c r="J113" i="338" s="1"/>
  <c r="K113" i="338" s="1"/>
  <c r="I112" i="338"/>
  <c r="J112" i="338" s="1"/>
  <c r="K112" i="338" s="1"/>
  <c r="I111" i="338"/>
  <c r="J111" i="338" s="1"/>
  <c r="K111" i="338" s="1"/>
  <c r="I110" i="338"/>
  <c r="J110" i="338" s="1"/>
  <c r="K110" i="338" s="1"/>
  <c r="I109" i="338"/>
  <c r="J109" i="338" s="1"/>
  <c r="K109" i="338" s="1"/>
  <c r="I108" i="338"/>
  <c r="J108" i="338" s="1"/>
  <c r="K108" i="338" s="1"/>
  <c r="I107" i="338"/>
  <c r="J107" i="338" s="1"/>
  <c r="K107" i="338" s="1"/>
  <c r="I106" i="338"/>
  <c r="J106" i="338" s="1"/>
  <c r="K106" i="338" s="1"/>
  <c r="I105" i="338"/>
  <c r="J105" i="338" s="1"/>
  <c r="K105" i="338" s="1"/>
  <c r="I104" i="338"/>
  <c r="J104" i="338" s="1"/>
  <c r="K104" i="338" s="1"/>
  <c r="I103" i="338"/>
  <c r="J103" i="338" s="1"/>
  <c r="K103" i="338" s="1"/>
  <c r="I102" i="338"/>
  <c r="J102" i="338" s="1"/>
  <c r="K102" i="338" s="1"/>
  <c r="I101" i="338"/>
  <c r="J101" i="338" s="1"/>
  <c r="K101" i="338" s="1"/>
  <c r="I100" i="338"/>
  <c r="J100" i="338" s="1"/>
  <c r="K100" i="338" s="1"/>
  <c r="I99" i="338"/>
  <c r="J99" i="338" s="1"/>
  <c r="K99" i="338" s="1"/>
  <c r="I98" i="338"/>
  <c r="J98" i="338" s="1"/>
  <c r="K98" i="338" s="1"/>
  <c r="I97" i="338"/>
  <c r="J97" i="338" s="1"/>
  <c r="K97" i="338" s="1"/>
  <c r="I96" i="338"/>
  <c r="J96" i="338" s="1"/>
  <c r="K96" i="338" s="1"/>
  <c r="I95" i="338"/>
  <c r="J95" i="338" s="1"/>
  <c r="K95" i="338" s="1"/>
  <c r="I94" i="338"/>
  <c r="J94" i="338" s="1"/>
  <c r="K94" i="338" s="1"/>
  <c r="I93" i="338"/>
  <c r="J93" i="338" s="1"/>
  <c r="K93" i="338" s="1"/>
  <c r="I92" i="338"/>
  <c r="J92" i="338" s="1"/>
  <c r="K92" i="338" s="1"/>
  <c r="I91" i="338"/>
  <c r="J91" i="338" s="1"/>
  <c r="K91" i="338" s="1"/>
  <c r="I90" i="338"/>
  <c r="J90" i="338" s="1"/>
  <c r="K90" i="338" s="1"/>
  <c r="I89" i="338"/>
  <c r="J89" i="338" s="1"/>
  <c r="K89" i="338" s="1"/>
  <c r="I88" i="338"/>
  <c r="J88" i="338" s="1"/>
  <c r="K88" i="338" s="1"/>
  <c r="I87" i="338"/>
  <c r="J87" i="338" s="1"/>
  <c r="K87" i="338" s="1"/>
  <c r="I86" i="338"/>
  <c r="J86" i="338" s="1"/>
  <c r="K86" i="338" s="1"/>
  <c r="I85" i="338"/>
  <c r="J85" i="338" s="1"/>
  <c r="K85" i="338" s="1"/>
  <c r="I84" i="338"/>
  <c r="J84" i="338" s="1"/>
  <c r="K84" i="338" s="1"/>
  <c r="I83" i="338"/>
  <c r="J83" i="338" s="1"/>
  <c r="K83" i="338" s="1"/>
  <c r="I82" i="338"/>
  <c r="J82" i="338" s="1"/>
  <c r="K82" i="338" s="1"/>
  <c r="I81" i="338"/>
  <c r="J81" i="338" s="1"/>
  <c r="K81" i="338" s="1"/>
  <c r="I80" i="338"/>
  <c r="J80" i="338" s="1"/>
  <c r="K80" i="338" s="1"/>
  <c r="I79" i="338"/>
  <c r="J79" i="338" s="1"/>
  <c r="K79" i="338" s="1"/>
  <c r="I78" i="338"/>
  <c r="J78" i="338" s="1"/>
  <c r="K78" i="338" s="1"/>
  <c r="I77" i="338"/>
  <c r="J77" i="338" s="1"/>
  <c r="K77" i="338" s="1"/>
  <c r="I76" i="338"/>
  <c r="J76" i="338" s="1"/>
  <c r="K76" i="338" s="1"/>
  <c r="I75" i="338"/>
  <c r="J75" i="338" s="1"/>
  <c r="K75" i="338" s="1"/>
  <c r="I74" i="338"/>
  <c r="J74" i="338" s="1"/>
  <c r="K74" i="338" s="1"/>
  <c r="I73" i="338"/>
  <c r="J73" i="338" s="1"/>
  <c r="K73" i="338" s="1"/>
  <c r="I72" i="338"/>
  <c r="J72" i="338" s="1"/>
  <c r="K72" i="338" s="1"/>
  <c r="I71" i="338"/>
  <c r="J71" i="338" s="1"/>
  <c r="K71" i="338" s="1"/>
  <c r="I70" i="338"/>
  <c r="J70" i="338" s="1"/>
  <c r="K70" i="338" s="1"/>
  <c r="I69" i="338"/>
  <c r="J69" i="338" s="1"/>
  <c r="K69" i="338" s="1"/>
  <c r="I68" i="338"/>
  <c r="J68" i="338" s="1"/>
  <c r="K68" i="338" s="1"/>
  <c r="I67" i="338"/>
  <c r="J67" i="338" s="1"/>
  <c r="K67" i="338" s="1"/>
  <c r="I66" i="338"/>
  <c r="J66" i="338" s="1"/>
  <c r="K66" i="338" s="1"/>
  <c r="I65" i="338"/>
  <c r="J65" i="338" s="1"/>
  <c r="K65" i="338" s="1"/>
  <c r="I64" i="338"/>
  <c r="J64" i="338" s="1"/>
  <c r="K64" i="338" s="1"/>
  <c r="I63" i="338"/>
  <c r="J63" i="338" s="1"/>
  <c r="K63" i="338" s="1"/>
  <c r="I62" i="338"/>
  <c r="J62" i="338" s="1"/>
  <c r="K62" i="338" s="1"/>
  <c r="I61" i="338"/>
  <c r="J61" i="338" s="1"/>
  <c r="K61" i="338" s="1"/>
  <c r="I60" i="338"/>
  <c r="J60" i="338" s="1"/>
  <c r="K60" i="338" s="1"/>
  <c r="I59" i="338"/>
  <c r="J59" i="338" s="1"/>
  <c r="K59" i="338" s="1"/>
  <c r="I58" i="338"/>
  <c r="J58" i="338" s="1"/>
  <c r="K58" i="338" s="1"/>
  <c r="I57" i="338"/>
  <c r="J57" i="338" s="1"/>
  <c r="K57" i="338" s="1"/>
  <c r="I56" i="338"/>
  <c r="J56" i="338" s="1"/>
  <c r="K56" i="338" s="1"/>
  <c r="I55" i="338"/>
  <c r="J55" i="338" s="1"/>
  <c r="K55" i="338" s="1"/>
  <c r="I54" i="338"/>
  <c r="J54" i="338" s="1"/>
  <c r="K54" i="338" s="1"/>
  <c r="I53" i="338"/>
  <c r="J53" i="338" s="1"/>
  <c r="K53" i="338" s="1"/>
  <c r="I52" i="338"/>
  <c r="J52" i="338" s="1"/>
  <c r="K52" i="338" s="1"/>
  <c r="I51" i="338"/>
  <c r="J51" i="338" s="1"/>
  <c r="K51" i="338" s="1"/>
  <c r="I50" i="338"/>
  <c r="J50" i="338" s="1"/>
  <c r="K50" i="338" s="1"/>
  <c r="I49" i="338"/>
  <c r="J49" i="338" s="1"/>
  <c r="K49" i="338" s="1"/>
  <c r="I48" i="338"/>
  <c r="J48" i="338" s="1"/>
  <c r="K48" i="338" s="1"/>
  <c r="I47" i="338"/>
  <c r="J47" i="338" s="1"/>
  <c r="K47" i="338" s="1"/>
  <c r="I46" i="338"/>
  <c r="J46" i="338" s="1"/>
  <c r="K46" i="338" s="1"/>
  <c r="I45" i="338"/>
  <c r="J45" i="338" s="1"/>
  <c r="K45" i="338" s="1"/>
  <c r="I44" i="338"/>
  <c r="J44" i="338" s="1"/>
  <c r="K44" i="338" s="1"/>
  <c r="I43" i="338"/>
  <c r="J43" i="338" s="1"/>
  <c r="K43" i="338" s="1"/>
  <c r="I42" i="338"/>
  <c r="J42" i="338" s="1"/>
  <c r="K42" i="338" s="1"/>
  <c r="I41" i="338"/>
  <c r="J41" i="338" s="1"/>
  <c r="K41" i="338" s="1"/>
  <c r="I40" i="338"/>
  <c r="J40" i="338" s="1"/>
  <c r="K40" i="338" s="1"/>
  <c r="I39" i="338"/>
  <c r="J39" i="338" s="1"/>
  <c r="K39" i="338" s="1"/>
  <c r="I38" i="338"/>
  <c r="J38" i="338" s="1"/>
  <c r="K38" i="338" s="1"/>
  <c r="I37" i="338"/>
  <c r="J37" i="338" s="1"/>
  <c r="K37" i="338" s="1"/>
  <c r="I36" i="338"/>
  <c r="J36" i="338" s="1"/>
  <c r="K36" i="338" s="1"/>
  <c r="I35" i="338"/>
  <c r="J35" i="338" s="1"/>
  <c r="K35" i="338" s="1"/>
  <c r="I34" i="338"/>
  <c r="J34" i="338" s="1"/>
  <c r="K34" i="338" s="1"/>
  <c r="I33" i="338"/>
  <c r="J33" i="338" s="1"/>
  <c r="K33" i="338" s="1"/>
  <c r="I32" i="338"/>
  <c r="J32" i="338" s="1"/>
  <c r="K32" i="338" s="1"/>
  <c r="I31" i="338"/>
  <c r="J31" i="338" s="1"/>
  <c r="K31" i="338" s="1"/>
  <c r="I30" i="338"/>
  <c r="J30" i="338" s="1"/>
  <c r="K30" i="338" s="1"/>
  <c r="I29" i="338"/>
  <c r="J29" i="338" s="1"/>
  <c r="K29" i="338" s="1"/>
  <c r="I28" i="338"/>
  <c r="J28" i="338" s="1"/>
  <c r="K28" i="338" s="1"/>
  <c r="I27" i="338"/>
  <c r="J27" i="338" s="1"/>
  <c r="K27" i="338" s="1"/>
  <c r="I26" i="338"/>
  <c r="J26" i="338" s="1"/>
  <c r="K26" i="338" s="1"/>
  <c r="I25" i="338"/>
  <c r="J25" i="338" s="1"/>
  <c r="K25" i="338" s="1"/>
  <c r="I24" i="338"/>
  <c r="J24" i="338" s="1"/>
  <c r="K24" i="338" s="1"/>
  <c r="I23" i="338"/>
  <c r="J23" i="338" s="1"/>
  <c r="K23" i="338" s="1"/>
  <c r="I22" i="338"/>
  <c r="J22" i="338" s="1"/>
  <c r="K22" i="338" s="1"/>
  <c r="I21" i="338"/>
  <c r="J21" i="338" s="1"/>
  <c r="K21" i="338" s="1"/>
  <c r="I20" i="338"/>
  <c r="J20" i="338" s="1"/>
  <c r="K20" i="338" s="1"/>
  <c r="I19" i="338"/>
  <c r="J19" i="338" s="1"/>
  <c r="K19" i="338" s="1"/>
  <c r="I18" i="338"/>
  <c r="J18" i="338" s="1"/>
  <c r="K18" i="338" s="1"/>
  <c r="I17" i="338"/>
  <c r="J17" i="338" s="1"/>
  <c r="K17" i="338" s="1"/>
  <c r="I16" i="338"/>
  <c r="J16" i="338" s="1"/>
  <c r="K16" i="338" s="1"/>
  <c r="I15" i="338"/>
  <c r="J15" i="338" s="1"/>
  <c r="K15" i="338" s="1"/>
  <c r="I14" i="338"/>
  <c r="J14" i="338" s="1"/>
  <c r="K14" i="338" s="1"/>
  <c r="I13" i="338"/>
  <c r="J13" i="338" s="1"/>
  <c r="K13" i="338" s="1"/>
  <c r="I12" i="338"/>
  <c r="J12" i="338" s="1"/>
  <c r="K12" i="338" s="1"/>
  <c r="I11" i="338"/>
  <c r="J11" i="338" s="1"/>
  <c r="K11" i="338" s="1"/>
  <c r="I10" i="338"/>
  <c r="J10" i="338" s="1"/>
  <c r="K10" i="338" s="1"/>
  <c r="I9" i="338"/>
  <c r="J9" i="338" s="1"/>
  <c r="K9" i="338" s="1"/>
  <c r="I8" i="338"/>
  <c r="J8" i="338" s="1"/>
  <c r="K8" i="338" s="1"/>
  <c r="I7" i="338"/>
  <c r="J7" i="338" s="1"/>
  <c r="K7" i="338" s="1"/>
  <c r="I6" i="338"/>
  <c r="J6" i="338" s="1"/>
  <c r="K6" i="338" s="1"/>
  <c r="I5" i="338"/>
  <c r="J5" i="338" s="1"/>
  <c r="K5" i="338" s="1"/>
  <c r="I4" i="338"/>
  <c r="J4" i="338" s="1"/>
  <c r="K4" i="338" s="1"/>
  <c r="I3" i="338"/>
  <c r="G1000" i="338"/>
  <c r="H1000" i="338" s="1"/>
  <c r="G999" i="338"/>
  <c r="H999" i="338" s="1"/>
  <c r="G998" i="338"/>
  <c r="H998" i="338" s="1"/>
  <c r="G997" i="338"/>
  <c r="H997" i="338" s="1"/>
  <c r="G996" i="338"/>
  <c r="H996" i="338" s="1"/>
  <c r="G995" i="338"/>
  <c r="H995" i="338" s="1"/>
  <c r="G994" i="338"/>
  <c r="H994" i="338" s="1"/>
  <c r="G993" i="338"/>
  <c r="H993" i="338" s="1"/>
  <c r="G992" i="338"/>
  <c r="H992" i="338" s="1"/>
  <c r="G991" i="338"/>
  <c r="H991" i="338" s="1"/>
  <c r="G990" i="338"/>
  <c r="H990" i="338" s="1"/>
  <c r="G989" i="338"/>
  <c r="H989" i="338" s="1"/>
  <c r="G988" i="338"/>
  <c r="H988" i="338" s="1"/>
  <c r="G987" i="338"/>
  <c r="H987" i="338" s="1"/>
  <c r="G986" i="338"/>
  <c r="H986" i="338" s="1"/>
  <c r="G985" i="338"/>
  <c r="H985" i="338" s="1"/>
  <c r="G984" i="338"/>
  <c r="H984" i="338" s="1"/>
  <c r="G983" i="338"/>
  <c r="H983" i="338" s="1"/>
  <c r="G982" i="338"/>
  <c r="H982" i="338" s="1"/>
  <c r="G981" i="338"/>
  <c r="H981" i="338" s="1"/>
  <c r="G980" i="338"/>
  <c r="H980" i="338" s="1"/>
  <c r="G979" i="338"/>
  <c r="H979" i="338" s="1"/>
  <c r="G978" i="338"/>
  <c r="H978" i="338" s="1"/>
  <c r="G977" i="338"/>
  <c r="H977" i="338" s="1"/>
  <c r="G976" i="338"/>
  <c r="H976" i="338" s="1"/>
  <c r="G975" i="338"/>
  <c r="H975" i="338" s="1"/>
  <c r="G974" i="338"/>
  <c r="H974" i="338" s="1"/>
  <c r="G973" i="338"/>
  <c r="H973" i="338" s="1"/>
  <c r="G972" i="338"/>
  <c r="H972" i="338" s="1"/>
  <c r="G971" i="338"/>
  <c r="H971" i="338" s="1"/>
  <c r="G970" i="338"/>
  <c r="H970" i="338" s="1"/>
  <c r="G969" i="338"/>
  <c r="H969" i="338" s="1"/>
  <c r="G968" i="338"/>
  <c r="H968" i="338" s="1"/>
  <c r="G967" i="338"/>
  <c r="H967" i="338" s="1"/>
  <c r="G966" i="338"/>
  <c r="H966" i="338" s="1"/>
  <c r="G965" i="338"/>
  <c r="H965" i="338" s="1"/>
  <c r="G964" i="338"/>
  <c r="H964" i="338" s="1"/>
  <c r="G963" i="338"/>
  <c r="H963" i="338" s="1"/>
  <c r="G962" i="338"/>
  <c r="H962" i="338" s="1"/>
  <c r="G961" i="338"/>
  <c r="H961" i="338" s="1"/>
  <c r="G960" i="338"/>
  <c r="H960" i="338" s="1"/>
  <c r="G959" i="338"/>
  <c r="H959" i="338" s="1"/>
  <c r="G958" i="338"/>
  <c r="H958" i="338" s="1"/>
  <c r="G957" i="338"/>
  <c r="H957" i="338" s="1"/>
  <c r="G956" i="338"/>
  <c r="H956" i="338" s="1"/>
  <c r="G955" i="338"/>
  <c r="H955" i="338" s="1"/>
  <c r="G954" i="338"/>
  <c r="H954" i="338" s="1"/>
  <c r="G953" i="338"/>
  <c r="H953" i="338" s="1"/>
  <c r="G952" i="338"/>
  <c r="H952" i="338" s="1"/>
  <c r="G951" i="338"/>
  <c r="H951" i="338" s="1"/>
  <c r="G950" i="338"/>
  <c r="H950" i="338" s="1"/>
  <c r="G949" i="338"/>
  <c r="H949" i="338" s="1"/>
  <c r="G948" i="338"/>
  <c r="H948" i="338" s="1"/>
  <c r="G947" i="338"/>
  <c r="H947" i="338" s="1"/>
  <c r="G946" i="338"/>
  <c r="H946" i="338" s="1"/>
  <c r="G945" i="338"/>
  <c r="H945" i="338" s="1"/>
  <c r="G944" i="338"/>
  <c r="H944" i="338" s="1"/>
  <c r="G943" i="338"/>
  <c r="H943" i="338" s="1"/>
  <c r="G942" i="338"/>
  <c r="H942" i="338" s="1"/>
  <c r="G941" i="338"/>
  <c r="H941" i="338" s="1"/>
  <c r="G940" i="338"/>
  <c r="H940" i="338" s="1"/>
  <c r="G939" i="338"/>
  <c r="H939" i="338" s="1"/>
  <c r="G938" i="338"/>
  <c r="H938" i="338" s="1"/>
  <c r="G937" i="338"/>
  <c r="H937" i="338" s="1"/>
  <c r="G936" i="338"/>
  <c r="H936" i="338" s="1"/>
  <c r="G935" i="338"/>
  <c r="H935" i="338" s="1"/>
  <c r="G934" i="338"/>
  <c r="H934" i="338" s="1"/>
  <c r="G933" i="338"/>
  <c r="H933" i="338" s="1"/>
  <c r="G932" i="338"/>
  <c r="H932" i="338" s="1"/>
  <c r="G931" i="338"/>
  <c r="H931" i="338" s="1"/>
  <c r="G930" i="338"/>
  <c r="H930" i="338" s="1"/>
  <c r="G929" i="338"/>
  <c r="H929" i="338" s="1"/>
  <c r="G928" i="338"/>
  <c r="H928" i="338" s="1"/>
  <c r="G927" i="338"/>
  <c r="H927" i="338" s="1"/>
  <c r="G926" i="338"/>
  <c r="H926" i="338" s="1"/>
  <c r="G925" i="338"/>
  <c r="H925" i="338" s="1"/>
  <c r="G924" i="338"/>
  <c r="H924" i="338" s="1"/>
  <c r="G923" i="338"/>
  <c r="H923" i="338" s="1"/>
  <c r="G922" i="338"/>
  <c r="H922" i="338" s="1"/>
  <c r="G921" i="338"/>
  <c r="H921" i="338" s="1"/>
  <c r="G920" i="338"/>
  <c r="H920" i="338" s="1"/>
  <c r="G919" i="338"/>
  <c r="H919" i="338" s="1"/>
  <c r="G918" i="338"/>
  <c r="H918" i="338" s="1"/>
  <c r="G917" i="338"/>
  <c r="H917" i="338" s="1"/>
  <c r="G916" i="338"/>
  <c r="H916" i="338" s="1"/>
  <c r="G915" i="338"/>
  <c r="H915" i="338" s="1"/>
  <c r="G914" i="338"/>
  <c r="H914" i="338" s="1"/>
  <c r="G913" i="338"/>
  <c r="H913" i="338" s="1"/>
  <c r="G912" i="338"/>
  <c r="H912" i="338" s="1"/>
  <c r="G911" i="338"/>
  <c r="H911" i="338" s="1"/>
  <c r="G910" i="338"/>
  <c r="H910" i="338" s="1"/>
  <c r="G909" i="338"/>
  <c r="H909" i="338" s="1"/>
  <c r="G908" i="338"/>
  <c r="H908" i="338" s="1"/>
  <c r="G907" i="338"/>
  <c r="H907" i="338" s="1"/>
  <c r="G906" i="338"/>
  <c r="H906" i="338" s="1"/>
  <c r="G905" i="338"/>
  <c r="H905" i="338" s="1"/>
  <c r="G904" i="338"/>
  <c r="H904" i="338" s="1"/>
  <c r="G903" i="338"/>
  <c r="H903" i="338" s="1"/>
  <c r="G902" i="338"/>
  <c r="H902" i="338" s="1"/>
  <c r="G901" i="338"/>
  <c r="H901" i="338" s="1"/>
  <c r="G900" i="338"/>
  <c r="H900" i="338" s="1"/>
  <c r="G899" i="338"/>
  <c r="H899" i="338" s="1"/>
  <c r="G898" i="338"/>
  <c r="H898" i="338" s="1"/>
  <c r="G897" i="338"/>
  <c r="H897" i="338" s="1"/>
  <c r="G896" i="338"/>
  <c r="H896" i="338" s="1"/>
  <c r="G895" i="338"/>
  <c r="H895" i="338" s="1"/>
  <c r="G894" i="338"/>
  <c r="H894" i="338" s="1"/>
  <c r="G893" i="338"/>
  <c r="H893" i="338" s="1"/>
  <c r="G892" i="338"/>
  <c r="H892" i="338" s="1"/>
  <c r="G891" i="338"/>
  <c r="H891" i="338" s="1"/>
  <c r="G890" i="338"/>
  <c r="H890" i="338" s="1"/>
  <c r="G889" i="338"/>
  <c r="H889" i="338" s="1"/>
  <c r="G888" i="338"/>
  <c r="H888" i="338" s="1"/>
  <c r="G887" i="338"/>
  <c r="H887" i="338" s="1"/>
  <c r="G886" i="338"/>
  <c r="H886" i="338" s="1"/>
  <c r="G885" i="338"/>
  <c r="H885" i="338" s="1"/>
  <c r="G884" i="338"/>
  <c r="H884" i="338" s="1"/>
  <c r="G883" i="338"/>
  <c r="H883" i="338" s="1"/>
  <c r="G882" i="338"/>
  <c r="H882" i="338" s="1"/>
  <c r="G881" i="338"/>
  <c r="H881" i="338" s="1"/>
  <c r="G880" i="338"/>
  <c r="H880" i="338" s="1"/>
  <c r="G879" i="338"/>
  <c r="H879" i="338" s="1"/>
  <c r="G878" i="338"/>
  <c r="H878" i="338" s="1"/>
  <c r="G877" i="338"/>
  <c r="H877" i="338" s="1"/>
  <c r="G876" i="338"/>
  <c r="H876" i="338" s="1"/>
  <c r="G875" i="338"/>
  <c r="H875" i="338" s="1"/>
  <c r="G874" i="338"/>
  <c r="H874" i="338" s="1"/>
  <c r="G873" i="338"/>
  <c r="H873" i="338" s="1"/>
  <c r="G872" i="338"/>
  <c r="H872" i="338" s="1"/>
  <c r="G871" i="338"/>
  <c r="H871" i="338" s="1"/>
  <c r="G870" i="338"/>
  <c r="H870" i="338" s="1"/>
  <c r="G869" i="338"/>
  <c r="H869" i="338" s="1"/>
  <c r="G868" i="338"/>
  <c r="H868" i="338" s="1"/>
  <c r="G867" i="338"/>
  <c r="H867" i="338" s="1"/>
  <c r="G866" i="338"/>
  <c r="H866" i="338" s="1"/>
  <c r="G865" i="338"/>
  <c r="H865" i="338" s="1"/>
  <c r="G864" i="338"/>
  <c r="H864" i="338" s="1"/>
  <c r="G863" i="338"/>
  <c r="H863" i="338" s="1"/>
  <c r="G862" i="338"/>
  <c r="H862" i="338" s="1"/>
  <c r="G861" i="338"/>
  <c r="H861" i="338" s="1"/>
  <c r="G860" i="338"/>
  <c r="H860" i="338" s="1"/>
  <c r="G859" i="338"/>
  <c r="H859" i="338" s="1"/>
  <c r="G858" i="338"/>
  <c r="H858" i="338" s="1"/>
  <c r="G857" i="338"/>
  <c r="H857" i="338" s="1"/>
  <c r="G856" i="338"/>
  <c r="H856" i="338" s="1"/>
  <c r="G855" i="338"/>
  <c r="H855" i="338" s="1"/>
  <c r="G854" i="338"/>
  <c r="H854" i="338" s="1"/>
  <c r="G853" i="338"/>
  <c r="H853" i="338" s="1"/>
  <c r="G852" i="338"/>
  <c r="H852" i="338" s="1"/>
  <c r="G851" i="338"/>
  <c r="H851" i="338" s="1"/>
  <c r="G850" i="338"/>
  <c r="H850" i="338" s="1"/>
  <c r="G849" i="338"/>
  <c r="H849" i="338" s="1"/>
  <c r="G848" i="338"/>
  <c r="H848" i="338" s="1"/>
  <c r="G847" i="338"/>
  <c r="H847" i="338" s="1"/>
  <c r="G846" i="338"/>
  <c r="H846" i="338" s="1"/>
  <c r="G845" i="338"/>
  <c r="H845" i="338" s="1"/>
  <c r="G844" i="338"/>
  <c r="H844" i="338" s="1"/>
  <c r="G843" i="338"/>
  <c r="H843" i="338" s="1"/>
  <c r="G842" i="338"/>
  <c r="H842" i="338" s="1"/>
  <c r="G841" i="338"/>
  <c r="H841" i="338" s="1"/>
  <c r="G840" i="338"/>
  <c r="H840" i="338" s="1"/>
  <c r="G839" i="338"/>
  <c r="H839" i="338" s="1"/>
  <c r="G838" i="338"/>
  <c r="H838" i="338" s="1"/>
  <c r="G837" i="338"/>
  <c r="H837" i="338" s="1"/>
  <c r="G836" i="338"/>
  <c r="H836" i="338" s="1"/>
  <c r="G835" i="338"/>
  <c r="H835" i="338" s="1"/>
  <c r="G834" i="338"/>
  <c r="H834" i="338" s="1"/>
  <c r="G833" i="338"/>
  <c r="H833" i="338" s="1"/>
  <c r="G832" i="338"/>
  <c r="H832" i="338" s="1"/>
  <c r="G831" i="338"/>
  <c r="H831" i="338" s="1"/>
  <c r="G830" i="338"/>
  <c r="H830" i="338" s="1"/>
  <c r="G829" i="338"/>
  <c r="H829" i="338" s="1"/>
  <c r="G828" i="338"/>
  <c r="H828" i="338" s="1"/>
  <c r="G827" i="338"/>
  <c r="H827" i="338" s="1"/>
  <c r="G826" i="338"/>
  <c r="H826" i="338" s="1"/>
  <c r="G825" i="338"/>
  <c r="H825" i="338" s="1"/>
  <c r="G824" i="338"/>
  <c r="H824" i="338" s="1"/>
  <c r="G823" i="338"/>
  <c r="H823" i="338" s="1"/>
  <c r="G822" i="338"/>
  <c r="H822" i="338" s="1"/>
  <c r="G821" i="338"/>
  <c r="H821" i="338" s="1"/>
  <c r="G820" i="338"/>
  <c r="H820" i="338" s="1"/>
  <c r="G819" i="338"/>
  <c r="H819" i="338" s="1"/>
  <c r="G818" i="338"/>
  <c r="H818" i="338" s="1"/>
  <c r="G817" i="338"/>
  <c r="H817" i="338" s="1"/>
  <c r="G816" i="338"/>
  <c r="H816" i="338" s="1"/>
  <c r="G815" i="338"/>
  <c r="H815" i="338" s="1"/>
  <c r="G814" i="338"/>
  <c r="H814" i="338" s="1"/>
  <c r="G813" i="338"/>
  <c r="H813" i="338" s="1"/>
  <c r="G812" i="338"/>
  <c r="H812" i="338" s="1"/>
  <c r="G811" i="338"/>
  <c r="H811" i="338" s="1"/>
  <c r="G810" i="338"/>
  <c r="H810" i="338" s="1"/>
  <c r="G809" i="338"/>
  <c r="H809" i="338" s="1"/>
  <c r="G808" i="338"/>
  <c r="H808" i="338" s="1"/>
  <c r="G807" i="338"/>
  <c r="H807" i="338" s="1"/>
  <c r="G806" i="338"/>
  <c r="H806" i="338" s="1"/>
  <c r="G805" i="338"/>
  <c r="H805" i="338" s="1"/>
  <c r="G804" i="338"/>
  <c r="H804" i="338" s="1"/>
  <c r="G803" i="338"/>
  <c r="H803" i="338" s="1"/>
  <c r="G802" i="338"/>
  <c r="H802" i="338" s="1"/>
  <c r="G801" i="338"/>
  <c r="H801" i="338" s="1"/>
  <c r="G800" i="338"/>
  <c r="H800" i="338" s="1"/>
  <c r="G799" i="338"/>
  <c r="H799" i="338" s="1"/>
  <c r="G798" i="338"/>
  <c r="H798" i="338" s="1"/>
  <c r="G797" i="338"/>
  <c r="H797" i="338" s="1"/>
  <c r="G796" i="338"/>
  <c r="H796" i="338" s="1"/>
  <c r="G795" i="338"/>
  <c r="H795" i="338" s="1"/>
  <c r="G794" i="338"/>
  <c r="H794" i="338" s="1"/>
  <c r="G793" i="338"/>
  <c r="H793" i="338" s="1"/>
  <c r="G792" i="338"/>
  <c r="H792" i="338" s="1"/>
  <c r="G791" i="338"/>
  <c r="H791" i="338" s="1"/>
  <c r="G790" i="338"/>
  <c r="H790" i="338" s="1"/>
  <c r="G789" i="338"/>
  <c r="H789" i="338" s="1"/>
  <c r="G788" i="338"/>
  <c r="H788" i="338" s="1"/>
  <c r="G787" i="338"/>
  <c r="H787" i="338" s="1"/>
  <c r="G786" i="338"/>
  <c r="H786" i="338" s="1"/>
  <c r="G785" i="338"/>
  <c r="H785" i="338" s="1"/>
  <c r="G784" i="338"/>
  <c r="H784" i="338" s="1"/>
  <c r="G783" i="338"/>
  <c r="H783" i="338" s="1"/>
  <c r="G782" i="338"/>
  <c r="H782" i="338" s="1"/>
  <c r="G781" i="338"/>
  <c r="H781" i="338" s="1"/>
  <c r="G780" i="338"/>
  <c r="H780" i="338" s="1"/>
  <c r="G779" i="338"/>
  <c r="H779" i="338" s="1"/>
  <c r="G778" i="338"/>
  <c r="H778" i="338" s="1"/>
  <c r="G777" i="338"/>
  <c r="H777" i="338" s="1"/>
  <c r="G776" i="338"/>
  <c r="H776" i="338" s="1"/>
  <c r="G775" i="338"/>
  <c r="H775" i="338" s="1"/>
  <c r="G774" i="338"/>
  <c r="H774" i="338" s="1"/>
  <c r="G773" i="338"/>
  <c r="H773" i="338" s="1"/>
  <c r="G772" i="338"/>
  <c r="H772" i="338" s="1"/>
  <c r="G771" i="338"/>
  <c r="H771" i="338" s="1"/>
  <c r="G770" i="338"/>
  <c r="H770" i="338" s="1"/>
  <c r="G769" i="338"/>
  <c r="H769" i="338" s="1"/>
  <c r="G768" i="338"/>
  <c r="H768" i="338" s="1"/>
  <c r="G767" i="338"/>
  <c r="H767" i="338" s="1"/>
  <c r="G766" i="338"/>
  <c r="H766" i="338" s="1"/>
  <c r="G765" i="338"/>
  <c r="H765" i="338" s="1"/>
  <c r="G764" i="338"/>
  <c r="H764" i="338" s="1"/>
  <c r="G763" i="338"/>
  <c r="H763" i="338" s="1"/>
  <c r="G762" i="338"/>
  <c r="H762" i="338" s="1"/>
  <c r="G761" i="338"/>
  <c r="H761" i="338" s="1"/>
  <c r="G760" i="338"/>
  <c r="H760" i="338" s="1"/>
  <c r="G759" i="338"/>
  <c r="H759" i="338" s="1"/>
  <c r="G758" i="338"/>
  <c r="H758" i="338" s="1"/>
  <c r="G757" i="338"/>
  <c r="H757" i="338" s="1"/>
  <c r="G756" i="338"/>
  <c r="H756" i="338" s="1"/>
  <c r="G755" i="338"/>
  <c r="H755" i="338" s="1"/>
  <c r="G754" i="338"/>
  <c r="H754" i="338" s="1"/>
  <c r="G753" i="338"/>
  <c r="H753" i="338" s="1"/>
  <c r="G752" i="338"/>
  <c r="H752" i="338" s="1"/>
  <c r="G751" i="338"/>
  <c r="H751" i="338" s="1"/>
  <c r="G750" i="338"/>
  <c r="H750" i="338" s="1"/>
  <c r="G749" i="338"/>
  <c r="H749" i="338" s="1"/>
  <c r="G748" i="338"/>
  <c r="H748" i="338" s="1"/>
  <c r="G747" i="338"/>
  <c r="H747" i="338" s="1"/>
  <c r="G746" i="338"/>
  <c r="H746" i="338" s="1"/>
  <c r="G745" i="338"/>
  <c r="H745" i="338" s="1"/>
  <c r="G744" i="338"/>
  <c r="H744" i="338" s="1"/>
  <c r="G743" i="338"/>
  <c r="H743" i="338" s="1"/>
  <c r="G742" i="338"/>
  <c r="H742" i="338" s="1"/>
  <c r="G741" i="338"/>
  <c r="H741" i="338" s="1"/>
  <c r="G740" i="338"/>
  <c r="H740" i="338" s="1"/>
  <c r="G739" i="338"/>
  <c r="H739" i="338" s="1"/>
  <c r="G738" i="338"/>
  <c r="H738" i="338" s="1"/>
  <c r="G737" i="338"/>
  <c r="H737" i="338" s="1"/>
  <c r="G736" i="338"/>
  <c r="H736" i="338" s="1"/>
  <c r="G735" i="338"/>
  <c r="H735" i="338" s="1"/>
  <c r="G734" i="338"/>
  <c r="H734" i="338" s="1"/>
  <c r="G733" i="338"/>
  <c r="H733" i="338" s="1"/>
  <c r="G732" i="338"/>
  <c r="H732" i="338" s="1"/>
  <c r="G731" i="338"/>
  <c r="H731" i="338" s="1"/>
  <c r="G730" i="338"/>
  <c r="H730" i="338" s="1"/>
  <c r="G729" i="338"/>
  <c r="H729" i="338" s="1"/>
  <c r="G728" i="338"/>
  <c r="H728" i="338" s="1"/>
  <c r="G727" i="338"/>
  <c r="H727" i="338" s="1"/>
  <c r="G726" i="338"/>
  <c r="H726" i="338" s="1"/>
  <c r="G725" i="338"/>
  <c r="H725" i="338" s="1"/>
  <c r="G724" i="338"/>
  <c r="H724" i="338" s="1"/>
  <c r="G723" i="338"/>
  <c r="H723" i="338" s="1"/>
  <c r="G722" i="338"/>
  <c r="H722" i="338" s="1"/>
  <c r="G721" i="338"/>
  <c r="H721" i="338" s="1"/>
  <c r="G720" i="338"/>
  <c r="H720" i="338" s="1"/>
  <c r="G719" i="338"/>
  <c r="H719" i="338" s="1"/>
  <c r="G718" i="338"/>
  <c r="H718" i="338" s="1"/>
  <c r="G717" i="338"/>
  <c r="H717" i="338" s="1"/>
  <c r="G716" i="338"/>
  <c r="H716" i="338" s="1"/>
  <c r="G715" i="338"/>
  <c r="H715" i="338" s="1"/>
  <c r="G714" i="338"/>
  <c r="H714" i="338" s="1"/>
  <c r="G713" i="338"/>
  <c r="H713" i="338" s="1"/>
  <c r="G712" i="338"/>
  <c r="H712" i="338" s="1"/>
  <c r="G711" i="338"/>
  <c r="H711" i="338" s="1"/>
  <c r="G710" i="338"/>
  <c r="H710" i="338" s="1"/>
  <c r="G709" i="338"/>
  <c r="H709" i="338" s="1"/>
  <c r="G708" i="338"/>
  <c r="H708" i="338" s="1"/>
  <c r="G707" i="338"/>
  <c r="H707" i="338" s="1"/>
  <c r="G706" i="338"/>
  <c r="H706" i="338" s="1"/>
  <c r="G705" i="338"/>
  <c r="H705" i="338" s="1"/>
  <c r="G704" i="338"/>
  <c r="H704" i="338" s="1"/>
  <c r="G703" i="338"/>
  <c r="H703" i="338" s="1"/>
  <c r="G702" i="338"/>
  <c r="H702" i="338" s="1"/>
  <c r="G701" i="338"/>
  <c r="H701" i="338" s="1"/>
  <c r="G700" i="338"/>
  <c r="H700" i="338" s="1"/>
  <c r="G699" i="338"/>
  <c r="H699" i="338" s="1"/>
  <c r="G698" i="338"/>
  <c r="H698" i="338" s="1"/>
  <c r="G697" i="338"/>
  <c r="H697" i="338" s="1"/>
  <c r="G696" i="338"/>
  <c r="H696" i="338" s="1"/>
  <c r="G695" i="338"/>
  <c r="H695" i="338" s="1"/>
  <c r="G694" i="338"/>
  <c r="H694" i="338" s="1"/>
  <c r="G693" i="338"/>
  <c r="H693" i="338" s="1"/>
  <c r="G692" i="338"/>
  <c r="H692" i="338" s="1"/>
  <c r="G691" i="338"/>
  <c r="H691" i="338" s="1"/>
  <c r="G690" i="338"/>
  <c r="H690" i="338" s="1"/>
  <c r="G689" i="338"/>
  <c r="H689" i="338" s="1"/>
  <c r="G688" i="338"/>
  <c r="H688" i="338" s="1"/>
  <c r="G687" i="338"/>
  <c r="H687" i="338" s="1"/>
  <c r="G686" i="338"/>
  <c r="H686" i="338" s="1"/>
  <c r="G685" i="338"/>
  <c r="H685" i="338" s="1"/>
  <c r="G684" i="338"/>
  <c r="H684" i="338" s="1"/>
  <c r="G683" i="338"/>
  <c r="H683" i="338" s="1"/>
  <c r="G682" i="338"/>
  <c r="H682" i="338" s="1"/>
  <c r="G681" i="338"/>
  <c r="H681" i="338" s="1"/>
  <c r="G680" i="338"/>
  <c r="H680" i="338" s="1"/>
  <c r="G679" i="338"/>
  <c r="H679" i="338" s="1"/>
  <c r="G678" i="338"/>
  <c r="H678" i="338" s="1"/>
  <c r="G677" i="338"/>
  <c r="H677" i="338" s="1"/>
  <c r="G676" i="338"/>
  <c r="H676" i="338" s="1"/>
  <c r="G675" i="338"/>
  <c r="H675" i="338" s="1"/>
  <c r="G674" i="338"/>
  <c r="H674" i="338" s="1"/>
  <c r="G673" i="338"/>
  <c r="H673" i="338" s="1"/>
  <c r="G672" i="338"/>
  <c r="H672" i="338" s="1"/>
  <c r="G671" i="338"/>
  <c r="H671" i="338" s="1"/>
  <c r="G670" i="338"/>
  <c r="H670" i="338" s="1"/>
  <c r="G669" i="338"/>
  <c r="H669" i="338" s="1"/>
  <c r="G668" i="338"/>
  <c r="H668" i="338" s="1"/>
  <c r="G667" i="338"/>
  <c r="H667" i="338" s="1"/>
  <c r="G666" i="338"/>
  <c r="H666" i="338" s="1"/>
  <c r="G665" i="338"/>
  <c r="H665" i="338" s="1"/>
  <c r="G664" i="338"/>
  <c r="H664" i="338" s="1"/>
  <c r="G663" i="338"/>
  <c r="H663" i="338" s="1"/>
  <c r="G662" i="338"/>
  <c r="H662" i="338" s="1"/>
  <c r="G661" i="338"/>
  <c r="H661" i="338" s="1"/>
  <c r="G660" i="338"/>
  <c r="H660" i="338" s="1"/>
  <c r="G659" i="338"/>
  <c r="H659" i="338" s="1"/>
  <c r="G658" i="338"/>
  <c r="H658" i="338" s="1"/>
  <c r="G657" i="338"/>
  <c r="H657" i="338" s="1"/>
  <c r="G656" i="338"/>
  <c r="H656" i="338" s="1"/>
  <c r="G655" i="338"/>
  <c r="H655" i="338" s="1"/>
  <c r="G654" i="338"/>
  <c r="H654" i="338" s="1"/>
  <c r="G653" i="338"/>
  <c r="H653" i="338" s="1"/>
  <c r="G652" i="338"/>
  <c r="H652" i="338" s="1"/>
  <c r="G651" i="338"/>
  <c r="H651" i="338" s="1"/>
  <c r="G650" i="338"/>
  <c r="H650" i="338" s="1"/>
  <c r="G649" i="338"/>
  <c r="H649" i="338" s="1"/>
  <c r="G648" i="338"/>
  <c r="H648" i="338" s="1"/>
  <c r="G647" i="338"/>
  <c r="H647" i="338" s="1"/>
  <c r="G646" i="338"/>
  <c r="H646" i="338" s="1"/>
  <c r="G645" i="338"/>
  <c r="H645" i="338" s="1"/>
  <c r="G644" i="338"/>
  <c r="H644" i="338" s="1"/>
  <c r="G643" i="338"/>
  <c r="H643" i="338" s="1"/>
  <c r="G642" i="338"/>
  <c r="H642" i="338" s="1"/>
  <c r="G641" i="338"/>
  <c r="H641" i="338" s="1"/>
  <c r="G640" i="338"/>
  <c r="H640" i="338" s="1"/>
  <c r="G639" i="338"/>
  <c r="H639" i="338" s="1"/>
  <c r="G638" i="338"/>
  <c r="H638" i="338" s="1"/>
  <c r="G637" i="338"/>
  <c r="H637" i="338" s="1"/>
  <c r="G636" i="338"/>
  <c r="H636" i="338" s="1"/>
  <c r="G635" i="338"/>
  <c r="H635" i="338" s="1"/>
  <c r="G634" i="338"/>
  <c r="H634" i="338" s="1"/>
  <c r="G633" i="338"/>
  <c r="H633" i="338" s="1"/>
  <c r="G632" i="338"/>
  <c r="H632" i="338" s="1"/>
  <c r="G631" i="338"/>
  <c r="H631" i="338" s="1"/>
  <c r="G630" i="338"/>
  <c r="H630" i="338" s="1"/>
  <c r="G629" i="338"/>
  <c r="H629" i="338" s="1"/>
  <c r="G628" i="338"/>
  <c r="H628" i="338" s="1"/>
  <c r="G627" i="338"/>
  <c r="H627" i="338" s="1"/>
  <c r="G626" i="338"/>
  <c r="H626" i="338" s="1"/>
  <c r="G625" i="338"/>
  <c r="H625" i="338" s="1"/>
  <c r="G624" i="338"/>
  <c r="H624" i="338" s="1"/>
  <c r="G623" i="338"/>
  <c r="H623" i="338" s="1"/>
  <c r="G622" i="338"/>
  <c r="H622" i="338" s="1"/>
  <c r="G621" i="338"/>
  <c r="H621" i="338" s="1"/>
  <c r="G620" i="338"/>
  <c r="H620" i="338" s="1"/>
  <c r="G619" i="338"/>
  <c r="H619" i="338" s="1"/>
  <c r="G618" i="338"/>
  <c r="H618" i="338" s="1"/>
  <c r="G617" i="338"/>
  <c r="H617" i="338" s="1"/>
  <c r="G616" i="338"/>
  <c r="H616" i="338" s="1"/>
  <c r="G615" i="338"/>
  <c r="H615" i="338" s="1"/>
  <c r="G614" i="338"/>
  <c r="H614" i="338" s="1"/>
  <c r="G613" i="338"/>
  <c r="H613" i="338" s="1"/>
  <c r="G612" i="338"/>
  <c r="H612" i="338" s="1"/>
  <c r="G611" i="338"/>
  <c r="H611" i="338" s="1"/>
  <c r="G610" i="338"/>
  <c r="H610" i="338" s="1"/>
  <c r="G609" i="338"/>
  <c r="H609" i="338" s="1"/>
  <c r="G608" i="338"/>
  <c r="H608" i="338" s="1"/>
  <c r="G607" i="338"/>
  <c r="H607" i="338" s="1"/>
  <c r="G606" i="338"/>
  <c r="H606" i="338" s="1"/>
  <c r="G605" i="338"/>
  <c r="H605" i="338" s="1"/>
  <c r="G604" i="338"/>
  <c r="H604" i="338" s="1"/>
  <c r="G603" i="338"/>
  <c r="H603" i="338" s="1"/>
  <c r="G602" i="338"/>
  <c r="H602" i="338" s="1"/>
  <c r="G601" i="338"/>
  <c r="H601" i="338" s="1"/>
  <c r="G600" i="338"/>
  <c r="H600" i="338" s="1"/>
  <c r="G599" i="338"/>
  <c r="H599" i="338" s="1"/>
  <c r="G598" i="338"/>
  <c r="H598" i="338" s="1"/>
  <c r="G597" i="338"/>
  <c r="H597" i="338" s="1"/>
  <c r="G596" i="338"/>
  <c r="H596" i="338" s="1"/>
  <c r="G595" i="338"/>
  <c r="H595" i="338" s="1"/>
  <c r="G594" i="338"/>
  <c r="H594" i="338" s="1"/>
  <c r="G593" i="338"/>
  <c r="H593" i="338" s="1"/>
  <c r="G592" i="338"/>
  <c r="H592" i="338" s="1"/>
  <c r="G591" i="338"/>
  <c r="H591" i="338" s="1"/>
  <c r="G590" i="338"/>
  <c r="H590" i="338" s="1"/>
  <c r="G589" i="338"/>
  <c r="H589" i="338" s="1"/>
  <c r="G588" i="338"/>
  <c r="H588" i="338" s="1"/>
  <c r="G587" i="338"/>
  <c r="H587" i="338" s="1"/>
  <c r="G586" i="338"/>
  <c r="H586" i="338" s="1"/>
  <c r="G585" i="338"/>
  <c r="H585" i="338" s="1"/>
  <c r="G584" i="338"/>
  <c r="H584" i="338" s="1"/>
  <c r="G583" i="338"/>
  <c r="H583" i="338" s="1"/>
  <c r="G582" i="338"/>
  <c r="H582" i="338" s="1"/>
  <c r="G581" i="338"/>
  <c r="H581" i="338" s="1"/>
  <c r="G580" i="338"/>
  <c r="H580" i="338" s="1"/>
  <c r="G579" i="338"/>
  <c r="H579" i="338" s="1"/>
  <c r="G578" i="338"/>
  <c r="H578" i="338" s="1"/>
  <c r="G577" i="338"/>
  <c r="H577" i="338" s="1"/>
  <c r="G576" i="338"/>
  <c r="H576" i="338" s="1"/>
  <c r="G575" i="338"/>
  <c r="H575" i="338" s="1"/>
  <c r="G574" i="338"/>
  <c r="H574" i="338" s="1"/>
  <c r="G573" i="338"/>
  <c r="H573" i="338" s="1"/>
  <c r="G572" i="338"/>
  <c r="H572" i="338" s="1"/>
  <c r="G571" i="338"/>
  <c r="H571" i="338" s="1"/>
  <c r="G570" i="338"/>
  <c r="H570" i="338" s="1"/>
  <c r="G569" i="338"/>
  <c r="H569" i="338" s="1"/>
  <c r="G568" i="338"/>
  <c r="H568" i="338" s="1"/>
  <c r="G567" i="338"/>
  <c r="H567" i="338" s="1"/>
  <c r="G566" i="338"/>
  <c r="H566" i="338" s="1"/>
  <c r="G565" i="338"/>
  <c r="H565" i="338" s="1"/>
  <c r="G564" i="338"/>
  <c r="H564" i="338" s="1"/>
  <c r="G563" i="338"/>
  <c r="H563" i="338" s="1"/>
  <c r="G562" i="338"/>
  <c r="H562" i="338" s="1"/>
  <c r="G561" i="338"/>
  <c r="H561" i="338" s="1"/>
  <c r="G560" i="338"/>
  <c r="H560" i="338" s="1"/>
  <c r="G559" i="338"/>
  <c r="H559" i="338" s="1"/>
  <c r="G558" i="338"/>
  <c r="H558" i="338" s="1"/>
  <c r="G557" i="338"/>
  <c r="H557" i="338" s="1"/>
  <c r="G556" i="338"/>
  <c r="H556" i="338" s="1"/>
  <c r="G555" i="338"/>
  <c r="H555" i="338" s="1"/>
  <c r="G554" i="338"/>
  <c r="H554" i="338" s="1"/>
  <c r="G553" i="338"/>
  <c r="H553" i="338" s="1"/>
  <c r="G552" i="338"/>
  <c r="H552" i="338" s="1"/>
  <c r="G551" i="338"/>
  <c r="H551" i="338" s="1"/>
  <c r="G550" i="338"/>
  <c r="H550" i="338" s="1"/>
  <c r="G549" i="338"/>
  <c r="H549" i="338" s="1"/>
  <c r="G548" i="338"/>
  <c r="H548" i="338" s="1"/>
  <c r="G547" i="338"/>
  <c r="H547" i="338" s="1"/>
  <c r="G546" i="338"/>
  <c r="H546" i="338" s="1"/>
  <c r="G545" i="338"/>
  <c r="H545" i="338" s="1"/>
  <c r="G544" i="338"/>
  <c r="H544" i="338" s="1"/>
  <c r="G543" i="338"/>
  <c r="H543" i="338" s="1"/>
  <c r="G542" i="338"/>
  <c r="H542" i="338" s="1"/>
  <c r="G541" i="338"/>
  <c r="H541" i="338" s="1"/>
  <c r="G540" i="338"/>
  <c r="H540" i="338" s="1"/>
  <c r="G539" i="338"/>
  <c r="H539" i="338" s="1"/>
  <c r="G538" i="338"/>
  <c r="H538" i="338" s="1"/>
  <c r="G537" i="338"/>
  <c r="H537" i="338" s="1"/>
  <c r="G536" i="338"/>
  <c r="H536" i="338" s="1"/>
  <c r="G535" i="338"/>
  <c r="H535" i="338" s="1"/>
  <c r="G534" i="338"/>
  <c r="H534" i="338" s="1"/>
  <c r="G533" i="338"/>
  <c r="H533" i="338" s="1"/>
  <c r="G532" i="338"/>
  <c r="H532" i="338" s="1"/>
  <c r="G531" i="338"/>
  <c r="H531" i="338" s="1"/>
  <c r="G530" i="338"/>
  <c r="H530" i="338" s="1"/>
  <c r="G529" i="338"/>
  <c r="H529" i="338" s="1"/>
  <c r="G528" i="338"/>
  <c r="H528" i="338" s="1"/>
  <c r="G527" i="338"/>
  <c r="H527" i="338" s="1"/>
  <c r="G526" i="338"/>
  <c r="H526" i="338" s="1"/>
  <c r="G525" i="338"/>
  <c r="H525" i="338" s="1"/>
  <c r="G524" i="338"/>
  <c r="H524" i="338" s="1"/>
  <c r="G523" i="338"/>
  <c r="H523" i="338" s="1"/>
  <c r="G522" i="338"/>
  <c r="H522" i="338" s="1"/>
  <c r="G521" i="338"/>
  <c r="H521" i="338" s="1"/>
  <c r="G520" i="338"/>
  <c r="H520" i="338" s="1"/>
  <c r="G519" i="338"/>
  <c r="H519" i="338" s="1"/>
  <c r="G518" i="338"/>
  <c r="H518" i="338" s="1"/>
  <c r="G517" i="338"/>
  <c r="H517" i="338" s="1"/>
  <c r="G516" i="338"/>
  <c r="H516" i="338" s="1"/>
  <c r="G515" i="338"/>
  <c r="H515" i="338" s="1"/>
  <c r="G514" i="338"/>
  <c r="H514" i="338" s="1"/>
  <c r="G513" i="338"/>
  <c r="H513" i="338" s="1"/>
  <c r="G512" i="338"/>
  <c r="H512" i="338" s="1"/>
  <c r="G511" i="338"/>
  <c r="H511" i="338" s="1"/>
  <c r="G510" i="338"/>
  <c r="H510" i="338" s="1"/>
  <c r="G509" i="338"/>
  <c r="H509" i="338" s="1"/>
  <c r="G508" i="338"/>
  <c r="H508" i="338" s="1"/>
  <c r="G507" i="338"/>
  <c r="H507" i="338" s="1"/>
  <c r="G506" i="338"/>
  <c r="H506" i="338" s="1"/>
  <c r="G505" i="338"/>
  <c r="H505" i="338" s="1"/>
  <c r="G504" i="338"/>
  <c r="H504" i="338" s="1"/>
  <c r="G503" i="338"/>
  <c r="H503" i="338" s="1"/>
  <c r="G502" i="338"/>
  <c r="H502" i="338" s="1"/>
  <c r="G501" i="338"/>
  <c r="H501" i="338" s="1"/>
  <c r="G500" i="338"/>
  <c r="H500" i="338" s="1"/>
  <c r="G499" i="338"/>
  <c r="H499" i="338" s="1"/>
  <c r="G498" i="338"/>
  <c r="H498" i="338" s="1"/>
  <c r="G497" i="338"/>
  <c r="H497" i="338" s="1"/>
  <c r="G496" i="338"/>
  <c r="H496" i="338" s="1"/>
  <c r="G495" i="338"/>
  <c r="H495" i="338" s="1"/>
  <c r="G494" i="338"/>
  <c r="H494" i="338" s="1"/>
  <c r="G493" i="338"/>
  <c r="H493" i="338" s="1"/>
  <c r="G492" i="338"/>
  <c r="H492" i="338" s="1"/>
  <c r="G491" i="338"/>
  <c r="H491" i="338" s="1"/>
  <c r="G490" i="338"/>
  <c r="H490" i="338" s="1"/>
  <c r="G489" i="338"/>
  <c r="H489" i="338" s="1"/>
  <c r="G488" i="338"/>
  <c r="H488" i="338" s="1"/>
  <c r="G487" i="338"/>
  <c r="H487" i="338" s="1"/>
  <c r="G486" i="338"/>
  <c r="H486" i="338" s="1"/>
  <c r="G485" i="338"/>
  <c r="H485" i="338" s="1"/>
  <c r="G484" i="338"/>
  <c r="H484" i="338" s="1"/>
  <c r="G483" i="338"/>
  <c r="H483" i="338" s="1"/>
  <c r="G482" i="338"/>
  <c r="H482" i="338" s="1"/>
  <c r="G481" i="338"/>
  <c r="H481" i="338" s="1"/>
  <c r="G480" i="338"/>
  <c r="H480" i="338" s="1"/>
  <c r="G479" i="338"/>
  <c r="H479" i="338" s="1"/>
  <c r="G478" i="338"/>
  <c r="H478" i="338" s="1"/>
  <c r="G477" i="338"/>
  <c r="H477" i="338" s="1"/>
  <c r="G476" i="338"/>
  <c r="H476" i="338" s="1"/>
  <c r="G475" i="338"/>
  <c r="H475" i="338" s="1"/>
  <c r="G474" i="338"/>
  <c r="H474" i="338" s="1"/>
  <c r="G473" i="338"/>
  <c r="H473" i="338" s="1"/>
  <c r="G472" i="338"/>
  <c r="H472" i="338" s="1"/>
  <c r="G471" i="338"/>
  <c r="H471" i="338" s="1"/>
  <c r="G470" i="338"/>
  <c r="H470" i="338" s="1"/>
  <c r="G469" i="338"/>
  <c r="H469" i="338" s="1"/>
  <c r="G468" i="338"/>
  <c r="H468" i="338" s="1"/>
  <c r="G467" i="338"/>
  <c r="H467" i="338" s="1"/>
  <c r="G466" i="338"/>
  <c r="H466" i="338" s="1"/>
  <c r="G465" i="338"/>
  <c r="H465" i="338" s="1"/>
  <c r="G464" i="338"/>
  <c r="H464" i="338" s="1"/>
  <c r="G463" i="338"/>
  <c r="H463" i="338" s="1"/>
  <c r="G462" i="338"/>
  <c r="H462" i="338" s="1"/>
  <c r="G461" i="338"/>
  <c r="H461" i="338" s="1"/>
  <c r="G460" i="338"/>
  <c r="H460" i="338" s="1"/>
  <c r="G459" i="338"/>
  <c r="H459" i="338" s="1"/>
  <c r="G458" i="338"/>
  <c r="H458" i="338" s="1"/>
  <c r="G457" i="338"/>
  <c r="H457" i="338" s="1"/>
  <c r="G456" i="338"/>
  <c r="H456" i="338" s="1"/>
  <c r="G455" i="338"/>
  <c r="H455" i="338" s="1"/>
  <c r="G454" i="338"/>
  <c r="H454" i="338" s="1"/>
  <c r="G453" i="338"/>
  <c r="H453" i="338" s="1"/>
  <c r="G452" i="338"/>
  <c r="H452" i="338" s="1"/>
  <c r="G451" i="338"/>
  <c r="H451" i="338" s="1"/>
  <c r="G450" i="338"/>
  <c r="H450" i="338" s="1"/>
  <c r="G449" i="338"/>
  <c r="H449" i="338" s="1"/>
  <c r="G448" i="338"/>
  <c r="H448" i="338" s="1"/>
  <c r="G447" i="338"/>
  <c r="H447" i="338" s="1"/>
  <c r="G446" i="338"/>
  <c r="H446" i="338" s="1"/>
  <c r="G445" i="338"/>
  <c r="H445" i="338" s="1"/>
  <c r="G444" i="338"/>
  <c r="H444" i="338" s="1"/>
  <c r="G443" i="338"/>
  <c r="H443" i="338" s="1"/>
  <c r="G442" i="338"/>
  <c r="H442" i="338" s="1"/>
  <c r="G441" i="338"/>
  <c r="H441" i="338" s="1"/>
  <c r="G440" i="338"/>
  <c r="H440" i="338" s="1"/>
  <c r="G439" i="338"/>
  <c r="H439" i="338" s="1"/>
  <c r="G438" i="338"/>
  <c r="H438" i="338" s="1"/>
  <c r="G437" i="338"/>
  <c r="H437" i="338" s="1"/>
  <c r="G436" i="338"/>
  <c r="H436" i="338" s="1"/>
  <c r="G435" i="338"/>
  <c r="H435" i="338" s="1"/>
  <c r="G434" i="338"/>
  <c r="H434" i="338" s="1"/>
  <c r="G433" i="338"/>
  <c r="H433" i="338" s="1"/>
  <c r="G432" i="338"/>
  <c r="H432" i="338" s="1"/>
  <c r="G431" i="338"/>
  <c r="H431" i="338" s="1"/>
  <c r="G430" i="338"/>
  <c r="H430" i="338" s="1"/>
  <c r="G429" i="338"/>
  <c r="H429" i="338" s="1"/>
  <c r="G428" i="338"/>
  <c r="H428" i="338" s="1"/>
  <c r="G427" i="338"/>
  <c r="H427" i="338" s="1"/>
  <c r="G426" i="338"/>
  <c r="H426" i="338" s="1"/>
  <c r="G425" i="338"/>
  <c r="H425" i="338" s="1"/>
  <c r="G424" i="338"/>
  <c r="H424" i="338" s="1"/>
  <c r="G423" i="338"/>
  <c r="H423" i="338" s="1"/>
  <c r="G422" i="338"/>
  <c r="H422" i="338" s="1"/>
  <c r="G421" i="338"/>
  <c r="H421" i="338" s="1"/>
  <c r="G420" i="338"/>
  <c r="H420" i="338" s="1"/>
  <c r="G419" i="338"/>
  <c r="H419" i="338" s="1"/>
  <c r="G418" i="338"/>
  <c r="H418" i="338" s="1"/>
  <c r="G417" i="338"/>
  <c r="H417" i="338" s="1"/>
  <c r="G416" i="338"/>
  <c r="H416" i="338" s="1"/>
  <c r="G415" i="338"/>
  <c r="H415" i="338" s="1"/>
  <c r="G414" i="338"/>
  <c r="H414" i="338" s="1"/>
  <c r="G413" i="338"/>
  <c r="H413" i="338" s="1"/>
  <c r="G412" i="338"/>
  <c r="H412" i="338" s="1"/>
  <c r="G411" i="338"/>
  <c r="H411" i="338" s="1"/>
  <c r="G410" i="338"/>
  <c r="H410" i="338" s="1"/>
  <c r="G409" i="338"/>
  <c r="H409" i="338" s="1"/>
  <c r="G408" i="338"/>
  <c r="H408" i="338" s="1"/>
  <c r="G407" i="338"/>
  <c r="H407" i="338" s="1"/>
  <c r="G406" i="338"/>
  <c r="H406" i="338" s="1"/>
  <c r="G405" i="338"/>
  <c r="H405" i="338" s="1"/>
  <c r="G404" i="338"/>
  <c r="H404" i="338" s="1"/>
  <c r="G403" i="338"/>
  <c r="H403" i="338" s="1"/>
  <c r="G402" i="338"/>
  <c r="H402" i="338" s="1"/>
  <c r="G401" i="338"/>
  <c r="H401" i="338" s="1"/>
  <c r="G400" i="338"/>
  <c r="H400" i="338" s="1"/>
  <c r="G399" i="338"/>
  <c r="H399" i="338" s="1"/>
  <c r="G398" i="338"/>
  <c r="H398" i="338" s="1"/>
  <c r="G397" i="338"/>
  <c r="H397" i="338" s="1"/>
  <c r="G396" i="338"/>
  <c r="H396" i="338" s="1"/>
  <c r="G395" i="338"/>
  <c r="H395" i="338" s="1"/>
  <c r="G394" i="338"/>
  <c r="H394" i="338" s="1"/>
  <c r="G393" i="338"/>
  <c r="H393" i="338" s="1"/>
  <c r="G392" i="338"/>
  <c r="H392" i="338" s="1"/>
  <c r="G391" i="338"/>
  <c r="H391" i="338" s="1"/>
  <c r="G390" i="338"/>
  <c r="H390" i="338" s="1"/>
  <c r="G389" i="338"/>
  <c r="H389" i="338" s="1"/>
  <c r="G388" i="338"/>
  <c r="H388" i="338" s="1"/>
  <c r="G387" i="338"/>
  <c r="H387" i="338" s="1"/>
  <c r="G386" i="338"/>
  <c r="H386" i="338" s="1"/>
  <c r="G385" i="338"/>
  <c r="H385" i="338" s="1"/>
  <c r="G384" i="338"/>
  <c r="H384" i="338" s="1"/>
  <c r="G383" i="338"/>
  <c r="H383" i="338" s="1"/>
  <c r="G382" i="338"/>
  <c r="H382" i="338" s="1"/>
  <c r="G381" i="338"/>
  <c r="H381" i="338" s="1"/>
  <c r="G380" i="338"/>
  <c r="H380" i="338" s="1"/>
  <c r="G379" i="338"/>
  <c r="H379" i="338" s="1"/>
  <c r="G378" i="338"/>
  <c r="H378" i="338" s="1"/>
  <c r="G377" i="338"/>
  <c r="H377" i="338" s="1"/>
  <c r="G376" i="338"/>
  <c r="H376" i="338" s="1"/>
  <c r="G375" i="338"/>
  <c r="H375" i="338" s="1"/>
  <c r="G374" i="338"/>
  <c r="H374" i="338" s="1"/>
  <c r="G373" i="338"/>
  <c r="H373" i="338" s="1"/>
  <c r="G372" i="338"/>
  <c r="H372" i="338" s="1"/>
  <c r="G371" i="338"/>
  <c r="H371" i="338" s="1"/>
  <c r="G370" i="338"/>
  <c r="H370" i="338" s="1"/>
  <c r="G369" i="338"/>
  <c r="H369" i="338" s="1"/>
  <c r="G368" i="338"/>
  <c r="H368" i="338" s="1"/>
  <c r="G367" i="338"/>
  <c r="H367" i="338" s="1"/>
  <c r="G366" i="338"/>
  <c r="H366" i="338" s="1"/>
  <c r="G365" i="338"/>
  <c r="H365" i="338" s="1"/>
  <c r="G364" i="338"/>
  <c r="H364" i="338" s="1"/>
  <c r="G363" i="338"/>
  <c r="H363" i="338" s="1"/>
  <c r="G362" i="338"/>
  <c r="H362" i="338" s="1"/>
  <c r="G361" i="338"/>
  <c r="H361" i="338" s="1"/>
  <c r="G360" i="338"/>
  <c r="H360" i="338" s="1"/>
  <c r="G359" i="338"/>
  <c r="H359" i="338" s="1"/>
  <c r="G358" i="338"/>
  <c r="H358" i="338" s="1"/>
  <c r="G357" i="338"/>
  <c r="H357" i="338" s="1"/>
  <c r="G356" i="338"/>
  <c r="H356" i="338" s="1"/>
  <c r="G355" i="338"/>
  <c r="H355" i="338" s="1"/>
  <c r="G354" i="338"/>
  <c r="H354" i="338" s="1"/>
  <c r="G353" i="338"/>
  <c r="H353" i="338" s="1"/>
  <c r="G352" i="338"/>
  <c r="H352" i="338" s="1"/>
  <c r="G351" i="338"/>
  <c r="H351" i="338" s="1"/>
  <c r="G350" i="338"/>
  <c r="H350" i="338" s="1"/>
  <c r="G349" i="338"/>
  <c r="H349" i="338" s="1"/>
  <c r="G348" i="338"/>
  <c r="H348" i="338" s="1"/>
  <c r="G347" i="338"/>
  <c r="H347" i="338" s="1"/>
  <c r="G346" i="338"/>
  <c r="H346" i="338" s="1"/>
  <c r="G345" i="338"/>
  <c r="H345" i="338" s="1"/>
  <c r="G344" i="338"/>
  <c r="H344" i="338" s="1"/>
  <c r="G343" i="338"/>
  <c r="H343" i="338" s="1"/>
  <c r="G342" i="338"/>
  <c r="H342" i="338" s="1"/>
  <c r="G341" i="338"/>
  <c r="H341" i="338" s="1"/>
  <c r="G340" i="338"/>
  <c r="H340" i="338" s="1"/>
  <c r="G339" i="338"/>
  <c r="H339" i="338" s="1"/>
  <c r="G338" i="338"/>
  <c r="H338" i="338" s="1"/>
  <c r="G337" i="338"/>
  <c r="H337" i="338" s="1"/>
  <c r="G336" i="338"/>
  <c r="H336" i="338" s="1"/>
  <c r="G335" i="338"/>
  <c r="H335" i="338" s="1"/>
  <c r="G334" i="338"/>
  <c r="H334" i="338" s="1"/>
  <c r="G333" i="338"/>
  <c r="H333" i="338" s="1"/>
  <c r="G332" i="338"/>
  <c r="H332" i="338" s="1"/>
  <c r="G331" i="338"/>
  <c r="H331" i="338" s="1"/>
  <c r="G330" i="338"/>
  <c r="H330" i="338" s="1"/>
  <c r="G329" i="338"/>
  <c r="H329" i="338" s="1"/>
  <c r="G328" i="338"/>
  <c r="H328" i="338" s="1"/>
  <c r="G327" i="338"/>
  <c r="H327" i="338" s="1"/>
  <c r="G326" i="338"/>
  <c r="H326" i="338" s="1"/>
  <c r="G325" i="338"/>
  <c r="H325" i="338" s="1"/>
  <c r="G324" i="338"/>
  <c r="H324" i="338" s="1"/>
  <c r="G323" i="338"/>
  <c r="H323" i="338" s="1"/>
  <c r="G322" i="338"/>
  <c r="H322" i="338" s="1"/>
  <c r="G321" i="338"/>
  <c r="H321" i="338" s="1"/>
  <c r="G320" i="338"/>
  <c r="H320" i="338" s="1"/>
  <c r="G319" i="338"/>
  <c r="H319" i="338" s="1"/>
  <c r="G318" i="338"/>
  <c r="H318" i="338" s="1"/>
  <c r="G317" i="338"/>
  <c r="H317" i="338" s="1"/>
  <c r="G316" i="338"/>
  <c r="H316" i="338" s="1"/>
  <c r="G315" i="338"/>
  <c r="H315" i="338" s="1"/>
  <c r="G314" i="338"/>
  <c r="H314" i="338" s="1"/>
  <c r="G313" i="338"/>
  <c r="H313" i="338" s="1"/>
  <c r="G312" i="338"/>
  <c r="H312" i="338" s="1"/>
  <c r="G311" i="338"/>
  <c r="H311" i="338" s="1"/>
  <c r="G310" i="338"/>
  <c r="H310" i="338" s="1"/>
  <c r="G309" i="338"/>
  <c r="H309" i="338" s="1"/>
  <c r="G308" i="338"/>
  <c r="H308" i="338" s="1"/>
  <c r="G307" i="338"/>
  <c r="H307" i="338" s="1"/>
  <c r="G306" i="338"/>
  <c r="H306" i="338" s="1"/>
  <c r="G305" i="338"/>
  <c r="H305" i="338" s="1"/>
  <c r="G304" i="338"/>
  <c r="H304" i="338" s="1"/>
  <c r="G303" i="338"/>
  <c r="H303" i="338" s="1"/>
  <c r="G302" i="338"/>
  <c r="H302" i="338" s="1"/>
  <c r="G301" i="338"/>
  <c r="H301" i="338" s="1"/>
  <c r="G300" i="338"/>
  <c r="H300" i="338" s="1"/>
  <c r="G299" i="338"/>
  <c r="H299" i="338" s="1"/>
  <c r="G298" i="338"/>
  <c r="H298" i="338" s="1"/>
  <c r="G297" i="338"/>
  <c r="H297" i="338" s="1"/>
  <c r="G296" i="338"/>
  <c r="H296" i="338" s="1"/>
  <c r="G295" i="338"/>
  <c r="H295" i="338" s="1"/>
  <c r="G294" i="338"/>
  <c r="H294" i="338" s="1"/>
  <c r="G293" i="338"/>
  <c r="H293" i="338" s="1"/>
  <c r="G292" i="338"/>
  <c r="H292" i="338" s="1"/>
  <c r="G291" i="338"/>
  <c r="H291" i="338" s="1"/>
  <c r="G290" i="338"/>
  <c r="H290" i="338" s="1"/>
  <c r="G289" i="338"/>
  <c r="H289" i="338" s="1"/>
  <c r="G288" i="338"/>
  <c r="H288" i="338" s="1"/>
  <c r="G287" i="338"/>
  <c r="H287" i="338" s="1"/>
  <c r="G286" i="338"/>
  <c r="H286" i="338" s="1"/>
  <c r="G285" i="338"/>
  <c r="H285" i="338" s="1"/>
  <c r="G284" i="338"/>
  <c r="H284" i="338" s="1"/>
  <c r="G283" i="338"/>
  <c r="H283" i="338" s="1"/>
  <c r="G282" i="338"/>
  <c r="H282" i="338" s="1"/>
  <c r="G281" i="338"/>
  <c r="H281" i="338" s="1"/>
  <c r="G280" i="338"/>
  <c r="H280" i="338" s="1"/>
  <c r="G279" i="338"/>
  <c r="H279" i="338" s="1"/>
  <c r="G278" i="338"/>
  <c r="H278" i="338" s="1"/>
  <c r="G277" i="338"/>
  <c r="H277" i="338" s="1"/>
  <c r="G276" i="338"/>
  <c r="H276" i="338" s="1"/>
  <c r="G275" i="338"/>
  <c r="H275" i="338" s="1"/>
  <c r="G274" i="338"/>
  <c r="H274" i="338" s="1"/>
  <c r="G273" i="338"/>
  <c r="H273" i="338" s="1"/>
  <c r="G272" i="338"/>
  <c r="H272" i="338" s="1"/>
  <c r="G271" i="338"/>
  <c r="H271" i="338" s="1"/>
  <c r="G270" i="338"/>
  <c r="H270" i="338" s="1"/>
  <c r="G269" i="338"/>
  <c r="H269" i="338" s="1"/>
  <c r="G268" i="338"/>
  <c r="H268" i="338" s="1"/>
  <c r="G267" i="338"/>
  <c r="H267" i="338" s="1"/>
  <c r="G266" i="338"/>
  <c r="H266" i="338" s="1"/>
  <c r="G265" i="338"/>
  <c r="H265" i="338" s="1"/>
  <c r="G264" i="338"/>
  <c r="H264" i="338" s="1"/>
  <c r="G263" i="338"/>
  <c r="H263" i="338" s="1"/>
  <c r="G262" i="338"/>
  <c r="H262" i="338" s="1"/>
  <c r="G261" i="338"/>
  <c r="H261" i="338" s="1"/>
  <c r="G260" i="338"/>
  <c r="H260" i="338" s="1"/>
  <c r="G259" i="338"/>
  <c r="H259" i="338" s="1"/>
  <c r="G258" i="338"/>
  <c r="H258" i="338" s="1"/>
  <c r="G257" i="338"/>
  <c r="H257" i="338" s="1"/>
  <c r="G256" i="338"/>
  <c r="H256" i="338" s="1"/>
  <c r="G255" i="338"/>
  <c r="H255" i="338" s="1"/>
  <c r="G254" i="338"/>
  <c r="H254" i="338" s="1"/>
  <c r="G253" i="338"/>
  <c r="H253" i="338" s="1"/>
  <c r="G252" i="338"/>
  <c r="H252" i="338" s="1"/>
  <c r="G251" i="338"/>
  <c r="H251" i="338" s="1"/>
  <c r="G250" i="338"/>
  <c r="H250" i="338" s="1"/>
  <c r="G249" i="338"/>
  <c r="H249" i="338" s="1"/>
  <c r="G248" i="338"/>
  <c r="H248" i="338" s="1"/>
  <c r="G247" i="338"/>
  <c r="H247" i="338" s="1"/>
  <c r="G246" i="338"/>
  <c r="H246" i="338" s="1"/>
  <c r="G245" i="338"/>
  <c r="H245" i="338" s="1"/>
  <c r="G244" i="338"/>
  <c r="H244" i="338" s="1"/>
  <c r="G243" i="338"/>
  <c r="H243" i="338" s="1"/>
  <c r="G242" i="338"/>
  <c r="H242" i="338" s="1"/>
  <c r="G241" i="338"/>
  <c r="H241" i="338" s="1"/>
  <c r="G240" i="338"/>
  <c r="H240" i="338" s="1"/>
  <c r="G239" i="338"/>
  <c r="H239" i="338" s="1"/>
  <c r="G238" i="338"/>
  <c r="H238" i="338" s="1"/>
  <c r="G237" i="338"/>
  <c r="H237" i="338" s="1"/>
  <c r="G236" i="338"/>
  <c r="H236" i="338" s="1"/>
  <c r="G235" i="338"/>
  <c r="H235" i="338" s="1"/>
  <c r="G234" i="338"/>
  <c r="H234" i="338" s="1"/>
  <c r="G233" i="338"/>
  <c r="H233" i="338" s="1"/>
  <c r="G232" i="338"/>
  <c r="H232" i="338" s="1"/>
  <c r="G231" i="338"/>
  <c r="H231" i="338" s="1"/>
  <c r="G230" i="338"/>
  <c r="H230" i="338" s="1"/>
  <c r="G229" i="338"/>
  <c r="H229" i="338" s="1"/>
  <c r="G228" i="338"/>
  <c r="H228" i="338" s="1"/>
  <c r="G227" i="338"/>
  <c r="H227" i="338" s="1"/>
  <c r="G226" i="338"/>
  <c r="H226" i="338" s="1"/>
  <c r="G225" i="338"/>
  <c r="H225" i="338" s="1"/>
  <c r="G224" i="338"/>
  <c r="H224" i="338" s="1"/>
  <c r="G223" i="338"/>
  <c r="H223" i="338" s="1"/>
  <c r="G222" i="338"/>
  <c r="H222" i="338" s="1"/>
  <c r="G221" i="338"/>
  <c r="H221" i="338" s="1"/>
  <c r="G220" i="338"/>
  <c r="H220" i="338" s="1"/>
  <c r="G219" i="338"/>
  <c r="H219" i="338" s="1"/>
  <c r="G218" i="338"/>
  <c r="H218" i="338" s="1"/>
  <c r="G217" i="338"/>
  <c r="H217" i="338" s="1"/>
  <c r="G216" i="338"/>
  <c r="H216" i="338" s="1"/>
  <c r="G215" i="338"/>
  <c r="H215" i="338" s="1"/>
  <c r="G214" i="338"/>
  <c r="H214" i="338" s="1"/>
  <c r="G213" i="338"/>
  <c r="H213" i="338" s="1"/>
  <c r="G212" i="338"/>
  <c r="H212" i="338" s="1"/>
  <c r="G211" i="338"/>
  <c r="H211" i="338" s="1"/>
  <c r="G210" i="338"/>
  <c r="H210" i="338" s="1"/>
  <c r="G209" i="338"/>
  <c r="H209" i="338" s="1"/>
  <c r="G208" i="338"/>
  <c r="H208" i="338" s="1"/>
  <c r="G207" i="338"/>
  <c r="H207" i="338" s="1"/>
  <c r="G206" i="338"/>
  <c r="H206" i="338" s="1"/>
  <c r="G205" i="338"/>
  <c r="H205" i="338" s="1"/>
  <c r="G204" i="338"/>
  <c r="H204" i="338" s="1"/>
  <c r="G203" i="338"/>
  <c r="H203" i="338" s="1"/>
  <c r="G202" i="338"/>
  <c r="H202" i="338" s="1"/>
  <c r="G201" i="338"/>
  <c r="H201" i="338" s="1"/>
  <c r="G200" i="338"/>
  <c r="H200" i="338" s="1"/>
  <c r="G199" i="338"/>
  <c r="H199" i="338" s="1"/>
  <c r="G198" i="338"/>
  <c r="H198" i="338" s="1"/>
  <c r="G197" i="338"/>
  <c r="H197" i="338" s="1"/>
  <c r="G196" i="338"/>
  <c r="H196" i="338" s="1"/>
  <c r="G195" i="338"/>
  <c r="H195" i="338" s="1"/>
  <c r="G194" i="338"/>
  <c r="H194" i="338" s="1"/>
  <c r="G193" i="338"/>
  <c r="H193" i="338" s="1"/>
  <c r="G192" i="338"/>
  <c r="H192" i="338" s="1"/>
  <c r="G191" i="338"/>
  <c r="H191" i="338" s="1"/>
  <c r="G190" i="338"/>
  <c r="H190" i="338" s="1"/>
  <c r="G189" i="338"/>
  <c r="H189" i="338" s="1"/>
  <c r="G188" i="338"/>
  <c r="H188" i="338" s="1"/>
  <c r="G187" i="338"/>
  <c r="H187" i="338" s="1"/>
  <c r="G186" i="338"/>
  <c r="H186" i="338" s="1"/>
  <c r="G185" i="338"/>
  <c r="H185" i="338" s="1"/>
  <c r="G184" i="338"/>
  <c r="H184" i="338" s="1"/>
  <c r="G183" i="338"/>
  <c r="H183" i="338" s="1"/>
  <c r="G182" i="338"/>
  <c r="H182" i="338" s="1"/>
  <c r="G181" i="338"/>
  <c r="H181" i="338" s="1"/>
  <c r="G180" i="338"/>
  <c r="H180" i="338" s="1"/>
  <c r="G179" i="338"/>
  <c r="H179" i="338" s="1"/>
  <c r="G178" i="338"/>
  <c r="H178" i="338" s="1"/>
  <c r="G177" i="338"/>
  <c r="H177" i="338" s="1"/>
  <c r="G176" i="338"/>
  <c r="H176" i="338" s="1"/>
  <c r="G175" i="338"/>
  <c r="H175" i="338" s="1"/>
  <c r="G174" i="338"/>
  <c r="H174" i="338" s="1"/>
  <c r="G173" i="338"/>
  <c r="H173" i="338" s="1"/>
  <c r="G172" i="338"/>
  <c r="H172" i="338" s="1"/>
  <c r="G171" i="338"/>
  <c r="H171" i="338" s="1"/>
  <c r="G170" i="338"/>
  <c r="H170" i="338" s="1"/>
  <c r="G169" i="338"/>
  <c r="H169" i="338" s="1"/>
  <c r="G168" i="338"/>
  <c r="H168" i="338" s="1"/>
  <c r="G167" i="338"/>
  <c r="H167" i="338" s="1"/>
  <c r="G166" i="338"/>
  <c r="H166" i="338" s="1"/>
  <c r="G165" i="338"/>
  <c r="H165" i="338" s="1"/>
  <c r="G164" i="338"/>
  <c r="H164" i="338" s="1"/>
  <c r="G163" i="338"/>
  <c r="H163" i="338" s="1"/>
  <c r="G162" i="338"/>
  <c r="H162" i="338" s="1"/>
  <c r="G161" i="338"/>
  <c r="H161" i="338" s="1"/>
  <c r="G160" i="338"/>
  <c r="H160" i="338" s="1"/>
  <c r="G159" i="338"/>
  <c r="H159" i="338" s="1"/>
  <c r="G158" i="338"/>
  <c r="H158" i="338" s="1"/>
  <c r="G157" i="338"/>
  <c r="H157" i="338" s="1"/>
  <c r="G156" i="338"/>
  <c r="H156" i="338" s="1"/>
  <c r="G155" i="338"/>
  <c r="H155" i="338" s="1"/>
  <c r="G154" i="338"/>
  <c r="H154" i="338" s="1"/>
  <c r="G153" i="338"/>
  <c r="H153" i="338" s="1"/>
  <c r="G152" i="338"/>
  <c r="H152" i="338" s="1"/>
  <c r="G151" i="338"/>
  <c r="H151" i="338" s="1"/>
  <c r="G150" i="338"/>
  <c r="H150" i="338" s="1"/>
  <c r="G149" i="338"/>
  <c r="H149" i="338" s="1"/>
  <c r="G148" i="338"/>
  <c r="H148" i="338" s="1"/>
  <c r="G147" i="338"/>
  <c r="H147" i="338" s="1"/>
  <c r="G146" i="338"/>
  <c r="H146" i="338" s="1"/>
  <c r="G145" i="338"/>
  <c r="H145" i="338" s="1"/>
  <c r="G144" i="338"/>
  <c r="H144" i="338" s="1"/>
  <c r="G143" i="338"/>
  <c r="H143" i="338" s="1"/>
  <c r="G142" i="338"/>
  <c r="H142" i="338" s="1"/>
  <c r="G141" i="338"/>
  <c r="H141" i="338" s="1"/>
  <c r="G140" i="338"/>
  <c r="H140" i="338" s="1"/>
  <c r="G139" i="338"/>
  <c r="H139" i="338" s="1"/>
  <c r="G138" i="338"/>
  <c r="H138" i="338" s="1"/>
  <c r="G137" i="338"/>
  <c r="H137" i="338" s="1"/>
  <c r="G136" i="338"/>
  <c r="H136" i="338" s="1"/>
  <c r="G135" i="338"/>
  <c r="H135" i="338" s="1"/>
  <c r="G134" i="338"/>
  <c r="H134" i="338" s="1"/>
  <c r="G133" i="338"/>
  <c r="H133" i="338" s="1"/>
  <c r="G132" i="338"/>
  <c r="H132" i="338" s="1"/>
  <c r="G131" i="338"/>
  <c r="H131" i="338" s="1"/>
  <c r="G130" i="338"/>
  <c r="H130" i="338" s="1"/>
  <c r="G129" i="338"/>
  <c r="H129" i="338" s="1"/>
  <c r="G128" i="338"/>
  <c r="H128" i="338" s="1"/>
  <c r="G127" i="338"/>
  <c r="H127" i="338" s="1"/>
  <c r="G126" i="338"/>
  <c r="H126" i="338" s="1"/>
  <c r="G125" i="338"/>
  <c r="H125" i="338" s="1"/>
  <c r="G124" i="338"/>
  <c r="H124" i="338" s="1"/>
  <c r="G123" i="338"/>
  <c r="H123" i="338" s="1"/>
  <c r="G122" i="338"/>
  <c r="H122" i="338" s="1"/>
  <c r="G121" i="338"/>
  <c r="H121" i="338" s="1"/>
  <c r="G120" i="338"/>
  <c r="H120" i="338" s="1"/>
  <c r="G119" i="338"/>
  <c r="H119" i="338" s="1"/>
  <c r="G118" i="338"/>
  <c r="H118" i="338" s="1"/>
  <c r="G117" i="338"/>
  <c r="H117" i="338" s="1"/>
  <c r="G116" i="338"/>
  <c r="H116" i="338" s="1"/>
  <c r="G115" i="338"/>
  <c r="H115" i="338" s="1"/>
  <c r="G114" i="338"/>
  <c r="H114" i="338" s="1"/>
  <c r="G113" i="338"/>
  <c r="H113" i="338" s="1"/>
  <c r="G112" i="338"/>
  <c r="H112" i="338" s="1"/>
  <c r="G111" i="338"/>
  <c r="H111" i="338" s="1"/>
  <c r="G110" i="338"/>
  <c r="H110" i="338" s="1"/>
  <c r="G109" i="338"/>
  <c r="H109" i="338" s="1"/>
  <c r="G108" i="338"/>
  <c r="H108" i="338" s="1"/>
  <c r="G107" i="338"/>
  <c r="H107" i="338" s="1"/>
  <c r="G106" i="338"/>
  <c r="H106" i="338" s="1"/>
  <c r="G105" i="338"/>
  <c r="H105" i="338" s="1"/>
  <c r="G104" i="338"/>
  <c r="H104" i="338" s="1"/>
  <c r="G103" i="338"/>
  <c r="H103" i="338" s="1"/>
  <c r="G102" i="338"/>
  <c r="H102" i="338" s="1"/>
  <c r="G101" i="338"/>
  <c r="H101" i="338" s="1"/>
  <c r="G100" i="338"/>
  <c r="H100" i="338" s="1"/>
  <c r="G99" i="338"/>
  <c r="H99" i="338" s="1"/>
  <c r="G98" i="338"/>
  <c r="H98" i="338" s="1"/>
  <c r="G97" i="338"/>
  <c r="H97" i="338" s="1"/>
  <c r="G96" i="338"/>
  <c r="H96" i="338" s="1"/>
  <c r="G95" i="338"/>
  <c r="H95" i="338" s="1"/>
  <c r="G94" i="338"/>
  <c r="H94" i="338" s="1"/>
  <c r="G93" i="338"/>
  <c r="H93" i="338" s="1"/>
  <c r="G92" i="338"/>
  <c r="H92" i="338" s="1"/>
  <c r="G91" i="338"/>
  <c r="H91" i="338" s="1"/>
  <c r="G90" i="338"/>
  <c r="H90" i="338" s="1"/>
  <c r="G89" i="338"/>
  <c r="H89" i="338" s="1"/>
  <c r="G88" i="338"/>
  <c r="H88" i="338" s="1"/>
  <c r="G87" i="338"/>
  <c r="H87" i="338" s="1"/>
  <c r="G86" i="338"/>
  <c r="H86" i="338" s="1"/>
  <c r="G85" i="338"/>
  <c r="H85" i="338" s="1"/>
  <c r="G84" i="338"/>
  <c r="H84" i="338" s="1"/>
  <c r="G83" i="338"/>
  <c r="H83" i="338" s="1"/>
  <c r="G82" i="338"/>
  <c r="H82" i="338" s="1"/>
  <c r="G81" i="338"/>
  <c r="H81" i="338" s="1"/>
  <c r="G80" i="338"/>
  <c r="H80" i="338" s="1"/>
  <c r="G79" i="338"/>
  <c r="H79" i="338" s="1"/>
  <c r="G78" i="338"/>
  <c r="H78" i="338" s="1"/>
  <c r="G77" i="338"/>
  <c r="H77" i="338" s="1"/>
  <c r="G76" i="338"/>
  <c r="H76" i="338" s="1"/>
  <c r="G75" i="338"/>
  <c r="H75" i="338" s="1"/>
  <c r="G74" i="338"/>
  <c r="H74" i="338" s="1"/>
  <c r="G73" i="338"/>
  <c r="H73" i="338" s="1"/>
  <c r="G72" i="338"/>
  <c r="H72" i="338" s="1"/>
  <c r="G71" i="338"/>
  <c r="H71" i="338" s="1"/>
  <c r="G70" i="338"/>
  <c r="H70" i="338" s="1"/>
  <c r="G69" i="338"/>
  <c r="H69" i="338" s="1"/>
  <c r="G68" i="338"/>
  <c r="H68" i="338" s="1"/>
  <c r="G67" i="338"/>
  <c r="H67" i="338" s="1"/>
  <c r="G66" i="338"/>
  <c r="H66" i="338" s="1"/>
  <c r="G65" i="338"/>
  <c r="H65" i="338" s="1"/>
  <c r="G64" i="338"/>
  <c r="H64" i="338" s="1"/>
  <c r="G63" i="338"/>
  <c r="H63" i="338" s="1"/>
  <c r="G62" i="338"/>
  <c r="H62" i="338" s="1"/>
  <c r="G61" i="338"/>
  <c r="H61" i="338" s="1"/>
  <c r="G60" i="338"/>
  <c r="H60" i="338" s="1"/>
  <c r="G59" i="338"/>
  <c r="H59" i="338" s="1"/>
  <c r="G58" i="338"/>
  <c r="H58" i="338" s="1"/>
  <c r="G57" i="338"/>
  <c r="H57" i="338" s="1"/>
  <c r="G56" i="338"/>
  <c r="H56" i="338" s="1"/>
  <c r="G55" i="338"/>
  <c r="H55" i="338" s="1"/>
  <c r="G54" i="338"/>
  <c r="H54" i="338" s="1"/>
  <c r="G53" i="338"/>
  <c r="H53" i="338" s="1"/>
  <c r="G52" i="338"/>
  <c r="H52" i="338" s="1"/>
  <c r="G51" i="338"/>
  <c r="H51" i="338" s="1"/>
  <c r="G50" i="338"/>
  <c r="H50" i="338" s="1"/>
  <c r="G49" i="338"/>
  <c r="H49" i="338" s="1"/>
  <c r="G48" i="338"/>
  <c r="H48" i="338" s="1"/>
  <c r="G47" i="338"/>
  <c r="H47" i="338" s="1"/>
  <c r="G46" i="338"/>
  <c r="H46" i="338" s="1"/>
  <c r="G45" i="338"/>
  <c r="H45" i="338" s="1"/>
  <c r="G44" i="338"/>
  <c r="H44" i="338" s="1"/>
  <c r="G43" i="338"/>
  <c r="H43" i="338" s="1"/>
  <c r="G42" i="338"/>
  <c r="H42" i="338" s="1"/>
  <c r="G41" i="338"/>
  <c r="H41" i="338" s="1"/>
  <c r="G40" i="338"/>
  <c r="H40" i="338" s="1"/>
  <c r="G39" i="338"/>
  <c r="H39" i="338" s="1"/>
  <c r="G38" i="338"/>
  <c r="H38" i="338" s="1"/>
  <c r="G37" i="338"/>
  <c r="H37" i="338" s="1"/>
  <c r="G36" i="338"/>
  <c r="H36" i="338" s="1"/>
  <c r="G35" i="338"/>
  <c r="H35" i="338" s="1"/>
  <c r="G34" i="338"/>
  <c r="H34" i="338" s="1"/>
  <c r="G33" i="338"/>
  <c r="H33" i="338" s="1"/>
  <c r="G32" i="338"/>
  <c r="H32" i="338" s="1"/>
  <c r="G31" i="338"/>
  <c r="H31" i="338" s="1"/>
  <c r="G30" i="338"/>
  <c r="H30" i="338" s="1"/>
  <c r="G29" i="338"/>
  <c r="H29" i="338" s="1"/>
  <c r="G28" i="338"/>
  <c r="H28" i="338" s="1"/>
  <c r="G27" i="338"/>
  <c r="H27" i="338" s="1"/>
  <c r="G26" i="338"/>
  <c r="H26" i="338" s="1"/>
  <c r="G25" i="338"/>
  <c r="H25" i="338" s="1"/>
  <c r="G24" i="338"/>
  <c r="H24" i="338" s="1"/>
  <c r="G23" i="338"/>
  <c r="H23" i="338" s="1"/>
  <c r="G22" i="338"/>
  <c r="H22" i="338" s="1"/>
  <c r="G21" i="338"/>
  <c r="H21" i="338" s="1"/>
  <c r="G20" i="338"/>
  <c r="H20" i="338" s="1"/>
  <c r="G19" i="338"/>
  <c r="H19" i="338" s="1"/>
  <c r="G18" i="338"/>
  <c r="H18" i="338" s="1"/>
  <c r="G17" i="338"/>
  <c r="H17" i="338" s="1"/>
  <c r="G16" i="338"/>
  <c r="H16" i="338" s="1"/>
  <c r="G15" i="338"/>
  <c r="H15" i="338" s="1"/>
  <c r="G14" i="338"/>
  <c r="H14" i="338" s="1"/>
  <c r="G13" i="338"/>
  <c r="H13" i="338" s="1"/>
  <c r="G12" i="338"/>
  <c r="H12" i="338" s="1"/>
  <c r="G11" i="338"/>
  <c r="H11" i="338" s="1"/>
  <c r="G10" i="338"/>
  <c r="H10" i="338" s="1"/>
  <c r="G9" i="338"/>
  <c r="H9" i="338" s="1"/>
  <c r="G8" i="338"/>
  <c r="H8" i="338" s="1"/>
  <c r="G7" i="338"/>
  <c r="H7" i="338" s="1"/>
  <c r="G6" i="338"/>
  <c r="H6" i="338" s="1"/>
  <c r="G5" i="338"/>
  <c r="H5" i="338" s="1"/>
  <c r="F1000" i="338"/>
  <c r="F999" i="338"/>
  <c r="F998" i="338"/>
  <c r="F997" i="338"/>
  <c r="F996" i="338"/>
  <c r="F995" i="338"/>
  <c r="F994" i="338"/>
  <c r="F993" i="338"/>
  <c r="F992" i="338"/>
  <c r="F991" i="338"/>
  <c r="F990" i="338"/>
  <c r="F989" i="338"/>
  <c r="F988" i="338"/>
  <c r="F987" i="338"/>
  <c r="F986" i="338"/>
  <c r="F985" i="338"/>
  <c r="F984" i="338"/>
  <c r="F983" i="338"/>
  <c r="F982" i="338"/>
  <c r="F981" i="338"/>
  <c r="F980" i="338"/>
  <c r="F979" i="338"/>
  <c r="F978" i="338"/>
  <c r="F977" i="338"/>
  <c r="F976" i="338"/>
  <c r="F975" i="338"/>
  <c r="F974" i="338"/>
  <c r="F973" i="338"/>
  <c r="F972" i="338"/>
  <c r="F971" i="338"/>
  <c r="F970" i="338"/>
  <c r="F969" i="338"/>
  <c r="F968" i="338"/>
  <c r="F967" i="338"/>
  <c r="F966" i="338"/>
  <c r="F965" i="338"/>
  <c r="F964" i="338"/>
  <c r="F963" i="338"/>
  <c r="F962" i="338"/>
  <c r="F961" i="338"/>
  <c r="F960" i="338"/>
  <c r="F959" i="338"/>
  <c r="F958" i="338"/>
  <c r="F957" i="338"/>
  <c r="F956" i="338"/>
  <c r="F955" i="338"/>
  <c r="F954" i="338"/>
  <c r="F953" i="338"/>
  <c r="F952" i="338"/>
  <c r="F951" i="338"/>
  <c r="F950" i="338"/>
  <c r="F949" i="338"/>
  <c r="F948" i="338"/>
  <c r="F947" i="338"/>
  <c r="F946" i="338"/>
  <c r="F945" i="338"/>
  <c r="F944" i="338"/>
  <c r="F943" i="338"/>
  <c r="F942" i="338"/>
  <c r="F941" i="338"/>
  <c r="F940" i="338"/>
  <c r="F939" i="338"/>
  <c r="F938" i="338"/>
  <c r="F937" i="338"/>
  <c r="F936" i="338"/>
  <c r="F935" i="338"/>
  <c r="F934" i="338"/>
  <c r="F933" i="338"/>
  <c r="F932" i="338"/>
  <c r="F931" i="338"/>
  <c r="F930" i="338"/>
  <c r="F929" i="338"/>
  <c r="F928" i="338"/>
  <c r="F927" i="338"/>
  <c r="F926" i="338"/>
  <c r="F925" i="338"/>
  <c r="F924" i="338"/>
  <c r="F923" i="338"/>
  <c r="F922" i="338"/>
  <c r="F921" i="338"/>
  <c r="F920" i="338"/>
  <c r="F919" i="338"/>
  <c r="F918" i="338"/>
  <c r="F917" i="338"/>
  <c r="F916" i="338"/>
  <c r="F915" i="338"/>
  <c r="F914" i="338"/>
  <c r="F913" i="338"/>
  <c r="F912" i="338"/>
  <c r="F911" i="338"/>
  <c r="F910" i="338"/>
  <c r="F909" i="338"/>
  <c r="F908" i="338"/>
  <c r="F907" i="338"/>
  <c r="F906" i="338"/>
  <c r="F905" i="338"/>
  <c r="F904" i="338"/>
  <c r="F903" i="338"/>
  <c r="F902" i="338"/>
  <c r="F901" i="338"/>
  <c r="F900" i="338"/>
  <c r="F899" i="338"/>
  <c r="F898" i="338"/>
  <c r="F897" i="338"/>
  <c r="F896" i="338"/>
  <c r="F895" i="338"/>
  <c r="F894" i="338"/>
  <c r="F893" i="338"/>
  <c r="F892" i="338"/>
  <c r="F891" i="338"/>
  <c r="F890" i="338"/>
  <c r="F889" i="338"/>
  <c r="F888" i="338"/>
  <c r="F887" i="338"/>
  <c r="F886" i="338"/>
  <c r="F885" i="338"/>
  <c r="F884" i="338"/>
  <c r="F883" i="338"/>
  <c r="F882" i="338"/>
  <c r="F881" i="338"/>
  <c r="F880" i="338"/>
  <c r="F879" i="338"/>
  <c r="F878" i="338"/>
  <c r="F877" i="338"/>
  <c r="F876" i="338"/>
  <c r="F875" i="338"/>
  <c r="F874" i="338"/>
  <c r="F873" i="338"/>
  <c r="F872" i="338"/>
  <c r="F871" i="338"/>
  <c r="F870" i="338"/>
  <c r="F869" i="338"/>
  <c r="F868" i="338"/>
  <c r="F867" i="338"/>
  <c r="F866" i="338"/>
  <c r="F865" i="338"/>
  <c r="F864" i="338"/>
  <c r="F863" i="338"/>
  <c r="F862" i="338"/>
  <c r="F861" i="338"/>
  <c r="F860" i="338"/>
  <c r="F859" i="338"/>
  <c r="F858" i="338"/>
  <c r="F857" i="338"/>
  <c r="F856" i="338"/>
  <c r="F855" i="338"/>
  <c r="F854" i="338"/>
  <c r="F853" i="338"/>
  <c r="F852" i="338"/>
  <c r="F851" i="338"/>
  <c r="F850" i="338"/>
  <c r="F849" i="338"/>
  <c r="F848" i="338"/>
  <c r="F847" i="338"/>
  <c r="F846" i="338"/>
  <c r="F845" i="338"/>
  <c r="F844" i="338"/>
  <c r="F843" i="338"/>
  <c r="F842" i="338"/>
  <c r="F841" i="338"/>
  <c r="F840" i="338"/>
  <c r="F839" i="338"/>
  <c r="F838" i="338"/>
  <c r="F837" i="338"/>
  <c r="F836" i="338"/>
  <c r="F835" i="338"/>
  <c r="F834" i="338"/>
  <c r="F833" i="338"/>
  <c r="F832" i="338"/>
  <c r="F831" i="338"/>
  <c r="F830" i="338"/>
  <c r="F829" i="338"/>
  <c r="F828" i="338"/>
  <c r="F827" i="338"/>
  <c r="F826" i="338"/>
  <c r="F825" i="338"/>
  <c r="F824" i="338"/>
  <c r="F823" i="338"/>
  <c r="F822" i="338"/>
  <c r="F821" i="338"/>
  <c r="F820" i="338"/>
  <c r="F819" i="338"/>
  <c r="F818" i="338"/>
  <c r="F817" i="338"/>
  <c r="F816" i="338"/>
  <c r="F815" i="338"/>
  <c r="F814" i="338"/>
  <c r="F813" i="338"/>
  <c r="F812" i="338"/>
  <c r="F811" i="338"/>
  <c r="F810" i="338"/>
  <c r="F809" i="338"/>
  <c r="F808" i="338"/>
  <c r="F807" i="338"/>
  <c r="F806" i="338"/>
  <c r="F805" i="338"/>
  <c r="F804" i="338"/>
  <c r="F803" i="338"/>
  <c r="F802" i="338"/>
  <c r="F801" i="338"/>
  <c r="F800" i="338"/>
  <c r="F799" i="338"/>
  <c r="F798" i="338"/>
  <c r="F797" i="338"/>
  <c r="F796" i="338"/>
  <c r="F795" i="338"/>
  <c r="F794" i="338"/>
  <c r="F793" i="338"/>
  <c r="F792" i="338"/>
  <c r="F791" i="338"/>
  <c r="F790" i="338"/>
  <c r="F789" i="338"/>
  <c r="F788" i="338"/>
  <c r="F787" i="338"/>
  <c r="F786" i="338"/>
  <c r="F785" i="338"/>
  <c r="F784" i="338"/>
  <c r="F783" i="338"/>
  <c r="F782" i="338"/>
  <c r="F781" i="338"/>
  <c r="F780" i="338"/>
  <c r="F779" i="338"/>
  <c r="F778" i="338"/>
  <c r="F777" i="338"/>
  <c r="F776" i="338"/>
  <c r="F775" i="338"/>
  <c r="F774" i="338"/>
  <c r="F773" i="338"/>
  <c r="F772" i="338"/>
  <c r="F771" i="338"/>
  <c r="F770" i="338"/>
  <c r="F769" i="338"/>
  <c r="F768" i="338"/>
  <c r="F767" i="338"/>
  <c r="F766" i="338"/>
  <c r="F765" i="338"/>
  <c r="F764" i="338"/>
  <c r="F763" i="338"/>
  <c r="F762" i="338"/>
  <c r="F761" i="338"/>
  <c r="F760" i="338"/>
  <c r="F759" i="338"/>
  <c r="F758" i="338"/>
  <c r="F757" i="338"/>
  <c r="F756" i="338"/>
  <c r="F755" i="338"/>
  <c r="F754" i="338"/>
  <c r="F753" i="338"/>
  <c r="F752" i="338"/>
  <c r="F751" i="338"/>
  <c r="F750" i="338"/>
  <c r="F749" i="338"/>
  <c r="F748" i="338"/>
  <c r="F747" i="338"/>
  <c r="F746" i="338"/>
  <c r="F745" i="338"/>
  <c r="F744" i="338"/>
  <c r="F743" i="338"/>
  <c r="F742" i="338"/>
  <c r="F741" i="338"/>
  <c r="F740" i="338"/>
  <c r="F739" i="338"/>
  <c r="F738" i="338"/>
  <c r="F737" i="338"/>
  <c r="F736" i="338"/>
  <c r="F735" i="338"/>
  <c r="F734" i="338"/>
  <c r="F733" i="338"/>
  <c r="F732" i="338"/>
  <c r="F731" i="338"/>
  <c r="F730" i="338"/>
  <c r="F729" i="338"/>
  <c r="F728" i="338"/>
  <c r="F727" i="338"/>
  <c r="F726" i="338"/>
  <c r="F725" i="338"/>
  <c r="F724" i="338"/>
  <c r="F723" i="338"/>
  <c r="F722" i="338"/>
  <c r="F721" i="338"/>
  <c r="F720" i="338"/>
  <c r="F719" i="338"/>
  <c r="F718" i="338"/>
  <c r="F717" i="338"/>
  <c r="F716" i="338"/>
  <c r="F715" i="338"/>
  <c r="F714" i="338"/>
  <c r="F713" i="338"/>
  <c r="F712" i="338"/>
  <c r="F711" i="338"/>
  <c r="F710" i="338"/>
  <c r="F709" i="338"/>
  <c r="F708" i="338"/>
  <c r="F707" i="338"/>
  <c r="F706" i="338"/>
  <c r="F705" i="338"/>
  <c r="F704" i="338"/>
  <c r="F703" i="338"/>
  <c r="F702" i="338"/>
  <c r="F701" i="338"/>
  <c r="F700" i="338"/>
  <c r="F699" i="338"/>
  <c r="F698" i="338"/>
  <c r="F697" i="338"/>
  <c r="F696" i="338"/>
  <c r="F695" i="338"/>
  <c r="F694" i="338"/>
  <c r="F693" i="338"/>
  <c r="F692" i="338"/>
  <c r="F691" i="338"/>
  <c r="F690" i="338"/>
  <c r="F689" i="338"/>
  <c r="F688" i="338"/>
  <c r="F687" i="338"/>
  <c r="F686" i="338"/>
  <c r="F685" i="338"/>
  <c r="F684" i="338"/>
  <c r="F683" i="338"/>
  <c r="F682" i="338"/>
  <c r="F681" i="338"/>
  <c r="F680" i="338"/>
  <c r="F679" i="338"/>
  <c r="F678" i="338"/>
  <c r="F677" i="338"/>
  <c r="F676" i="338"/>
  <c r="F675" i="338"/>
  <c r="F674" i="338"/>
  <c r="F673" i="338"/>
  <c r="F672" i="338"/>
  <c r="F671" i="338"/>
  <c r="F670" i="338"/>
  <c r="F669" i="338"/>
  <c r="F668" i="338"/>
  <c r="F667" i="338"/>
  <c r="F666" i="338"/>
  <c r="F665" i="338"/>
  <c r="F664" i="338"/>
  <c r="F663" i="338"/>
  <c r="F662" i="338"/>
  <c r="F661" i="338"/>
  <c r="F660" i="338"/>
  <c r="F659" i="338"/>
  <c r="F658" i="338"/>
  <c r="F657" i="338"/>
  <c r="F656" i="338"/>
  <c r="F655" i="338"/>
  <c r="F654" i="338"/>
  <c r="F653" i="338"/>
  <c r="F652" i="338"/>
  <c r="F651" i="338"/>
  <c r="F650" i="338"/>
  <c r="F649" i="338"/>
  <c r="F648" i="338"/>
  <c r="F647" i="338"/>
  <c r="F646" i="338"/>
  <c r="F645" i="338"/>
  <c r="F644" i="338"/>
  <c r="F643" i="338"/>
  <c r="F642" i="338"/>
  <c r="F641" i="338"/>
  <c r="F640" i="338"/>
  <c r="F639" i="338"/>
  <c r="F638" i="338"/>
  <c r="F637" i="338"/>
  <c r="F636" i="338"/>
  <c r="F635" i="338"/>
  <c r="F634" i="338"/>
  <c r="F633" i="338"/>
  <c r="F632" i="338"/>
  <c r="F631" i="338"/>
  <c r="F630" i="338"/>
  <c r="F629" i="338"/>
  <c r="F628" i="338"/>
  <c r="F627" i="338"/>
  <c r="F626" i="338"/>
  <c r="F625" i="338"/>
  <c r="F624" i="338"/>
  <c r="F623" i="338"/>
  <c r="F622" i="338"/>
  <c r="F621" i="338"/>
  <c r="F620" i="338"/>
  <c r="F619" i="338"/>
  <c r="F618" i="338"/>
  <c r="F617" i="338"/>
  <c r="F616" i="338"/>
  <c r="F615" i="338"/>
  <c r="F614" i="338"/>
  <c r="F613" i="338"/>
  <c r="F612" i="338"/>
  <c r="F611" i="338"/>
  <c r="F610" i="338"/>
  <c r="F609" i="338"/>
  <c r="F608" i="338"/>
  <c r="F607" i="338"/>
  <c r="F606" i="338"/>
  <c r="F605" i="338"/>
  <c r="F604" i="338"/>
  <c r="F603" i="338"/>
  <c r="F602" i="338"/>
  <c r="F601" i="338"/>
  <c r="F600" i="338"/>
  <c r="F599" i="338"/>
  <c r="F598" i="338"/>
  <c r="F597" i="338"/>
  <c r="F596" i="338"/>
  <c r="F595" i="338"/>
  <c r="F594" i="338"/>
  <c r="F593" i="338"/>
  <c r="F592" i="338"/>
  <c r="F591" i="338"/>
  <c r="F590" i="338"/>
  <c r="F589" i="338"/>
  <c r="F588" i="338"/>
  <c r="F587" i="338"/>
  <c r="F586" i="338"/>
  <c r="F585" i="338"/>
  <c r="F584" i="338"/>
  <c r="F583" i="338"/>
  <c r="F582" i="338"/>
  <c r="F581" i="338"/>
  <c r="F580" i="338"/>
  <c r="F579" i="338"/>
  <c r="F578" i="338"/>
  <c r="F577" i="338"/>
  <c r="F576" i="338"/>
  <c r="F575" i="338"/>
  <c r="F574" i="338"/>
  <c r="F573" i="338"/>
  <c r="F572" i="338"/>
  <c r="F571" i="338"/>
  <c r="F570" i="338"/>
  <c r="F569" i="338"/>
  <c r="F568" i="338"/>
  <c r="F567" i="338"/>
  <c r="F566" i="338"/>
  <c r="F565" i="338"/>
  <c r="F564" i="338"/>
  <c r="F563" i="338"/>
  <c r="F562" i="338"/>
  <c r="F561" i="338"/>
  <c r="F560" i="338"/>
  <c r="F559" i="338"/>
  <c r="F558" i="338"/>
  <c r="F557" i="338"/>
  <c r="F556" i="338"/>
  <c r="F555" i="338"/>
  <c r="F554" i="338"/>
  <c r="F553" i="338"/>
  <c r="F552" i="338"/>
  <c r="F551" i="338"/>
  <c r="F550" i="338"/>
  <c r="F549" i="338"/>
  <c r="F548" i="338"/>
  <c r="F547" i="338"/>
  <c r="F546" i="338"/>
  <c r="F545" i="338"/>
  <c r="F544" i="338"/>
  <c r="F543" i="338"/>
  <c r="F542" i="338"/>
  <c r="F541" i="338"/>
  <c r="F540" i="338"/>
  <c r="F539" i="338"/>
  <c r="F538" i="338"/>
  <c r="F537" i="338"/>
  <c r="F536" i="338"/>
  <c r="F535" i="338"/>
  <c r="F534" i="338"/>
  <c r="F533" i="338"/>
  <c r="F532" i="338"/>
  <c r="F531" i="338"/>
  <c r="F530" i="338"/>
  <c r="F529" i="338"/>
  <c r="F528" i="338"/>
  <c r="F527" i="338"/>
  <c r="F526" i="338"/>
  <c r="F525" i="338"/>
  <c r="F524" i="338"/>
  <c r="F523" i="338"/>
  <c r="F522" i="338"/>
  <c r="F521" i="338"/>
  <c r="F520" i="338"/>
  <c r="F519" i="338"/>
  <c r="F518" i="338"/>
  <c r="F517" i="338"/>
  <c r="F516" i="338"/>
  <c r="F515" i="338"/>
  <c r="F514" i="338"/>
  <c r="F513" i="338"/>
  <c r="F512" i="338"/>
  <c r="F511" i="338"/>
  <c r="F510" i="338"/>
  <c r="F509" i="338"/>
  <c r="F508" i="338"/>
  <c r="F507" i="338"/>
  <c r="F506" i="338"/>
  <c r="F505" i="338"/>
  <c r="F504" i="338"/>
  <c r="F503" i="338"/>
  <c r="F502" i="338"/>
  <c r="F501" i="338"/>
  <c r="F500" i="338"/>
  <c r="F499" i="338"/>
  <c r="F498" i="338"/>
  <c r="F497" i="338"/>
  <c r="F496" i="338"/>
  <c r="F495" i="338"/>
  <c r="F494" i="338"/>
  <c r="F493" i="338"/>
  <c r="F492" i="338"/>
  <c r="F491" i="338"/>
  <c r="F490" i="338"/>
  <c r="F489" i="338"/>
  <c r="F488" i="338"/>
  <c r="F487" i="338"/>
  <c r="F486" i="338"/>
  <c r="F485" i="338"/>
  <c r="F484" i="338"/>
  <c r="F483" i="338"/>
  <c r="F482" i="338"/>
  <c r="F481" i="338"/>
  <c r="F480" i="338"/>
  <c r="F479" i="338"/>
  <c r="F478" i="338"/>
  <c r="F477" i="338"/>
  <c r="F476" i="338"/>
  <c r="F475" i="338"/>
  <c r="F474" i="338"/>
  <c r="F473" i="338"/>
  <c r="F472" i="338"/>
  <c r="F471" i="338"/>
  <c r="F470" i="338"/>
  <c r="F469" i="338"/>
  <c r="F468" i="338"/>
  <c r="F467" i="338"/>
  <c r="F466" i="338"/>
  <c r="F465" i="338"/>
  <c r="F464" i="338"/>
  <c r="F463" i="338"/>
  <c r="F462" i="338"/>
  <c r="F461" i="338"/>
  <c r="F460" i="338"/>
  <c r="F459" i="338"/>
  <c r="F458" i="338"/>
  <c r="F457" i="338"/>
  <c r="F456" i="338"/>
  <c r="F455" i="338"/>
  <c r="F454" i="338"/>
  <c r="F453" i="338"/>
  <c r="F452" i="338"/>
  <c r="F451" i="338"/>
  <c r="F450" i="338"/>
  <c r="F449" i="338"/>
  <c r="F448" i="338"/>
  <c r="F447" i="338"/>
  <c r="F446" i="338"/>
  <c r="F445" i="338"/>
  <c r="F444" i="338"/>
  <c r="F443" i="338"/>
  <c r="F442" i="338"/>
  <c r="F441" i="338"/>
  <c r="F440" i="338"/>
  <c r="F439" i="338"/>
  <c r="F438" i="338"/>
  <c r="F437" i="338"/>
  <c r="F436" i="338"/>
  <c r="F435" i="338"/>
  <c r="F434" i="338"/>
  <c r="F433" i="338"/>
  <c r="F432" i="338"/>
  <c r="F431" i="338"/>
  <c r="F430" i="338"/>
  <c r="F429" i="338"/>
  <c r="F428" i="338"/>
  <c r="F427" i="338"/>
  <c r="F426" i="338"/>
  <c r="F425" i="338"/>
  <c r="F424" i="338"/>
  <c r="F423" i="338"/>
  <c r="F422" i="338"/>
  <c r="F421" i="338"/>
  <c r="F420" i="338"/>
  <c r="F419" i="338"/>
  <c r="F418" i="338"/>
  <c r="F417" i="338"/>
  <c r="F416" i="338"/>
  <c r="F415" i="338"/>
  <c r="F414" i="338"/>
  <c r="F413" i="338"/>
  <c r="F412" i="338"/>
  <c r="F411" i="338"/>
  <c r="F410" i="338"/>
  <c r="F409" i="338"/>
  <c r="F408" i="338"/>
  <c r="F407" i="338"/>
  <c r="F406" i="338"/>
  <c r="F405" i="338"/>
  <c r="F404" i="338"/>
  <c r="F403" i="338"/>
  <c r="F402" i="338"/>
  <c r="F401" i="338"/>
  <c r="F400" i="338"/>
  <c r="F399" i="338"/>
  <c r="F398" i="338"/>
  <c r="F397" i="338"/>
  <c r="F396" i="338"/>
  <c r="F395" i="338"/>
  <c r="F394" i="338"/>
  <c r="F393" i="338"/>
  <c r="F392" i="338"/>
  <c r="F391" i="338"/>
  <c r="F390" i="338"/>
  <c r="F389" i="338"/>
  <c r="F388" i="338"/>
  <c r="F387" i="338"/>
  <c r="F386" i="338"/>
  <c r="F385" i="338"/>
  <c r="F384" i="338"/>
  <c r="F383" i="338"/>
  <c r="F382" i="338"/>
  <c r="F381" i="338"/>
  <c r="F380" i="338"/>
  <c r="F379" i="338"/>
  <c r="F378" i="338"/>
  <c r="F377" i="338"/>
  <c r="F376" i="338"/>
  <c r="F375" i="338"/>
  <c r="F374" i="338"/>
  <c r="F373" i="338"/>
  <c r="F372" i="338"/>
  <c r="F371" i="338"/>
  <c r="F370" i="338"/>
  <c r="F369" i="338"/>
  <c r="F368" i="338"/>
  <c r="F367" i="338"/>
  <c r="F366" i="338"/>
  <c r="F365" i="338"/>
  <c r="F364" i="338"/>
  <c r="F363" i="338"/>
  <c r="F362" i="338"/>
  <c r="F361" i="338"/>
  <c r="F360" i="338"/>
  <c r="F359" i="338"/>
  <c r="F358" i="338"/>
  <c r="F357" i="338"/>
  <c r="F356" i="338"/>
  <c r="F355" i="338"/>
  <c r="F354" i="338"/>
  <c r="F353" i="338"/>
  <c r="F352" i="338"/>
  <c r="F351" i="338"/>
  <c r="F350" i="338"/>
  <c r="F349" i="338"/>
  <c r="F348" i="338"/>
  <c r="F347" i="338"/>
  <c r="F346" i="338"/>
  <c r="F345" i="338"/>
  <c r="F344" i="338"/>
  <c r="F343" i="338"/>
  <c r="F342" i="338"/>
  <c r="F341" i="338"/>
  <c r="F340" i="338"/>
  <c r="F339" i="338"/>
  <c r="F338" i="338"/>
  <c r="F337" i="338"/>
  <c r="F336" i="338"/>
  <c r="F335" i="338"/>
  <c r="F334" i="338"/>
  <c r="F333" i="338"/>
  <c r="F332" i="338"/>
  <c r="F331" i="338"/>
  <c r="F330" i="338"/>
  <c r="F329" i="338"/>
  <c r="F328" i="338"/>
  <c r="F327" i="338"/>
  <c r="F326" i="338"/>
  <c r="F325" i="338"/>
  <c r="F324" i="338"/>
  <c r="F323" i="338"/>
  <c r="F322" i="338"/>
  <c r="F321" i="338"/>
  <c r="F320" i="338"/>
  <c r="F319" i="338"/>
  <c r="F318" i="338"/>
  <c r="F317" i="338"/>
  <c r="F316" i="338"/>
  <c r="F315" i="338"/>
  <c r="F314" i="338"/>
  <c r="F313" i="338"/>
  <c r="F312" i="338"/>
  <c r="F311" i="338"/>
  <c r="F310" i="338"/>
  <c r="F309" i="338"/>
  <c r="F308" i="338"/>
  <c r="F307" i="338"/>
  <c r="F306" i="338"/>
  <c r="F305" i="338"/>
  <c r="F304" i="338"/>
  <c r="F303" i="338"/>
  <c r="F302" i="338"/>
  <c r="F301" i="338"/>
  <c r="F300" i="338"/>
  <c r="F299" i="338"/>
  <c r="F298" i="338"/>
  <c r="F297" i="338"/>
  <c r="F296" i="338"/>
  <c r="F295" i="338"/>
  <c r="F294" i="338"/>
  <c r="F293" i="338"/>
  <c r="F292" i="338"/>
  <c r="F291" i="338"/>
  <c r="F290" i="338"/>
  <c r="F289" i="338"/>
  <c r="F288" i="338"/>
  <c r="F287" i="338"/>
  <c r="F286" i="338"/>
  <c r="F285" i="338"/>
  <c r="F284" i="338"/>
  <c r="F283" i="338"/>
  <c r="F282" i="338"/>
  <c r="F281" i="338"/>
  <c r="F280" i="338"/>
  <c r="F279" i="338"/>
  <c r="F278" i="338"/>
  <c r="F277" i="338"/>
  <c r="F276" i="338"/>
  <c r="F275" i="338"/>
  <c r="F274" i="338"/>
  <c r="F273" i="338"/>
  <c r="F272" i="338"/>
  <c r="F271" i="338"/>
  <c r="F270" i="338"/>
  <c r="F269" i="338"/>
  <c r="F268" i="338"/>
  <c r="F267" i="338"/>
  <c r="F266" i="338"/>
  <c r="F265" i="338"/>
  <c r="F264" i="338"/>
  <c r="F263" i="338"/>
  <c r="F262" i="338"/>
  <c r="F261" i="338"/>
  <c r="F260" i="338"/>
  <c r="F259" i="338"/>
  <c r="F258" i="338"/>
  <c r="F257" i="338"/>
  <c r="F256" i="338"/>
  <c r="F255" i="338"/>
  <c r="F254" i="338"/>
  <c r="F253" i="338"/>
  <c r="F252" i="338"/>
  <c r="F251" i="338"/>
  <c r="F250" i="338"/>
  <c r="F249" i="338"/>
  <c r="F248" i="338"/>
  <c r="F247" i="338"/>
  <c r="F246" i="338"/>
  <c r="F245" i="338"/>
  <c r="F244" i="338"/>
  <c r="F243" i="338"/>
  <c r="F242" i="338"/>
  <c r="F241" i="338"/>
  <c r="F240" i="338"/>
  <c r="F239" i="338"/>
  <c r="F238" i="338"/>
  <c r="F237" i="338"/>
  <c r="F236" i="338"/>
  <c r="F235" i="338"/>
  <c r="F234" i="338"/>
  <c r="F233" i="338"/>
  <c r="F232" i="338"/>
  <c r="F231" i="338"/>
  <c r="F230" i="338"/>
  <c r="F229" i="338"/>
  <c r="F228" i="338"/>
  <c r="F227" i="338"/>
  <c r="F226" i="338"/>
  <c r="F225" i="338"/>
  <c r="F224" i="338"/>
  <c r="F223" i="338"/>
  <c r="F222" i="338"/>
  <c r="F221" i="338"/>
  <c r="F220" i="338"/>
  <c r="F219" i="338"/>
  <c r="F218" i="338"/>
  <c r="F217" i="338"/>
  <c r="F216" i="338"/>
  <c r="F215" i="338"/>
  <c r="F214" i="338"/>
  <c r="F213" i="338"/>
  <c r="F212" i="338"/>
  <c r="F211" i="338"/>
  <c r="F210" i="338"/>
  <c r="F209" i="338"/>
  <c r="F208" i="338"/>
  <c r="F207" i="338"/>
  <c r="F206" i="338"/>
  <c r="F205" i="338"/>
  <c r="F204" i="338"/>
  <c r="F203" i="338"/>
  <c r="F202" i="338"/>
  <c r="F201" i="338"/>
  <c r="F200" i="338"/>
  <c r="F199" i="338"/>
  <c r="F198" i="338"/>
  <c r="F197" i="338"/>
  <c r="F196" i="338"/>
  <c r="F195" i="338"/>
  <c r="F194" i="338"/>
  <c r="F193" i="338"/>
  <c r="F192" i="338"/>
  <c r="F191" i="338"/>
  <c r="F190" i="338"/>
  <c r="F189" i="338"/>
  <c r="F188" i="338"/>
  <c r="F187" i="338"/>
  <c r="F186" i="338"/>
  <c r="F185" i="338"/>
  <c r="F184" i="338"/>
  <c r="F183" i="338"/>
  <c r="F182" i="338"/>
  <c r="F181" i="338"/>
  <c r="F180" i="338"/>
  <c r="F179" i="338"/>
  <c r="F178" i="338"/>
  <c r="F177" i="338"/>
  <c r="F176" i="338"/>
  <c r="F175" i="338"/>
  <c r="F174" i="338"/>
  <c r="F173" i="338"/>
  <c r="F172" i="338"/>
  <c r="F171" i="338"/>
  <c r="F170" i="338"/>
  <c r="F169" i="338"/>
  <c r="F168" i="338"/>
  <c r="F167" i="338"/>
  <c r="F166" i="338"/>
  <c r="F165" i="338"/>
  <c r="F164" i="338"/>
  <c r="F163" i="338"/>
  <c r="F162" i="338"/>
  <c r="F161" i="338"/>
  <c r="F160" i="338"/>
  <c r="F159" i="338"/>
  <c r="F158" i="338"/>
  <c r="F157" i="338"/>
  <c r="F156" i="338"/>
  <c r="F155" i="338"/>
  <c r="F154" i="338"/>
  <c r="F153" i="338"/>
  <c r="F152" i="338"/>
  <c r="F151" i="338"/>
  <c r="F150" i="338"/>
  <c r="F149" i="338"/>
  <c r="F148" i="338"/>
  <c r="F147" i="338"/>
  <c r="F146" i="338"/>
  <c r="F145" i="338"/>
  <c r="F144" i="338"/>
  <c r="F143" i="338"/>
  <c r="F142" i="338"/>
  <c r="F141" i="338"/>
  <c r="F140" i="338"/>
  <c r="F139" i="338"/>
  <c r="F138" i="338"/>
  <c r="F137" i="338"/>
  <c r="F136" i="338"/>
  <c r="F135" i="338"/>
  <c r="F134" i="338"/>
  <c r="F133" i="338"/>
  <c r="F132" i="338"/>
  <c r="F131" i="338"/>
  <c r="F130" i="338"/>
  <c r="F129" i="338"/>
  <c r="F128" i="338"/>
  <c r="F127" i="338"/>
  <c r="F126" i="338"/>
  <c r="F125" i="338"/>
  <c r="F124" i="338"/>
  <c r="F123" i="338"/>
  <c r="F122" i="338"/>
  <c r="F121" i="338"/>
  <c r="F120" i="338"/>
  <c r="F119" i="338"/>
  <c r="F118" i="338"/>
  <c r="F117" i="338"/>
  <c r="F116" i="338"/>
  <c r="F115" i="338"/>
  <c r="F114" i="338"/>
  <c r="F113" i="338"/>
  <c r="F112" i="338"/>
  <c r="F111" i="338"/>
  <c r="F110" i="338"/>
  <c r="F109" i="338"/>
  <c r="F108" i="338"/>
  <c r="F107" i="338"/>
  <c r="F106" i="338"/>
  <c r="F105" i="338"/>
  <c r="F104" i="338"/>
  <c r="F103" i="338"/>
  <c r="F102" i="338"/>
  <c r="F101" i="338"/>
  <c r="F100" i="338"/>
  <c r="F99" i="338"/>
  <c r="F98" i="338"/>
  <c r="F97" i="338"/>
  <c r="F96" i="338"/>
  <c r="F95" i="338"/>
  <c r="F94" i="338"/>
  <c r="F93" i="338"/>
  <c r="F92" i="338"/>
  <c r="F91" i="338"/>
  <c r="F90" i="338"/>
  <c r="F89" i="338"/>
  <c r="F88" i="338"/>
  <c r="F87" i="338"/>
  <c r="F86" i="338"/>
  <c r="F85" i="338"/>
  <c r="F84" i="338"/>
  <c r="F83" i="338"/>
  <c r="F82" i="338"/>
  <c r="F81" i="338"/>
  <c r="F80" i="338"/>
  <c r="F79" i="338"/>
  <c r="F78" i="338"/>
  <c r="F77" i="338"/>
  <c r="F76" i="338"/>
  <c r="F75" i="338"/>
  <c r="F74" i="338"/>
  <c r="F73" i="338"/>
  <c r="F72" i="338"/>
  <c r="F71" i="338"/>
  <c r="F70" i="338"/>
  <c r="F69" i="338"/>
  <c r="F68" i="338"/>
  <c r="F67" i="338"/>
  <c r="F66" i="338"/>
  <c r="F65" i="338"/>
  <c r="F64" i="338"/>
  <c r="F63" i="338"/>
  <c r="F62" i="338"/>
  <c r="F61" i="338"/>
  <c r="F60" i="338"/>
  <c r="F59" i="338"/>
  <c r="F58" i="338"/>
  <c r="F57" i="338"/>
  <c r="F56" i="338"/>
  <c r="F55" i="338"/>
  <c r="F54" i="338"/>
  <c r="F53" i="338"/>
  <c r="F52" i="338"/>
  <c r="F51" i="338"/>
  <c r="F50" i="338"/>
  <c r="F49" i="338"/>
  <c r="F48" i="338"/>
  <c r="F47" i="338"/>
  <c r="F46" i="338"/>
  <c r="F45" i="338"/>
  <c r="F44" i="338"/>
  <c r="F43" i="338"/>
  <c r="F42" i="338"/>
  <c r="F41" i="338"/>
  <c r="F40" i="338"/>
  <c r="F39" i="338"/>
  <c r="F38" i="338"/>
  <c r="F37" i="338"/>
  <c r="F36" i="338"/>
  <c r="F35" i="338"/>
  <c r="F34" i="338"/>
  <c r="F33" i="338"/>
  <c r="F32" i="338"/>
  <c r="F31" i="338"/>
  <c r="F30" i="338"/>
  <c r="F29" i="338"/>
  <c r="F28" i="338"/>
  <c r="F27" i="338"/>
  <c r="F26" i="338"/>
  <c r="F25" i="338"/>
  <c r="F24" i="338"/>
  <c r="F23" i="338"/>
  <c r="F22" i="338"/>
  <c r="F21" i="338"/>
  <c r="F20" i="338"/>
  <c r="F19" i="338"/>
  <c r="F18" i="338"/>
  <c r="F17" i="338"/>
  <c r="F16" i="338"/>
  <c r="F15" i="338"/>
  <c r="F14" i="338"/>
  <c r="F13" i="338"/>
  <c r="F12" i="338"/>
  <c r="F11" i="338"/>
  <c r="F10" i="338"/>
  <c r="F9" i="338"/>
  <c r="F8" i="338"/>
  <c r="F7" i="338"/>
  <c r="F6" i="338"/>
  <c r="F5" i="338"/>
  <c r="E1000" i="338"/>
  <c r="E999" i="338"/>
  <c r="E998" i="338"/>
  <c r="E997" i="338"/>
  <c r="E996" i="338"/>
  <c r="E995" i="338"/>
  <c r="E994" i="338"/>
  <c r="E993" i="338"/>
  <c r="E992" i="338"/>
  <c r="E991" i="338"/>
  <c r="E990" i="338"/>
  <c r="E989" i="338"/>
  <c r="E988" i="338"/>
  <c r="E987" i="338"/>
  <c r="E986" i="338"/>
  <c r="E985" i="338"/>
  <c r="E984" i="338"/>
  <c r="E983" i="338"/>
  <c r="E982" i="338"/>
  <c r="E981" i="338"/>
  <c r="E980" i="338"/>
  <c r="E979" i="338"/>
  <c r="E978" i="338"/>
  <c r="E977" i="338"/>
  <c r="E976" i="338"/>
  <c r="E975" i="338"/>
  <c r="E974" i="338"/>
  <c r="E973" i="338"/>
  <c r="E972" i="338"/>
  <c r="E971" i="338"/>
  <c r="E970" i="338"/>
  <c r="E969" i="338"/>
  <c r="E968" i="338"/>
  <c r="E967" i="338"/>
  <c r="E966" i="338"/>
  <c r="E965" i="338"/>
  <c r="E964" i="338"/>
  <c r="E963" i="338"/>
  <c r="E962" i="338"/>
  <c r="E961" i="338"/>
  <c r="E960" i="338"/>
  <c r="E959" i="338"/>
  <c r="E958" i="338"/>
  <c r="E957" i="338"/>
  <c r="E956" i="338"/>
  <c r="E955" i="338"/>
  <c r="E954" i="338"/>
  <c r="E953" i="338"/>
  <c r="E952" i="338"/>
  <c r="E951" i="338"/>
  <c r="E950" i="338"/>
  <c r="E949" i="338"/>
  <c r="E948" i="338"/>
  <c r="E947" i="338"/>
  <c r="E946" i="338"/>
  <c r="E945" i="338"/>
  <c r="E944" i="338"/>
  <c r="E943" i="338"/>
  <c r="E942" i="338"/>
  <c r="E941" i="338"/>
  <c r="E940" i="338"/>
  <c r="E939" i="338"/>
  <c r="E938" i="338"/>
  <c r="E937" i="338"/>
  <c r="E936" i="338"/>
  <c r="E935" i="338"/>
  <c r="E934" i="338"/>
  <c r="E933" i="338"/>
  <c r="E932" i="338"/>
  <c r="E931" i="338"/>
  <c r="E930" i="338"/>
  <c r="E929" i="338"/>
  <c r="E928" i="338"/>
  <c r="E927" i="338"/>
  <c r="E926" i="338"/>
  <c r="E925" i="338"/>
  <c r="E924" i="338"/>
  <c r="E923" i="338"/>
  <c r="E922" i="338"/>
  <c r="E921" i="338"/>
  <c r="E920" i="338"/>
  <c r="E919" i="338"/>
  <c r="E918" i="338"/>
  <c r="E917" i="338"/>
  <c r="E916" i="338"/>
  <c r="E915" i="338"/>
  <c r="E914" i="338"/>
  <c r="E913" i="338"/>
  <c r="E912" i="338"/>
  <c r="E911" i="338"/>
  <c r="E910" i="338"/>
  <c r="E909" i="338"/>
  <c r="E908" i="338"/>
  <c r="E907" i="338"/>
  <c r="E906" i="338"/>
  <c r="E905" i="338"/>
  <c r="E904" i="338"/>
  <c r="E903" i="338"/>
  <c r="E902" i="338"/>
  <c r="E901" i="338"/>
  <c r="E900" i="338"/>
  <c r="E899" i="338"/>
  <c r="E898" i="338"/>
  <c r="E897" i="338"/>
  <c r="E896" i="338"/>
  <c r="E895" i="338"/>
  <c r="E894" i="338"/>
  <c r="E893" i="338"/>
  <c r="E892" i="338"/>
  <c r="E891" i="338"/>
  <c r="E890" i="338"/>
  <c r="E889" i="338"/>
  <c r="E888" i="338"/>
  <c r="E887" i="338"/>
  <c r="E886" i="338"/>
  <c r="E885" i="338"/>
  <c r="E884" i="338"/>
  <c r="E883" i="338"/>
  <c r="E882" i="338"/>
  <c r="E881" i="338"/>
  <c r="E880" i="338"/>
  <c r="E879" i="338"/>
  <c r="E878" i="338"/>
  <c r="E877" i="338"/>
  <c r="E876" i="338"/>
  <c r="E875" i="338"/>
  <c r="E874" i="338"/>
  <c r="E873" i="338"/>
  <c r="E872" i="338"/>
  <c r="E871" i="338"/>
  <c r="E870" i="338"/>
  <c r="E869" i="338"/>
  <c r="E868" i="338"/>
  <c r="E867" i="338"/>
  <c r="E866" i="338"/>
  <c r="E865" i="338"/>
  <c r="E864" i="338"/>
  <c r="E863" i="338"/>
  <c r="E862" i="338"/>
  <c r="E861" i="338"/>
  <c r="E860" i="338"/>
  <c r="E859" i="338"/>
  <c r="E858" i="338"/>
  <c r="E857" i="338"/>
  <c r="E856" i="338"/>
  <c r="E855" i="338"/>
  <c r="E854" i="338"/>
  <c r="E853" i="338"/>
  <c r="E852" i="338"/>
  <c r="E851" i="338"/>
  <c r="E850" i="338"/>
  <c r="E849" i="338"/>
  <c r="E848" i="338"/>
  <c r="E847" i="338"/>
  <c r="E846" i="338"/>
  <c r="E845" i="338"/>
  <c r="E844" i="338"/>
  <c r="E843" i="338"/>
  <c r="E842" i="338"/>
  <c r="E841" i="338"/>
  <c r="E840" i="338"/>
  <c r="E839" i="338"/>
  <c r="E838" i="338"/>
  <c r="E837" i="338"/>
  <c r="E836" i="338"/>
  <c r="E835" i="338"/>
  <c r="E834" i="338"/>
  <c r="E833" i="338"/>
  <c r="E832" i="338"/>
  <c r="E831" i="338"/>
  <c r="E830" i="338"/>
  <c r="E829" i="338"/>
  <c r="E828" i="338"/>
  <c r="E827" i="338"/>
  <c r="E826" i="338"/>
  <c r="E825" i="338"/>
  <c r="E824" i="338"/>
  <c r="E823" i="338"/>
  <c r="E822" i="338"/>
  <c r="E821" i="338"/>
  <c r="E820" i="338"/>
  <c r="E819" i="338"/>
  <c r="E818" i="338"/>
  <c r="E817" i="338"/>
  <c r="E816" i="338"/>
  <c r="E815" i="338"/>
  <c r="E814" i="338"/>
  <c r="E813" i="338"/>
  <c r="E812" i="338"/>
  <c r="E811" i="338"/>
  <c r="E810" i="338"/>
  <c r="E809" i="338"/>
  <c r="E808" i="338"/>
  <c r="E807" i="338"/>
  <c r="E806" i="338"/>
  <c r="E805" i="338"/>
  <c r="E804" i="338"/>
  <c r="E803" i="338"/>
  <c r="E802" i="338"/>
  <c r="E801" i="338"/>
  <c r="E800" i="338"/>
  <c r="E799" i="338"/>
  <c r="E798" i="338"/>
  <c r="E797" i="338"/>
  <c r="E796" i="338"/>
  <c r="E795" i="338"/>
  <c r="E794" i="338"/>
  <c r="E793" i="338"/>
  <c r="E792" i="338"/>
  <c r="E791" i="338"/>
  <c r="E790" i="338"/>
  <c r="E789" i="338"/>
  <c r="E788" i="338"/>
  <c r="E787" i="338"/>
  <c r="E786" i="338"/>
  <c r="E785" i="338"/>
  <c r="E784" i="338"/>
  <c r="E783" i="338"/>
  <c r="E782" i="338"/>
  <c r="E781" i="338"/>
  <c r="E780" i="338"/>
  <c r="E779" i="338"/>
  <c r="E778" i="338"/>
  <c r="E777" i="338"/>
  <c r="E776" i="338"/>
  <c r="E775" i="338"/>
  <c r="E774" i="338"/>
  <c r="E773" i="338"/>
  <c r="E772" i="338"/>
  <c r="E771" i="338"/>
  <c r="E770" i="338"/>
  <c r="E769" i="338"/>
  <c r="E768" i="338"/>
  <c r="E767" i="338"/>
  <c r="E766" i="338"/>
  <c r="E765" i="338"/>
  <c r="E764" i="338"/>
  <c r="E763" i="338"/>
  <c r="E762" i="338"/>
  <c r="E761" i="338"/>
  <c r="E760" i="338"/>
  <c r="E759" i="338"/>
  <c r="E758" i="338"/>
  <c r="E757" i="338"/>
  <c r="E756" i="338"/>
  <c r="E755" i="338"/>
  <c r="E754" i="338"/>
  <c r="E753" i="338"/>
  <c r="E752" i="338"/>
  <c r="E751" i="338"/>
  <c r="E750" i="338"/>
  <c r="E749" i="338"/>
  <c r="E748" i="338"/>
  <c r="E747" i="338"/>
  <c r="E746" i="338"/>
  <c r="E745" i="338"/>
  <c r="E744" i="338"/>
  <c r="E743" i="338"/>
  <c r="E742" i="338"/>
  <c r="E741" i="338"/>
  <c r="E740" i="338"/>
  <c r="E739" i="338"/>
  <c r="E738" i="338"/>
  <c r="E737" i="338"/>
  <c r="E736" i="338"/>
  <c r="E735" i="338"/>
  <c r="E734" i="338"/>
  <c r="E733" i="338"/>
  <c r="E732" i="338"/>
  <c r="E731" i="338"/>
  <c r="E730" i="338"/>
  <c r="E729" i="338"/>
  <c r="E728" i="338"/>
  <c r="E727" i="338"/>
  <c r="E726" i="338"/>
  <c r="E725" i="338"/>
  <c r="E724" i="338"/>
  <c r="E723" i="338"/>
  <c r="E722" i="338"/>
  <c r="E721" i="338"/>
  <c r="E720" i="338"/>
  <c r="E719" i="338"/>
  <c r="E718" i="338"/>
  <c r="E717" i="338"/>
  <c r="E716" i="338"/>
  <c r="E715" i="338"/>
  <c r="E714" i="338"/>
  <c r="E713" i="338"/>
  <c r="E712" i="338"/>
  <c r="E711" i="338"/>
  <c r="E710" i="338"/>
  <c r="E709" i="338"/>
  <c r="E708" i="338"/>
  <c r="E707" i="338"/>
  <c r="E706" i="338"/>
  <c r="E705" i="338"/>
  <c r="E704" i="338"/>
  <c r="E703" i="338"/>
  <c r="E702" i="338"/>
  <c r="E701" i="338"/>
  <c r="E700" i="338"/>
  <c r="E699" i="338"/>
  <c r="E698" i="338"/>
  <c r="E697" i="338"/>
  <c r="E696" i="338"/>
  <c r="E695" i="338"/>
  <c r="E694" i="338"/>
  <c r="E693" i="338"/>
  <c r="E692" i="338"/>
  <c r="E691" i="338"/>
  <c r="E690" i="338"/>
  <c r="E689" i="338"/>
  <c r="E688" i="338"/>
  <c r="E687" i="338"/>
  <c r="E686" i="338"/>
  <c r="E685" i="338"/>
  <c r="E684" i="338"/>
  <c r="E683" i="338"/>
  <c r="E682" i="338"/>
  <c r="E681" i="338"/>
  <c r="E680" i="338"/>
  <c r="E679" i="338"/>
  <c r="E678" i="338"/>
  <c r="E677" i="338"/>
  <c r="E676" i="338"/>
  <c r="E675" i="338"/>
  <c r="E674" i="338"/>
  <c r="E673" i="338"/>
  <c r="E672" i="338"/>
  <c r="E671" i="338"/>
  <c r="E670" i="338"/>
  <c r="E669" i="338"/>
  <c r="E668" i="338"/>
  <c r="E667" i="338"/>
  <c r="E666" i="338"/>
  <c r="E665" i="338"/>
  <c r="E664" i="338"/>
  <c r="E663" i="338"/>
  <c r="E662" i="338"/>
  <c r="E661" i="338"/>
  <c r="E660" i="338"/>
  <c r="E659" i="338"/>
  <c r="E658" i="338"/>
  <c r="E657" i="338"/>
  <c r="E656" i="338"/>
  <c r="E655" i="338"/>
  <c r="E654" i="338"/>
  <c r="E653" i="338"/>
  <c r="E652" i="338"/>
  <c r="E651" i="338"/>
  <c r="E650" i="338"/>
  <c r="E649" i="338"/>
  <c r="E648" i="338"/>
  <c r="E647" i="338"/>
  <c r="E646" i="338"/>
  <c r="E645" i="338"/>
  <c r="E644" i="338"/>
  <c r="E643" i="338"/>
  <c r="E642" i="338"/>
  <c r="E641" i="338"/>
  <c r="E640" i="338"/>
  <c r="E639" i="338"/>
  <c r="E638" i="338"/>
  <c r="E637" i="338"/>
  <c r="E636" i="338"/>
  <c r="E635" i="338"/>
  <c r="E634" i="338"/>
  <c r="E633" i="338"/>
  <c r="E632" i="338"/>
  <c r="E631" i="338"/>
  <c r="E630" i="338"/>
  <c r="E629" i="338"/>
  <c r="E628" i="338"/>
  <c r="E627" i="338"/>
  <c r="E626" i="338"/>
  <c r="E625" i="338"/>
  <c r="E624" i="338"/>
  <c r="E623" i="338"/>
  <c r="E622" i="338"/>
  <c r="E621" i="338"/>
  <c r="E620" i="338"/>
  <c r="E619" i="338"/>
  <c r="E618" i="338"/>
  <c r="E617" i="338"/>
  <c r="E616" i="338"/>
  <c r="E615" i="338"/>
  <c r="E614" i="338"/>
  <c r="E613" i="338"/>
  <c r="E612" i="338"/>
  <c r="E611" i="338"/>
  <c r="E610" i="338"/>
  <c r="E609" i="338"/>
  <c r="E608" i="338"/>
  <c r="E607" i="338"/>
  <c r="E606" i="338"/>
  <c r="E605" i="338"/>
  <c r="E604" i="338"/>
  <c r="E603" i="338"/>
  <c r="E602" i="338"/>
  <c r="E601" i="338"/>
  <c r="E600" i="338"/>
  <c r="E599" i="338"/>
  <c r="E598" i="338"/>
  <c r="E597" i="338"/>
  <c r="E596" i="338"/>
  <c r="E595" i="338"/>
  <c r="E594" i="338"/>
  <c r="E593" i="338"/>
  <c r="E592" i="338"/>
  <c r="E591" i="338"/>
  <c r="E590" i="338"/>
  <c r="E589" i="338"/>
  <c r="E588" i="338"/>
  <c r="E587" i="338"/>
  <c r="E586" i="338"/>
  <c r="E585" i="338"/>
  <c r="E584" i="338"/>
  <c r="E583" i="338"/>
  <c r="E582" i="338"/>
  <c r="E581" i="338"/>
  <c r="E580" i="338"/>
  <c r="E579" i="338"/>
  <c r="E578" i="338"/>
  <c r="E577" i="338"/>
  <c r="E576" i="338"/>
  <c r="E575" i="338"/>
  <c r="E574" i="338"/>
  <c r="E573" i="338"/>
  <c r="E572" i="338"/>
  <c r="E571" i="338"/>
  <c r="E570" i="338"/>
  <c r="E569" i="338"/>
  <c r="E568" i="338"/>
  <c r="E567" i="338"/>
  <c r="E566" i="338"/>
  <c r="E565" i="338"/>
  <c r="E564" i="338"/>
  <c r="E563" i="338"/>
  <c r="E562" i="338"/>
  <c r="E561" i="338"/>
  <c r="E560" i="338"/>
  <c r="E559" i="338"/>
  <c r="E558" i="338"/>
  <c r="E557" i="338"/>
  <c r="E556" i="338"/>
  <c r="E555" i="338"/>
  <c r="E554" i="338"/>
  <c r="E553" i="338"/>
  <c r="E552" i="338"/>
  <c r="E551" i="338"/>
  <c r="E550" i="338"/>
  <c r="E549" i="338"/>
  <c r="E548" i="338"/>
  <c r="E547" i="338"/>
  <c r="E546" i="338"/>
  <c r="E545" i="338"/>
  <c r="E544" i="338"/>
  <c r="E543" i="338"/>
  <c r="E542" i="338"/>
  <c r="E541" i="338"/>
  <c r="E540" i="338"/>
  <c r="E539" i="338"/>
  <c r="E538" i="338"/>
  <c r="E537" i="338"/>
  <c r="E536" i="338"/>
  <c r="E535" i="338"/>
  <c r="E534" i="338"/>
  <c r="E533" i="338"/>
  <c r="E532" i="338"/>
  <c r="E531" i="338"/>
  <c r="E530" i="338"/>
  <c r="E529" i="338"/>
  <c r="E528" i="338"/>
  <c r="E527" i="338"/>
  <c r="E526" i="338"/>
  <c r="E525" i="338"/>
  <c r="E524" i="338"/>
  <c r="E523" i="338"/>
  <c r="E522" i="338"/>
  <c r="E521" i="338"/>
  <c r="E520" i="338"/>
  <c r="E519" i="338"/>
  <c r="E518" i="338"/>
  <c r="E517" i="338"/>
  <c r="E516" i="338"/>
  <c r="E515" i="338"/>
  <c r="E514" i="338"/>
  <c r="E513" i="338"/>
  <c r="E512" i="338"/>
  <c r="E511" i="338"/>
  <c r="E510" i="338"/>
  <c r="E509" i="338"/>
  <c r="E508" i="338"/>
  <c r="E507" i="338"/>
  <c r="E506" i="338"/>
  <c r="E505" i="338"/>
  <c r="E504" i="338"/>
  <c r="E503" i="338"/>
  <c r="E502" i="338"/>
  <c r="E501" i="338"/>
  <c r="E500" i="338"/>
  <c r="E499" i="338"/>
  <c r="E498" i="338"/>
  <c r="E497" i="338"/>
  <c r="E496" i="338"/>
  <c r="E495" i="338"/>
  <c r="E494" i="338"/>
  <c r="E493" i="338"/>
  <c r="E492" i="338"/>
  <c r="E491" i="338"/>
  <c r="E490" i="338"/>
  <c r="E489" i="338"/>
  <c r="E488" i="338"/>
  <c r="E487" i="338"/>
  <c r="E486" i="338"/>
  <c r="E485" i="338"/>
  <c r="E484" i="338"/>
  <c r="E483" i="338"/>
  <c r="E482" i="338"/>
  <c r="E481" i="338"/>
  <c r="E480" i="338"/>
  <c r="E479" i="338"/>
  <c r="E478" i="338"/>
  <c r="E477" i="338"/>
  <c r="E476" i="338"/>
  <c r="E475" i="338"/>
  <c r="E474" i="338"/>
  <c r="E473" i="338"/>
  <c r="E472" i="338"/>
  <c r="E471" i="338"/>
  <c r="E470" i="338"/>
  <c r="E469" i="338"/>
  <c r="E468" i="338"/>
  <c r="E467" i="338"/>
  <c r="E466" i="338"/>
  <c r="E465" i="338"/>
  <c r="E464" i="338"/>
  <c r="E463" i="338"/>
  <c r="E462" i="338"/>
  <c r="E461" i="338"/>
  <c r="E460" i="338"/>
  <c r="E459" i="338"/>
  <c r="E458" i="338"/>
  <c r="E457" i="338"/>
  <c r="E456" i="338"/>
  <c r="E455" i="338"/>
  <c r="E454" i="338"/>
  <c r="E453" i="338"/>
  <c r="E452" i="338"/>
  <c r="E451" i="338"/>
  <c r="E450" i="338"/>
  <c r="E449" i="338"/>
  <c r="E448" i="338"/>
  <c r="E447" i="338"/>
  <c r="E446" i="338"/>
  <c r="E445" i="338"/>
  <c r="E444" i="338"/>
  <c r="E443" i="338"/>
  <c r="E442" i="338"/>
  <c r="E441" i="338"/>
  <c r="E440" i="338"/>
  <c r="E439" i="338"/>
  <c r="E438" i="338"/>
  <c r="E437" i="338"/>
  <c r="E436" i="338"/>
  <c r="E435" i="338"/>
  <c r="E434" i="338"/>
  <c r="E433" i="338"/>
  <c r="E432" i="338"/>
  <c r="E431" i="338"/>
  <c r="E430" i="338"/>
  <c r="E429" i="338"/>
  <c r="E428" i="338"/>
  <c r="E427" i="338"/>
  <c r="E426" i="338"/>
  <c r="E425" i="338"/>
  <c r="E424" i="338"/>
  <c r="E423" i="338"/>
  <c r="E422" i="338"/>
  <c r="E421" i="338"/>
  <c r="E420" i="338"/>
  <c r="E419" i="338"/>
  <c r="E418" i="338"/>
  <c r="E417" i="338"/>
  <c r="E416" i="338"/>
  <c r="E415" i="338"/>
  <c r="E414" i="338"/>
  <c r="E413" i="338"/>
  <c r="E412" i="338"/>
  <c r="E411" i="338"/>
  <c r="E410" i="338"/>
  <c r="E409" i="338"/>
  <c r="E408" i="338"/>
  <c r="E407" i="338"/>
  <c r="E406" i="338"/>
  <c r="E405" i="338"/>
  <c r="E404" i="338"/>
  <c r="E403" i="338"/>
  <c r="E402" i="338"/>
  <c r="E401" i="338"/>
  <c r="E400" i="338"/>
  <c r="E399" i="338"/>
  <c r="E398" i="338"/>
  <c r="E397" i="338"/>
  <c r="E396" i="338"/>
  <c r="E395" i="338"/>
  <c r="E394" i="338"/>
  <c r="E393" i="338"/>
  <c r="E392" i="338"/>
  <c r="E391" i="338"/>
  <c r="E390" i="338"/>
  <c r="E389" i="338"/>
  <c r="E388" i="338"/>
  <c r="E387" i="338"/>
  <c r="E386" i="338"/>
  <c r="E385" i="338"/>
  <c r="E384" i="338"/>
  <c r="E383" i="338"/>
  <c r="E382" i="338"/>
  <c r="E381" i="338"/>
  <c r="E380" i="338"/>
  <c r="E379" i="338"/>
  <c r="E378" i="338"/>
  <c r="E377" i="338"/>
  <c r="E376" i="338"/>
  <c r="E375" i="338"/>
  <c r="E374" i="338"/>
  <c r="E373" i="338"/>
  <c r="E372" i="338"/>
  <c r="E371" i="338"/>
  <c r="E370" i="338"/>
  <c r="E369" i="338"/>
  <c r="E368" i="338"/>
  <c r="E367" i="338"/>
  <c r="E366" i="338"/>
  <c r="E365" i="338"/>
  <c r="E364" i="338"/>
  <c r="E363" i="338"/>
  <c r="E362" i="338"/>
  <c r="E361" i="338"/>
  <c r="E360" i="338"/>
  <c r="E359" i="338"/>
  <c r="E358" i="338"/>
  <c r="E357" i="338"/>
  <c r="E356" i="338"/>
  <c r="E355" i="338"/>
  <c r="E354" i="338"/>
  <c r="E353" i="338"/>
  <c r="E352" i="338"/>
  <c r="E351" i="338"/>
  <c r="E350" i="338"/>
  <c r="E349" i="338"/>
  <c r="E348" i="338"/>
  <c r="E347" i="338"/>
  <c r="E346" i="338"/>
  <c r="E345" i="338"/>
  <c r="E344" i="338"/>
  <c r="E343" i="338"/>
  <c r="E342" i="338"/>
  <c r="E341" i="338"/>
  <c r="E340" i="338"/>
  <c r="E339" i="338"/>
  <c r="E338" i="338"/>
  <c r="E337" i="338"/>
  <c r="E336" i="338"/>
  <c r="E335" i="338"/>
  <c r="E334" i="338"/>
  <c r="E333" i="338"/>
  <c r="E332" i="338"/>
  <c r="E331" i="338"/>
  <c r="E330" i="338"/>
  <c r="E329" i="338"/>
  <c r="E328" i="338"/>
  <c r="E327" i="338"/>
  <c r="E326" i="338"/>
  <c r="E325" i="338"/>
  <c r="E324" i="338"/>
  <c r="E323" i="338"/>
  <c r="E322" i="338"/>
  <c r="E321" i="338"/>
  <c r="E320" i="338"/>
  <c r="E319" i="338"/>
  <c r="E318" i="338"/>
  <c r="E317" i="338"/>
  <c r="E316" i="338"/>
  <c r="E315" i="338"/>
  <c r="E314" i="338"/>
  <c r="E313" i="338"/>
  <c r="E312" i="338"/>
  <c r="E311" i="338"/>
  <c r="E310" i="338"/>
  <c r="E309" i="338"/>
  <c r="E308" i="338"/>
  <c r="E307" i="338"/>
  <c r="E306" i="338"/>
  <c r="E305" i="338"/>
  <c r="E304" i="338"/>
  <c r="E303" i="338"/>
  <c r="E302" i="338"/>
  <c r="E301" i="338"/>
  <c r="E300" i="338"/>
  <c r="E299" i="338"/>
  <c r="E298" i="338"/>
  <c r="E297" i="338"/>
  <c r="E296" i="338"/>
  <c r="E295" i="338"/>
  <c r="E294" i="338"/>
  <c r="E293" i="338"/>
  <c r="E292" i="338"/>
  <c r="E291" i="338"/>
  <c r="E290" i="338"/>
  <c r="E289" i="338"/>
  <c r="E288" i="338"/>
  <c r="E287" i="338"/>
  <c r="E286" i="338"/>
  <c r="E285" i="338"/>
  <c r="E284" i="338"/>
  <c r="E283" i="338"/>
  <c r="E282" i="338"/>
  <c r="E281" i="338"/>
  <c r="E280" i="338"/>
  <c r="E279" i="338"/>
  <c r="E278" i="338"/>
  <c r="E277" i="338"/>
  <c r="E276" i="338"/>
  <c r="E275" i="338"/>
  <c r="E274" i="338"/>
  <c r="E273" i="338"/>
  <c r="E272" i="338"/>
  <c r="E271" i="338"/>
  <c r="E270" i="338"/>
  <c r="E269" i="338"/>
  <c r="E268" i="338"/>
  <c r="E267" i="338"/>
  <c r="E266" i="338"/>
  <c r="E265" i="338"/>
  <c r="E264" i="338"/>
  <c r="E263" i="338"/>
  <c r="E262" i="338"/>
  <c r="E261" i="338"/>
  <c r="E260" i="338"/>
  <c r="E259" i="338"/>
  <c r="E258" i="338"/>
  <c r="E257" i="338"/>
  <c r="E256" i="338"/>
  <c r="E255" i="338"/>
  <c r="E254" i="338"/>
  <c r="E253" i="338"/>
  <c r="E252" i="338"/>
  <c r="E251" i="338"/>
  <c r="E250" i="338"/>
  <c r="E249" i="338"/>
  <c r="E248" i="338"/>
  <c r="E247" i="338"/>
  <c r="E246" i="338"/>
  <c r="E245" i="338"/>
  <c r="E244" i="338"/>
  <c r="E243" i="338"/>
  <c r="E242" i="338"/>
  <c r="E241" i="338"/>
  <c r="E240" i="338"/>
  <c r="E239" i="338"/>
  <c r="E238" i="338"/>
  <c r="E237" i="338"/>
  <c r="E236" i="338"/>
  <c r="E235" i="338"/>
  <c r="E234" i="338"/>
  <c r="E233" i="338"/>
  <c r="E232" i="338"/>
  <c r="E231" i="338"/>
  <c r="E230" i="338"/>
  <c r="E229" i="338"/>
  <c r="E228" i="338"/>
  <c r="E227" i="338"/>
  <c r="E226" i="338"/>
  <c r="E225" i="338"/>
  <c r="E224" i="338"/>
  <c r="E223" i="338"/>
  <c r="E222" i="338"/>
  <c r="E221" i="338"/>
  <c r="E220" i="338"/>
  <c r="E219" i="338"/>
  <c r="E218" i="338"/>
  <c r="E217" i="338"/>
  <c r="E216" i="338"/>
  <c r="E215" i="338"/>
  <c r="E214" i="338"/>
  <c r="E213" i="338"/>
  <c r="E212" i="338"/>
  <c r="E211" i="338"/>
  <c r="E210" i="338"/>
  <c r="E209" i="338"/>
  <c r="E208" i="338"/>
  <c r="E207" i="338"/>
  <c r="E206" i="338"/>
  <c r="E205" i="338"/>
  <c r="E204" i="338"/>
  <c r="E203" i="338"/>
  <c r="E202" i="338"/>
  <c r="E201" i="338"/>
  <c r="E200" i="338"/>
  <c r="E199" i="338"/>
  <c r="E198" i="338"/>
  <c r="E197" i="338"/>
  <c r="E196" i="338"/>
  <c r="E195" i="338"/>
  <c r="E194" i="338"/>
  <c r="E193" i="338"/>
  <c r="E192" i="338"/>
  <c r="E191" i="338"/>
  <c r="E190" i="338"/>
  <c r="E189" i="338"/>
  <c r="E188" i="338"/>
  <c r="E187" i="338"/>
  <c r="E186" i="338"/>
  <c r="E185" i="338"/>
  <c r="E184" i="338"/>
  <c r="E183" i="338"/>
  <c r="E182" i="338"/>
  <c r="E181" i="338"/>
  <c r="E180" i="338"/>
  <c r="E179" i="338"/>
  <c r="E178" i="338"/>
  <c r="E177" i="338"/>
  <c r="E176" i="338"/>
  <c r="E175" i="338"/>
  <c r="E174" i="338"/>
  <c r="E173" i="338"/>
  <c r="E172" i="338"/>
  <c r="E171" i="338"/>
  <c r="E170" i="338"/>
  <c r="E169" i="338"/>
  <c r="E168" i="338"/>
  <c r="E167" i="338"/>
  <c r="E166" i="338"/>
  <c r="E165" i="338"/>
  <c r="E164" i="338"/>
  <c r="E163" i="338"/>
  <c r="E162" i="338"/>
  <c r="E161" i="338"/>
  <c r="E160" i="338"/>
  <c r="E159" i="338"/>
  <c r="E158" i="338"/>
  <c r="E157" i="338"/>
  <c r="E156" i="338"/>
  <c r="E155" i="338"/>
  <c r="E154" i="338"/>
  <c r="E153" i="338"/>
  <c r="E152" i="338"/>
  <c r="E151" i="338"/>
  <c r="E150" i="338"/>
  <c r="E149" i="338"/>
  <c r="E148" i="338"/>
  <c r="E147" i="338"/>
  <c r="E146" i="338"/>
  <c r="E145" i="338"/>
  <c r="E144" i="338"/>
  <c r="E143" i="338"/>
  <c r="E142" i="338"/>
  <c r="E141" i="338"/>
  <c r="E140" i="338"/>
  <c r="E139" i="338"/>
  <c r="E138" i="338"/>
  <c r="E137" i="338"/>
  <c r="E136" i="338"/>
  <c r="E135" i="338"/>
  <c r="E134" i="338"/>
  <c r="E133" i="338"/>
  <c r="E132" i="338"/>
  <c r="E131" i="338"/>
  <c r="E130" i="338"/>
  <c r="E129" i="338"/>
  <c r="E128" i="338"/>
  <c r="E127" i="338"/>
  <c r="E126" i="338"/>
  <c r="E125" i="338"/>
  <c r="E124" i="338"/>
  <c r="E123" i="338"/>
  <c r="E122" i="338"/>
  <c r="E121" i="338"/>
  <c r="E120" i="338"/>
  <c r="E119" i="338"/>
  <c r="E118" i="338"/>
  <c r="E117" i="338"/>
  <c r="E116" i="338"/>
  <c r="E115" i="338"/>
  <c r="E114" i="338"/>
  <c r="E113" i="338"/>
  <c r="E112" i="338"/>
  <c r="E111" i="338"/>
  <c r="E110" i="338"/>
  <c r="E109" i="338"/>
  <c r="E108" i="338"/>
  <c r="E107" i="338"/>
  <c r="E106" i="338"/>
  <c r="E105" i="338"/>
  <c r="E104" i="338"/>
  <c r="E103" i="338"/>
  <c r="E102" i="338"/>
  <c r="E101" i="338"/>
  <c r="E100" i="338"/>
  <c r="E99" i="338"/>
  <c r="E98" i="338"/>
  <c r="E97" i="338"/>
  <c r="E96" i="338"/>
  <c r="E95" i="338"/>
  <c r="E94" i="338"/>
  <c r="E93" i="338"/>
  <c r="E92" i="338"/>
  <c r="E91" i="338"/>
  <c r="E90" i="338"/>
  <c r="E89" i="338"/>
  <c r="E88" i="338"/>
  <c r="E87" i="338"/>
  <c r="E86" i="338"/>
  <c r="E85" i="338"/>
  <c r="E84" i="338"/>
  <c r="E83" i="338"/>
  <c r="E82" i="338"/>
  <c r="E81" i="338"/>
  <c r="E80" i="338"/>
  <c r="E79" i="338"/>
  <c r="E78" i="338"/>
  <c r="E77" i="338"/>
  <c r="E76" i="338"/>
  <c r="E75" i="338"/>
  <c r="E74" i="338"/>
  <c r="E73" i="338"/>
  <c r="E72" i="338"/>
  <c r="E71" i="338"/>
  <c r="E70" i="338"/>
  <c r="E69" i="338"/>
  <c r="E68" i="338"/>
  <c r="E67" i="338"/>
  <c r="E66" i="338"/>
  <c r="E65" i="338"/>
  <c r="E64" i="338"/>
  <c r="E63" i="338"/>
  <c r="E62" i="338"/>
  <c r="E61" i="338"/>
  <c r="E60" i="338"/>
  <c r="E59" i="338"/>
  <c r="E58" i="338"/>
  <c r="E57" i="338"/>
  <c r="E56" i="338"/>
  <c r="E55" i="338"/>
  <c r="E54" i="338"/>
  <c r="E53" i="338"/>
  <c r="E52" i="338"/>
  <c r="E51" i="338"/>
  <c r="E50" i="338"/>
  <c r="E49" i="338"/>
  <c r="E48" i="338"/>
  <c r="E47" i="338"/>
  <c r="E46" i="338"/>
  <c r="E45" i="338"/>
  <c r="E44" i="338"/>
  <c r="E43" i="338"/>
  <c r="E42" i="338"/>
  <c r="E41" i="338"/>
  <c r="E40" i="338"/>
  <c r="E39" i="338"/>
  <c r="E38" i="338"/>
  <c r="E37" i="338"/>
  <c r="E36" i="338"/>
  <c r="E35" i="338"/>
  <c r="E34" i="338"/>
  <c r="E33" i="338"/>
  <c r="E32" i="338"/>
  <c r="E31" i="338"/>
  <c r="E30" i="338"/>
  <c r="E29" i="338"/>
  <c r="E28" i="338"/>
  <c r="E27" i="338"/>
  <c r="E26" i="338"/>
  <c r="E25" i="338"/>
  <c r="E24" i="338"/>
  <c r="E23" i="338"/>
  <c r="E22" i="338"/>
  <c r="E21" i="338"/>
  <c r="E20" i="338"/>
  <c r="E19" i="338"/>
  <c r="E18" i="338"/>
  <c r="E17" i="338"/>
  <c r="E16" i="338"/>
  <c r="E15" i="338"/>
  <c r="E14" i="338"/>
  <c r="E13" i="338"/>
  <c r="E12" i="338"/>
  <c r="E11" i="338"/>
  <c r="E10" i="338"/>
  <c r="E9" i="338"/>
  <c r="E8" i="338"/>
  <c r="E7" i="338"/>
  <c r="E6" i="338"/>
  <c r="E5" i="338"/>
  <c r="E4" i="338"/>
  <c r="F4" i="338" s="1"/>
  <c r="E3" i="338"/>
  <c r="F3" i="338" s="1"/>
  <c r="D1000" i="338"/>
  <c r="D999" i="338"/>
  <c r="D998" i="338"/>
  <c r="D997" i="338"/>
  <c r="D996" i="338"/>
  <c r="D995" i="338"/>
  <c r="D994" i="338"/>
  <c r="D993" i="338"/>
  <c r="D992" i="338"/>
  <c r="D991" i="338"/>
  <c r="D990" i="338"/>
  <c r="D989" i="338"/>
  <c r="D988" i="338"/>
  <c r="D987" i="338"/>
  <c r="D986" i="338"/>
  <c r="D985" i="338"/>
  <c r="D984" i="338"/>
  <c r="D983" i="338"/>
  <c r="D982" i="338"/>
  <c r="D981" i="338"/>
  <c r="D980" i="338"/>
  <c r="D979" i="338"/>
  <c r="D978" i="338"/>
  <c r="D977" i="338"/>
  <c r="D976" i="338"/>
  <c r="D975" i="338"/>
  <c r="D974" i="338"/>
  <c r="D973" i="338"/>
  <c r="D972" i="338"/>
  <c r="D971" i="338"/>
  <c r="D970" i="338"/>
  <c r="D969" i="338"/>
  <c r="D968" i="338"/>
  <c r="D967" i="338"/>
  <c r="D966" i="338"/>
  <c r="D965" i="338"/>
  <c r="D964" i="338"/>
  <c r="D963" i="338"/>
  <c r="D962" i="338"/>
  <c r="D961" i="338"/>
  <c r="D960" i="338"/>
  <c r="D959" i="338"/>
  <c r="D958" i="338"/>
  <c r="D957" i="338"/>
  <c r="D956" i="338"/>
  <c r="D955" i="338"/>
  <c r="D954" i="338"/>
  <c r="D953" i="338"/>
  <c r="D952" i="338"/>
  <c r="D951" i="338"/>
  <c r="D950" i="338"/>
  <c r="D949" i="338"/>
  <c r="D948" i="338"/>
  <c r="D947" i="338"/>
  <c r="D946" i="338"/>
  <c r="D945" i="338"/>
  <c r="D944" i="338"/>
  <c r="D943" i="338"/>
  <c r="D942" i="338"/>
  <c r="D941" i="338"/>
  <c r="D940" i="338"/>
  <c r="D939" i="338"/>
  <c r="D938" i="338"/>
  <c r="D937" i="338"/>
  <c r="D936" i="338"/>
  <c r="D935" i="338"/>
  <c r="D934" i="338"/>
  <c r="D933" i="338"/>
  <c r="D932" i="338"/>
  <c r="D931" i="338"/>
  <c r="D930" i="338"/>
  <c r="D929" i="338"/>
  <c r="D928" i="338"/>
  <c r="D927" i="338"/>
  <c r="D926" i="338"/>
  <c r="D925" i="338"/>
  <c r="D924" i="338"/>
  <c r="D923" i="338"/>
  <c r="D922" i="338"/>
  <c r="D921" i="338"/>
  <c r="D920" i="338"/>
  <c r="D919" i="338"/>
  <c r="D918" i="338"/>
  <c r="D917" i="338"/>
  <c r="D916" i="338"/>
  <c r="D915" i="338"/>
  <c r="D914" i="338"/>
  <c r="D913" i="338"/>
  <c r="D912" i="338"/>
  <c r="D911" i="338"/>
  <c r="D910" i="338"/>
  <c r="D909" i="338"/>
  <c r="D908" i="338"/>
  <c r="D907" i="338"/>
  <c r="D906" i="338"/>
  <c r="D905" i="338"/>
  <c r="D904" i="338"/>
  <c r="D903" i="338"/>
  <c r="D902" i="338"/>
  <c r="D901" i="338"/>
  <c r="D900" i="338"/>
  <c r="D899" i="338"/>
  <c r="D898" i="338"/>
  <c r="D897" i="338"/>
  <c r="D896" i="338"/>
  <c r="D895" i="338"/>
  <c r="D894" i="338"/>
  <c r="D893" i="338"/>
  <c r="D892" i="338"/>
  <c r="D891" i="338"/>
  <c r="D890" i="338"/>
  <c r="D889" i="338"/>
  <c r="D888" i="338"/>
  <c r="D887" i="338"/>
  <c r="D886" i="338"/>
  <c r="D885" i="338"/>
  <c r="D884" i="338"/>
  <c r="D883" i="338"/>
  <c r="D882" i="338"/>
  <c r="D881" i="338"/>
  <c r="D880" i="338"/>
  <c r="D879" i="338"/>
  <c r="D878" i="338"/>
  <c r="D877" i="338"/>
  <c r="D876" i="338"/>
  <c r="D875" i="338"/>
  <c r="D874" i="338"/>
  <c r="D873" i="338"/>
  <c r="D872" i="338"/>
  <c r="D871" i="338"/>
  <c r="D870" i="338"/>
  <c r="D869" i="338"/>
  <c r="D868" i="338"/>
  <c r="D867" i="338"/>
  <c r="D866" i="338"/>
  <c r="D865" i="338"/>
  <c r="D864" i="338"/>
  <c r="D863" i="338"/>
  <c r="D862" i="338"/>
  <c r="D861" i="338"/>
  <c r="D860" i="338"/>
  <c r="D859" i="338"/>
  <c r="D858" i="338"/>
  <c r="D857" i="338"/>
  <c r="D856" i="338"/>
  <c r="D855" i="338"/>
  <c r="D854" i="338"/>
  <c r="D853" i="338"/>
  <c r="D852" i="338"/>
  <c r="D851" i="338"/>
  <c r="D850" i="338"/>
  <c r="D849" i="338"/>
  <c r="D848" i="338"/>
  <c r="D847" i="338"/>
  <c r="D846" i="338"/>
  <c r="D845" i="338"/>
  <c r="D844" i="338"/>
  <c r="D843" i="338"/>
  <c r="D842" i="338"/>
  <c r="D841" i="338"/>
  <c r="D840" i="338"/>
  <c r="D839" i="338"/>
  <c r="D838" i="338"/>
  <c r="D837" i="338"/>
  <c r="D836" i="338"/>
  <c r="D835" i="338"/>
  <c r="D834" i="338"/>
  <c r="D833" i="338"/>
  <c r="D832" i="338"/>
  <c r="D831" i="338"/>
  <c r="D830" i="338"/>
  <c r="D829" i="338"/>
  <c r="D828" i="338"/>
  <c r="D827" i="338"/>
  <c r="D826" i="338"/>
  <c r="D825" i="338"/>
  <c r="D824" i="338"/>
  <c r="D823" i="338"/>
  <c r="D822" i="338"/>
  <c r="D821" i="338"/>
  <c r="D820" i="338"/>
  <c r="D819" i="338"/>
  <c r="D818" i="338"/>
  <c r="D817" i="338"/>
  <c r="D816" i="338"/>
  <c r="D815" i="338"/>
  <c r="D814" i="338"/>
  <c r="D813" i="338"/>
  <c r="D812" i="338"/>
  <c r="D811" i="338"/>
  <c r="D810" i="338"/>
  <c r="D809" i="338"/>
  <c r="D808" i="338"/>
  <c r="D807" i="338"/>
  <c r="D806" i="338"/>
  <c r="D805" i="338"/>
  <c r="D804" i="338"/>
  <c r="D803" i="338"/>
  <c r="D802" i="338"/>
  <c r="D801" i="338"/>
  <c r="D800" i="338"/>
  <c r="D799" i="338"/>
  <c r="D798" i="338"/>
  <c r="D797" i="338"/>
  <c r="D796" i="338"/>
  <c r="D795" i="338"/>
  <c r="D794" i="338"/>
  <c r="D793" i="338"/>
  <c r="D792" i="338"/>
  <c r="D791" i="338"/>
  <c r="D790" i="338"/>
  <c r="D789" i="338"/>
  <c r="D788" i="338"/>
  <c r="D787" i="338"/>
  <c r="D786" i="338"/>
  <c r="D785" i="338"/>
  <c r="D784" i="338"/>
  <c r="D783" i="338"/>
  <c r="D782" i="338"/>
  <c r="D781" i="338"/>
  <c r="D780" i="338"/>
  <c r="D779" i="338"/>
  <c r="D778" i="338"/>
  <c r="D777" i="338"/>
  <c r="D776" i="338"/>
  <c r="D775" i="338"/>
  <c r="D774" i="338"/>
  <c r="D773" i="338"/>
  <c r="D772" i="338"/>
  <c r="D771" i="338"/>
  <c r="D770" i="338"/>
  <c r="D769" i="338"/>
  <c r="D768" i="338"/>
  <c r="D767" i="338"/>
  <c r="D766" i="338"/>
  <c r="D765" i="338"/>
  <c r="D764" i="338"/>
  <c r="D763" i="338"/>
  <c r="D762" i="338"/>
  <c r="D761" i="338"/>
  <c r="D760" i="338"/>
  <c r="D759" i="338"/>
  <c r="D758" i="338"/>
  <c r="D757" i="338"/>
  <c r="D756" i="338"/>
  <c r="D755" i="338"/>
  <c r="D754" i="338"/>
  <c r="D753" i="338"/>
  <c r="D752" i="338"/>
  <c r="D751" i="338"/>
  <c r="D750" i="338"/>
  <c r="D749" i="338"/>
  <c r="D748" i="338"/>
  <c r="D747" i="338"/>
  <c r="D746" i="338"/>
  <c r="D745" i="338"/>
  <c r="D744" i="338"/>
  <c r="D743" i="338"/>
  <c r="D742" i="338"/>
  <c r="D741" i="338"/>
  <c r="D740" i="338"/>
  <c r="D739" i="338"/>
  <c r="D738" i="338"/>
  <c r="D737" i="338"/>
  <c r="D736" i="338"/>
  <c r="D735" i="338"/>
  <c r="D734" i="338"/>
  <c r="D733" i="338"/>
  <c r="D732" i="338"/>
  <c r="D731" i="338"/>
  <c r="D730" i="338"/>
  <c r="D729" i="338"/>
  <c r="D728" i="338"/>
  <c r="D727" i="338"/>
  <c r="D726" i="338"/>
  <c r="D725" i="338"/>
  <c r="D724" i="338"/>
  <c r="D723" i="338"/>
  <c r="D722" i="338"/>
  <c r="D721" i="338"/>
  <c r="D720" i="338"/>
  <c r="D719" i="338"/>
  <c r="D718" i="338"/>
  <c r="D717" i="338"/>
  <c r="D716" i="338"/>
  <c r="D715" i="338"/>
  <c r="D714" i="338"/>
  <c r="D713" i="338"/>
  <c r="D712" i="338"/>
  <c r="D711" i="338"/>
  <c r="D710" i="338"/>
  <c r="D709" i="338"/>
  <c r="D708" i="338"/>
  <c r="D707" i="338"/>
  <c r="D706" i="338"/>
  <c r="D705" i="338"/>
  <c r="D704" i="338"/>
  <c r="D703" i="338"/>
  <c r="D702" i="338"/>
  <c r="D701" i="338"/>
  <c r="D700" i="338"/>
  <c r="D699" i="338"/>
  <c r="D698" i="338"/>
  <c r="D697" i="338"/>
  <c r="D696" i="338"/>
  <c r="D695" i="338"/>
  <c r="D694" i="338"/>
  <c r="D693" i="338"/>
  <c r="D692" i="338"/>
  <c r="D691" i="338"/>
  <c r="D690" i="338"/>
  <c r="D689" i="338"/>
  <c r="D688" i="338"/>
  <c r="D687" i="338"/>
  <c r="D686" i="338"/>
  <c r="D685" i="338"/>
  <c r="D684" i="338"/>
  <c r="D683" i="338"/>
  <c r="D682" i="338"/>
  <c r="D681" i="338"/>
  <c r="D680" i="338"/>
  <c r="D679" i="338"/>
  <c r="D678" i="338"/>
  <c r="D677" i="338"/>
  <c r="D676" i="338"/>
  <c r="D675" i="338"/>
  <c r="D674" i="338"/>
  <c r="D673" i="338"/>
  <c r="D672" i="338"/>
  <c r="D671" i="338"/>
  <c r="D670" i="338"/>
  <c r="D669" i="338"/>
  <c r="D668" i="338"/>
  <c r="D667" i="338"/>
  <c r="D666" i="338"/>
  <c r="D665" i="338"/>
  <c r="D664" i="338"/>
  <c r="D663" i="338"/>
  <c r="D662" i="338"/>
  <c r="D661" i="338"/>
  <c r="D660" i="338"/>
  <c r="D659" i="338"/>
  <c r="D658" i="338"/>
  <c r="D657" i="338"/>
  <c r="D656" i="338"/>
  <c r="D655" i="338"/>
  <c r="D654" i="338"/>
  <c r="D653" i="338"/>
  <c r="D652" i="338"/>
  <c r="D651" i="338"/>
  <c r="D650" i="338"/>
  <c r="D649" i="338"/>
  <c r="D648" i="338"/>
  <c r="D647" i="338"/>
  <c r="D646" i="338"/>
  <c r="D645" i="338"/>
  <c r="D644" i="338"/>
  <c r="D643" i="338"/>
  <c r="D642" i="338"/>
  <c r="D641" i="338"/>
  <c r="D640" i="338"/>
  <c r="D639" i="338"/>
  <c r="D638" i="338"/>
  <c r="D637" i="338"/>
  <c r="D636" i="338"/>
  <c r="D635" i="338"/>
  <c r="D634" i="338"/>
  <c r="D633" i="338"/>
  <c r="D632" i="338"/>
  <c r="D631" i="338"/>
  <c r="D630" i="338"/>
  <c r="D629" i="338"/>
  <c r="D628" i="338"/>
  <c r="D627" i="338"/>
  <c r="D626" i="338"/>
  <c r="D625" i="338"/>
  <c r="D624" i="338"/>
  <c r="D623" i="338"/>
  <c r="D622" i="338"/>
  <c r="D621" i="338"/>
  <c r="D620" i="338"/>
  <c r="D619" i="338"/>
  <c r="D618" i="338"/>
  <c r="D617" i="338"/>
  <c r="D616" i="338"/>
  <c r="D615" i="338"/>
  <c r="D614" i="338"/>
  <c r="D613" i="338"/>
  <c r="D612" i="338"/>
  <c r="D611" i="338"/>
  <c r="D610" i="338"/>
  <c r="D609" i="338"/>
  <c r="D608" i="338"/>
  <c r="D607" i="338"/>
  <c r="D606" i="338"/>
  <c r="D605" i="338"/>
  <c r="D604" i="338"/>
  <c r="D603" i="338"/>
  <c r="D602" i="338"/>
  <c r="D601" i="338"/>
  <c r="D600" i="338"/>
  <c r="D599" i="338"/>
  <c r="D598" i="338"/>
  <c r="D597" i="338"/>
  <c r="D596" i="338"/>
  <c r="D595" i="338"/>
  <c r="D594" i="338"/>
  <c r="D593" i="338"/>
  <c r="D592" i="338"/>
  <c r="D591" i="338"/>
  <c r="D590" i="338"/>
  <c r="D589" i="338"/>
  <c r="D588" i="338"/>
  <c r="D587" i="338"/>
  <c r="D586" i="338"/>
  <c r="D585" i="338"/>
  <c r="D584" i="338"/>
  <c r="D583" i="338"/>
  <c r="D582" i="338"/>
  <c r="D581" i="338"/>
  <c r="D580" i="338"/>
  <c r="D579" i="338"/>
  <c r="D578" i="338"/>
  <c r="D577" i="338"/>
  <c r="D576" i="338"/>
  <c r="D575" i="338"/>
  <c r="D574" i="338"/>
  <c r="D573" i="338"/>
  <c r="D572" i="338"/>
  <c r="D571" i="338"/>
  <c r="D570" i="338"/>
  <c r="D569" i="338"/>
  <c r="D568" i="338"/>
  <c r="D567" i="338"/>
  <c r="D566" i="338"/>
  <c r="D565" i="338"/>
  <c r="D564" i="338"/>
  <c r="D563" i="338"/>
  <c r="D562" i="338"/>
  <c r="D561" i="338"/>
  <c r="D560" i="338"/>
  <c r="D559" i="338"/>
  <c r="D558" i="338"/>
  <c r="D557" i="338"/>
  <c r="D556" i="338"/>
  <c r="D555" i="338"/>
  <c r="D554" i="338"/>
  <c r="D553" i="338"/>
  <c r="D552" i="338"/>
  <c r="D551" i="338"/>
  <c r="D550" i="338"/>
  <c r="D549" i="338"/>
  <c r="D548" i="338"/>
  <c r="D547" i="338"/>
  <c r="D546" i="338"/>
  <c r="D545" i="338"/>
  <c r="D544" i="338"/>
  <c r="D543" i="338"/>
  <c r="D542" i="338"/>
  <c r="D541" i="338"/>
  <c r="D540" i="338"/>
  <c r="D539" i="338"/>
  <c r="D538" i="338"/>
  <c r="D537" i="338"/>
  <c r="D536" i="338"/>
  <c r="D535" i="338"/>
  <c r="D534" i="338"/>
  <c r="D533" i="338"/>
  <c r="D532" i="338"/>
  <c r="D531" i="338"/>
  <c r="D530" i="338"/>
  <c r="D529" i="338"/>
  <c r="D528" i="338"/>
  <c r="D527" i="338"/>
  <c r="D526" i="338"/>
  <c r="D525" i="338"/>
  <c r="D524" i="338"/>
  <c r="D523" i="338"/>
  <c r="D522" i="338"/>
  <c r="D521" i="338"/>
  <c r="D520" i="338"/>
  <c r="D519" i="338"/>
  <c r="D518" i="338"/>
  <c r="D517" i="338"/>
  <c r="D516" i="338"/>
  <c r="D515" i="338"/>
  <c r="D514" i="338"/>
  <c r="D513" i="338"/>
  <c r="D512" i="338"/>
  <c r="D511" i="338"/>
  <c r="D510" i="338"/>
  <c r="D509" i="338"/>
  <c r="D508" i="338"/>
  <c r="D507" i="338"/>
  <c r="D506" i="338"/>
  <c r="D505" i="338"/>
  <c r="D504" i="338"/>
  <c r="D503" i="338"/>
  <c r="D502" i="338"/>
  <c r="D501" i="338"/>
  <c r="D500" i="338"/>
  <c r="D499" i="338"/>
  <c r="D498" i="338"/>
  <c r="D497" i="338"/>
  <c r="D496" i="338"/>
  <c r="D495" i="338"/>
  <c r="D494" i="338"/>
  <c r="D493" i="338"/>
  <c r="D492" i="338"/>
  <c r="D491" i="338"/>
  <c r="D490" i="338"/>
  <c r="D489" i="338"/>
  <c r="D488" i="338"/>
  <c r="D487" i="338"/>
  <c r="D486" i="338"/>
  <c r="D485" i="338"/>
  <c r="D484" i="338"/>
  <c r="D483" i="338"/>
  <c r="D482" i="338"/>
  <c r="D481" i="338"/>
  <c r="D480" i="338"/>
  <c r="D479" i="338"/>
  <c r="D478" i="338"/>
  <c r="D477" i="338"/>
  <c r="D476" i="338"/>
  <c r="D475" i="338"/>
  <c r="D474" i="338"/>
  <c r="D473" i="338"/>
  <c r="D472" i="338"/>
  <c r="D471" i="338"/>
  <c r="D470" i="338"/>
  <c r="D469" i="338"/>
  <c r="D468" i="338"/>
  <c r="D467" i="338"/>
  <c r="D466" i="338"/>
  <c r="D465" i="338"/>
  <c r="D464" i="338"/>
  <c r="D463" i="338"/>
  <c r="D462" i="338"/>
  <c r="D461" i="338"/>
  <c r="D460" i="338"/>
  <c r="D459" i="338"/>
  <c r="D458" i="338"/>
  <c r="D457" i="338"/>
  <c r="D456" i="338"/>
  <c r="D455" i="338"/>
  <c r="D454" i="338"/>
  <c r="D453" i="338"/>
  <c r="D452" i="338"/>
  <c r="D451" i="338"/>
  <c r="D450" i="338"/>
  <c r="D449" i="338"/>
  <c r="D448" i="338"/>
  <c r="D447" i="338"/>
  <c r="D446" i="338"/>
  <c r="D445" i="338"/>
  <c r="D444" i="338"/>
  <c r="D443" i="338"/>
  <c r="D442" i="338"/>
  <c r="D441" i="338"/>
  <c r="D440" i="338"/>
  <c r="D439" i="338"/>
  <c r="D438" i="338"/>
  <c r="D437" i="338"/>
  <c r="D436" i="338"/>
  <c r="D435" i="338"/>
  <c r="D434" i="338"/>
  <c r="D433" i="338"/>
  <c r="D432" i="338"/>
  <c r="D431" i="338"/>
  <c r="D430" i="338"/>
  <c r="D429" i="338"/>
  <c r="D428" i="338"/>
  <c r="D427" i="338"/>
  <c r="D426" i="338"/>
  <c r="D425" i="338"/>
  <c r="D424" i="338"/>
  <c r="D423" i="338"/>
  <c r="D422" i="338"/>
  <c r="D421" i="338"/>
  <c r="D420" i="338"/>
  <c r="D419" i="338"/>
  <c r="D418" i="338"/>
  <c r="D417" i="338"/>
  <c r="D416" i="338"/>
  <c r="D415" i="338"/>
  <c r="D414" i="338"/>
  <c r="D413" i="338"/>
  <c r="D412" i="338"/>
  <c r="D411" i="338"/>
  <c r="D410" i="338"/>
  <c r="D409" i="338"/>
  <c r="D408" i="338"/>
  <c r="D407" i="338"/>
  <c r="D406" i="338"/>
  <c r="D405" i="338"/>
  <c r="D404" i="338"/>
  <c r="D403" i="338"/>
  <c r="D402" i="338"/>
  <c r="D401" i="338"/>
  <c r="D400" i="338"/>
  <c r="D399" i="338"/>
  <c r="D398" i="338"/>
  <c r="D397" i="338"/>
  <c r="D396" i="338"/>
  <c r="D395" i="338"/>
  <c r="D394" i="338"/>
  <c r="D393" i="338"/>
  <c r="D392" i="338"/>
  <c r="D391" i="338"/>
  <c r="D390" i="338"/>
  <c r="D389" i="338"/>
  <c r="D388" i="338"/>
  <c r="D387" i="338"/>
  <c r="D386" i="338"/>
  <c r="D385" i="338"/>
  <c r="D384" i="338"/>
  <c r="D383" i="338"/>
  <c r="D382" i="338"/>
  <c r="D381" i="338"/>
  <c r="D380" i="338"/>
  <c r="D379" i="338"/>
  <c r="D378" i="338"/>
  <c r="D377" i="338"/>
  <c r="D376" i="338"/>
  <c r="D375" i="338"/>
  <c r="D374" i="338"/>
  <c r="D373" i="338"/>
  <c r="D372" i="338"/>
  <c r="D371" i="338"/>
  <c r="D370" i="338"/>
  <c r="D369" i="338"/>
  <c r="D368" i="338"/>
  <c r="D367" i="338"/>
  <c r="D366" i="338"/>
  <c r="D365" i="338"/>
  <c r="D364" i="338"/>
  <c r="D363" i="338"/>
  <c r="D362" i="338"/>
  <c r="D361" i="338"/>
  <c r="D360" i="338"/>
  <c r="D359" i="338"/>
  <c r="D358" i="338"/>
  <c r="D357" i="338"/>
  <c r="D356" i="338"/>
  <c r="D355" i="338"/>
  <c r="D354" i="338"/>
  <c r="D353" i="338"/>
  <c r="D352" i="338"/>
  <c r="D351" i="338"/>
  <c r="D350" i="338"/>
  <c r="D349" i="338"/>
  <c r="D348" i="338"/>
  <c r="D347" i="338"/>
  <c r="D346" i="338"/>
  <c r="D345" i="338"/>
  <c r="D344" i="338"/>
  <c r="D343" i="338"/>
  <c r="D342" i="338"/>
  <c r="D341" i="338"/>
  <c r="D340" i="338"/>
  <c r="D339" i="338"/>
  <c r="D338" i="338"/>
  <c r="D337" i="338"/>
  <c r="D336" i="338"/>
  <c r="D335" i="338"/>
  <c r="D334" i="338"/>
  <c r="D333" i="338"/>
  <c r="D332" i="338"/>
  <c r="D331" i="338"/>
  <c r="D330" i="338"/>
  <c r="D329" i="338"/>
  <c r="D328" i="338"/>
  <c r="D327" i="338"/>
  <c r="D326" i="338"/>
  <c r="D325" i="338"/>
  <c r="D324" i="338"/>
  <c r="D323" i="338"/>
  <c r="D322" i="338"/>
  <c r="D321" i="338"/>
  <c r="D320" i="338"/>
  <c r="D319" i="338"/>
  <c r="D318" i="338"/>
  <c r="D317" i="338"/>
  <c r="D316" i="338"/>
  <c r="D315" i="338"/>
  <c r="D314" i="338"/>
  <c r="D313" i="338"/>
  <c r="D312" i="338"/>
  <c r="D311" i="338"/>
  <c r="D310" i="338"/>
  <c r="D309" i="338"/>
  <c r="D308" i="338"/>
  <c r="D307" i="338"/>
  <c r="D306" i="338"/>
  <c r="D305" i="338"/>
  <c r="D304" i="338"/>
  <c r="D303" i="338"/>
  <c r="D302" i="338"/>
  <c r="D301" i="338"/>
  <c r="D300" i="338"/>
  <c r="D299" i="338"/>
  <c r="D298" i="338"/>
  <c r="D297" i="338"/>
  <c r="D296" i="338"/>
  <c r="D295" i="338"/>
  <c r="D294" i="338"/>
  <c r="D293" i="338"/>
  <c r="D292" i="338"/>
  <c r="D291" i="338"/>
  <c r="D290" i="338"/>
  <c r="D289" i="338"/>
  <c r="D288" i="338"/>
  <c r="D287" i="338"/>
  <c r="D286" i="338"/>
  <c r="D285" i="338"/>
  <c r="D284" i="338"/>
  <c r="D283" i="338"/>
  <c r="D282" i="338"/>
  <c r="D281" i="338"/>
  <c r="D280" i="338"/>
  <c r="D279" i="338"/>
  <c r="D278" i="338"/>
  <c r="D277" i="338"/>
  <c r="D276" i="338"/>
  <c r="D275" i="338"/>
  <c r="D274" i="338"/>
  <c r="D273" i="338"/>
  <c r="D272" i="338"/>
  <c r="D271" i="338"/>
  <c r="D270" i="338"/>
  <c r="D269" i="338"/>
  <c r="D268" i="338"/>
  <c r="D267" i="338"/>
  <c r="D266" i="338"/>
  <c r="D265" i="338"/>
  <c r="D264" i="338"/>
  <c r="D263" i="338"/>
  <c r="D262" i="338"/>
  <c r="D261" i="338"/>
  <c r="D260" i="338"/>
  <c r="D259" i="338"/>
  <c r="D258" i="338"/>
  <c r="D257" i="338"/>
  <c r="D256" i="338"/>
  <c r="D255" i="338"/>
  <c r="D254" i="338"/>
  <c r="D253" i="338"/>
  <c r="D252" i="338"/>
  <c r="D251" i="338"/>
  <c r="D250" i="338"/>
  <c r="D249" i="338"/>
  <c r="D248" i="338"/>
  <c r="D247" i="338"/>
  <c r="D246" i="338"/>
  <c r="D245" i="338"/>
  <c r="D244" i="338"/>
  <c r="D243" i="338"/>
  <c r="D242" i="338"/>
  <c r="D241" i="338"/>
  <c r="D240" i="338"/>
  <c r="D239" i="338"/>
  <c r="D238" i="338"/>
  <c r="D237" i="338"/>
  <c r="D236" i="338"/>
  <c r="D235" i="338"/>
  <c r="D234" i="338"/>
  <c r="D233" i="338"/>
  <c r="D232" i="338"/>
  <c r="D231" i="338"/>
  <c r="D230" i="338"/>
  <c r="D229" i="338"/>
  <c r="D228" i="338"/>
  <c r="D227" i="338"/>
  <c r="D226" i="338"/>
  <c r="D225" i="338"/>
  <c r="D224" i="338"/>
  <c r="D223" i="338"/>
  <c r="D222" i="338"/>
  <c r="D221" i="338"/>
  <c r="D220" i="338"/>
  <c r="D219" i="338"/>
  <c r="D218" i="338"/>
  <c r="D217" i="338"/>
  <c r="D216" i="338"/>
  <c r="D215" i="338"/>
  <c r="D214" i="338"/>
  <c r="D213" i="338"/>
  <c r="D212" i="338"/>
  <c r="D211" i="338"/>
  <c r="D210" i="338"/>
  <c r="D209" i="338"/>
  <c r="D208" i="338"/>
  <c r="D207" i="338"/>
  <c r="D206" i="338"/>
  <c r="D205" i="338"/>
  <c r="D204" i="338"/>
  <c r="D203" i="338"/>
  <c r="D202" i="338"/>
  <c r="D201" i="338"/>
  <c r="D200" i="338"/>
  <c r="D199" i="338"/>
  <c r="D198" i="338"/>
  <c r="D197" i="338"/>
  <c r="D196" i="338"/>
  <c r="D195" i="338"/>
  <c r="D194" i="338"/>
  <c r="D193" i="338"/>
  <c r="D192" i="338"/>
  <c r="D191" i="338"/>
  <c r="D190" i="338"/>
  <c r="D189" i="338"/>
  <c r="D188" i="338"/>
  <c r="D187" i="338"/>
  <c r="D186" i="338"/>
  <c r="D185" i="338"/>
  <c r="D184" i="338"/>
  <c r="D183" i="338"/>
  <c r="D182" i="338"/>
  <c r="D181" i="338"/>
  <c r="D180" i="338"/>
  <c r="D179" i="338"/>
  <c r="D178" i="338"/>
  <c r="D177" i="338"/>
  <c r="D176" i="338"/>
  <c r="D175" i="338"/>
  <c r="D174" i="338"/>
  <c r="D173" i="338"/>
  <c r="D172" i="338"/>
  <c r="D171" i="338"/>
  <c r="D170" i="338"/>
  <c r="D169" i="338"/>
  <c r="D168" i="338"/>
  <c r="D167" i="338"/>
  <c r="D166" i="338"/>
  <c r="D165" i="338"/>
  <c r="D164" i="338"/>
  <c r="D163" i="338"/>
  <c r="D162" i="338"/>
  <c r="D161" i="338"/>
  <c r="D160" i="338"/>
  <c r="D159" i="338"/>
  <c r="D158" i="338"/>
  <c r="D157" i="338"/>
  <c r="D156" i="338"/>
  <c r="D155" i="338"/>
  <c r="D154" i="338"/>
  <c r="D153" i="338"/>
  <c r="D152" i="338"/>
  <c r="D151" i="338"/>
  <c r="D150" i="338"/>
  <c r="D149" i="338"/>
  <c r="D148" i="338"/>
  <c r="D147" i="338"/>
  <c r="D146" i="338"/>
  <c r="D145" i="338"/>
  <c r="D144" i="338"/>
  <c r="D143" i="338"/>
  <c r="D142" i="338"/>
  <c r="D141" i="338"/>
  <c r="D140" i="338"/>
  <c r="D139" i="338"/>
  <c r="D138" i="338"/>
  <c r="D137" i="338"/>
  <c r="D136" i="338"/>
  <c r="D135" i="338"/>
  <c r="D134" i="338"/>
  <c r="D133" i="338"/>
  <c r="D132" i="338"/>
  <c r="D131" i="338"/>
  <c r="D130" i="338"/>
  <c r="D129" i="338"/>
  <c r="D128" i="338"/>
  <c r="D127" i="338"/>
  <c r="D126" i="338"/>
  <c r="D125" i="338"/>
  <c r="D124" i="338"/>
  <c r="D123" i="338"/>
  <c r="D122" i="338"/>
  <c r="D121" i="338"/>
  <c r="D120" i="338"/>
  <c r="D119" i="338"/>
  <c r="D118" i="338"/>
  <c r="D117" i="338"/>
  <c r="D116" i="338"/>
  <c r="D115" i="338"/>
  <c r="D114" i="338"/>
  <c r="D113" i="338"/>
  <c r="D112" i="338"/>
  <c r="D111" i="338"/>
  <c r="D110" i="338"/>
  <c r="D109" i="338"/>
  <c r="D108" i="338"/>
  <c r="D107" i="338"/>
  <c r="D106" i="338"/>
  <c r="D105" i="338"/>
  <c r="D104" i="338"/>
  <c r="D103" i="338"/>
  <c r="D102" i="338"/>
  <c r="D101" i="338"/>
  <c r="D100" i="338"/>
  <c r="D99" i="338"/>
  <c r="D98" i="338"/>
  <c r="D97" i="338"/>
  <c r="D96" i="338"/>
  <c r="D95" i="338"/>
  <c r="D94" i="338"/>
  <c r="D93" i="338"/>
  <c r="D92" i="338"/>
  <c r="D91" i="338"/>
  <c r="D90" i="338"/>
  <c r="D89" i="338"/>
  <c r="D88" i="338"/>
  <c r="D87" i="338"/>
  <c r="D86" i="338"/>
  <c r="D85" i="338"/>
  <c r="D84" i="338"/>
  <c r="D83" i="338"/>
  <c r="D82" i="338"/>
  <c r="D81" i="338"/>
  <c r="D80" i="338"/>
  <c r="D79" i="338"/>
  <c r="D78" i="338"/>
  <c r="D77" i="338"/>
  <c r="D76" i="338"/>
  <c r="D75" i="338"/>
  <c r="D74" i="338"/>
  <c r="D73" i="338"/>
  <c r="D72" i="338"/>
  <c r="D71" i="338"/>
  <c r="D70" i="338"/>
  <c r="D69" i="338"/>
  <c r="D68" i="338"/>
  <c r="D67" i="338"/>
  <c r="D66" i="338"/>
  <c r="D65" i="338"/>
  <c r="D64" i="338"/>
  <c r="D63" i="338"/>
  <c r="D62" i="338"/>
  <c r="D61" i="338"/>
  <c r="D60" i="338"/>
  <c r="D59" i="338"/>
  <c r="D58" i="338"/>
  <c r="D57" i="338"/>
  <c r="D56" i="338"/>
  <c r="D55" i="338"/>
  <c r="D54" i="338"/>
  <c r="D53" i="338"/>
  <c r="D52" i="338"/>
  <c r="D51" i="338"/>
  <c r="D50" i="338"/>
  <c r="D49" i="338"/>
  <c r="D48" i="338"/>
  <c r="D47" i="338"/>
  <c r="D46" i="338"/>
  <c r="D45" i="338"/>
  <c r="D44" i="338"/>
  <c r="D43" i="338"/>
  <c r="D42" i="338"/>
  <c r="D41" i="338"/>
  <c r="D40" i="338"/>
  <c r="D39" i="338"/>
  <c r="D38" i="338"/>
  <c r="D37" i="338"/>
  <c r="D36" i="338"/>
  <c r="D35" i="338"/>
  <c r="D34" i="338"/>
  <c r="D33" i="338"/>
  <c r="D32" i="338"/>
  <c r="D31" i="338"/>
  <c r="D30" i="338"/>
  <c r="D29" i="338"/>
  <c r="D28" i="338"/>
  <c r="D27" i="338"/>
  <c r="D26" i="338"/>
  <c r="D25" i="338"/>
  <c r="D24" i="338"/>
  <c r="D23" i="338"/>
  <c r="D22" i="338"/>
  <c r="D21" i="338"/>
  <c r="D20" i="338"/>
  <c r="D19" i="338"/>
  <c r="D18" i="338"/>
  <c r="D17" i="338"/>
  <c r="D16" i="338"/>
  <c r="D15" i="338"/>
  <c r="D14" i="338"/>
  <c r="D13" i="338"/>
  <c r="D12" i="338"/>
  <c r="D11" i="338"/>
  <c r="D10" i="338"/>
  <c r="D9" i="338"/>
  <c r="D8" i="338"/>
  <c r="D7" i="338"/>
  <c r="D6" i="338"/>
  <c r="D5" i="338"/>
  <c r="D3" i="338"/>
  <c r="C1000" i="338"/>
  <c r="C999" i="338"/>
  <c r="C998" i="338"/>
  <c r="C997" i="338"/>
  <c r="C996" i="338"/>
  <c r="C995" i="338"/>
  <c r="C994" i="338"/>
  <c r="C993" i="338"/>
  <c r="C992" i="338"/>
  <c r="C991" i="338"/>
  <c r="C990" i="338"/>
  <c r="C989" i="338"/>
  <c r="C988" i="338"/>
  <c r="C987" i="338"/>
  <c r="C986" i="338"/>
  <c r="C985" i="338"/>
  <c r="C984" i="338"/>
  <c r="C983" i="338"/>
  <c r="C982" i="338"/>
  <c r="C981" i="338"/>
  <c r="C980" i="338"/>
  <c r="C979" i="338"/>
  <c r="C978" i="338"/>
  <c r="C977" i="338"/>
  <c r="C976" i="338"/>
  <c r="C975" i="338"/>
  <c r="C974" i="338"/>
  <c r="C973" i="338"/>
  <c r="C972" i="338"/>
  <c r="C971" i="338"/>
  <c r="C970" i="338"/>
  <c r="C969" i="338"/>
  <c r="C968" i="338"/>
  <c r="C967" i="338"/>
  <c r="C966" i="338"/>
  <c r="C965" i="338"/>
  <c r="C964" i="338"/>
  <c r="C963" i="338"/>
  <c r="C962" i="338"/>
  <c r="C961" i="338"/>
  <c r="C960" i="338"/>
  <c r="C959" i="338"/>
  <c r="C958" i="338"/>
  <c r="C957" i="338"/>
  <c r="C956" i="338"/>
  <c r="C955" i="338"/>
  <c r="C954" i="338"/>
  <c r="C953" i="338"/>
  <c r="C952" i="338"/>
  <c r="C951" i="338"/>
  <c r="C950" i="338"/>
  <c r="C949" i="338"/>
  <c r="C948" i="338"/>
  <c r="C947" i="338"/>
  <c r="C946" i="338"/>
  <c r="C945" i="338"/>
  <c r="C944" i="338"/>
  <c r="C943" i="338"/>
  <c r="C942" i="338"/>
  <c r="C941" i="338"/>
  <c r="C940" i="338"/>
  <c r="C939" i="338"/>
  <c r="C938" i="338"/>
  <c r="C937" i="338"/>
  <c r="C936" i="338"/>
  <c r="C935" i="338"/>
  <c r="C934" i="338"/>
  <c r="C933" i="338"/>
  <c r="C932" i="338"/>
  <c r="C931" i="338"/>
  <c r="C930" i="338"/>
  <c r="C929" i="338"/>
  <c r="C928" i="338"/>
  <c r="C927" i="338"/>
  <c r="C926" i="338"/>
  <c r="C925" i="338"/>
  <c r="C924" i="338"/>
  <c r="C923" i="338"/>
  <c r="C922" i="338"/>
  <c r="C921" i="338"/>
  <c r="C920" i="338"/>
  <c r="C919" i="338"/>
  <c r="C918" i="338"/>
  <c r="C917" i="338"/>
  <c r="C916" i="338"/>
  <c r="C915" i="338"/>
  <c r="C914" i="338"/>
  <c r="C913" i="338"/>
  <c r="C912" i="338"/>
  <c r="C911" i="338"/>
  <c r="C910" i="338"/>
  <c r="C909" i="338"/>
  <c r="C908" i="338"/>
  <c r="C907" i="338"/>
  <c r="C906" i="338"/>
  <c r="C905" i="338"/>
  <c r="C904" i="338"/>
  <c r="C903" i="338"/>
  <c r="C902" i="338"/>
  <c r="C901" i="338"/>
  <c r="C900" i="338"/>
  <c r="C899" i="338"/>
  <c r="C898" i="338"/>
  <c r="C897" i="338"/>
  <c r="C896" i="338"/>
  <c r="C895" i="338"/>
  <c r="C894" i="338"/>
  <c r="C893" i="338"/>
  <c r="C892" i="338"/>
  <c r="C891" i="338"/>
  <c r="C890" i="338"/>
  <c r="C889" i="338"/>
  <c r="C888" i="338"/>
  <c r="C887" i="338"/>
  <c r="C886" i="338"/>
  <c r="C885" i="338"/>
  <c r="C884" i="338"/>
  <c r="C883" i="338"/>
  <c r="C882" i="338"/>
  <c r="C881" i="338"/>
  <c r="C880" i="338"/>
  <c r="C879" i="338"/>
  <c r="C878" i="338"/>
  <c r="C877" i="338"/>
  <c r="C876" i="338"/>
  <c r="C875" i="338"/>
  <c r="C874" i="338"/>
  <c r="C873" i="338"/>
  <c r="C872" i="338"/>
  <c r="C871" i="338"/>
  <c r="C870" i="338"/>
  <c r="C869" i="338"/>
  <c r="C868" i="338"/>
  <c r="C867" i="338"/>
  <c r="C866" i="338"/>
  <c r="C865" i="338"/>
  <c r="C864" i="338"/>
  <c r="C863" i="338"/>
  <c r="C862" i="338"/>
  <c r="C861" i="338"/>
  <c r="C860" i="338"/>
  <c r="C859" i="338"/>
  <c r="C858" i="338"/>
  <c r="C857" i="338"/>
  <c r="C856" i="338"/>
  <c r="C855" i="338"/>
  <c r="C854" i="338"/>
  <c r="C853" i="338"/>
  <c r="C852" i="338"/>
  <c r="C851" i="338"/>
  <c r="C850" i="338"/>
  <c r="C849" i="338"/>
  <c r="C848" i="338"/>
  <c r="C847" i="338"/>
  <c r="C846" i="338"/>
  <c r="C845" i="338"/>
  <c r="C844" i="338"/>
  <c r="C843" i="338"/>
  <c r="C842" i="338"/>
  <c r="C841" i="338"/>
  <c r="C840" i="338"/>
  <c r="C839" i="338"/>
  <c r="C838" i="338"/>
  <c r="C837" i="338"/>
  <c r="C836" i="338"/>
  <c r="C835" i="338"/>
  <c r="C834" i="338"/>
  <c r="C833" i="338"/>
  <c r="C832" i="338"/>
  <c r="C831" i="338"/>
  <c r="C830" i="338"/>
  <c r="C829" i="338"/>
  <c r="C828" i="338"/>
  <c r="C827" i="338"/>
  <c r="C826" i="338"/>
  <c r="C825" i="338"/>
  <c r="C824" i="338"/>
  <c r="C823" i="338"/>
  <c r="C822" i="338"/>
  <c r="C821" i="338"/>
  <c r="C820" i="338"/>
  <c r="C819" i="338"/>
  <c r="C818" i="338"/>
  <c r="C817" i="338"/>
  <c r="C816" i="338"/>
  <c r="C815" i="338"/>
  <c r="C814" i="338"/>
  <c r="C813" i="338"/>
  <c r="C812" i="338"/>
  <c r="C811" i="338"/>
  <c r="C810" i="338"/>
  <c r="C809" i="338"/>
  <c r="C808" i="338"/>
  <c r="C807" i="338"/>
  <c r="C806" i="338"/>
  <c r="C805" i="338"/>
  <c r="C804" i="338"/>
  <c r="C803" i="338"/>
  <c r="C802" i="338"/>
  <c r="C801" i="338"/>
  <c r="C800" i="338"/>
  <c r="C799" i="338"/>
  <c r="C798" i="338"/>
  <c r="C797" i="338"/>
  <c r="C796" i="338"/>
  <c r="C795" i="338"/>
  <c r="C794" i="338"/>
  <c r="C793" i="338"/>
  <c r="C792" i="338"/>
  <c r="C791" i="338"/>
  <c r="C790" i="338"/>
  <c r="C789" i="338"/>
  <c r="C788" i="338"/>
  <c r="C787" i="338"/>
  <c r="C786" i="338"/>
  <c r="C785" i="338"/>
  <c r="C784" i="338"/>
  <c r="C783" i="338"/>
  <c r="C782" i="338"/>
  <c r="C781" i="338"/>
  <c r="C780" i="338"/>
  <c r="C779" i="338"/>
  <c r="C778" i="338"/>
  <c r="C777" i="338"/>
  <c r="C776" i="338"/>
  <c r="C775" i="338"/>
  <c r="C774" i="338"/>
  <c r="C773" i="338"/>
  <c r="C772" i="338"/>
  <c r="C771" i="338"/>
  <c r="C770" i="338"/>
  <c r="C769" i="338"/>
  <c r="C768" i="338"/>
  <c r="C767" i="338"/>
  <c r="C766" i="338"/>
  <c r="C765" i="338"/>
  <c r="C764" i="338"/>
  <c r="C763" i="338"/>
  <c r="C762" i="338"/>
  <c r="C761" i="338"/>
  <c r="C760" i="338"/>
  <c r="C759" i="338"/>
  <c r="C758" i="338"/>
  <c r="C757" i="338"/>
  <c r="C756" i="338"/>
  <c r="C755" i="338"/>
  <c r="C754" i="338"/>
  <c r="C753" i="338"/>
  <c r="C752" i="338"/>
  <c r="C751" i="338"/>
  <c r="C750" i="338"/>
  <c r="C749" i="338"/>
  <c r="C748" i="338"/>
  <c r="C747" i="338"/>
  <c r="C746" i="338"/>
  <c r="C745" i="338"/>
  <c r="C744" i="338"/>
  <c r="C743" i="338"/>
  <c r="C742" i="338"/>
  <c r="C741" i="338"/>
  <c r="C740" i="338"/>
  <c r="C739" i="338"/>
  <c r="C738" i="338"/>
  <c r="C737" i="338"/>
  <c r="C736" i="338"/>
  <c r="C735" i="338"/>
  <c r="C734" i="338"/>
  <c r="C733" i="338"/>
  <c r="C732" i="338"/>
  <c r="C731" i="338"/>
  <c r="C730" i="338"/>
  <c r="C729" i="338"/>
  <c r="C728" i="338"/>
  <c r="C727" i="338"/>
  <c r="C726" i="338"/>
  <c r="C725" i="338"/>
  <c r="C724" i="338"/>
  <c r="C723" i="338"/>
  <c r="C722" i="338"/>
  <c r="C721" i="338"/>
  <c r="C720" i="338"/>
  <c r="C719" i="338"/>
  <c r="C718" i="338"/>
  <c r="C717" i="338"/>
  <c r="C716" i="338"/>
  <c r="C715" i="338"/>
  <c r="C714" i="338"/>
  <c r="C713" i="338"/>
  <c r="C712" i="338"/>
  <c r="C711" i="338"/>
  <c r="C710" i="338"/>
  <c r="C709" i="338"/>
  <c r="C708" i="338"/>
  <c r="C707" i="338"/>
  <c r="C706" i="338"/>
  <c r="C705" i="338"/>
  <c r="C704" i="338"/>
  <c r="C703" i="338"/>
  <c r="C702" i="338"/>
  <c r="C701" i="338"/>
  <c r="C700" i="338"/>
  <c r="C699" i="338"/>
  <c r="C698" i="338"/>
  <c r="C697" i="338"/>
  <c r="C696" i="338"/>
  <c r="C695" i="338"/>
  <c r="C694" i="338"/>
  <c r="C693" i="338"/>
  <c r="C692" i="338"/>
  <c r="C691" i="338"/>
  <c r="C690" i="338"/>
  <c r="C689" i="338"/>
  <c r="C688" i="338"/>
  <c r="C687" i="338"/>
  <c r="C686" i="338"/>
  <c r="C685" i="338"/>
  <c r="C684" i="338"/>
  <c r="C683" i="338"/>
  <c r="C682" i="338"/>
  <c r="C681" i="338"/>
  <c r="C680" i="338"/>
  <c r="C679" i="338"/>
  <c r="C678" i="338"/>
  <c r="C677" i="338"/>
  <c r="C676" i="338"/>
  <c r="C675" i="338"/>
  <c r="C674" i="338"/>
  <c r="C673" i="338"/>
  <c r="C672" i="338"/>
  <c r="C671" i="338"/>
  <c r="C670" i="338"/>
  <c r="C669" i="338"/>
  <c r="C668" i="338"/>
  <c r="C667" i="338"/>
  <c r="C666" i="338"/>
  <c r="C665" i="338"/>
  <c r="C664" i="338"/>
  <c r="C663" i="338"/>
  <c r="C662" i="338"/>
  <c r="C661" i="338"/>
  <c r="C660" i="338"/>
  <c r="C659" i="338"/>
  <c r="C658" i="338"/>
  <c r="C657" i="338"/>
  <c r="C656" i="338"/>
  <c r="C655" i="338"/>
  <c r="C654" i="338"/>
  <c r="C653" i="338"/>
  <c r="C652" i="338"/>
  <c r="C651" i="338"/>
  <c r="C650" i="338"/>
  <c r="C649" i="338"/>
  <c r="C648" i="338"/>
  <c r="C647" i="338"/>
  <c r="C646" i="338"/>
  <c r="C645" i="338"/>
  <c r="C644" i="338"/>
  <c r="C643" i="338"/>
  <c r="C642" i="338"/>
  <c r="C641" i="338"/>
  <c r="C640" i="338"/>
  <c r="C639" i="338"/>
  <c r="C638" i="338"/>
  <c r="C637" i="338"/>
  <c r="C636" i="338"/>
  <c r="C635" i="338"/>
  <c r="C634" i="338"/>
  <c r="C633" i="338"/>
  <c r="C632" i="338"/>
  <c r="C631" i="338"/>
  <c r="C630" i="338"/>
  <c r="C629" i="338"/>
  <c r="C628" i="338"/>
  <c r="C627" i="338"/>
  <c r="C626" i="338"/>
  <c r="C625" i="338"/>
  <c r="C624" i="338"/>
  <c r="C623" i="338"/>
  <c r="C622" i="338"/>
  <c r="C621" i="338"/>
  <c r="C620" i="338"/>
  <c r="C619" i="338"/>
  <c r="C618" i="338"/>
  <c r="C617" i="338"/>
  <c r="C616" i="338"/>
  <c r="C615" i="338"/>
  <c r="C614" i="338"/>
  <c r="C613" i="338"/>
  <c r="C612" i="338"/>
  <c r="C611" i="338"/>
  <c r="C610" i="338"/>
  <c r="C609" i="338"/>
  <c r="C608" i="338"/>
  <c r="C607" i="338"/>
  <c r="C606" i="338"/>
  <c r="C605" i="338"/>
  <c r="C604" i="338"/>
  <c r="C603" i="338"/>
  <c r="C602" i="338"/>
  <c r="C601" i="338"/>
  <c r="C600" i="338"/>
  <c r="C599" i="338"/>
  <c r="C598" i="338"/>
  <c r="C597" i="338"/>
  <c r="C596" i="338"/>
  <c r="C595" i="338"/>
  <c r="C594" i="338"/>
  <c r="C593" i="338"/>
  <c r="C592" i="338"/>
  <c r="C591" i="338"/>
  <c r="C590" i="338"/>
  <c r="C589" i="338"/>
  <c r="C588" i="338"/>
  <c r="C587" i="338"/>
  <c r="C586" i="338"/>
  <c r="C585" i="338"/>
  <c r="C584" i="338"/>
  <c r="C583" i="338"/>
  <c r="C582" i="338"/>
  <c r="C581" i="338"/>
  <c r="C580" i="338"/>
  <c r="C579" i="338"/>
  <c r="C578" i="338"/>
  <c r="C577" i="338"/>
  <c r="C576" i="338"/>
  <c r="C575" i="338"/>
  <c r="C574" i="338"/>
  <c r="C573" i="338"/>
  <c r="C572" i="338"/>
  <c r="C571" i="338"/>
  <c r="C570" i="338"/>
  <c r="C569" i="338"/>
  <c r="C568" i="338"/>
  <c r="C567" i="338"/>
  <c r="C566" i="338"/>
  <c r="C565" i="338"/>
  <c r="C564" i="338"/>
  <c r="C563" i="338"/>
  <c r="C562" i="338"/>
  <c r="C561" i="338"/>
  <c r="C560" i="338"/>
  <c r="C559" i="338"/>
  <c r="C558" i="338"/>
  <c r="C557" i="338"/>
  <c r="C556" i="338"/>
  <c r="C555" i="338"/>
  <c r="C554" i="338"/>
  <c r="C553" i="338"/>
  <c r="C552" i="338"/>
  <c r="C551" i="338"/>
  <c r="C550" i="338"/>
  <c r="C549" i="338"/>
  <c r="C548" i="338"/>
  <c r="C547" i="338"/>
  <c r="C546" i="338"/>
  <c r="C545" i="338"/>
  <c r="C544" i="338"/>
  <c r="C543" i="338"/>
  <c r="C542" i="338"/>
  <c r="C541" i="338"/>
  <c r="C540" i="338"/>
  <c r="C539" i="338"/>
  <c r="C538" i="338"/>
  <c r="C537" i="338"/>
  <c r="C536" i="338"/>
  <c r="C535" i="338"/>
  <c r="C534" i="338"/>
  <c r="C533" i="338"/>
  <c r="C532" i="338"/>
  <c r="C531" i="338"/>
  <c r="C530" i="338"/>
  <c r="C529" i="338"/>
  <c r="C528" i="338"/>
  <c r="C527" i="338"/>
  <c r="C526" i="338"/>
  <c r="C525" i="338"/>
  <c r="C524" i="338"/>
  <c r="C523" i="338"/>
  <c r="C522" i="338"/>
  <c r="C521" i="338"/>
  <c r="C520" i="338"/>
  <c r="C519" i="338"/>
  <c r="C518" i="338"/>
  <c r="C517" i="338"/>
  <c r="C516" i="338"/>
  <c r="C515" i="338"/>
  <c r="C514" i="338"/>
  <c r="C513" i="338"/>
  <c r="C512" i="338"/>
  <c r="C511" i="338"/>
  <c r="C510" i="338"/>
  <c r="C509" i="338"/>
  <c r="C508" i="338"/>
  <c r="C507" i="338"/>
  <c r="C506" i="338"/>
  <c r="C505" i="338"/>
  <c r="C504" i="338"/>
  <c r="C503" i="338"/>
  <c r="C502" i="338"/>
  <c r="C501" i="338"/>
  <c r="C500" i="338"/>
  <c r="C499" i="338"/>
  <c r="C498" i="338"/>
  <c r="C497" i="338"/>
  <c r="C496" i="338"/>
  <c r="C495" i="338"/>
  <c r="C494" i="338"/>
  <c r="C493" i="338"/>
  <c r="C492" i="338"/>
  <c r="C491" i="338"/>
  <c r="C490" i="338"/>
  <c r="C489" i="338"/>
  <c r="C488" i="338"/>
  <c r="C487" i="338"/>
  <c r="C486" i="338"/>
  <c r="C485" i="338"/>
  <c r="C484" i="338"/>
  <c r="C483" i="338"/>
  <c r="C482" i="338"/>
  <c r="C481" i="338"/>
  <c r="C480" i="338"/>
  <c r="C479" i="338"/>
  <c r="C478" i="338"/>
  <c r="C477" i="338"/>
  <c r="C476" i="338"/>
  <c r="C475" i="338"/>
  <c r="C474" i="338"/>
  <c r="C473" i="338"/>
  <c r="C472" i="338"/>
  <c r="C471" i="338"/>
  <c r="C470" i="338"/>
  <c r="C469" i="338"/>
  <c r="C468" i="338"/>
  <c r="C467" i="338"/>
  <c r="C466" i="338"/>
  <c r="C465" i="338"/>
  <c r="C464" i="338"/>
  <c r="C463" i="338"/>
  <c r="C462" i="338"/>
  <c r="C461" i="338"/>
  <c r="C460" i="338"/>
  <c r="C459" i="338"/>
  <c r="C458" i="338"/>
  <c r="C457" i="338"/>
  <c r="C456" i="338"/>
  <c r="C455" i="338"/>
  <c r="C454" i="338"/>
  <c r="C453" i="338"/>
  <c r="C452" i="338"/>
  <c r="C451" i="338"/>
  <c r="C450" i="338"/>
  <c r="C449" i="338"/>
  <c r="C448" i="338"/>
  <c r="C447" i="338"/>
  <c r="C446" i="338"/>
  <c r="C445" i="338"/>
  <c r="C444" i="338"/>
  <c r="C443" i="338"/>
  <c r="C442" i="338"/>
  <c r="C441" i="338"/>
  <c r="C440" i="338"/>
  <c r="C439" i="338"/>
  <c r="C438" i="338"/>
  <c r="C437" i="338"/>
  <c r="C436" i="338"/>
  <c r="C435" i="338"/>
  <c r="C434" i="338"/>
  <c r="C433" i="338"/>
  <c r="C432" i="338"/>
  <c r="C431" i="338"/>
  <c r="C430" i="338"/>
  <c r="C429" i="338"/>
  <c r="C428" i="338"/>
  <c r="C427" i="338"/>
  <c r="C426" i="338"/>
  <c r="C425" i="338"/>
  <c r="C424" i="338"/>
  <c r="C423" i="338"/>
  <c r="C422" i="338"/>
  <c r="C421" i="338"/>
  <c r="C420" i="338"/>
  <c r="C419" i="338"/>
  <c r="C418" i="338"/>
  <c r="C417" i="338"/>
  <c r="C416" i="338"/>
  <c r="C415" i="338"/>
  <c r="C414" i="338"/>
  <c r="C413" i="338"/>
  <c r="C412" i="338"/>
  <c r="C411" i="338"/>
  <c r="C410" i="338"/>
  <c r="C409" i="338"/>
  <c r="C408" i="338"/>
  <c r="C407" i="338"/>
  <c r="C406" i="338"/>
  <c r="C405" i="338"/>
  <c r="C404" i="338"/>
  <c r="C403" i="338"/>
  <c r="C402" i="338"/>
  <c r="C401" i="338"/>
  <c r="C400" i="338"/>
  <c r="C399" i="338"/>
  <c r="C398" i="338"/>
  <c r="C397" i="338"/>
  <c r="C396" i="338"/>
  <c r="C395" i="338"/>
  <c r="C394" i="338"/>
  <c r="C393" i="338"/>
  <c r="C392" i="338"/>
  <c r="C391" i="338"/>
  <c r="C390" i="338"/>
  <c r="C389" i="338"/>
  <c r="C388" i="338"/>
  <c r="C387" i="338"/>
  <c r="C386" i="338"/>
  <c r="C385" i="338"/>
  <c r="C384" i="338"/>
  <c r="C383" i="338"/>
  <c r="C382" i="338"/>
  <c r="C381" i="338"/>
  <c r="C380" i="338"/>
  <c r="C379" i="338"/>
  <c r="C378" i="338"/>
  <c r="C377" i="338"/>
  <c r="C376" i="338"/>
  <c r="C375" i="338"/>
  <c r="C374" i="338"/>
  <c r="C373" i="338"/>
  <c r="C372" i="338"/>
  <c r="C371" i="338"/>
  <c r="C370" i="338"/>
  <c r="C369" i="338"/>
  <c r="C368" i="338"/>
  <c r="C367" i="338"/>
  <c r="C366" i="338"/>
  <c r="C365" i="338"/>
  <c r="C364" i="338"/>
  <c r="C363" i="338"/>
  <c r="C362" i="338"/>
  <c r="C361" i="338"/>
  <c r="C360" i="338"/>
  <c r="C359" i="338"/>
  <c r="C358" i="338"/>
  <c r="C357" i="338"/>
  <c r="C356" i="338"/>
  <c r="C355" i="338"/>
  <c r="C354" i="338"/>
  <c r="C353" i="338"/>
  <c r="C352" i="338"/>
  <c r="C351" i="338"/>
  <c r="C350" i="338"/>
  <c r="C349" i="338"/>
  <c r="C348" i="338"/>
  <c r="C347" i="338"/>
  <c r="C346" i="338"/>
  <c r="C345" i="338"/>
  <c r="C344" i="338"/>
  <c r="C343" i="338"/>
  <c r="C342" i="338"/>
  <c r="C341" i="338"/>
  <c r="C340" i="338"/>
  <c r="C339" i="338"/>
  <c r="C338" i="338"/>
  <c r="C337" i="338"/>
  <c r="C336" i="338"/>
  <c r="C335" i="338"/>
  <c r="C334" i="338"/>
  <c r="C333" i="338"/>
  <c r="C332" i="338"/>
  <c r="C331" i="338"/>
  <c r="C330" i="338"/>
  <c r="C329" i="338"/>
  <c r="C328" i="338"/>
  <c r="C327" i="338"/>
  <c r="C326" i="338"/>
  <c r="C325" i="338"/>
  <c r="C324" i="338"/>
  <c r="C323" i="338"/>
  <c r="C322" i="338"/>
  <c r="C321" i="338"/>
  <c r="C320" i="338"/>
  <c r="C319" i="338"/>
  <c r="C318" i="338"/>
  <c r="C317" i="338"/>
  <c r="C316" i="338"/>
  <c r="C315" i="338"/>
  <c r="C314" i="338"/>
  <c r="C313" i="338"/>
  <c r="C312" i="338"/>
  <c r="C311" i="338"/>
  <c r="C310" i="338"/>
  <c r="C309" i="338"/>
  <c r="C308" i="338"/>
  <c r="C307" i="338"/>
  <c r="C306" i="338"/>
  <c r="C305" i="338"/>
  <c r="C304" i="338"/>
  <c r="C303" i="338"/>
  <c r="C302" i="338"/>
  <c r="C301" i="338"/>
  <c r="C300" i="338"/>
  <c r="C299" i="338"/>
  <c r="C298" i="338"/>
  <c r="C297" i="338"/>
  <c r="C296" i="338"/>
  <c r="C295" i="338"/>
  <c r="C294" i="338"/>
  <c r="C293" i="338"/>
  <c r="C292" i="338"/>
  <c r="C291" i="338"/>
  <c r="C290" i="338"/>
  <c r="C289" i="338"/>
  <c r="C288" i="338"/>
  <c r="C287" i="338"/>
  <c r="C286" i="338"/>
  <c r="C285" i="338"/>
  <c r="C284" i="338"/>
  <c r="C283" i="338"/>
  <c r="C282" i="338"/>
  <c r="C281" i="338"/>
  <c r="C280" i="338"/>
  <c r="C279" i="338"/>
  <c r="C278" i="338"/>
  <c r="C277" i="338"/>
  <c r="C276" i="338"/>
  <c r="C275" i="338"/>
  <c r="C274" i="338"/>
  <c r="C273" i="338"/>
  <c r="C272" i="338"/>
  <c r="C271" i="338"/>
  <c r="C270" i="338"/>
  <c r="C269" i="338"/>
  <c r="C268" i="338"/>
  <c r="C267" i="338"/>
  <c r="C266" i="338"/>
  <c r="C265" i="338"/>
  <c r="C264" i="338"/>
  <c r="C263" i="338"/>
  <c r="C262" i="338"/>
  <c r="C261" i="338"/>
  <c r="C260" i="338"/>
  <c r="C259" i="338"/>
  <c r="C258" i="338"/>
  <c r="C257" i="338"/>
  <c r="C256" i="338"/>
  <c r="C255" i="338"/>
  <c r="C254" i="338"/>
  <c r="C253" i="338"/>
  <c r="C252" i="338"/>
  <c r="C251" i="338"/>
  <c r="C250" i="338"/>
  <c r="C249" i="338"/>
  <c r="C248" i="338"/>
  <c r="C247" i="338"/>
  <c r="C246" i="338"/>
  <c r="C245" i="338"/>
  <c r="C244" i="338"/>
  <c r="C243" i="338"/>
  <c r="C242" i="338"/>
  <c r="C241" i="338"/>
  <c r="C240" i="338"/>
  <c r="C239" i="338"/>
  <c r="C238" i="338"/>
  <c r="C237" i="338"/>
  <c r="C236" i="338"/>
  <c r="C235" i="338"/>
  <c r="C234" i="338"/>
  <c r="C233" i="338"/>
  <c r="C232" i="338"/>
  <c r="C231" i="338"/>
  <c r="C230" i="338"/>
  <c r="C229" i="338"/>
  <c r="C228" i="338"/>
  <c r="C227" i="338"/>
  <c r="C226" i="338"/>
  <c r="C225" i="338"/>
  <c r="C224" i="338"/>
  <c r="C223" i="338"/>
  <c r="C222" i="338"/>
  <c r="C221" i="338"/>
  <c r="C220" i="338"/>
  <c r="C219" i="338"/>
  <c r="C218" i="338"/>
  <c r="C217" i="338"/>
  <c r="C216" i="338"/>
  <c r="C215" i="338"/>
  <c r="C214" i="338"/>
  <c r="C213" i="338"/>
  <c r="C212" i="338"/>
  <c r="C211" i="338"/>
  <c r="C210" i="338"/>
  <c r="C209" i="338"/>
  <c r="C208" i="338"/>
  <c r="C207" i="338"/>
  <c r="C206" i="338"/>
  <c r="C205" i="338"/>
  <c r="C204" i="338"/>
  <c r="C203" i="338"/>
  <c r="C202" i="338"/>
  <c r="C201" i="338"/>
  <c r="C200" i="338"/>
  <c r="C199" i="338"/>
  <c r="C198" i="338"/>
  <c r="C197" i="338"/>
  <c r="C196" i="338"/>
  <c r="C195" i="338"/>
  <c r="C194" i="338"/>
  <c r="C193" i="338"/>
  <c r="C192" i="338"/>
  <c r="C191" i="338"/>
  <c r="C190" i="338"/>
  <c r="C189" i="338"/>
  <c r="C188" i="338"/>
  <c r="C187" i="338"/>
  <c r="C186" i="338"/>
  <c r="C185" i="338"/>
  <c r="C184" i="338"/>
  <c r="C183" i="338"/>
  <c r="C182" i="338"/>
  <c r="C181" i="338"/>
  <c r="C180" i="338"/>
  <c r="C179" i="338"/>
  <c r="C178" i="338"/>
  <c r="C177" i="338"/>
  <c r="C176" i="338"/>
  <c r="C175" i="338"/>
  <c r="C174" i="338"/>
  <c r="C173" i="338"/>
  <c r="C172" i="338"/>
  <c r="C171" i="338"/>
  <c r="C170" i="338"/>
  <c r="C169" i="338"/>
  <c r="C168" i="338"/>
  <c r="C167" i="338"/>
  <c r="C166" i="338"/>
  <c r="C165" i="338"/>
  <c r="C164" i="338"/>
  <c r="C163" i="338"/>
  <c r="C162" i="338"/>
  <c r="C161" i="338"/>
  <c r="C160" i="338"/>
  <c r="C159" i="338"/>
  <c r="C158" i="338"/>
  <c r="C157" i="338"/>
  <c r="C156" i="338"/>
  <c r="C155" i="338"/>
  <c r="C154" i="338"/>
  <c r="C153" i="338"/>
  <c r="C152" i="338"/>
  <c r="C151" i="338"/>
  <c r="C150" i="338"/>
  <c r="C149" i="338"/>
  <c r="C148" i="338"/>
  <c r="C147" i="338"/>
  <c r="C146" i="338"/>
  <c r="C145" i="338"/>
  <c r="C144" i="338"/>
  <c r="C143" i="338"/>
  <c r="C142" i="338"/>
  <c r="C141" i="338"/>
  <c r="C140" i="338"/>
  <c r="C139" i="338"/>
  <c r="C138" i="338"/>
  <c r="C137" i="338"/>
  <c r="C136" i="338"/>
  <c r="C135" i="338"/>
  <c r="C134" i="338"/>
  <c r="C133" i="338"/>
  <c r="C132" i="338"/>
  <c r="C131" i="338"/>
  <c r="C130" i="338"/>
  <c r="C129" i="338"/>
  <c r="C128" i="338"/>
  <c r="C127" i="338"/>
  <c r="C126" i="338"/>
  <c r="C125" i="338"/>
  <c r="C124" i="338"/>
  <c r="C123" i="338"/>
  <c r="C122" i="338"/>
  <c r="C121" i="338"/>
  <c r="C120" i="338"/>
  <c r="C119" i="338"/>
  <c r="C118" i="338"/>
  <c r="C117" i="338"/>
  <c r="C116" i="338"/>
  <c r="C115" i="338"/>
  <c r="C114" i="338"/>
  <c r="C113" i="338"/>
  <c r="C112" i="338"/>
  <c r="C111" i="338"/>
  <c r="C110" i="338"/>
  <c r="C109" i="338"/>
  <c r="C108" i="338"/>
  <c r="C107" i="338"/>
  <c r="C106" i="338"/>
  <c r="C105" i="338"/>
  <c r="C104" i="338"/>
  <c r="C103" i="338"/>
  <c r="C102" i="338"/>
  <c r="C101" i="338"/>
  <c r="C100" i="338"/>
  <c r="C99" i="338"/>
  <c r="C98" i="338"/>
  <c r="C97" i="338"/>
  <c r="C96" i="338"/>
  <c r="C95" i="338"/>
  <c r="C94" i="338"/>
  <c r="C93" i="338"/>
  <c r="C92" i="338"/>
  <c r="C91" i="338"/>
  <c r="C90" i="338"/>
  <c r="C89" i="338"/>
  <c r="C88" i="338"/>
  <c r="C87" i="338"/>
  <c r="C86" i="338"/>
  <c r="C85" i="338"/>
  <c r="C84" i="338"/>
  <c r="C83" i="338"/>
  <c r="C82" i="338"/>
  <c r="C81" i="338"/>
  <c r="C80" i="338"/>
  <c r="C79" i="338"/>
  <c r="C78" i="338"/>
  <c r="C77" i="338"/>
  <c r="C76" i="338"/>
  <c r="C75" i="338"/>
  <c r="C74" i="338"/>
  <c r="C73" i="338"/>
  <c r="C72" i="338"/>
  <c r="C71" i="338"/>
  <c r="C70" i="338"/>
  <c r="C69" i="338"/>
  <c r="C68" i="338"/>
  <c r="C67" i="338"/>
  <c r="C66" i="338"/>
  <c r="C65" i="338"/>
  <c r="C64" i="338"/>
  <c r="C63" i="338"/>
  <c r="C62" i="338"/>
  <c r="C61" i="338"/>
  <c r="C60" i="338"/>
  <c r="C59" i="338"/>
  <c r="C58" i="338"/>
  <c r="C57" i="338"/>
  <c r="C56" i="338"/>
  <c r="C55" i="338"/>
  <c r="C54" i="338"/>
  <c r="C53" i="338"/>
  <c r="C52" i="338"/>
  <c r="C51" i="338"/>
  <c r="C50" i="338"/>
  <c r="C49" i="338"/>
  <c r="C48" i="338"/>
  <c r="C47" i="338"/>
  <c r="C46" i="338"/>
  <c r="C45" i="338"/>
  <c r="C44" i="338"/>
  <c r="C43" i="338"/>
  <c r="C42" i="338"/>
  <c r="C41" i="338"/>
  <c r="C40" i="338"/>
  <c r="C39" i="338"/>
  <c r="C38" i="338"/>
  <c r="C37" i="338"/>
  <c r="C36" i="338"/>
  <c r="C35" i="338"/>
  <c r="C34" i="338"/>
  <c r="C33" i="338"/>
  <c r="C32" i="338"/>
  <c r="C31" i="338"/>
  <c r="C30" i="338"/>
  <c r="C29" i="338"/>
  <c r="C28" i="338"/>
  <c r="C27" i="338"/>
  <c r="C26" i="338"/>
  <c r="C25" i="338"/>
  <c r="C24" i="338"/>
  <c r="C23" i="338"/>
  <c r="C22" i="338"/>
  <c r="C21" i="338"/>
  <c r="C20" i="338"/>
  <c r="C19" i="338"/>
  <c r="C18" i="338"/>
  <c r="C17" i="338"/>
  <c r="C16" i="338"/>
  <c r="C15" i="338"/>
  <c r="C14" i="338"/>
  <c r="C13" i="338"/>
  <c r="C12" i="338"/>
  <c r="C11" i="338"/>
  <c r="C10" i="338"/>
  <c r="C9" i="338"/>
  <c r="C8" i="338"/>
  <c r="C7" i="338"/>
  <c r="C6" i="338"/>
  <c r="C5" i="338"/>
  <c r="C4" i="338"/>
  <c r="D4" i="338" s="1"/>
  <c r="C3" i="338"/>
  <c r="B1000" i="338"/>
  <c r="B999" i="338"/>
  <c r="B998" i="338"/>
  <c r="B997" i="338"/>
  <c r="B996" i="338"/>
  <c r="B995" i="338"/>
  <c r="B994" i="338"/>
  <c r="B993" i="338"/>
  <c r="B992" i="338"/>
  <c r="B991" i="338"/>
  <c r="B990" i="338"/>
  <c r="B989" i="338"/>
  <c r="B988" i="338"/>
  <c r="B987" i="338"/>
  <c r="B986" i="338"/>
  <c r="B985" i="338"/>
  <c r="B984" i="338"/>
  <c r="B983" i="338"/>
  <c r="B982" i="338"/>
  <c r="B981" i="338"/>
  <c r="B980" i="338"/>
  <c r="B979" i="338"/>
  <c r="B978" i="338"/>
  <c r="B977" i="338"/>
  <c r="B976" i="338"/>
  <c r="B975" i="338"/>
  <c r="B974" i="338"/>
  <c r="B973" i="338"/>
  <c r="B972" i="338"/>
  <c r="B971" i="338"/>
  <c r="B970" i="338"/>
  <c r="B969" i="338"/>
  <c r="B968" i="338"/>
  <c r="B967" i="338"/>
  <c r="B966" i="338"/>
  <c r="B965" i="338"/>
  <c r="B964" i="338"/>
  <c r="B963" i="338"/>
  <c r="B962" i="338"/>
  <c r="B961" i="338"/>
  <c r="B960" i="338"/>
  <c r="B959" i="338"/>
  <c r="B958" i="338"/>
  <c r="B957" i="338"/>
  <c r="B956" i="338"/>
  <c r="B955" i="338"/>
  <c r="B954" i="338"/>
  <c r="B953" i="338"/>
  <c r="B952" i="338"/>
  <c r="B951" i="338"/>
  <c r="B950" i="338"/>
  <c r="B949" i="338"/>
  <c r="B948" i="338"/>
  <c r="B947" i="338"/>
  <c r="B946" i="338"/>
  <c r="B945" i="338"/>
  <c r="B944" i="338"/>
  <c r="B943" i="338"/>
  <c r="B942" i="338"/>
  <c r="B941" i="338"/>
  <c r="B940" i="338"/>
  <c r="B939" i="338"/>
  <c r="B938" i="338"/>
  <c r="B937" i="338"/>
  <c r="B936" i="338"/>
  <c r="B935" i="338"/>
  <c r="B934" i="338"/>
  <c r="B933" i="338"/>
  <c r="B932" i="338"/>
  <c r="B931" i="338"/>
  <c r="B930" i="338"/>
  <c r="B929" i="338"/>
  <c r="B928" i="338"/>
  <c r="B927" i="338"/>
  <c r="B926" i="338"/>
  <c r="B925" i="338"/>
  <c r="B924" i="338"/>
  <c r="B923" i="338"/>
  <c r="B922" i="338"/>
  <c r="B921" i="338"/>
  <c r="B920" i="338"/>
  <c r="B919" i="338"/>
  <c r="B918" i="338"/>
  <c r="B917" i="338"/>
  <c r="B916" i="338"/>
  <c r="B915" i="338"/>
  <c r="B914" i="338"/>
  <c r="B913" i="338"/>
  <c r="B912" i="338"/>
  <c r="B911" i="338"/>
  <c r="B910" i="338"/>
  <c r="B909" i="338"/>
  <c r="B908" i="338"/>
  <c r="B907" i="338"/>
  <c r="B906" i="338"/>
  <c r="B905" i="338"/>
  <c r="B904" i="338"/>
  <c r="B903" i="338"/>
  <c r="B902" i="338"/>
  <c r="B901" i="338"/>
  <c r="B900" i="338"/>
  <c r="B899" i="338"/>
  <c r="B898" i="338"/>
  <c r="B897" i="338"/>
  <c r="B896" i="338"/>
  <c r="B895" i="338"/>
  <c r="B894" i="338"/>
  <c r="B893" i="338"/>
  <c r="B892" i="338"/>
  <c r="B891" i="338"/>
  <c r="B890" i="338"/>
  <c r="B889" i="338"/>
  <c r="B888" i="338"/>
  <c r="B887" i="338"/>
  <c r="B886" i="338"/>
  <c r="B885" i="338"/>
  <c r="B884" i="338"/>
  <c r="B883" i="338"/>
  <c r="B882" i="338"/>
  <c r="B881" i="338"/>
  <c r="B880" i="338"/>
  <c r="B879" i="338"/>
  <c r="B878" i="338"/>
  <c r="B877" i="338"/>
  <c r="B876" i="338"/>
  <c r="B875" i="338"/>
  <c r="B874" i="338"/>
  <c r="B873" i="338"/>
  <c r="B872" i="338"/>
  <c r="B871" i="338"/>
  <c r="B870" i="338"/>
  <c r="B869" i="338"/>
  <c r="B868" i="338"/>
  <c r="B867" i="338"/>
  <c r="B866" i="338"/>
  <c r="B865" i="338"/>
  <c r="B864" i="338"/>
  <c r="B863" i="338"/>
  <c r="B862" i="338"/>
  <c r="B861" i="338"/>
  <c r="B860" i="338"/>
  <c r="B859" i="338"/>
  <c r="B858" i="338"/>
  <c r="B857" i="338"/>
  <c r="B856" i="338"/>
  <c r="B855" i="338"/>
  <c r="B854" i="338"/>
  <c r="B853" i="338"/>
  <c r="B852" i="338"/>
  <c r="B851" i="338"/>
  <c r="B850" i="338"/>
  <c r="B849" i="338"/>
  <c r="B848" i="338"/>
  <c r="B847" i="338"/>
  <c r="B846" i="338"/>
  <c r="B845" i="338"/>
  <c r="B844" i="338"/>
  <c r="B843" i="338"/>
  <c r="B842" i="338"/>
  <c r="B841" i="338"/>
  <c r="B840" i="338"/>
  <c r="B839" i="338"/>
  <c r="B838" i="338"/>
  <c r="B837" i="338"/>
  <c r="B836" i="338"/>
  <c r="B835" i="338"/>
  <c r="B834" i="338"/>
  <c r="B833" i="338"/>
  <c r="B832" i="338"/>
  <c r="B831" i="338"/>
  <c r="B830" i="338"/>
  <c r="B829" i="338"/>
  <c r="B828" i="338"/>
  <c r="B827" i="338"/>
  <c r="B826" i="338"/>
  <c r="B825" i="338"/>
  <c r="B824" i="338"/>
  <c r="B823" i="338"/>
  <c r="B822" i="338"/>
  <c r="B821" i="338"/>
  <c r="B820" i="338"/>
  <c r="B819" i="338"/>
  <c r="B818" i="338"/>
  <c r="B817" i="338"/>
  <c r="B816" i="338"/>
  <c r="B815" i="338"/>
  <c r="B814" i="338"/>
  <c r="B813" i="338"/>
  <c r="B812" i="338"/>
  <c r="B811" i="338"/>
  <c r="B810" i="338"/>
  <c r="B809" i="338"/>
  <c r="B808" i="338"/>
  <c r="B807" i="338"/>
  <c r="B806" i="338"/>
  <c r="B805" i="338"/>
  <c r="B804" i="338"/>
  <c r="B803" i="338"/>
  <c r="B802" i="338"/>
  <c r="B801" i="338"/>
  <c r="B800" i="338"/>
  <c r="B799" i="338"/>
  <c r="B798" i="338"/>
  <c r="B797" i="338"/>
  <c r="B796" i="338"/>
  <c r="B795" i="338"/>
  <c r="B794" i="338"/>
  <c r="B793" i="338"/>
  <c r="B792" i="338"/>
  <c r="B791" i="338"/>
  <c r="B790" i="338"/>
  <c r="B789" i="338"/>
  <c r="B788" i="338"/>
  <c r="B787" i="338"/>
  <c r="B786" i="338"/>
  <c r="B785" i="338"/>
  <c r="B784" i="338"/>
  <c r="B783" i="338"/>
  <c r="B782" i="338"/>
  <c r="B781" i="338"/>
  <c r="B780" i="338"/>
  <c r="B779" i="338"/>
  <c r="B778" i="338"/>
  <c r="B777" i="338"/>
  <c r="B776" i="338"/>
  <c r="B775" i="338"/>
  <c r="B774" i="338"/>
  <c r="B773" i="338"/>
  <c r="B772" i="338"/>
  <c r="B771" i="338"/>
  <c r="B770" i="338"/>
  <c r="B769" i="338"/>
  <c r="B768" i="338"/>
  <c r="B767" i="338"/>
  <c r="B766" i="338"/>
  <c r="B765" i="338"/>
  <c r="B764" i="338"/>
  <c r="B763" i="338"/>
  <c r="B762" i="338"/>
  <c r="B761" i="338"/>
  <c r="B760" i="338"/>
  <c r="B759" i="338"/>
  <c r="B758" i="338"/>
  <c r="B757" i="338"/>
  <c r="B756" i="338"/>
  <c r="B755" i="338"/>
  <c r="B754" i="338"/>
  <c r="B753" i="338"/>
  <c r="B752" i="338"/>
  <c r="B751" i="338"/>
  <c r="B750" i="338"/>
  <c r="B749" i="338"/>
  <c r="B748" i="338"/>
  <c r="B747" i="338"/>
  <c r="B746" i="338"/>
  <c r="B745" i="338"/>
  <c r="B744" i="338"/>
  <c r="B743" i="338"/>
  <c r="B742" i="338"/>
  <c r="B741" i="338"/>
  <c r="B740" i="338"/>
  <c r="B739" i="338"/>
  <c r="B738" i="338"/>
  <c r="B737" i="338"/>
  <c r="B736" i="338"/>
  <c r="B735" i="338"/>
  <c r="B734" i="338"/>
  <c r="B733" i="338"/>
  <c r="B732" i="338"/>
  <c r="B731" i="338"/>
  <c r="B730" i="338"/>
  <c r="B729" i="338"/>
  <c r="B728" i="338"/>
  <c r="B727" i="338"/>
  <c r="B726" i="338"/>
  <c r="B725" i="338"/>
  <c r="B724" i="338"/>
  <c r="B723" i="338"/>
  <c r="B722" i="338"/>
  <c r="B721" i="338"/>
  <c r="B720" i="338"/>
  <c r="B719" i="338"/>
  <c r="B718" i="338"/>
  <c r="B717" i="338"/>
  <c r="B716" i="338"/>
  <c r="B715" i="338"/>
  <c r="B714" i="338"/>
  <c r="B713" i="338"/>
  <c r="B712" i="338"/>
  <c r="B711" i="338"/>
  <c r="B710" i="338"/>
  <c r="B709" i="338"/>
  <c r="B708" i="338"/>
  <c r="B707" i="338"/>
  <c r="B706" i="338"/>
  <c r="B705" i="338"/>
  <c r="B704" i="338"/>
  <c r="B703" i="338"/>
  <c r="B702" i="338"/>
  <c r="B701" i="338"/>
  <c r="B700" i="338"/>
  <c r="B699" i="338"/>
  <c r="B698" i="338"/>
  <c r="B697" i="338"/>
  <c r="B696" i="338"/>
  <c r="B695" i="338"/>
  <c r="B694" i="338"/>
  <c r="B693" i="338"/>
  <c r="B692" i="338"/>
  <c r="B691" i="338"/>
  <c r="B690" i="338"/>
  <c r="B689" i="338"/>
  <c r="B688" i="338"/>
  <c r="B687" i="338"/>
  <c r="B686" i="338"/>
  <c r="B685" i="338"/>
  <c r="B684" i="338"/>
  <c r="B683" i="338"/>
  <c r="B682" i="338"/>
  <c r="B681" i="338"/>
  <c r="B680" i="338"/>
  <c r="B679" i="338"/>
  <c r="B678" i="338"/>
  <c r="B677" i="338"/>
  <c r="B676" i="338"/>
  <c r="B675" i="338"/>
  <c r="B674" i="338"/>
  <c r="B673" i="338"/>
  <c r="B672" i="338"/>
  <c r="B671" i="338"/>
  <c r="B670" i="338"/>
  <c r="B669" i="338"/>
  <c r="B668" i="338"/>
  <c r="B667" i="338"/>
  <c r="B666" i="338"/>
  <c r="B665" i="338"/>
  <c r="B664" i="338"/>
  <c r="B663" i="338"/>
  <c r="B662" i="338"/>
  <c r="B661" i="338"/>
  <c r="B660" i="338"/>
  <c r="B659" i="338"/>
  <c r="B658" i="338"/>
  <c r="B657" i="338"/>
  <c r="B656" i="338"/>
  <c r="B655" i="338"/>
  <c r="B654" i="338"/>
  <c r="B653" i="338"/>
  <c r="B652" i="338"/>
  <c r="B651" i="338"/>
  <c r="B650" i="338"/>
  <c r="B649" i="338"/>
  <c r="B648" i="338"/>
  <c r="B647" i="338"/>
  <c r="B646" i="338"/>
  <c r="B645" i="338"/>
  <c r="B644" i="338"/>
  <c r="B643" i="338"/>
  <c r="B642" i="338"/>
  <c r="B641" i="338"/>
  <c r="B640" i="338"/>
  <c r="B639" i="338"/>
  <c r="B638" i="338"/>
  <c r="B637" i="338"/>
  <c r="B636" i="338"/>
  <c r="B635" i="338"/>
  <c r="B634" i="338"/>
  <c r="B633" i="338"/>
  <c r="B632" i="338"/>
  <c r="B631" i="338"/>
  <c r="B630" i="338"/>
  <c r="B629" i="338"/>
  <c r="B628" i="338"/>
  <c r="B627" i="338"/>
  <c r="B626" i="338"/>
  <c r="B625" i="338"/>
  <c r="B624" i="338"/>
  <c r="B623" i="338"/>
  <c r="B622" i="338"/>
  <c r="B621" i="338"/>
  <c r="B620" i="338"/>
  <c r="B619" i="338"/>
  <c r="B618" i="338"/>
  <c r="B617" i="338"/>
  <c r="B616" i="338"/>
  <c r="B615" i="338"/>
  <c r="B614" i="338"/>
  <c r="B613" i="338"/>
  <c r="B612" i="338"/>
  <c r="B611" i="338"/>
  <c r="B610" i="338"/>
  <c r="B609" i="338"/>
  <c r="B608" i="338"/>
  <c r="B607" i="338"/>
  <c r="B606" i="338"/>
  <c r="B605" i="338"/>
  <c r="B604" i="338"/>
  <c r="B603" i="338"/>
  <c r="B602" i="338"/>
  <c r="B601" i="338"/>
  <c r="B600" i="338"/>
  <c r="B599" i="338"/>
  <c r="B598" i="338"/>
  <c r="B597" i="338"/>
  <c r="B596" i="338"/>
  <c r="B595" i="338"/>
  <c r="B594" i="338"/>
  <c r="B593" i="338"/>
  <c r="B592" i="338"/>
  <c r="B591" i="338"/>
  <c r="B590" i="338"/>
  <c r="B589" i="338"/>
  <c r="B588" i="338"/>
  <c r="B587" i="338"/>
  <c r="B586" i="338"/>
  <c r="B585" i="338"/>
  <c r="B584" i="338"/>
  <c r="B583" i="338"/>
  <c r="B582" i="338"/>
  <c r="B581" i="338"/>
  <c r="B580" i="338"/>
  <c r="B579" i="338"/>
  <c r="B578" i="338"/>
  <c r="B577" i="338"/>
  <c r="B576" i="338"/>
  <c r="B575" i="338"/>
  <c r="B574" i="338"/>
  <c r="B573" i="338"/>
  <c r="B572" i="338"/>
  <c r="B571" i="338"/>
  <c r="B570" i="338"/>
  <c r="B569" i="338"/>
  <c r="B568" i="338"/>
  <c r="B567" i="338"/>
  <c r="B566" i="338"/>
  <c r="B565" i="338"/>
  <c r="B564" i="338"/>
  <c r="B563" i="338"/>
  <c r="B562" i="338"/>
  <c r="B561" i="338"/>
  <c r="B560" i="338"/>
  <c r="B559" i="338"/>
  <c r="B558" i="338"/>
  <c r="B557" i="338"/>
  <c r="B556" i="338"/>
  <c r="B555" i="338"/>
  <c r="B554" i="338"/>
  <c r="B553" i="338"/>
  <c r="B552" i="338"/>
  <c r="B551" i="338"/>
  <c r="B550" i="338"/>
  <c r="B549" i="338"/>
  <c r="B548" i="338"/>
  <c r="B547" i="338"/>
  <c r="B546" i="338"/>
  <c r="B545" i="338"/>
  <c r="B544" i="338"/>
  <c r="B543" i="338"/>
  <c r="B542" i="338"/>
  <c r="B541" i="338"/>
  <c r="B540" i="338"/>
  <c r="B539" i="338"/>
  <c r="B538" i="338"/>
  <c r="B537" i="338"/>
  <c r="B536" i="338"/>
  <c r="B535" i="338"/>
  <c r="B534" i="338"/>
  <c r="B533" i="338"/>
  <c r="B532" i="338"/>
  <c r="B531" i="338"/>
  <c r="B530" i="338"/>
  <c r="B529" i="338"/>
  <c r="B528" i="338"/>
  <c r="B527" i="338"/>
  <c r="B526" i="338"/>
  <c r="B525" i="338"/>
  <c r="B524" i="338"/>
  <c r="B523" i="338"/>
  <c r="B522" i="338"/>
  <c r="B521" i="338"/>
  <c r="B520" i="338"/>
  <c r="B519" i="338"/>
  <c r="B518" i="338"/>
  <c r="B517" i="338"/>
  <c r="B516" i="338"/>
  <c r="B515" i="338"/>
  <c r="B514" i="338"/>
  <c r="B513" i="338"/>
  <c r="B512" i="338"/>
  <c r="B511" i="338"/>
  <c r="B510" i="338"/>
  <c r="B509" i="338"/>
  <c r="B508" i="338"/>
  <c r="B507" i="338"/>
  <c r="B506" i="338"/>
  <c r="B505" i="338"/>
  <c r="B504" i="338"/>
  <c r="B503" i="338"/>
  <c r="B502" i="338"/>
  <c r="B501" i="338"/>
  <c r="B500" i="338"/>
  <c r="B499" i="338"/>
  <c r="B498" i="338"/>
  <c r="B497" i="338"/>
  <c r="B496" i="338"/>
  <c r="B495" i="338"/>
  <c r="B494" i="338"/>
  <c r="B493" i="338"/>
  <c r="B492" i="338"/>
  <c r="B491" i="338"/>
  <c r="B490" i="338"/>
  <c r="B489" i="338"/>
  <c r="B488" i="338"/>
  <c r="B487" i="338"/>
  <c r="B486" i="338"/>
  <c r="B485" i="338"/>
  <c r="B484" i="338"/>
  <c r="B483" i="338"/>
  <c r="B482" i="338"/>
  <c r="B481" i="338"/>
  <c r="B480" i="338"/>
  <c r="B479" i="338"/>
  <c r="B478" i="338"/>
  <c r="B477" i="338"/>
  <c r="B476" i="338"/>
  <c r="B475" i="338"/>
  <c r="B474" i="338"/>
  <c r="B473" i="338"/>
  <c r="B472" i="338"/>
  <c r="B471" i="338"/>
  <c r="B470" i="338"/>
  <c r="B469" i="338"/>
  <c r="B468" i="338"/>
  <c r="B467" i="338"/>
  <c r="B466" i="338"/>
  <c r="B465" i="338"/>
  <c r="B464" i="338"/>
  <c r="B463" i="338"/>
  <c r="B462" i="338"/>
  <c r="B461" i="338"/>
  <c r="B460" i="338"/>
  <c r="B459" i="338"/>
  <c r="B458" i="338"/>
  <c r="B457" i="338"/>
  <c r="B456" i="338"/>
  <c r="B455" i="338"/>
  <c r="B454" i="338"/>
  <c r="B453" i="338"/>
  <c r="B452" i="338"/>
  <c r="B451" i="338"/>
  <c r="B450" i="338"/>
  <c r="B449" i="338"/>
  <c r="B448" i="338"/>
  <c r="B447" i="338"/>
  <c r="B446" i="338"/>
  <c r="B445" i="338"/>
  <c r="B444" i="338"/>
  <c r="B443" i="338"/>
  <c r="B442" i="338"/>
  <c r="B441" i="338"/>
  <c r="B440" i="338"/>
  <c r="B439" i="338"/>
  <c r="B438" i="338"/>
  <c r="B437" i="338"/>
  <c r="B436" i="338"/>
  <c r="B435" i="338"/>
  <c r="B434" i="338"/>
  <c r="B433" i="338"/>
  <c r="B432" i="338"/>
  <c r="B431" i="338"/>
  <c r="B430" i="338"/>
  <c r="B429" i="338"/>
  <c r="B428" i="338"/>
  <c r="B427" i="338"/>
  <c r="B426" i="338"/>
  <c r="B425" i="338"/>
  <c r="B424" i="338"/>
  <c r="B423" i="338"/>
  <c r="B422" i="338"/>
  <c r="B421" i="338"/>
  <c r="B420" i="338"/>
  <c r="B419" i="338"/>
  <c r="B418" i="338"/>
  <c r="B417" i="338"/>
  <c r="B416" i="338"/>
  <c r="B415" i="338"/>
  <c r="B414" i="338"/>
  <c r="B413" i="338"/>
  <c r="B412" i="338"/>
  <c r="B411" i="338"/>
  <c r="B410" i="338"/>
  <c r="B409" i="338"/>
  <c r="B408" i="338"/>
  <c r="B407" i="338"/>
  <c r="B406" i="338"/>
  <c r="B405" i="338"/>
  <c r="B404" i="338"/>
  <c r="B403" i="338"/>
  <c r="B402" i="338"/>
  <c r="B401" i="338"/>
  <c r="B400" i="338"/>
  <c r="B399" i="338"/>
  <c r="B398" i="338"/>
  <c r="B397" i="338"/>
  <c r="B396" i="338"/>
  <c r="B395" i="338"/>
  <c r="B394" i="338"/>
  <c r="B393" i="338"/>
  <c r="B392" i="338"/>
  <c r="B391" i="338"/>
  <c r="B390" i="338"/>
  <c r="B389" i="338"/>
  <c r="B388" i="338"/>
  <c r="B387" i="338"/>
  <c r="B386" i="338"/>
  <c r="B385" i="338"/>
  <c r="B384" i="338"/>
  <c r="B383" i="338"/>
  <c r="B382" i="338"/>
  <c r="B381" i="338"/>
  <c r="B380" i="338"/>
  <c r="B379" i="338"/>
  <c r="B378" i="338"/>
  <c r="B377" i="338"/>
  <c r="B376" i="338"/>
  <c r="B375" i="338"/>
  <c r="B374" i="338"/>
  <c r="B373" i="338"/>
  <c r="B372" i="338"/>
  <c r="B371" i="338"/>
  <c r="B370" i="338"/>
  <c r="B369" i="338"/>
  <c r="B368" i="338"/>
  <c r="B367" i="338"/>
  <c r="B366" i="338"/>
  <c r="B365" i="338"/>
  <c r="B364" i="338"/>
  <c r="B363" i="338"/>
  <c r="B362" i="338"/>
  <c r="B361" i="338"/>
  <c r="B360" i="338"/>
  <c r="B359" i="338"/>
  <c r="B358" i="338"/>
  <c r="B357" i="338"/>
  <c r="B356" i="338"/>
  <c r="B355" i="338"/>
  <c r="B354" i="338"/>
  <c r="B353" i="338"/>
  <c r="B352" i="338"/>
  <c r="B351" i="338"/>
  <c r="B350" i="338"/>
  <c r="B349" i="338"/>
  <c r="B348" i="338"/>
  <c r="B347" i="338"/>
  <c r="B346" i="338"/>
  <c r="B345" i="338"/>
  <c r="B344" i="338"/>
  <c r="B343" i="338"/>
  <c r="B342" i="338"/>
  <c r="B341" i="338"/>
  <c r="B340" i="338"/>
  <c r="B339" i="338"/>
  <c r="B338" i="338"/>
  <c r="B337" i="338"/>
  <c r="B336" i="338"/>
  <c r="B335" i="338"/>
  <c r="B334" i="338"/>
  <c r="B333" i="338"/>
  <c r="B332" i="338"/>
  <c r="B331" i="338"/>
  <c r="B330" i="338"/>
  <c r="B329" i="338"/>
  <c r="B328" i="338"/>
  <c r="B327" i="338"/>
  <c r="B326" i="338"/>
  <c r="B325" i="338"/>
  <c r="B324" i="338"/>
  <c r="B323" i="338"/>
  <c r="B322" i="338"/>
  <c r="B321" i="338"/>
  <c r="B320" i="338"/>
  <c r="B319" i="338"/>
  <c r="B318" i="338"/>
  <c r="B317" i="338"/>
  <c r="B316" i="338"/>
  <c r="B315" i="338"/>
  <c r="B314" i="338"/>
  <c r="B313" i="338"/>
  <c r="B312" i="338"/>
  <c r="B311" i="338"/>
  <c r="B310" i="338"/>
  <c r="B309" i="338"/>
  <c r="B308" i="338"/>
  <c r="B307" i="338"/>
  <c r="B306" i="338"/>
  <c r="B305" i="338"/>
  <c r="B304" i="338"/>
  <c r="B303" i="338"/>
  <c r="B302" i="338"/>
  <c r="B301" i="338"/>
  <c r="B300" i="338"/>
  <c r="B299" i="338"/>
  <c r="B298" i="338"/>
  <c r="B297" i="338"/>
  <c r="B296" i="338"/>
  <c r="B295" i="338"/>
  <c r="B294" i="338"/>
  <c r="B293" i="338"/>
  <c r="B292" i="338"/>
  <c r="B291" i="338"/>
  <c r="B290" i="338"/>
  <c r="B289" i="338"/>
  <c r="B288" i="338"/>
  <c r="B287" i="338"/>
  <c r="B286" i="338"/>
  <c r="B285" i="338"/>
  <c r="B284" i="338"/>
  <c r="B283" i="338"/>
  <c r="B282" i="338"/>
  <c r="B281" i="338"/>
  <c r="B280" i="338"/>
  <c r="B279" i="338"/>
  <c r="B278" i="338"/>
  <c r="B277" i="338"/>
  <c r="B276" i="338"/>
  <c r="B275" i="338"/>
  <c r="B274" i="338"/>
  <c r="B273" i="338"/>
  <c r="B272" i="338"/>
  <c r="B271" i="338"/>
  <c r="B270" i="338"/>
  <c r="B269" i="338"/>
  <c r="B268" i="338"/>
  <c r="B267" i="338"/>
  <c r="B266" i="338"/>
  <c r="B265" i="338"/>
  <c r="B264" i="338"/>
  <c r="B263" i="338"/>
  <c r="B262" i="338"/>
  <c r="B261" i="338"/>
  <c r="B260" i="338"/>
  <c r="B259" i="338"/>
  <c r="B258" i="338"/>
  <c r="B257" i="338"/>
  <c r="B256" i="338"/>
  <c r="B255" i="338"/>
  <c r="B254" i="338"/>
  <c r="B253" i="338"/>
  <c r="B252" i="338"/>
  <c r="B251" i="338"/>
  <c r="B250" i="338"/>
  <c r="B249" i="338"/>
  <c r="B248" i="338"/>
  <c r="B247" i="338"/>
  <c r="B246" i="338"/>
  <c r="B245" i="338"/>
  <c r="B244" i="338"/>
  <c r="B243" i="338"/>
  <c r="B242" i="338"/>
  <c r="B241" i="338"/>
  <c r="B240" i="338"/>
  <c r="B239" i="338"/>
  <c r="B238" i="338"/>
  <c r="B237" i="338"/>
  <c r="B236" i="338"/>
  <c r="B235" i="338"/>
  <c r="B234" i="338"/>
  <c r="B233" i="338"/>
  <c r="B232" i="338"/>
  <c r="B231" i="338"/>
  <c r="B230" i="338"/>
  <c r="B229" i="338"/>
  <c r="B228" i="338"/>
  <c r="B227" i="338"/>
  <c r="B226" i="338"/>
  <c r="B225" i="338"/>
  <c r="B224" i="338"/>
  <c r="B223" i="338"/>
  <c r="B222" i="338"/>
  <c r="B221" i="338"/>
  <c r="B220" i="338"/>
  <c r="B219" i="338"/>
  <c r="B218" i="338"/>
  <c r="B217" i="338"/>
  <c r="B216" i="338"/>
  <c r="B215" i="338"/>
  <c r="B214" i="338"/>
  <c r="B213" i="338"/>
  <c r="B212" i="338"/>
  <c r="B211" i="338"/>
  <c r="B210" i="338"/>
  <c r="B209" i="338"/>
  <c r="B208" i="338"/>
  <c r="B207" i="338"/>
  <c r="B206" i="338"/>
  <c r="B205" i="338"/>
  <c r="B204" i="338"/>
  <c r="B203" i="338"/>
  <c r="B202" i="338"/>
  <c r="B201" i="338"/>
  <c r="B200" i="338"/>
  <c r="B199" i="338"/>
  <c r="B198" i="338"/>
  <c r="B197" i="338"/>
  <c r="B196" i="338"/>
  <c r="B195" i="338"/>
  <c r="B194" i="338"/>
  <c r="B193" i="338"/>
  <c r="B192" i="338"/>
  <c r="B191" i="338"/>
  <c r="B190" i="338"/>
  <c r="B189" i="338"/>
  <c r="B188" i="338"/>
  <c r="B187" i="338"/>
  <c r="B186" i="338"/>
  <c r="B185" i="338"/>
  <c r="B184" i="338"/>
  <c r="B183" i="338"/>
  <c r="B182" i="338"/>
  <c r="B181" i="338"/>
  <c r="B180" i="338"/>
  <c r="B179" i="338"/>
  <c r="B178" i="338"/>
  <c r="B177" i="338"/>
  <c r="B176" i="338"/>
  <c r="B175" i="338"/>
  <c r="B174" i="338"/>
  <c r="B173" i="338"/>
  <c r="B172" i="338"/>
  <c r="B171" i="338"/>
  <c r="B170" i="338"/>
  <c r="B169" i="338"/>
  <c r="B168" i="338"/>
  <c r="B167" i="338"/>
  <c r="B166" i="338"/>
  <c r="B165" i="338"/>
  <c r="B164" i="338"/>
  <c r="B163" i="338"/>
  <c r="B162" i="338"/>
  <c r="B161" i="338"/>
  <c r="B160" i="338"/>
  <c r="B159" i="338"/>
  <c r="B158" i="338"/>
  <c r="B157" i="338"/>
  <c r="B156" i="338"/>
  <c r="B155" i="338"/>
  <c r="B154" i="338"/>
  <c r="B153" i="338"/>
  <c r="B152" i="338"/>
  <c r="B151" i="338"/>
  <c r="B150" i="338"/>
  <c r="B149" i="338"/>
  <c r="B148" i="338"/>
  <c r="B147" i="338"/>
  <c r="B146" i="338"/>
  <c r="B145" i="338"/>
  <c r="B144" i="338"/>
  <c r="B143" i="338"/>
  <c r="B142" i="338"/>
  <c r="B141" i="338"/>
  <c r="B140" i="338"/>
  <c r="B139" i="338"/>
  <c r="B138" i="338"/>
  <c r="B137" i="338"/>
  <c r="B136" i="338"/>
  <c r="B135" i="338"/>
  <c r="B134" i="338"/>
  <c r="B133" i="338"/>
  <c r="B132" i="338"/>
  <c r="B131" i="338"/>
  <c r="B130" i="338"/>
  <c r="B129" i="338"/>
  <c r="B128" i="338"/>
  <c r="B127" i="338"/>
  <c r="B126" i="338"/>
  <c r="B125" i="338"/>
  <c r="B124" i="338"/>
  <c r="B123" i="338"/>
  <c r="B122" i="338"/>
  <c r="B121" i="338"/>
  <c r="B120" i="338"/>
  <c r="B119" i="338"/>
  <c r="B118" i="338"/>
  <c r="B117" i="338"/>
  <c r="B116" i="338"/>
  <c r="B115" i="338"/>
  <c r="B114" i="338"/>
  <c r="B113" i="338"/>
  <c r="B112" i="338"/>
  <c r="B111" i="338"/>
  <c r="B110" i="338"/>
  <c r="B109" i="338"/>
  <c r="B108" i="338"/>
  <c r="B107" i="338"/>
  <c r="B106" i="338"/>
  <c r="B105" i="338"/>
  <c r="B104" i="338"/>
  <c r="B103" i="338"/>
  <c r="B102" i="338"/>
  <c r="B101" i="338"/>
  <c r="B100" i="338"/>
  <c r="B99" i="338"/>
  <c r="B98" i="338"/>
  <c r="B97" i="338"/>
  <c r="B96" i="338"/>
  <c r="B95" i="338"/>
  <c r="B94" i="338"/>
  <c r="B93" i="338"/>
  <c r="B92" i="338"/>
  <c r="B91" i="338"/>
  <c r="B90" i="338"/>
  <c r="B89" i="338"/>
  <c r="B88" i="338"/>
  <c r="B87" i="338"/>
  <c r="B86" i="338"/>
  <c r="B85" i="338"/>
  <c r="B84" i="338"/>
  <c r="B83" i="338"/>
  <c r="B82" i="338"/>
  <c r="B81" i="338"/>
  <c r="B80" i="338"/>
  <c r="B79" i="338"/>
  <c r="B78" i="338"/>
  <c r="B77" i="338"/>
  <c r="B76" i="338"/>
  <c r="B75" i="338"/>
  <c r="B74" i="338"/>
  <c r="B73" i="338"/>
  <c r="B72" i="338"/>
  <c r="B71" i="338"/>
  <c r="B70" i="338"/>
  <c r="B69" i="338"/>
  <c r="B68" i="338"/>
  <c r="B67" i="338"/>
  <c r="B66" i="338"/>
  <c r="B65" i="338"/>
  <c r="B64" i="338"/>
  <c r="B63" i="338"/>
  <c r="B62" i="338"/>
  <c r="B61" i="338"/>
  <c r="B60" i="338"/>
  <c r="B59" i="338"/>
  <c r="B58" i="338"/>
  <c r="B57" i="338"/>
  <c r="B56" i="338"/>
  <c r="B55" i="338"/>
  <c r="B54" i="338"/>
  <c r="B53" i="338"/>
  <c r="B52" i="338"/>
  <c r="B51" i="338"/>
  <c r="B50" i="338"/>
  <c r="B49" i="338"/>
  <c r="B48" i="338"/>
  <c r="B47" i="338"/>
  <c r="B46" i="338"/>
  <c r="B45" i="338"/>
  <c r="B44" i="338"/>
  <c r="B43" i="338"/>
  <c r="B42" i="338"/>
  <c r="B41" i="338"/>
  <c r="B40" i="338"/>
  <c r="B39" i="338"/>
  <c r="B38" i="338"/>
  <c r="B37" i="338"/>
  <c r="B36" i="338"/>
  <c r="B35" i="338"/>
  <c r="B34" i="338"/>
  <c r="B33" i="338"/>
  <c r="B32" i="338"/>
  <c r="B31" i="338"/>
  <c r="B30" i="338"/>
  <c r="B29" i="338"/>
  <c r="B28" i="338"/>
  <c r="B27" i="338"/>
  <c r="B26" i="338"/>
  <c r="B25" i="338"/>
  <c r="B24" i="338"/>
  <c r="B23" i="338"/>
  <c r="B22" i="338"/>
  <c r="B21" i="338"/>
  <c r="B20" i="338"/>
  <c r="B19" i="338"/>
  <c r="B18" i="338"/>
  <c r="B17" i="338"/>
  <c r="B16" i="338"/>
  <c r="B15" i="338"/>
  <c r="B14" i="338"/>
  <c r="B13" i="338"/>
  <c r="B12" i="338"/>
  <c r="B11" i="338"/>
  <c r="B10" i="338"/>
  <c r="B9" i="338"/>
  <c r="B8" i="338"/>
  <c r="B7" i="338"/>
  <c r="B6" i="338"/>
  <c r="B5" i="338"/>
  <c r="B4" i="338"/>
  <c r="G4" i="338" s="1"/>
  <c r="H4" i="338" s="1"/>
  <c r="B3" i="338"/>
  <c r="D1000" i="337"/>
  <c r="C1000" i="337"/>
  <c r="D999" i="337"/>
  <c r="C999" i="337"/>
  <c r="D998" i="337"/>
  <c r="C998" i="337"/>
  <c r="D997" i="337"/>
  <c r="C997" i="337"/>
  <c r="D996" i="337"/>
  <c r="C996" i="337"/>
  <c r="D995" i="337"/>
  <c r="C995" i="337"/>
  <c r="D994" i="337"/>
  <c r="C994" i="337"/>
  <c r="D993" i="337"/>
  <c r="C993" i="337"/>
  <c r="D992" i="337"/>
  <c r="C992" i="337"/>
  <c r="D991" i="337"/>
  <c r="C991" i="337"/>
  <c r="D990" i="337"/>
  <c r="C990" i="337"/>
  <c r="D989" i="337"/>
  <c r="C989" i="337"/>
  <c r="D988" i="337"/>
  <c r="C988" i="337"/>
  <c r="D987" i="337"/>
  <c r="C987" i="337"/>
  <c r="D986" i="337"/>
  <c r="C986" i="337"/>
  <c r="D985" i="337"/>
  <c r="C985" i="337"/>
  <c r="D984" i="337"/>
  <c r="C984" i="337"/>
  <c r="D983" i="337"/>
  <c r="C983" i="337"/>
  <c r="D982" i="337"/>
  <c r="C982" i="337"/>
  <c r="D981" i="337"/>
  <c r="C981" i="337"/>
  <c r="D980" i="337"/>
  <c r="C980" i="337"/>
  <c r="D979" i="337"/>
  <c r="C979" i="337"/>
  <c r="D978" i="337"/>
  <c r="C978" i="337"/>
  <c r="D977" i="337"/>
  <c r="C977" i="337"/>
  <c r="D976" i="337"/>
  <c r="C976" i="337"/>
  <c r="D975" i="337"/>
  <c r="C975" i="337"/>
  <c r="D974" i="337"/>
  <c r="C974" i="337"/>
  <c r="D973" i="337"/>
  <c r="C973" i="337"/>
  <c r="D972" i="337"/>
  <c r="C972" i="337"/>
  <c r="D971" i="337"/>
  <c r="C971" i="337"/>
  <c r="D970" i="337"/>
  <c r="C970" i="337"/>
  <c r="D969" i="337"/>
  <c r="C969" i="337"/>
  <c r="D968" i="337"/>
  <c r="C968" i="337"/>
  <c r="D967" i="337"/>
  <c r="C967" i="337"/>
  <c r="D966" i="337"/>
  <c r="C966" i="337"/>
  <c r="D965" i="337"/>
  <c r="C965" i="337"/>
  <c r="D964" i="337"/>
  <c r="C964" i="337"/>
  <c r="D963" i="337"/>
  <c r="C963" i="337"/>
  <c r="D962" i="337"/>
  <c r="C962" i="337"/>
  <c r="D961" i="337"/>
  <c r="C961" i="337"/>
  <c r="D960" i="337"/>
  <c r="C960" i="337"/>
  <c r="D959" i="337"/>
  <c r="C959" i="337"/>
  <c r="D958" i="337"/>
  <c r="C958" i="337"/>
  <c r="D957" i="337"/>
  <c r="C957" i="337"/>
  <c r="D956" i="337"/>
  <c r="C956" i="337"/>
  <c r="D955" i="337"/>
  <c r="C955" i="337"/>
  <c r="D954" i="337"/>
  <c r="C954" i="337"/>
  <c r="D953" i="337"/>
  <c r="C953" i="337"/>
  <c r="D952" i="337"/>
  <c r="C952" i="337"/>
  <c r="D951" i="337"/>
  <c r="C951" i="337"/>
  <c r="D950" i="337"/>
  <c r="C950" i="337"/>
  <c r="D949" i="337"/>
  <c r="C949" i="337"/>
  <c r="D948" i="337"/>
  <c r="C948" i="337"/>
  <c r="D947" i="337"/>
  <c r="C947" i="337"/>
  <c r="D946" i="337"/>
  <c r="C946" i="337"/>
  <c r="D945" i="337"/>
  <c r="C945" i="337"/>
  <c r="D944" i="337"/>
  <c r="C944" i="337"/>
  <c r="D943" i="337"/>
  <c r="C943" i="337"/>
  <c r="D942" i="337"/>
  <c r="C942" i="337"/>
  <c r="D941" i="337"/>
  <c r="C941" i="337"/>
  <c r="D940" i="337"/>
  <c r="C940" i="337"/>
  <c r="D939" i="337"/>
  <c r="C939" i="337"/>
  <c r="D938" i="337"/>
  <c r="C938" i="337"/>
  <c r="D937" i="337"/>
  <c r="C937" i="337"/>
  <c r="D936" i="337"/>
  <c r="C936" i="337"/>
  <c r="D935" i="337"/>
  <c r="C935" i="337"/>
  <c r="D934" i="337"/>
  <c r="C934" i="337"/>
  <c r="D933" i="337"/>
  <c r="C933" i="337"/>
  <c r="D932" i="337"/>
  <c r="C932" i="337"/>
  <c r="D931" i="337"/>
  <c r="C931" i="337"/>
  <c r="D930" i="337"/>
  <c r="C930" i="337"/>
  <c r="D929" i="337"/>
  <c r="C929" i="337"/>
  <c r="D928" i="337"/>
  <c r="C928" i="337"/>
  <c r="D927" i="337"/>
  <c r="C927" i="337"/>
  <c r="D926" i="337"/>
  <c r="C926" i="337"/>
  <c r="D925" i="337"/>
  <c r="C925" i="337"/>
  <c r="D924" i="337"/>
  <c r="C924" i="337"/>
  <c r="D923" i="337"/>
  <c r="C923" i="337"/>
  <c r="D922" i="337"/>
  <c r="C922" i="337"/>
  <c r="D921" i="337"/>
  <c r="C921" i="337"/>
  <c r="D920" i="337"/>
  <c r="C920" i="337"/>
  <c r="D919" i="337"/>
  <c r="C919" i="337"/>
  <c r="D918" i="337"/>
  <c r="C918" i="337"/>
  <c r="D917" i="337"/>
  <c r="C917" i="337"/>
  <c r="D916" i="337"/>
  <c r="C916" i="337"/>
  <c r="D915" i="337"/>
  <c r="C915" i="337"/>
  <c r="D914" i="337"/>
  <c r="C914" i="337"/>
  <c r="D913" i="337"/>
  <c r="C913" i="337"/>
  <c r="D912" i="337"/>
  <c r="C912" i="337"/>
  <c r="D911" i="337"/>
  <c r="C911" i="337"/>
  <c r="D910" i="337"/>
  <c r="C910" i="337"/>
  <c r="D909" i="337"/>
  <c r="C909" i="337"/>
  <c r="D908" i="337"/>
  <c r="C908" i="337"/>
  <c r="D907" i="337"/>
  <c r="C907" i="337"/>
  <c r="D906" i="337"/>
  <c r="C906" i="337"/>
  <c r="D905" i="337"/>
  <c r="C905" i="337"/>
  <c r="D904" i="337"/>
  <c r="C904" i="337"/>
  <c r="D903" i="337"/>
  <c r="C903" i="337"/>
  <c r="D902" i="337"/>
  <c r="C902" i="337"/>
  <c r="D901" i="337"/>
  <c r="C901" i="337"/>
  <c r="D900" i="337"/>
  <c r="C900" i="337"/>
  <c r="D899" i="337"/>
  <c r="C899" i="337"/>
  <c r="D898" i="337"/>
  <c r="C898" i="337"/>
  <c r="D897" i="337"/>
  <c r="C897" i="337"/>
  <c r="D896" i="337"/>
  <c r="C896" i="337"/>
  <c r="D895" i="337"/>
  <c r="C895" i="337"/>
  <c r="D894" i="337"/>
  <c r="C894" i="337"/>
  <c r="D893" i="337"/>
  <c r="C893" i="337"/>
  <c r="D892" i="337"/>
  <c r="C892" i="337"/>
  <c r="D891" i="337"/>
  <c r="C891" i="337"/>
  <c r="D890" i="337"/>
  <c r="C890" i="337"/>
  <c r="D889" i="337"/>
  <c r="C889" i="337"/>
  <c r="D888" i="337"/>
  <c r="C888" i="337"/>
  <c r="D887" i="337"/>
  <c r="C887" i="337"/>
  <c r="D886" i="337"/>
  <c r="C886" i="337"/>
  <c r="D885" i="337"/>
  <c r="C885" i="337"/>
  <c r="D884" i="337"/>
  <c r="C884" i="337"/>
  <c r="D883" i="337"/>
  <c r="C883" i="337"/>
  <c r="D882" i="337"/>
  <c r="C882" i="337"/>
  <c r="D881" i="337"/>
  <c r="C881" i="337"/>
  <c r="D880" i="337"/>
  <c r="C880" i="337"/>
  <c r="D879" i="337"/>
  <c r="C879" i="337"/>
  <c r="D878" i="337"/>
  <c r="C878" i="337"/>
  <c r="D877" i="337"/>
  <c r="C877" i="337"/>
  <c r="D876" i="337"/>
  <c r="C876" i="337"/>
  <c r="D875" i="337"/>
  <c r="C875" i="337"/>
  <c r="D874" i="337"/>
  <c r="C874" i="337"/>
  <c r="D873" i="337"/>
  <c r="C873" i="337"/>
  <c r="D872" i="337"/>
  <c r="C872" i="337"/>
  <c r="D871" i="337"/>
  <c r="C871" i="337"/>
  <c r="D870" i="337"/>
  <c r="C870" i="337"/>
  <c r="D869" i="337"/>
  <c r="C869" i="337"/>
  <c r="D868" i="337"/>
  <c r="C868" i="337"/>
  <c r="D867" i="337"/>
  <c r="C867" i="337"/>
  <c r="D866" i="337"/>
  <c r="C866" i="337"/>
  <c r="D865" i="337"/>
  <c r="C865" i="337"/>
  <c r="D864" i="337"/>
  <c r="C864" i="337"/>
  <c r="D863" i="337"/>
  <c r="C863" i="337"/>
  <c r="D862" i="337"/>
  <c r="C862" i="337"/>
  <c r="D861" i="337"/>
  <c r="C861" i="337"/>
  <c r="D860" i="337"/>
  <c r="C860" i="337"/>
  <c r="D859" i="337"/>
  <c r="C859" i="337"/>
  <c r="D858" i="337"/>
  <c r="C858" i="337"/>
  <c r="D857" i="337"/>
  <c r="C857" i="337"/>
  <c r="D856" i="337"/>
  <c r="C856" i="337"/>
  <c r="D855" i="337"/>
  <c r="C855" i="337"/>
  <c r="D854" i="337"/>
  <c r="C854" i="337"/>
  <c r="D853" i="337"/>
  <c r="C853" i="337"/>
  <c r="D852" i="337"/>
  <c r="C852" i="337"/>
  <c r="D851" i="337"/>
  <c r="C851" i="337"/>
  <c r="D850" i="337"/>
  <c r="C850" i="337"/>
  <c r="D849" i="337"/>
  <c r="C849" i="337"/>
  <c r="D848" i="337"/>
  <c r="C848" i="337"/>
  <c r="D847" i="337"/>
  <c r="C847" i="337"/>
  <c r="D846" i="337"/>
  <c r="C846" i="337"/>
  <c r="D845" i="337"/>
  <c r="C845" i="337"/>
  <c r="D844" i="337"/>
  <c r="C844" i="337"/>
  <c r="D843" i="337"/>
  <c r="C843" i="337"/>
  <c r="D842" i="337"/>
  <c r="C842" i="337"/>
  <c r="D841" i="337"/>
  <c r="C841" i="337"/>
  <c r="D840" i="337"/>
  <c r="C840" i="337"/>
  <c r="D839" i="337"/>
  <c r="C839" i="337"/>
  <c r="D838" i="337"/>
  <c r="C838" i="337"/>
  <c r="D837" i="337"/>
  <c r="C837" i="337"/>
  <c r="D836" i="337"/>
  <c r="C836" i="337"/>
  <c r="D835" i="337"/>
  <c r="C835" i="337"/>
  <c r="D834" i="337"/>
  <c r="C834" i="337"/>
  <c r="D833" i="337"/>
  <c r="C833" i="337"/>
  <c r="D832" i="337"/>
  <c r="C832" i="337"/>
  <c r="D831" i="337"/>
  <c r="C831" i="337"/>
  <c r="D830" i="337"/>
  <c r="C830" i="337"/>
  <c r="D829" i="337"/>
  <c r="C829" i="337"/>
  <c r="D828" i="337"/>
  <c r="C828" i="337"/>
  <c r="D827" i="337"/>
  <c r="C827" i="337"/>
  <c r="D826" i="337"/>
  <c r="C826" i="337"/>
  <c r="D825" i="337"/>
  <c r="C825" i="337"/>
  <c r="D824" i="337"/>
  <c r="C824" i="337"/>
  <c r="D823" i="337"/>
  <c r="C823" i="337"/>
  <c r="D822" i="337"/>
  <c r="C822" i="337"/>
  <c r="D821" i="337"/>
  <c r="C821" i="337"/>
  <c r="D820" i="337"/>
  <c r="C820" i="337"/>
  <c r="D819" i="337"/>
  <c r="C819" i="337"/>
  <c r="D818" i="337"/>
  <c r="C818" i="337"/>
  <c r="D817" i="337"/>
  <c r="C817" i="337"/>
  <c r="D816" i="337"/>
  <c r="C816" i="337"/>
  <c r="D815" i="337"/>
  <c r="C815" i="337"/>
  <c r="D814" i="337"/>
  <c r="C814" i="337"/>
  <c r="D813" i="337"/>
  <c r="C813" i="337"/>
  <c r="D812" i="337"/>
  <c r="C812" i="337"/>
  <c r="D811" i="337"/>
  <c r="C811" i="337"/>
  <c r="D810" i="337"/>
  <c r="C810" i="337"/>
  <c r="D809" i="337"/>
  <c r="C809" i="337"/>
  <c r="D808" i="337"/>
  <c r="C808" i="337"/>
  <c r="D807" i="337"/>
  <c r="C807" i="337"/>
  <c r="D806" i="337"/>
  <c r="C806" i="337"/>
  <c r="D805" i="337"/>
  <c r="C805" i="337"/>
  <c r="D804" i="337"/>
  <c r="C804" i="337"/>
  <c r="D803" i="337"/>
  <c r="C803" i="337"/>
  <c r="D802" i="337"/>
  <c r="C802" i="337"/>
  <c r="D801" i="337"/>
  <c r="C801" i="337"/>
  <c r="D800" i="337"/>
  <c r="C800" i="337"/>
  <c r="D799" i="337"/>
  <c r="C799" i="337"/>
  <c r="D798" i="337"/>
  <c r="C798" i="337"/>
  <c r="D797" i="337"/>
  <c r="C797" i="337"/>
  <c r="D796" i="337"/>
  <c r="C796" i="337"/>
  <c r="D795" i="337"/>
  <c r="C795" i="337"/>
  <c r="D794" i="337"/>
  <c r="C794" i="337"/>
  <c r="D793" i="337"/>
  <c r="C793" i="337"/>
  <c r="D792" i="337"/>
  <c r="C792" i="337"/>
  <c r="D791" i="337"/>
  <c r="C791" i="337"/>
  <c r="D790" i="337"/>
  <c r="C790" i="337"/>
  <c r="D789" i="337"/>
  <c r="C789" i="337"/>
  <c r="D788" i="337"/>
  <c r="C788" i="337"/>
  <c r="D787" i="337"/>
  <c r="C787" i="337"/>
  <c r="D786" i="337"/>
  <c r="C786" i="337"/>
  <c r="D785" i="337"/>
  <c r="C785" i="337"/>
  <c r="D784" i="337"/>
  <c r="C784" i="337"/>
  <c r="D783" i="337"/>
  <c r="C783" i="337"/>
  <c r="D782" i="337"/>
  <c r="C782" i="337"/>
  <c r="D781" i="337"/>
  <c r="C781" i="337"/>
  <c r="D780" i="337"/>
  <c r="C780" i="337"/>
  <c r="D779" i="337"/>
  <c r="C779" i="337"/>
  <c r="D778" i="337"/>
  <c r="C778" i="337"/>
  <c r="D777" i="337"/>
  <c r="C777" i="337"/>
  <c r="D776" i="337"/>
  <c r="C776" i="337"/>
  <c r="D775" i="337"/>
  <c r="C775" i="337"/>
  <c r="D774" i="337"/>
  <c r="C774" i="337"/>
  <c r="D773" i="337"/>
  <c r="C773" i="337"/>
  <c r="D772" i="337"/>
  <c r="C772" i="337"/>
  <c r="D771" i="337"/>
  <c r="C771" i="337"/>
  <c r="D770" i="337"/>
  <c r="C770" i="337"/>
  <c r="D769" i="337"/>
  <c r="C769" i="337"/>
  <c r="D768" i="337"/>
  <c r="C768" i="337"/>
  <c r="D767" i="337"/>
  <c r="C767" i="337"/>
  <c r="D766" i="337"/>
  <c r="C766" i="337"/>
  <c r="D765" i="337"/>
  <c r="C765" i="337"/>
  <c r="D764" i="337"/>
  <c r="C764" i="337"/>
  <c r="D763" i="337"/>
  <c r="C763" i="337"/>
  <c r="D762" i="337"/>
  <c r="C762" i="337"/>
  <c r="D761" i="337"/>
  <c r="C761" i="337"/>
  <c r="D760" i="337"/>
  <c r="C760" i="337"/>
  <c r="D759" i="337"/>
  <c r="C759" i="337"/>
  <c r="D758" i="337"/>
  <c r="C758" i="337"/>
  <c r="D757" i="337"/>
  <c r="C757" i="337"/>
  <c r="D756" i="337"/>
  <c r="C756" i="337"/>
  <c r="D755" i="337"/>
  <c r="C755" i="337"/>
  <c r="D754" i="337"/>
  <c r="C754" i="337"/>
  <c r="D753" i="337"/>
  <c r="C753" i="337"/>
  <c r="D752" i="337"/>
  <c r="C752" i="337"/>
  <c r="D751" i="337"/>
  <c r="C751" i="337"/>
  <c r="D750" i="337"/>
  <c r="C750" i="337"/>
  <c r="D749" i="337"/>
  <c r="C749" i="337"/>
  <c r="D748" i="337"/>
  <c r="C748" i="337"/>
  <c r="D747" i="337"/>
  <c r="C747" i="337"/>
  <c r="D746" i="337"/>
  <c r="C746" i="337"/>
  <c r="D745" i="337"/>
  <c r="C745" i="337"/>
  <c r="D744" i="337"/>
  <c r="C744" i="337"/>
  <c r="D743" i="337"/>
  <c r="C743" i="337"/>
  <c r="D742" i="337"/>
  <c r="C742" i="337"/>
  <c r="D741" i="337"/>
  <c r="C741" i="337"/>
  <c r="D740" i="337"/>
  <c r="C740" i="337"/>
  <c r="D739" i="337"/>
  <c r="C739" i="337"/>
  <c r="D738" i="337"/>
  <c r="C738" i="337"/>
  <c r="D737" i="337"/>
  <c r="C737" i="337"/>
  <c r="D736" i="337"/>
  <c r="C736" i="337"/>
  <c r="D735" i="337"/>
  <c r="C735" i="337"/>
  <c r="D734" i="337"/>
  <c r="C734" i="337"/>
  <c r="D733" i="337"/>
  <c r="C733" i="337"/>
  <c r="D732" i="337"/>
  <c r="C732" i="337"/>
  <c r="D731" i="337"/>
  <c r="C731" i="337"/>
  <c r="D730" i="337"/>
  <c r="C730" i="337"/>
  <c r="D729" i="337"/>
  <c r="C729" i="337"/>
  <c r="D728" i="337"/>
  <c r="C728" i="337"/>
  <c r="D727" i="337"/>
  <c r="C727" i="337"/>
  <c r="D726" i="337"/>
  <c r="C726" i="337"/>
  <c r="D725" i="337"/>
  <c r="C725" i="337"/>
  <c r="D724" i="337"/>
  <c r="C724" i="337"/>
  <c r="D723" i="337"/>
  <c r="C723" i="337"/>
  <c r="D722" i="337"/>
  <c r="C722" i="337"/>
  <c r="D721" i="337"/>
  <c r="C721" i="337"/>
  <c r="D720" i="337"/>
  <c r="C720" i="337"/>
  <c r="D719" i="337"/>
  <c r="C719" i="337"/>
  <c r="D718" i="337"/>
  <c r="C718" i="337"/>
  <c r="D717" i="337"/>
  <c r="C717" i="337"/>
  <c r="D716" i="337"/>
  <c r="C716" i="337"/>
  <c r="D715" i="337"/>
  <c r="C715" i="337"/>
  <c r="D714" i="337"/>
  <c r="C714" i="337"/>
  <c r="D713" i="337"/>
  <c r="C713" i="337"/>
  <c r="D712" i="337"/>
  <c r="C712" i="337"/>
  <c r="D711" i="337"/>
  <c r="C711" i="337"/>
  <c r="D710" i="337"/>
  <c r="C710" i="337"/>
  <c r="D709" i="337"/>
  <c r="C709" i="337"/>
  <c r="D708" i="337"/>
  <c r="C708" i="337"/>
  <c r="D707" i="337"/>
  <c r="C707" i="337"/>
  <c r="D706" i="337"/>
  <c r="C706" i="337"/>
  <c r="D705" i="337"/>
  <c r="C705" i="337"/>
  <c r="D704" i="337"/>
  <c r="C704" i="337"/>
  <c r="D703" i="337"/>
  <c r="C703" i="337"/>
  <c r="D702" i="337"/>
  <c r="C702" i="337"/>
  <c r="D701" i="337"/>
  <c r="C701" i="337"/>
  <c r="D700" i="337"/>
  <c r="C700" i="337"/>
  <c r="D699" i="337"/>
  <c r="C699" i="337"/>
  <c r="D698" i="337"/>
  <c r="C698" i="337"/>
  <c r="D697" i="337"/>
  <c r="C697" i="337"/>
  <c r="D696" i="337"/>
  <c r="C696" i="337"/>
  <c r="D695" i="337"/>
  <c r="C695" i="337"/>
  <c r="D694" i="337"/>
  <c r="C694" i="337"/>
  <c r="D693" i="337"/>
  <c r="C693" i="337"/>
  <c r="D692" i="337"/>
  <c r="C692" i="337"/>
  <c r="D691" i="337"/>
  <c r="C691" i="337"/>
  <c r="D690" i="337"/>
  <c r="C690" i="337"/>
  <c r="D689" i="337"/>
  <c r="C689" i="337"/>
  <c r="D688" i="337"/>
  <c r="C688" i="337"/>
  <c r="D687" i="337"/>
  <c r="C687" i="337"/>
  <c r="D686" i="337"/>
  <c r="C686" i="337"/>
  <c r="D685" i="337"/>
  <c r="C685" i="337"/>
  <c r="D684" i="337"/>
  <c r="C684" i="337"/>
  <c r="D683" i="337"/>
  <c r="C683" i="337"/>
  <c r="D682" i="337"/>
  <c r="C682" i="337"/>
  <c r="D681" i="337"/>
  <c r="C681" i="337"/>
  <c r="D680" i="337"/>
  <c r="C680" i="337"/>
  <c r="D679" i="337"/>
  <c r="C679" i="337"/>
  <c r="D678" i="337"/>
  <c r="C678" i="337"/>
  <c r="D677" i="337"/>
  <c r="C677" i="337"/>
  <c r="D676" i="337"/>
  <c r="C676" i="337"/>
  <c r="D675" i="337"/>
  <c r="C675" i="337"/>
  <c r="D674" i="337"/>
  <c r="C674" i="337"/>
  <c r="D673" i="337"/>
  <c r="C673" i="337"/>
  <c r="D672" i="337"/>
  <c r="C672" i="337"/>
  <c r="D671" i="337"/>
  <c r="C671" i="337"/>
  <c r="D670" i="337"/>
  <c r="C670" i="337"/>
  <c r="D669" i="337"/>
  <c r="C669" i="337"/>
  <c r="D668" i="337"/>
  <c r="C668" i="337"/>
  <c r="D667" i="337"/>
  <c r="C667" i="337"/>
  <c r="D666" i="337"/>
  <c r="C666" i="337"/>
  <c r="D665" i="337"/>
  <c r="C665" i="337"/>
  <c r="D664" i="337"/>
  <c r="C664" i="337"/>
  <c r="D663" i="337"/>
  <c r="C663" i="337"/>
  <c r="D662" i="337"/>
  <c r="C662" i="337"/>
  <c r="D661" i="337"/>
  <c r="C661" i="337"/>
  <c r="D660" i="337"/>
  <c r="C660" i="337"/>
  <c r="D659" i="337"/>
  <c r="C659" i="337"/>
  <c r="D658" i="337"/>
  <c r="C658" i="337"/>
  <c r="D657" i="337"/>
  <c r="C657" i="337"/>
  <c r="D656" i="337"/>
  <c r="C656" i="337"/>
  <c r="D655" i="337"/>
  <c r="C655" i="337"/>
  <c r="D654" i="337"/>
  <c r="C654" i="337"/>
  <c r="D653" i="337"/>
  <c r="C653" i="337"/>
  <c r="D652" i="337"/>
  <c r="C652" i="337"/>
  <c r="D651" i="337"/>
  <c r="C651" i="337"/>
  <c r="D650" i="337"/>
  <c r="C650" i="337"/>
  <c r="D649" i="337"/>
  <c r="C649" i="337"/>
  <c r="D648" i="337"/>
  <c r="C648" i="337"/>
  <c r="D647" i="337"/>
  <c r="C647" i="337"/>
  <c r="D646" i="337"/>
  <c r="C646" i="337"/>
  <c r="D645" i="337"/>
  <c r="C645" i="337"/>
  <c r="D644" i="337"/>
  <c r="C644" i="337"/>
  <c r="D643" i="337"/>
  <c r="C643" i="337"/>
  <c r="D642" i="337"/>
  <c r="C642" i="337"/>
  <c r="D641" i="337"/>
  <c r="C641" i="337"/>
  <c r="D640" i="337"/>
  <c r="C640" i="337"/>
  <c r="D639" i="337"/>
  <c r="C639" i="337"/>
  <c r="D638" i="337"/>
  <c r="C638" i="337"/>
  <c r="D637" i="337"/>
  <c r="C637" i="337"/>
  <c r="D636" i="337"/>
  <c r="C636" i="337"/>
  <c r="D635" i="337"/>
  <c r="C635" i="337"/>
  <c r="D634" i="337"/>
  <c r="C634" i="337"/>
  <c r="D633" i="337"/>
  <c r="C633" i="337"/>
  <c r="D632" i="337"/>
  <c r="C632" i="337"/>
  <c r="D631" i="337"/>
  <c r="C631" i="337"/>
  <c r="D630" i="337"/>
  <c r="C630" i="337"/>
  <c r="D629" i="337"/>
  <c r="C629" i="337"/>
  <c r="D628" i="337"/>
  <c r="C628" i="337"/>
  <c r="D627" i="337"/>
  <c r="C627" i="337"/>
  <c r="D626" i="337"/>
  <c r="C626" i="337"/>
  <c r="D625" i="337"/>
  <c r="C625" i="337"/>
  <c r="D624" i="337"/>
  <c r="C624" i="337"/>
  <c r="D623" i="337"/>
  <c r="C623" i="337"/>
  <c r="D622" i="337"/>
  <c r="C622" i="337"/>
  <c r="D621" i="337"/>
  <c r="C621" i="337"/>
  <c r="D620" i="337"/>
  <c r="C620" i="337"/>
  <c r="D619" i="337"/>
  <c r="C619" i="337"/>
  <c r="D618" i="337"/>
  <c r="C618" i="337"/>
  <c r="D617" i="337"/>
  <c r="C617" i="337"/>
  <c r="D616" i="337"/>
  <c r="C616" i="337"/>
  <c r="D615" i="337"/>
  <c r="C615" i="337"/>
  <c r="D614" i="337"/>
  <c r="C614" i="337"/>
  <c r="D613" i="337"/>
  <c r="C613" i="337"/>
  <c r="D612" i="337"/>
  <c r="C612" i="337"/>
  <c r="D611" i="337"/>
  <c r="C611" i="337"/>
  <c r="D610" i="337"/>
  <c r="C610" i="337"/>
  <c r="D609" i="337"/>
  <c r="C609" i="337"/>
  <c r="D608" i="337"/>
  <c r="C608" i="337"/>
  <c r="D607" i="337"/>
  <c r="C607" i="337"/>
  <c r="D606" i="337"/>
  <c r="C606" i="337"/>
  <c r="D605" i="337"/>
  <c r="C605" i="337"/>
  <c r="D604" i="337"/>
  <c r="C604" i="337"/>
  <c r="D603" i="337"/>
  <c r="C603" i="337"/>
  <c r="D602" i="337"/>
  <c r="C602" i="337"/>
  <c r="D601" i="337"/>
  <c r="C601" i="337"/>
  <c r="D600" i="337"/>
  <c r="C600" i="337"/>
  <c r="D599" i="337"/>
  <c r="C599" i="337"/>
  <c r="D598" i="337"/>
  <c r="C598" i="337"/>
  <c r="D597" i="337"/>
  <c r="C597" i="337"/>
  <c r="D596" i="337"/>
  <c r="C596" i="337"/>
  <c r="D595" i="337"/>
  <c r="C595" i="337"/>
  <c r="D594" i="337"/>
  <c r="C594" i="337"/>
  <c r="D593" i="337"/>
  <c r="C593" i="337"/>
  <c r="D592" i="337"/>
  <c r="C592" i="337"/>
  <c r="D591" i="337"/>
  <c r="C591" i="337"/>
  <c r="D590" i="337"/>
  <c r="C590" i="337"/>
  <c r="D589" i="337"/>
  <c r="C589" i="337"/>
  <c r="D588" i="337"/>
  <c r="C588" i="337"/>
  <c r="D587" i="337"/>
  <c r="C587" i="337"/>
  <c r="D586" i="337"/>
  <c r="C586" i="337"/>
  <c r="D585" i="337"/>
  <c r="C585" i="337"/>
  <c r="D584" i="337"/>
  <c r="C584" i="337"/>
  <c r="D583" i="337"/>
  <c r="C583" i="337"/>
  <c r="D582" i="337"/>
  <c r="C582" i="337"/>
  <c r="D581" i="337"/>
  <c r="C581" i="337"/>
  <c r="D580" i="337"/>
  <c r="C580" i="337"/>
  <c r="D579" i="337"/>
  <c r="C579" i="337"/>
  <c r="D578" i="337"/>
  <c r="C578" i="337"/>
  <c r="D577" i="337"/>
  <c r="C577" i="337"/>
  <c r="D576" i="337"/>
  <c r="C576" i="337"/>
  <c r="D575" i="337"/>
  <c r="C575" i="337"/>
  <c r="D574" i="337"/>
  <c r="C574" i="337"/>
  <c r="D573" i="337"/>
  <c r="C573" i="337"/>
  <c r="D572" i="337"/>
  <c r="C572" i="337"/>
  <c r="D571" i="337"/>
  <c r="C571" i="337"/>
  <c r="D570" i="337"/>
  <c r="C570" i="337"/>
  <c r="D569" i="337"/>
  <c r="C569" i="337"/>
  <c r="D568" i="337"/>
  <c r="C568" i="337"/>
  <c r="D567" i="337"/>
  <c r="C567" i="337"/>
  <c r="D566" i="337"/>
  <c r="C566" i="337"/>
  <c r="D565" i="337"/>
  <c r="C565" i="337"/>
  <c r="D564" i="337"/>
  <c r="C564" i="337"/>
  <c r="D563" i="337"/>
  <c r="C563" i="337"/>
  <c r="D562" i="337"/>
  <c r="C562" i="337"/>
  <c r="D561" i="337"/>
  <c r="C561" i="337"/>
  <c r="D560" i="337"/>
  <c r="C560" i="337"/>
  <c r="D559" i="337"/>
  <c r="C559" i="337"/>
  <c r="D558" i="337"/>
  <c r="C558" i="337"/>
  <c r="D557" i="337"/>
  <c r="C557" i="337"/>
  <c r="D556" i="337"/>
  <c r="C556" i="337"/>
  <c r="D555" i="337"/>
  <c r="C555" i="337"/>
  <c r="D554" i="337"/>
  <c r="C554" i="337"/>
  <c r="D553" i="337"/>
  <c r="C553" i="337"/>
  <c r="D552" i="337"/>
  <c r="C552" i="337"/>
  <c r="D551" i="337"/>
  <c r="C551" i="337"/>
  <c r="D550" i="337"/>
  <c r="C550" i="337"/>
  <c r="D549" i="337"/>
  <c r="C549" i="337"/>
  <c r="D548" i="337"/>
  <c r="C548" i="337"/>
  <c r="D547" i="337"/>
  <c r="C547" i="337"/>
  <c r="D546" i="337"/>
  <c r="C546" i="337"/>
  <c r="D545" i="337"/>
  <c r="C545" i="337"/>
  <c r="D544" i="337"/>
  <c r="C544" i="337"/>
  <c r="D543" i="337"/>
  <c r="C543" i="337"/>
  <c r="D542" i="337"/>
  <c r="C542" i="337"/>
  <c r="D541" i="337"/>
  <c r="C541" i="337"/>
  <c r="D540" i="337"/>
  <c r="C540" i="337"/>
  <c r="D539" i="337"/>
  <c r="C539" i="337"/>
  <c r="D538" i="337"/>
  <c r="C538" i="337"/>
  <c r="D537" i="337"/>
  <c r="C537" i="337"/>
  <c r="D536" i="337"/>
  <c r="C536" i="337"/>
  <c r="D535" i="337"/>
  <c r="C535" i="337"/>
  <c r="D534" i="337"/>
  <c r="C534" i="337"/>
  <c r="D533" i="337"/>
  <c r="C533" i="337"/>
  <c r="D532" i="337"/>
  <c r="C532" i="337"/>
  <c r="D531" i="337"/>
  <c r="C531" i="337"/>
  <c r="D530" i="337"/>
  <c r="C530" i="337"/>
  <c r="D529" i="337"/>
  <c r="C529" i="337"/>
  <c r="D528" i="337"/>
  <c r="C528" i="337"/>
  <c r="D527" i="337"/>
  <c r="C527" i="337"/>
  <c r="D526" i="337"/>
  <c r="C526" i="337"/>
  <c r="D525" i="337"/>
  <c r="C525" i="337"/>
  <c r="D524" i="337"/>
  <c r="C524" i="337"/>
  <c r="D523" i="337"/>
  <c r="C523" i="337"/>
  <c r="D522" i="337"/>
  <c r="C522" i="337"/>
  <c r="D521" i="337"/>
  <c r="C521" i="337"/>
  <c r="D520" i="337"/>
  <c r="C520" i="337"/>
  <c r="D519" i="337"/>
  <c r="C519" i="337"/>
  <c r="D518" i="337"/>
  <c r="C518" i="337"/>
  <c r="D517" i="337"/>
  <c r="C517" i="337"/>
  <c r="D516" i="337"/>
  <c r="C516" i="337"/>
  <c r="D515" i="337"/>
  <c r="C515" i="337"/>
  <c r="D514" i="337"/>
  <c r="C514" i="337"/>
  <c r="D513" i="337"/>
  <c r="C513" i="337"/>
  <c r="D512" i="337"/>
  <c r="C512" i="337"/>
  <c r="D511" i="337"/>
  <c r="C511" i="337"/>
  <c r="D510" i="337"/>
  <c r="C510" i="337"/>
  <c r="D509" i="337"/>
  <c r="C509" i="337"/>
  <c r="D508" i="337"/>
  <c r="C508" i="337"/>
  <c r="D507" i="337"/>
  <c r="C507" i="337"/>
  <c r="D506" i="337"/>
  <c r="C506" i="337"/>
  <c r="D505" i="337"/>
  <c r="C505" i="337"/>
  <c r="D504" i="337"/>
  <c r="C504" i="337"/>
  <c r="D503" i="337"/>
  <c r="C503" i="337"/>
  <c r="D502" i="337"/>
  <c r="C502" i="337"/>
  <c r="D501" i="337"/>
  <c r="C501" i="337"/>
  <c r="D500" i="337"/>
  <c r="C500" i="337"/>
  <c r="D499" i="337"/>
  <c r="C499" i="337"/>
  <c r="D498" i="337"/>
  <c r="C498" i="337"/>
  <c r="D497" i="337"/>
  <c r="C497" i="337"/>
  <c r="D496" i="337"/>
  <c r="C496" i="337"/>
  <c r="D495" i="337"/>
  <c r="C495" i="337"/>
  <c r="D494" i="337"/>
  <c r="C494" i="337"/>
  <c r="D493" i="337"/>
  <c r="C493" i="337"/>
  <c r="D492" i="337"/>
  <c r="C492" i="337"/>
  <c r="D491" i="337"/>
  <c r="C491" i="337"/>
  <c r="D490" i="337"/>
  <c r="C490" i="337"/>
  <c r="D489" i="337"/>
  <c r="C489" i="337"/>
  <c r="D488" i="337"/>
  <c r="C488" i="337"/>
  <c r="D487" i="337"/>
  <c r="C487" i="337"/>
  <c r="D486" i="337"/>
  <c r="C486" i="337"/>
  <c r="D485" i="337"/>
  <c r="C485" i="337"/>
  <c r="D484" i="337"/>
  <c r="C484" i="337"/>
  <c r="D483" i="337"/>
  <c r="C483" i="337"/>
  <c r="D482" i="337"/>
  <c r="C482" i="337"/>
  <c r="D481" i="337"/>
  <c r="C481" i="337"/>
  <c r="D480" i="337"/>
  <c r="C480" i="337"/>
  <c r="D479" i="337"/>
  <c r="C479" i="337"/>
  <c r="D478" i="337"/>
  <c r="C478" i="337"/>
  <c r="D477" i="337"/>
  <c r="C477" i="337"/>
  <c r="D476" i="337"/>
  <c r="C476" i="337"/>
  <c r="D475" i="337"/>
  <c r="C475" i="337"/>
  <c r="D474" i="337"/>
  <c r="C474" i="337"/>
  <c r="D473" i="337"/>
  <c r="C473" i="337"/>
  <c r="D472" i="337"/>
  <c r="C472" i="337"/>
  <c r="D471" i="337"/>
  <c r="C471" i="337"/>
  <c r="D470" i="337"/>
  <c r="C470" i="337"/>
  <c r="D469" i="337"/>
  <c r="C469" i="337"/>
  <c r="D468" i="337"/>
  <c r="C468" i="337"/>
  <c r="D467" i="337"/>
  <c r="C467" i="337"/>
  <c r="D466" i="337"/>
  <c r="C466" i="337"/>
  <c r="D465" i="337"/>
  <c r="C465" i="337"/>
  <c r="D464" i="337"/>
  <c r="C464" i="337"/>
  <c r="D463" i="337"/>
  <c r="C463" i="337"/>
  <c r="D462" i="337"/>
  <c r="C462" i="337"/>
  <c r="D461" i="337"/>
  <c r="C461" i="337"/>
  <c r="D460" i="337"/>
  <c r="C460" i="337"/>
  <c r="D459" i="337"/>
  <c r="C459" i="337"/>
  <c r="D458" i="337"/>
  <c r="C458" i="337"/>
  <c r="D457" i="337"/>
  <c r="C457" i="337"/>
  <c r="D456" i="337"/>
  <c r="C456" i="337"/>
  <c r="D455" i="337"/>
  <c r="C455" i="337"/>
  <c r="D454" i="337"/>
  <c r="C454" i="337"/>
  <c r="D453" i="337"/>
  <c r="C453" i="337"/>
  <c r="D452" i="337"/>
  <c r="C452" i="337"/>
  <c r="D451" i="337"/>
  <c r="C451" i="337"/>
  <c r="D450" i="337"/>
  <c r="C450" i="337"/>
  <c r="D449" i="337"/>
  <c r="C449" i="337"/>
  <c r="D448" i="337"/>
  <c r="C448" i="337"/>
  <c r="D447" i="337"/>
  <c r="C447" i="337"/>
  <c r="D446" i="337"/>
  <c r="C446" i="337"/>
  <c r="D445" i="337"/>
  <c r="C445" i="337"/>
  <c r="D444" i="337"/>
  <c r="C444" i="337"/>
  <c r="D443" i="337"/>
  <c r="C443" i="337"/>
  <c r="D442" i="337"/>
  <c r="C442" i="337"/>
  <c r="D441" i="337"/>
  <c r="C441" i="337"/>
  <c r="D440" i="337"/>
  <c r="C440" i="337"/>
  <c r="D439" i="337"/>
  <c r="C439" i="337"/>
  <c r="D438" i="337"/>
  <c r="C438" i="337"/>
  <c r="D437" i="337"/>
  <c r="C437" i="337"/>
  <c r="D436" i="337"/>
  <c r="C436" i="337"/>
  <c r="D435" i="337"/>
  <c r="C435" i="337"/>
  <c r="D434" i="337"/>
  <c r="C434" i="337"/>
  <c r="D433" i="337"/>
  <c r="C433" i="337"/>
  <c r="D432" i="337"/>
  <c r="C432" i="337"/>
  <c r="D431" i="337"/>
  <c r="C431" i="337"/>
  <c r="D430" i="337"/>
  <c r="C430" i="337"/>
  <c r="D429" i="337"/>
  <c r="C429" i="337"/>
  <c r="D428" i="337"/>
  <c r="C428" i="337"/>
  <c r="D427" i="337"/>
  <c r="C427" i="337"/>
  <c r="D426" i="337"/>
  <c r="C426" i="337"/>
  <c r="D425" i="337"/>
  <c r="C425" i="337"/>
  <c r="D424" i="337"/>
  <c r="C424" i="337"/>
  <c r="D423" i="337"/>
  <c r="C423" i="337"/>
  <c r="D422" i="337"/>
  <c r="C422" i="337"/>
  <c r="D421" i="337"/>
  <c r="C421" i="337"/>
  <c r="D420" i="337"/>
  <c r="C420" i="337"/>
  <c r="D419" i="337"/>
  <c r="C419" i="337"/>
  <c r="D418" i="337"/>
  <c r="C418" i="337"/>
  <c r="D417" i="337"/>
  <c r="C417" i="337"/>
  <c r="D416" i="337"/>
  <c r="C416" i="337"/>
  <c r="D415" i="337"/>
  <c r="C415" i="337"/>
  <c r="D414" i="337"/>
  <c r="C414" i="337"/>
  <c r="D413" i="337"/>
  <c r="C413" i="337"/>
  <c r="D412" i="337"/>
  <c r="C412" i="337"/>
  <c r="D411" i="337"/>
  <c r="C411" i="337"/>
  <c r="D410" i="337"/>
  <c r="C410" i="337"/>
  <c r="D409" i="337"/>
  <c r="C409" i="337"/>
  <c r="D408" i="337"/>
  <c r="C408" i="337"/>
  <c r="D407" i="337"/>
  <c r="C407" i="337"/>
  <c r="D406" i="337"/>
  <c r="C406" i="337"/>
  <c r="D405" i="337"/>
  <c r="C405" i="337"/>
  <c r="D404" i="337"/>
  <c r="C404" i="337"/>
  <c r="D403" i="337"/>
  <c r="C403" i="337"/>
  <c r="D402" i="337"/>
  <c r="C402" i="337"/>
  <c r="D401" i="337"/>
  <c r="C401" i="337"/>
  <c r="D400" i="337"/>
  <c r="C400" i="337"/>
  <c r="D399" i="337"/>
  <c r="C399" i="337"/>
  <c r="D398" i="337"/>
  <c r="C398" i="337"/>
  <c r="D397" i="337"/>
  <c r="C397" i="337"/>
  <c r="D396" i="337"/>
  <c r="C396" i="337"/>
  <c r="D395" i="337"/>
  <c r="C395" i="337"/>
  <c r="D394" i="337"/>
  <c r="C394" i="337"/>
  <c r="D393" i="337"/>
  <c r="C393" i="337"/>
  <c r="D392" i="337"/>
  <c r="C392" i="337"/>
  <c r="D391" i="337"/>
  <c r="C391" i="337"/>
  <c r="D390" i="337"/>
  <c r="C390" i="337"/>
  <c r="D389" i="337"/>
  <c r="C389" i="337"/>
  <c r="D388" i="337"/>
  <c r="C388" i="337"/>
  <c r="D387" i="337"/>
  <c r="C387" i="337"/>
  <c r="D386" i="337"/>
  <c r="C386" i="337"/>
  <c r="D385" i="337"/>
  <c r="C385" i="337"/>
  <c r="D384" i="337"/>
  <c r="C384" i="337"/>
  <c r="D383" i="337"/>
  <c r="C383" i="337"/>
  <c r="D382" i="337"/>
  <c r="C382" i="337"/>
  <c r="D381" i="337"/>
  <c r="C381" i="337"/>
  <c r="D380" i="337"/>
  <c r="C380" i="337"/>
  <c r="D379" i="337"/>
  <c r="C379" i="337"/>
  <c r="D378" i="337"/>
  <c r="C378" i="337"/>
  <c r="D377" i="337"/>
  <c r="C377" i="337"/>
  <c r="D376" i="337"/>
  <c r="C376" i="337"/>
  <c r="D375" i="337"/>
  <c r="C375" i="337"/>
  <c r="D374" i="337"/>
  <c r="C374" i="337"/>
  <c r="D373" i="337"/>
  <c r="C373" i="337"/>
  <c r="D372" i="337"/>
  <c r="C372" i="337"/>
  <c r="D371" i="337"/>
  <c r="C371" i="337"/>
  <c r="D370" i="337"/>
  <c r="C370" i="337"/>
  <c r="D369" i="337"/>
  <c r="C369" i="337"/>
  <c r="D368" i="337"/>
  <c r="C368" i="337"/>
  <c r="D367" i="337"/>
  <c r="C367" i="337"/>
  <c r="D366" i="337"/>
  <c r="C366" i="337"/>
  <c r="D365" i="337"/>
  <c r="C365" i="337"/>
  <c r="D364" i="337"/>
  <c r="C364" i="337"/>
  <c r="D363" i="337"/>
  <c r="C363" i="337"/>
  <c r="D362" i="337"/>
  <c r="C362" i="337"/>
  <c r="D361" i="337"/>
  <c r="C361" i="337"/>
  <c r="D360" i="337"/>
  <c r="C360" i="337"/>
  <c r="D359" i="337"/>
  <c r="C359" i="337"/>
  <c r="D358" i="337"/>
  <c r="C358" i="337"/>
  <c r="D357" i="337"/>
  <c r="C357" i="337"/>
  <c r="D356" i="337"/>
  <c r="C356" i="337"/>
  <c r="D355" i="337"/>
  <c r="C355" i="337"/>
  <c r="D354" i="337"/>
  <c r="C354" i="337"/>
  <c r="D353" i="337"/>
  <c r="C353" i="337"/>
  <c r="D352" i="337"/>
  <c r="C352" i="337"/>
  <c r="D351" i="337"/>
  <c r="C351" i="337"/>
  <c r="D350" i="337"/>
  <c r="C350" i="337"/>
  <c r="D349" i="337"/>
  <c r="C349" i="337"/>
  <c r="D348" i="337"/>
  <c r="C348" i="337"/>
  <c r="D347" i="337"/>
  <c r="C347" i="337"/>
  <c r="D346" i="337"/>
  <c r="C346" i="337"/>
  <c r="D345" i="337"/>
  <c r="C345" i="337"/>
  <c r="D344" i="337"/>
  <c r="C344" i="337"/>
  <c r="D343" i="337"/>
  <c r="C343" i="337"/>
  <c r="D342" i="337"/>
  <c r="C342" i="337"/>
  <c r="D341" i="337"/>
  <c r="C341" i="337"/>
  <c r="D340" i="337"/>
  <c r="C340" i="337"/>
  <c r="D339" i="337"/>
  <c r="C339" i="337"/>
  <c r="D338" i="337"/>
  <c r="C338" i="337"/>
  <c r="D337" i="337"/>
  <c r="C337" i="337"/>
  <c r="D336" i="337"/>
  <c r="C336" i="337"/>
  <c r="D335" i="337"/>
  <c r="C335" i="337"/>
  <c r="D334" i="337"/>
  <c r="C334" i="337"/>
  <c r="D333" i="337"/>
  <c r="C333" i="337"/>
  <c r="D332" i="337"/>
  <c r="C332" i="337"/>
  <c r="D331" i="337"/>
  <c r="C331" i="337"/>
  <c r="D330" i="337"/>
  <c r="C330" i="337"/>
  <c r="D329" i="337"/>
  <c r="C329" i="337"/>
  <c r="D328" i="337"/>
  <c r="C328" i="337"/>
  <c r="D327" i="337"/>
  <c r="C327" i="337"/>
  <c r="D326" i="337"/>
  <c r="C326" i="337"/>
  <c r="D325" i="337"/>
  <c r="C325" i="337"/>
  <c r="D324" i="337"/>
  <c r="C324" i="337"/>
  <c r="D323" i="337"/>
  <c r="C323" i="337"/>
  <c r="D322" i="337"/>
  <c r="C322" i="337"/>
  <c r="D321" i="337"/>
  <c r="C321" i="337"/>
  <c r="D320" i="337"/>
  <c r="C320" i="337"/>
  <c r="D319" i="337"/>
  <c r="C319" i="337"/>
  <c r="D318" i="337"/>
  <c r="C318" i="337"/>
  <c r="D317" i="337"/>
  <c r="C317" i="337"/>
  <c r="D316" i="337"/>
  <c r="C316" i="337"/>
  <c r="D315" i="337"/>
  <c r="C315" i="337"/>
  <c r="D314" i="337"/>
  <c r="C314" i="337"/>
  <c r="D313" i="337"/>
  <c r="C313" i="337"/>
  <c r="D312" i="337"/>
  <c r="C312" i="337"/>
  <c r="D311" i="337"/>
  <c r="C311" i="337"/>
  <c r="D310" i="337"/>
  <c r="C310" i="337"/>
  <c r="D309" i="337"/>
  <c r="C309" i="337"/>
  <c r="D308" i="337"/>
  <c r="C308" i="337"/>
  <c r="D307" i="337"/>
  <c r="C307" i="337"/>
  <c r="D306" i="337"/>
  <c r="C306" i="337"/>
  <c r="D305" i="337"/>
  <c r="C305" i="337"/>
  <c r="D304" i="337"/>
  <c r="C304" i="337"/>
  <c r="D303" i="337"/>
  <c r="C303" i="337"/>
  <c r="D302" i="337"/>
  <c r="C302" i="337"/>
  <c r="D301" i="337"/>
  <c r="C301" i="337"/>
  <c r="D300" i="337"/>
  <c r="C300" i="337"/>
  <c r="D299" i="337"/>
  <c r="C299" i="337"/>
  <c r="D298" i="337"/>
  <c r="C298" i="337"/>
  <c r="D297" i="337"/>
  <c r="C297" i="337"/>
  <c r="D296" i="337"/>
  <c r="C296" i="337"/>
  <c r="D295" i="337"/>
  <c r="C295" i="337"/>
  <c r="D294" i="337"/>
  <c r="C294" i="337"/>
  <c r="D293" i="337"/>
  <c r="C293" i="337"/>
  <c r="D292" i="337"/>
  <c r="C292" i="337"/>
  <c r="D291" i="337"/>
  <c r="C291" i="337"/>
  <c r="D290" i="337"/>
  <c r="C290" i="337"/>
  <c r="D289" i="337"/>
  <c r="C289" i="337"/>
  <c r="D288" i="337"/>
  <c r="C288" i="337"/>
  <c r="D287" i="337"/>
  <c r="C287" i="337"/>
  <c r="D286" i="337"/>
  <c r="C286" i="337"/>
  <c r="D285" i="337"/>
  <c r="C285" i="337"/>
  <c r="D284" i="337"/>
  <c r="C284" i="337"/>
  <c r="D283" i="337"/>
  <c r="C283" i="337"/>
  <c r="D282" i="337"/>
  <c r="C282" i="337"/>
  <c r="D281" i="337"/>
  <c r="C281" i="337"/>
  <c r="D280" i="337"/>
  <c r="C280" i="337"/>
  <c r="D279" i="337"/>
  <c r="C279" i="337"/>
  <c r="D278" i="337"/>
  <c r="C278" i="337"/>
  <c r="D277" i="337"/>
  <c r="C277" i="337"/>
  <c r="D276" i="337"/>
  <c r="C276" i="337"/>
  <c r="D275" i="337"/>
  <c r="C275" i="337"/>
  <c r="D274" i="337"/>
  <c r="C274" i="337"/>
  <c r="D273" i="337"/>
  <c r="C273" i="337"/>
  <c r="D272" i="337"/>
  <c r="C272" i="337"/>
  <c r="D271" i="337"/>
  <c r="C271" i="337"/>
  <c r="D270" i="337"/>
  <c r="C270" i="337"/>
  <c r="D269" i="337"/>
  <c r="C269" i="337"/>
  <c r="D268" i="337"/>
  <c r="C268" i="337"/>
  <c r="D267" i="337"/>
  <c r="C267" i="337"/>
  <c r="D266" i="337"/>
  <c r="C266" i="337"/>
  <c r="D265" i="337"/>
  <c r="C265" i="337"/>
  <c r="D264" i="337"/>
  <c r="C264" i="337"/>
  <c r="D263" i="337"/>
  <c r="C263" i="337"/>
  <c r="D262" i="337"/>
  <c r="C262" i="337"/>
  <c r="D261" i="337"/>
  <c r="C261" i="337"/>
  <c r="D260" i="337"/>
  <c r="C260" i="337"/>
  <c r="D259" i="337"/>
  <c r="C259" i="337"/>
  <c r="D258" i="337"/>
  <c r="C258" i="337"/>
  <c r="D257" i="337"/>
  <c r="C257" i="337"/>
  <c r="D256" i="337"/>
  <c r="C256" i="337"/>
  <c r="D255" i="337"/>
  <c r="C255" i="337"/>
  <c r="D254" i="337"/>
  <c r="C254" i="337"/>
  <c r="D253" i="337"/>
  <c r="C253" i="337"/>
  <c r="D252" i="337"/>
  <c r="C252" i="337"/>
  <c r="D251" i="337"/>
  <c r="C251" i="337"/>
  <c r="D250" i="337"/>
  <c r="C250" i="337"/>
  <c r="D249" i="337"/>
  <c r="C249" i="337"/>
  <c r="D248" i="337"/>
  <c r="C248" i="337"/>
  <c r="D247" i="337"/>
  <c r="C247" i="337"/>
  <c r="D246" i="337"/>
  <c r="C246" i="337"/>
  <c r="D245" i="337"/>
  <c r="C245" i="337"/>
  <c r="D244" i="337"/>
  <c r="C244" i="337"/>
  <c r="D243" i="337"/>
  <c r="C243" i="337"/>
  <c r="D242" i="337"/>
  <c r="C242" i="337"/>
  <c r="D241" i="337"/>
  <c r="C241" i="337"/>
  <c r="D240" i="337"/>
  <c r="C240" i="337"/>
  <c r="D239" i="337"/>
  <c r="C239" i="337"/>
  <c r="D238" i="337"/>
  <c r="C238" i="337"/>
  <c r="D237" i="337"/>
  <c r="C237" i="337"/>
  <c r="D236" i="337"/>
  <c r="C236" i="337"/>
  <c r="D235" i="337"/>
  <c r="C235" i="337"/>
  <c r="D234" i="337"/>
  <c r="C234" i="337"/>
  <c r="D233" i="337"/>
  <c r="C233" i="337"/>
  <c r="D232" i="337"/>
  <c r="C232" i="337"/>
  <c r="D231" i="337"/>
  <c r="C231" i="337"/>
  <c r="D230" i="337"/>
  <c r="C230" i="337"/>
  <c r="D229" i="337"/>
  <c r="C229" i="337"/>
  <c r="D228" i="337"/>
  <c r="C228" i="337"/>
  <c r="D227" i="337"/>
  <c r="C227" i="337"/>
  <c r="D226" i="337"/>
  <c r="C226" i="337"/>
  <c r="D225" i="337"/>
  <c r="C225" i="337"/>
  <c r="D224" i="337"/>
  <c r="C224" i="337"/>
  <c r="D223" i="337"/>
  <c r="C223" i="337"/>
  <c r="D222" i="337"/>
  <c r="C222" i="337"/>
  <c r="D221" i="337"/>
  <c r="C221" i="337"/>
  <c r="D220" i="337"/>
  <c r="C220" i="337"/>
  <c r="D219" i="337"/>
  <c r="C219" i="337"/>
  <c r="D218" i="337"/>
  <c r="C218" i="337"/>
  <c r="D217" i="337"/>
  <c r="C217" i="337"/>
  <c r="D216" i="337"/>
  <c r="C216" i="337"/>
  <c r="D215" i="337"/>
  <c r="C215" i="337"/>
  <c r="D214" i="337"/>
  <c r="C214" i="337"/>
  <c r="D213" i="337"/>
  <c r="C213" i="337"/>
  <c r="D212" i="337"/>
  <c r="C212" i="337"/>
  <c r="D211" i="337"/>
  <c r="C211" i="337"/>
  <c r="D210" i="337"/>
  <c r="C210" i="337"/>
  <c r="D209" i="337"/>
  <c r="C209" i="337"/>
  <c r="D208" i="337"/>
  <c r="C208" i="337"/>
  <c r="D207" i="337"/>
  <c r="C207" i="337"/>
  <c r="D206" i="337"/>
  <c r="C206" i="337"/>
  <c r="D205" i="337"/>
  <c r="C205" i="337"/>
  <c r="D204" i="337"/>
  <c r="C204" i="337"/>
  <c r="D203" i="337"/>
  <c r="C203" i="337"/>
  <c r="D202" i="337"/>
  <c r="C202" i="337"/>
  <c r="D201" i="337"/>
  <c r="C201" i="337"/>
  <c r="D200" i="337"/>
  <c r="C200" i="337"/>
  <c r="D199" i="337"/>
  <c r="C199" i="337"/>
  <c r="D198" i="337"/>
  <c r="C198" i="337"/>
  <c r="D197" i="337"/>
  <c r="C197" i="337"/>
  <c r="D196" i="337"/>
  <c r="C196" i="337"/>
  <c r="D195" i="337"/>
  <c r="C195" i="337"/>
  <c r="D194" i="337"/>
  <c r="C194" i="337"/>
  <c r="D193" i="337"/>
  <c r="C193" i="337"/>
  <c r="D192" i="337"/>
  <c r="C192" i="337"/>
  <c r="D191" i="337"/>
  <c r="C191" i="337"/>
  <c r="D190" i="337"/>
  <c r="C190" i="337"/>
  <c r="D189" i="337"/>
  <c r="C189" i="337"/>
  <c r="D188" i="337"/>
  <c r="C188" i="337"/>
  <c r="D187" i="337"/>
  <c r="C187" i="337"/>
  <c r="D186" i="337"/>
  <c r="C186" i="337"/>
  <c r="D185" i="337"/>
  <c r="C185" i="337"/>
  <c r="D184" i="337"/>
  <c r="C184" i="337"/>
  <c r="D183" i="337"/>
  <c r="C183" i="337"/>
  <c r="D182" i="337"/>
  <c r="C182" i="337"/>
  <c r="D181" i="337"/>
  <c r="C181" i="337"/>
  <c r="D180" i="337"/>
  <c r="C180" i="337"/>
  <c r="D179" i="337"/>
  <c r="C179" i="337"/>
  <c r="D178" i="337"/>
  <c r="C178" i="337"/>
  <c r="D177" i="337"/>
  <c r="C177" i="337"/>
  <c r="D176" i="337"/>
  <c r="C176" i="337"/>
  <c r="D175" i="337"/>
  <c r="C175" i="337"/>
  <c r="D174" i="337"/>
  <c r="C174" i="337"/>
  <c r="D173" i="337"/>
  <c r="C173" i="337"/>
  <c r="D172" i="337"/>
  <c r="C172" i="337"/>
  <c r="D171" i="337"/>
  <c r="C171" i="337"/>
  <c r="D170" i="337"/>
  <c r="C170" i="337"/>
  <c r="D169" i="337"/>
  <c r="C169" i="337"/>
  <c r="D168" i="337"/>
  <c r="C168" i="337"/>
  <c r="D167" i="337"/>
  <c r="C167" i="337"/>
  <c r="D166" i="337"/>
  <c r="C166" i="337"/>
  <c r="D165" i="337"/>
  <c r="C165" i="337"/>
  <c r="D164" i="337"/>
  <c r="C164" i="337"/>
  <c r="D163" i="337"/>
  <c r="C163" i="337"/>
  <c r="D162" i="337"/>
  <c r="C162" i="337"/>
  <c r="D161" i="337"/>
  <c r="C161" i="337"/>
  <c r="D160" i="337"/>
  <c r="C160" i="337"/>
  <c r="D159" i="337"/>
  <c r="C159" i="337"/>
  <c r="D158" i="337"/>
  <c r="C158" i="337"/>
  <c r="D157" i="337"/>
  <c r="C157" i="337"/>
  <c r="D156" i="337"/>
  <c r="C156" i="337"/>
  <c r="D155" i="337"/>
  <c r="C155" i="337"/>
  <c r="D154" i="337"/>
  <c r="C154" i="337"/>
  <c r="D153" i="337"/>
  <c r="C153" i="337"/>
  <c r="D152" i="337"/>
  <c r="C152" i="337"/>
  <c r="D151" i="337"/>
  <c r="C151" i="337"/>
  <c r="D150" i="337"/>
  <c r="C150" i="337"/>
  <c r="D149" i="337"/>
  <c r="C149" i="337"/>
  <c r="D148" i="337"/>
  <c r="C148" i="337"/>
  <c r="D147" i="337"/>
  <c r="C147" i="337"/>
  <c r="D146" i="337"/>
  <c r="C146" i="337"/>
  <c r="D145" i="337"/>
  <c r="C145" i="337"/>
  <c r="D144" i="337"/>
  <c r="C144" i="337"/>
  <c r="D143" i="337"/>
  <c r="C143" i="337"/>
  <c r="D142" i="337"/>
  <c r="C142" i="337"/>
  <c r="D141" i="337"/>
  <c r="C141" i="337"/>
  <c r="D140" i="337"/>
  <c r="C140" i="337"/>
  <c r="D139" i="337"/>
  <c r="C139" i="337"/>
  <c r="D138" i="337"/>
  <c r="C138" i="337"/>
  <c r="D137" i="337"/>
  <c r="C137" i="337"/>
  <c r="D136" i="337"/>
  <c r="C136" i="337"/>
  <c r="D135" i="337"/>
  <c r="C135" i="337"/>
  <c r="D134" i="337"/>
  <c r="C134" i="337"/>
  <c r="D133" i="337"/>
  <c r="C133" i="337"/>
  <c r="D132" i="337"/>
  <c r="C132" i="337"/>
  <c r="D131" i="337"/>
  <c r="C131" i="337"/>
  <c r="D130" i="337"/>
  <c r="C130" i="337"/>
  <c r="D129" i="337"/>
  <c r="C129" i="337"/>
  <c r="D128" i="337"/>
  <c r="C128" i="337"/>
  <c r="D127" i="337"/>
  <c r="C127" i="337"/>
  <c r="D126" i="337"/>
  <c r="C126" i="337"/>
  <c r="D125" i="337"/>
  <c r="C125" i="337"/>
  <c r="D124" i="337"/>
  <c r="C124" i="337"/>
  <c r="D123" i="337"/>
  <c r="C123" i="337"/>
  <c r="D122" i="337"/>
  <c r="C122" i="337"/>
  <c r="D121" i="337"/>
  <c r="C121" i="337"/>
  <c r="D120" i="337"/>
  <c r="C120" i="337"/>
  <c r="D119" i="337"/>
  <c r="C119" i="337"/>
  <c r="D118" i="337"/>
  <c r="C118" i="337"/>
  <c r="D117" i="337"/>
  <c r="C117" i="337"/>
  <c r="D116" i="337"/>
  <c r="C116" i="337"/>
  <c r="D115" i="337"/>
  <c r="C115" i="337"/>
  <c r="D114" i="337"/>
  <c r="C114" i="337"/>
  <c r="D113" i="337"/>
  <c r="C113" i="337"/>
  <c r="D112" i="337"/>
  <c r="C112" i="337"/>
  <c r="D111" i="337"/>
  <c r="C111" i="337"/>
  <c r="D110" i="337"/>
  <c r="C110" i="337"/>
  <c r="D109" i="337"/>
  <c r="C109" i="337"/>
  <c r="D108" i="337"/>
  <c r="C108" i="337"/>
  <c r="D107" i="337"/>
  <c r="C107" i="337"/>
  <c r="D106" i="337"/>
  <c r="C106" i="337"/>
  <c r="D105" i="337"/>
  <c r="C105" i="337"/>
  <c r="D104" i="337"/>
  <c r="C104" i="337"/>
  <c r="D103" i="337"/>
  <c r="C103" i="337"/>
  <c r="D102" i="337"/>
  <c r="C102" i="337"/>
  <c r="D101" i="337"/>
  <c r="C101" i="337"/>
  <c r="D100" i="337"/>
  <c r="C100" i="337"/>
  <c r="D99" i="337"/>
  <c r="C99" i="337"/>
  <c r="D98" i="337"/>
  <c r="C98" i="337"/>
  <c r="D97" i="337"/>
  <c r="C97" i="337"/>
  <c r="D96" i="337"/>
  <c r="C96" i="337"/>
  <c r="D95" i="337"/>
  <c r="C95" i="337"/>
  <c r="D94" i="337"/>
  <c r="C94" i="337"/>
  <c r="D93" i="337"/>
  <c r="C93" i="337"/>
  <c r="D92" i="337"/>
  <c r="C92" i="337"/>
  <c r="D91" i="337"/>
  <c r="C91" i="337"/>
  <c r="D90" i="337"/>
  <c r="C90" i="337"/>
  <c r="D89" i="337"/>
  <c r="C89" i="337"/>
  <c r="D88" i="337"/>
  <c r="C88" i="337"/>
  <c r="D87" i="337"/>
  <c r="C87" i="337"/>
  <c r="D86" i="337"/>
  <c r="C86" i="337"/>
  <c r="D85" i="337"/>
  <c r="C85" i="337"/>
  <c r="D84" i="337"/>
  <c r="C84" i="337"/>
  <c r="D83" i="337"/>
  <c r="C83" i="337"/>
  <c r="D82" i="337"/>
  <c r="C82" i="337"/>
  <c r="D81" i="337"/>
  <c r="C81" i="337"/>
  <c r="D80" i="337"/>
  <c r="C80" i="337"/>
  <c r="D79" i="337"/>
  <c r="C79" i="337"/>
  <c r="D78" i="337"/>
  <c r="C78" i="337"/>
  <c r="D77" i="337"/>
  <c r="C77" i="337"/>
  <c r="D76" i="337"/>
  <c r="C76" i="337"/>
  <c r="D75" i="337"/>
  <c r="C75" i="337"/>
  <c r="D74" i="337"/>
  <c r="C74" i="337"/>
  <c r="D73" i="337"/>
  <c r="C73" i="337"/>
  <c r="D72" i="337"/>
  <c r="C72" i="337"/>
  <c r="D71" i="337"/>
  <c r="C71" i="337"/>
  <c r="D70" i="337"/>
  <c r="C70" i="337"/>
  <c r="D69" i="337"/>
  <c r="C69" i="337"/>
  <c r="D68" i="337"/>
  <c r="C68" i="337"/>
  <c r="D67" i="337"/>
  <c r="C67" i="337"/>
  <c r="D66" i="337"/>
  <c r="C66" i="337"/>
  <c r="D65" i="337"/>
  <c r="C65" i="337"/>
  <c r="D64" i="337"/>
  <c r="C64" i="337"/>
  <c r="D63" i="337"/>
  <c r="C63" i="337"/>
  <c r="D62" i="337"/>
  <c r="C62" i="337"/>
  <c r="D61" i="337"/>
  <c r="C61" i="337"/>
  <c r="D60" i="337"/>
  <c r="C60" i="337"/>
  <c r="D59" i="337"/>
  <c r="C59" i="337"/>
  <c r="D58" i="337"/>
  <c r="C58" i="337"/>
  <c r="D57" i="337"/>
  <c r="C57" i="337"/>
  <c r="D56" i="337"/>
  <c r="C56" i="337"/>
  <c r="D55" i="337"/>
  <c r="C55" i="337"/>
  <c r="D54" i="337"/>
  <c r="C54" i="337"/>
  <c r="D53" i="337"/>
  <c r="C53" i="337"/>
  <c r="D52" i="337"/>
  <c r="C52" i="337"/>
  <c r="D51" i="337"/>
  <c r="C51" i="337"/>
  <c r="D50" i="337"/>
  <c r="C50" i="337"/>
  <c r="D49" i="337"/>
  <c r="C49" i="337"/>
  <c r="D48" i="337"/>
  <c r="C48" i="337"/>
  <c r="D47" i="337"/>
  <c r="C47" i="337"/>
  <c r="D46" i="337"/>
  <c r="C46" i="337"/>
  <c r="D45" i="337"/>
  <c r="C45" i="337"/>
  <c r="D44" i="337"/>
  <c r="C44" i="337"/>
  <c r="D43" i="337"/>
  <c r="C43" i="337"/>
  <c r="D42" i="337"/>
  <c r="C42" i="337"/>
  <c r="D41" i="337"/>
  <c r="C41" i="337"/>
  <c r="D40" i="337"/>
  <c r="C40" i="337"/>
  <c r="D39" i="337"/>
  <c r="C39" i="337"/>
  <c r="D38" i="337"/>
  <c r="C38" i="337"/>
  <c r="D37" i="337"/>
  <c r="C37" i="337"/>
  <c r="D36" i="337"/>
  <c r="C36" i="337"/>
  <c r="D35" i="337"/>
  <c r="C35" i="337"/>
  <c r="D34" i="337"/>
  <c r="C34" i="337"/>
  <c r="D33" i="337"/>
  <c r="C33" i="337"/>
  <c r="D32" i="337"/>
  <c r="C32" i="337"/>
  <c r="D31" i="337"/>
  <c r="C31" i="337"/>
  <c r="D30" i="337"/>
  <c r="C30" i="337"/>
  <c r="D29" i="337"/>
  <c r="C29" i="337"/>
  <c r="D28" i="337"/>
  <c r="C28" i="337"/>
  <c r="D27" i="337"/>
  <c r="C27" i="337"/>
  <c r="D26" i="337"/>
  <c r="C26" i="337"/>
  <c r="D25" i="337"/>
  <c r="C25" i="337"/>
  <c r="D24" i="337"/>
  <c r="C24" i="337"/>
  <c r="D23" i="337"/>
  <c r="C23" i="337"/>
  <c r="D22" i="337"/>
  <c r="C22" i="337"/>
  <c r="D21" i="337"/>
  <c r="C21" i="337"/>
  <c r="D20" i="337"/>
  <c r="C20" i="337"/>
  <c r="D19" i="337"/>
  <c r="C19" i="337"/>
  <c r="D18" i="337"/>
  <c r="C18" i="337"/>
  <c r="D17" i="337"/>
  <c r="C17" i="337"/>
  <c r="D16" i="337"/>
  <c r="C16" i="337"/>
  <c r="D15" i="337"/>
  <c r="C15" i="337"/>
  <c r="D14" i="337"/>
  <c r="C14" i="337"/>
  <c r="D13" i="337"/>
  <c r="C13" i="337"/>
  <c r="D12" i="337"/>
  <c r="C12" i="337"/>
  <c r="D11" i="337"/>
  <c r="C11" i="337"/>
  <c r="D10" i="337"/>
  <c r="C10" i="337"/>
  <c r="D9" i="337"/>
  <c r="C9" i="337"/>
  <c r="D8" i="337"/>
  <c r="C8" i="337"/>
  <c r="D7" i="337"/>
  <c r="C7" i="337"/>
  <c r="D6" i="337"/>
  <c r="C6" i="337"/>
  <c r="D5" i="337"/>
  <c r="C5" i="337"/>
  <c r="C4" i="337"/>
  <c r="D4" i="337" s="1"/>
  <c r="C3" i="337"/>
  <c r="D3" i="337" s="1"/>
  <c r="D1000" i="336"/>
  <c r="C1000" i="336"/>
  <c r="D999" i="336"/>
  <c r="C999" i="336"/>
  <c r="D998" i="336"/>
  <c r="C998" i="336"/>
  <c r="D997" i="336"/>
  <c r="C997" i="336"/>
  <c r="D996" i="336"/>
  <c r="C996" i="336"/>
  <c r="D995" i="336"/>
  <c r="C995" i="336"/>
  <c r="D994" i="336"/>
  <c r="C994" i="336"/>
  <c r="D993" i="336"/>
  <c r="C993" i="336"/>
  <c r="D992" i="336"/>
  <c r="C992" i="336"/>
  <c r="D991" i="336"/>
  <c r="C991" i="336"/>
  <c r="D990" i="336"/>
  <c r="C990" i="336"/>
  <c r="D989" i="336"/>
  <c r="C989" i="336"/>
  <c r="D988" i="336"/>
  <c r="C988" i="336"/>
  <c r="D987" i="336"/>
  <c r="C987" i="336"/>
  <c r="D986" i="336"/>
  <c r="C986" i="336"/>
  <c r="D985" i="336"/>
  <c r="C985" i="336"/>
  <c r="D984" i="336"/>
  <c r="C984" i="336"/>
  <c r="D983" i="336"/>
  <c r="C983" i="336"/>
  <c r="D982" i="336"/>
  <c r="C982" i="336"/>
  <c r="D981" i="336"/>
  <c r="C981" i="336"/>
  <c r="D980" i="336"/>
  <c r="C980" i="336"/>
  <c r="D979" i="336"/>
  <c r="C979" i="336"/>
  <c r="D978" i="336"/>
  <c r="C978" i="336"/>
  <c r="D977" i="336"/>
  <c r="C977" i="336"/>
  <c r="D976" i="336"/>
  <c r="C976" i="336"/>
  <c r="D975" i="336"/>
  <c r="C975" i="336"/>
  <c r="D974" i="336"/>
  <c r="C974" i="336"/>
  <c r="D973" i="336"/>
  <c r="C973" i="336"/>
  <c r="D972" i="336"/>
  <c r="C972" i="336"/>
  <c r="D971" i="336"/>
  <c r="C971" i="336"/>
  <c r="D970" i="336"/>
  <c r="C970" i="336"/>
  <c r="D969" i="336"/>
  <c r="C969" i="336"/>
  <c r="D968" i="336"/>
  <c r="C968" i="336"/>
  <c r="D967" i="336"/>
  <c r="C967" i="336"/>
  <c r="D966" i="336"/>
  <c r="C966" i="336"/>
  <c r="D965" i="336"/>
  <c r="C965" i="336"/>
  <c r="D964" i="336"/>
  <c r="C964" i="336"/>
  <c r="D963" i="336"/>
  <c r="C963" i="336"/>
  <c r="D962" i="336"/>
  <c r="C962" i="336"/>
  <c r="D961" i="336"/>
  <c r="C961" i="336"/>
  <c r="D960" i="336"/>
  <c r="C960" i="336"/>
  <c r="D959" i="336"/>
  <c r="C959" i="336"/>
  <c r="D958" i="336"/>
  <c r="C958" i="336"/>
  <c r="D957" i="336"/>
  <c r="C957" i="336"/>
  <c r="D956" i="336"/>
  <c r="C956" i="336"/>
  <c r="D955" i="336"/>
  <c r="C955" i="336"/>
  <c r="D954" i="336"/>
  <c r="C954" i="336"/>
  <c r="D953" i="336"/>
  <c r="C953" i="336"/>
  <c r="D952" i="336"/>
  <c r="C952" i="336"/>
  <c r="D951" i="336"/>
  <c r="C951" i="336"/>
  <c r="D950" i="336"/>
  <c r="C950" i="336"/>
  <c r="D949" i="336"/>
  <c r="C949" i="336"/>
  <c r="D948" i="336"/>
  <c r="C948" i="336"/>
  <c r="D947" i="336"/>
  <c r="C947" i="336"/>
  <c r="D946" i="336"/>
  <c r="C946" i="336"/>
  <c r="D945" i="336"/>
  <c r="C945" i="336"/>
  <c r="D944" i="336"/>
  <c r="C944" i="336"/>
  <c r="D943" i="336"/>
  <c r="C943" i="336"/>
  <c r="D942" i="336"/>
  <c r="C942" i="336"/>
  <c r="D941" i="336"/>
  <c r="C941" i="336"/>
  <c r="D940" i="336"/>
  <c r="C940" i="336"/>
  <c r="D939" i="336"/>
  <c r="C939" i="336"/>
  <c r="D938" i="336"/>
  <c r="C938" i="336"/>
  <c r="D937" i="336"/>
  <c r="C937" i="336"/>
  <c r="D936" i="336"/>
  <c r="C936" i="336"/>
  <c r="D935" i="336"/>
  <c r="C935" i="336"/>
  <c r="D934" i="336"/>
  <c r="C934" i="336"/>
  <c r="D933" i="336"/>
  <c r="C933" i="336"/>
  <c r="D932" i="336"/>
  <c r="C932" i="336"/>
  <c r="D931" i="336"/>
  <c r="C931" i="336"/>
  <c r="D930" i="336"/>
  <c r="C930" i="336"/>
  <c r="D929" i="336"/>
  <c r="C929" i="336"/>
  <c r="D928" i="336"/>
  <c r="C928" i="336"/>
  <c r="D927" i="336"/>
  <c r="C927" i="336"/>
  <c r="D926" i="336"/>
  <c r="C926" i="336"/>
  <c r="D925" i="336"/>
  <c r="C925" i="336"/>
  <c r="D924" i="336"/>
  <c r="C924" i="336"/>
  <c r="D923" i="336"/>
  <c r="C923" i="336"/>
  <c r="D922" i="336"/>
  <c r="C922" i="336"/>
  <c r="D921" i="336"/>
  <c r="C921" i="336"/>
  <c r="D920" i="336"/>
  <c r="C920" i="336"/>
  <c r="D919" i="336"/>
  <c r="C919" i="336"/>
  <c r="D918" i="336"/>
  <c r="C918" i="336"/>
  <c r="D917" i="336"/>
  <c r="C917" i="336"/>
  <c r="D916" i="336"/>
  <c r="C916" i="336"/>
  <c r="D915" i="336"/>
  <c r="C915" i="336"/>
  <c r="D914" i="336"/>
  <c r="C914" i="336"/>
  <c r="D913" i="336"/>
  <c r="C913" i="336"/>
  <c r="D912" i="336"/>
  <c r="C912" i="336"/>
  <c r="D911" i="336"/>
  <c r="C911" i="336"/>
  <c r="D910" i="336"/>
  <c r="C910" i="336"/>
  <c r="D909" i="336"/>
  <c r="C909" i="336"/>
  <c r="D908" i="336"/>
  <c r="C908" i="336"/>
  <c r="D907" i="336"/>
  <c r="C907" i="336"/>
  <c r="D906" i="336"/>
  <c r="C906" i="336"/>
  <c r="D905" i="336"/>
  <c r="C905" i="336"/>
  <c r="D904" i="336"/>
  <c r="C904" i="336"/>
  <c r="D903" i="336"/>
  <c r="C903" i="336"/>
  <c r="D902" i="336"/>
  <c r="C902" i="336"/>
  <c r="D901" i="336"/>
  <c r="C901" i="336"/>
  <c r="D900" i="336"/>
  <c r="C900" i="336"/>
  <c r="D899" i="336"/>
  <c r="C899" i="336"/>
  <c r="D898" i="336"/>
  <c r="C898" i="336"/>
  <c r="D897" i="336"/>
  <c r="C897" i="336"/>
  <c r="D896" i="336"/>
  <c r="C896" i="336"/>
  <c r="D895" i="336"/>
  <c r="C895" i="336"/>
  <c r="D894" i="336"/>
  <c r="C894" i="336"/>
  <c r="D893" i="336"/>
  <c r="C893" i="336"/>
  <c r="D892" i="336"/>
  <c r="C892" i="336"/>
  <c r="D891" i="336"/>
  <c r="C891" i="336"/>
  <c r="D890" i="336"/>
  <c r="C890" i="336"/>
  <c r="D889" i="336"/>
  <c r="C889" i="336"/>
  <c r="D888" i="336"/>
  <c r="C888" i="336"/>
  <c r="D887" i="336"/>
  <c r="C887" i="336"/>
  <c r="D886" i="336"/>
  <c r="C886" i="336"/>
  <c r="D885" i="336"/>
  <c r="C885" i="336"/>
  <c r="D884" i="336"/>
  <c r="C884" i="336"/>
  <c r="D883" i="336"/>
  <c r="C883" i="336"/>
  <c r="D882" i="336"/>
  <c r="C882" i="336"/>
  <c r="D881" i="336"/>
  <c r="C881" i="336"/>
  <c r="D880" i="336"/>
  <c r="C880" i="336"/>
  <c r="D879" i="336"/>
  <c r="C879" i="336"/>
  <c r="D878" i="336"/>
  <c r="C878" i="336"/>
  <c r="D877" i="336"/>
  <c r="C877" i="336"/>
  <c r="D876" i="336"/>
  <c r="C876" i="336"/>
  <c r="D875" i="336"/>
  <c r="C875" i="336"/>
  <c r="D874" i="336"/>
  <c r="C874" i="336"/>
  <c r="D873" i="336"/>
  <c r="C873" i="336"/>
  <c r="D872" i="336"/>
  <c r="C872" i="336"/>
  <c r="D871" i="336"/>
  <c r="C871" i="336"/>
  <c r="D870" i="336"/>
  <c r="C870" i="336"/>
  <c r="D869" i="336"/>
  <c r="C869" i="336"/>
  <c r="D868" i="336"/>
  <c r="C868" i="336"/>
  <c r="D867" i="336"/>
  <c r="C867" i="336"/>
  <c r="D866" i="336"/>
  <c r="C866" i="336"/>
  <c r="D865" i="336"/>
  <c r="C865" i="336"/>
  <c r="D864" i="336"/>
  <c r="C864" i="336"/>
  <c r="D863" i="336"/>
  <c r="C863" i="336"/>
  <c r="D862" i="336"/>
  <c r="C862" i="336"/>
  <c r="D861" i="336"/>
  <c r="C861" i="336"/>
  <c r="D860" i="336"/>
  <c r="C860" i="336"/>
  <c r="D859" i="336"/>
  <c r="C859" i="336"/>
  <c r="D858" i="336"/>
  <c r="C858" i="336"/>
  <c r="D857" i="336"/>
  <c r="C857" i="336"/>
  <c r="D856" i="336"/>
  <c r="C856" i="336"/>
  <c r="D855" i="336"/>
  <c r="C855" i="336"/>
  <c r="D854" i="336"/>
  <c r="C854" i="336"/>
  <c r="D853" i="336"/>
  <c r="C853" i="336"/>
  <c r="D852" i="336"/>
  <c r="C852" i="336"/>
  <c r="D851" i="336"/>
  <c r="C851" i="336"/>
  <c r="D850" i="336"/>
  <c r="C850" i="336"/>
  <c r="D849" i="336"/>
  <c r="C849" i="336"/>
  <c r="D848" i="336"/>
  <c r="C848" i="336"/>
  <c r="D847" i="336"/>
  <c r="C847" i="336"/>
  <c r="D846" i="336"/>
  <c r="C846" i="336"/>
  <c r="D845" i="336"/>
  <c r="C845" i="336"/>
  <c r="D844" i="336"/>
  <c r="C844" i="336"/>
  <c r="D843" i="336"/>
  <c r="C843" i="336"/>
  <c r="D842" i="336"/>
  <c r="C842" i="336"/>
  <c r="D841" i="336"/>
  <c r="C841" i="336"/>
  <c r="D840" i="336"/>
  <c r="C840" i="336"/>
  <c r="D839" i="336"/>
  <c r="C839" i="336"/>
  <c r="D838" i="336"/>
  <c r="C838" i="336"/>
  <c r="D837" i="336"/>
  <c r="C837" i="336"/>
  <c r="D836" i="336"/>
  <c r="C836" i="336"/>
  <c r="D835" i="336"/>
  <c r="C835" i="336"/>
  <c r="D834" i="336"/>
  <c r="C834" i="336"/>
  <c r="D833" i="336"/>
  <c r="C833" i="336"/>
  <c r="D832" i="336"/>
  <c r="C832" i="336"/>
  <c r="D831" i="336"/>
  <c r="C831" i="336"/>
  <c r="D830" i="336"/>
  <c r="C830" i="336"/>
  <c r="D829" i="336"/>
  <c r="C829" i="336"/>
  <c r="D828" i="336"/>
  <c r="C828" i="336"/>
  <c r="D827" i="336"/>
  <c r="C827" i="336"/>
  <c r="D826" i="336"/>
  <c r="C826" i="336"/>
  <c r="D825" i="336"/>
  <c r="C825" i="336"/>
  <c r="D824" i="336"/>
  <c r="C824" i="336"/>
  <c r="D823" i="336"/>
  <c r="C823" i="336"/>
  <c r="D822" i="336"/>
  <c r="C822" i="336"/>
  <c r="D821" i="336"/>
  <c r="C821" i="336"/>
  <c r="D820" i="336"/>
  <c r="C820" i="336"/>
  <c r="D819" i="336"/>
  <c r="C819" i="336"/>
  <c r="D818" i="336"/>
  <c r="C818" i="336"/>
  <c r="D817" i="336"/>
  <c r="C817" i="336"/>
  <c r="D816" i="336"/>
  <c r="C816" i="336"/>
  <c r="D815" i="336"/>
  <c r="C815" i="336"/>
  <c r="D814" i="336"/>
  <c r="C814" i="336"/>
  <c r="D813" i="336"/>
  <c r="C813" i="336"/>
  <c r="D812" i="336"/>
  <c r="C812" i="336"/>
  <c r="D811" i="336"/>
  <c r="C811" i="336"/>
  <c r="D810" i="336"/>
  <c r="C810" i="336"/>
  <c r="D809" i="336"/>
  <c r="C809" i="336"/>
  <c r="D808" i="336"/>
  <c r="C808" i="336"/>
  <c r="D807" i="336"/>
  <c r="C807" i="336"/>
  <c r="D806" i="336"/>
  <c r="C806" i="336"/>
  <c r="D805" i="336"/>
  <c r="C805" i="336"/>
  <c r="D804" i="336"/>
  <c r="C804" i="336"/>
  <c r="D803" i="336"/>
  <c r="C803" i="336"/>
  <c r="D802" i="336"/>
  <c r="C802" i="336"/>
  <c r="D801" i="336"/>
  <c r="C801" i="336"/>
  <c r="D800" i="336"/>
  <c r="C800" i="336"/>
  <c r="D799" i="336"/>
  <c r="C799" i="336"/>
  <c r="D798" i="336"/>
  <c r="C798" i="336"/>
  <c r="D797" i="336"/>
  <c r="C797" i="336"/>
  <c r="D796" i="336"/>
  <c r="C796" i="336"/>
  <c r="D795" i="336"/>
  <c r="C795" i="336"/>
  <c r="D794" i="336"/>
  <c r="C794" i="336"/>
  <c r="D793" i="336"/>
  <c r="C793" i="336"/>
  <c r="D792" i="336"/>
  <c r="C792" i="336"/>
  <c r="D791" i="336"/>
  <c r="C791" i="336"/>
  <c r="D790" i="336"/>
  <c r="C790" i="336"/>
  <c r="D789" i="336"/>
  <c r="C789" i="336"/>
  <c r="D788" i="336"/>
  <c r="C788" i="336"/>
  <c r="D787" i="336"/>
  <c r="C787" i="336"/>
  <c r="D786" i="336"/>
  <c r="C786" i="336"/>
  <c r="D785" i="336"/>
  <c r="C785" i="336"/>
  <c r="D784" i="336"/>
  <c r="C784" i="336"/>
  <c r="D783" i="336"/>
  <c r="C783" i="336"/>
  <c r="D782" i="336"/>
  <c r="C782" i="336"/>
  <c r="D781" i="336"/>
  <c r="C781" i="336"/>
  <c r="D780" i="336"/>
  <c r="C780" i="336"/>
  <c r="D779" i="336"/>
  <c r="C779" i="336"/>
  <c r="D778" i="336"/>
  <c r="C778" i="336"/>
  <c r="D777" i="336"/>
  <c r="C777" i="336"/>
  <c r="D776" i="336"/>
  <c r="C776" i="336"/>
  <c r="D775" i="336"/>
  <c r="C775" i="336"/>
  <c r="D774" i="336"/>
  <c r="C774" i="336"/>
  <c r="D773" i="336"/>
  <c r="C773" i="336"/>
  <c r="D772" i="336"/>
  <c r="C772" i="336"/>
  <c r="D771" i="336"/>
  <c r="C771" i="336"/>
  <c r="D770" i="336"/>
  <c r="C770" i="336"/>
  <c r="D769" i="336"/>
  <c r="C769" i="336"/>
  <c r="D768" i="336"/>
  <c r="C768" i="336"/>
  <c r="D767" i="336"/>
  <c r="C767" i="336"/>
  <c r="D766" i="336"/>
  <c r="C766" i="336"/>
  <c r="D765" i="336"/>
  <c r="C765" i="336"/>
  <c r="D764" i="336"/>
  <c r="C764" i="336"/>
  <c r="D763" i="336"/>
  <c r="C763" i="336"/>
  <c r="D762" i="336"/>
  <c r="C762" i="336"/>
  <c r="D761" i="336"/>
  <c r="C761" i="336"/>
  <c r="D760" i="336"/>
  <c r="C760" i="336"/>
  <c r="D759" i="336"/>
  <c r="C759" i="336"/>
  <c r="D758" i="336"/>
  <c r="C758" i="336"/>
  <c r="D757" i="336"/>
  <c r="C757" i="336"/>
  <c r="D756" i="336"/>
  <c r="C756" i="336"/>
  <c r="D755" i="336"/>
  <c r="C755" i="336"/>
  <c r="D754" i="336"/>
  <c r="C754" i="336"/>
  <c r="D753" i="336"/>
  <c r="C753" i="336"/>
  <c r="D752" i="336"/>
  <c r="C752" i="336"/>
  <c r="D751" i="336"/>
  <c r="C751" i="336"/>
  <c r="D750" i="336"/>
  <c r="C750" i="336"/>
  <c r="D749" i="336"/>
  <c r="C749" i="336"/>
  <c r="D748" i="336"/>
  <c r="C748" i="336"/>
  <c r="D747" i="336"/>
  <c r="C747" i="336"/>
  <c r="D746" i="336"/>
  <c r="C746" i="336"/>
  <c r="D745" i="336"/>
  <c r="C745" i="336"/>
  <c r="D744" i="336"/>
  <c r="C744" i="336"/>
  <c r="D743" i="336"/>
  <c r="C743" i="336"/>
  <c r="D742" i="336"/>
  <c r="C742" i="336"/>
  <c r="D741" i="336"/>
  <c r="C741" i="336"/>
  <c r="D740" i="336"/>
  <c r="C740" i="336"/>
  <c r="D739" i="336"/>
  <c r="C739" i="336"/>
  <c r="D738" i="336"/>
  <c r="C738" i="336"/>
  <c r="D737" i="336"/>
  <c r="C737" i="336"/>
  <c r="D736" i="336"/>
  <c r="C736" i="336"/>
  <c r="D735" i="336"/>
  <c r="C735" i="336"/>
  <c r="D734" i="336"/>
  <c r="C734" i="336"/>
  <c r="D733" i="336"/>
  <c r="C733" i="336"/>
  <c r="D732" i="336"/>
  <c r="C732" i="336"/>
  <c r="D731" i="336"/>
  <c r="C731" i="336"/>
  <c r="D730" i="336"/>
  <c r="C730" i="336"/>
  <c r="D729" i="336"/>
  <c r="C729" i="336"/>
  <c r="D728" i="336"/>
  <c r="C728" i="336"/>
  <c r="D727" i="336"/>
  <c r="C727" i="336"/>
  <c r="D726" i="336"/>
  <c r="C726" i="336"/>
  <c r="D725" i="336"/>
  <c r="C725" i="336"/>
  <c r="D724" i="336"/>
  <c r="C724" i="336"/>
  <c r="D723" i="336"/>
  <c r="C723" i="336"/>
  <c r="D722" i="336"/>
  <c r="C722" i="336"/>
  <c r="D721" i="336"/>
  <c r="C721" i="336"/>
  <c r="D720" i="336"/>
  <c r="C720" i="336"/>
  <c r="D719" i="336"/>
  <c r="C719" i="336"/>
  <c r="D718" i="336"/>
  <c r="C718" i="336"/>
  <c r="D717" i="336"/>
  <c r="C717" i="336"/>
  <c r="D716" i="336"/>
  <c r="C716" i="336"/>
  <c r="D715" i="336"/>
  <c r="C715" i="336"/>
  <c r="D714" i="336"/>
  <c r="C714" i="336"/>
  <c r="D713" i="336"/>
  <c r="C713" i="336"/>
  <c r="D712" i="336"/>
  <c r="C712" i="336"/>
  <c r="D711" i="336"/>
  <c r="C711" i="336"/>
  <c r="D710" i="336"/>
  <c r="C710" i="336"/>
  <c r="D709" i="336"/>
  <c r="C709" i="336"/>
  <c r="D708" i="336"/>
  <c r="C708" i="336"/>
  <c r="D707" i="336"/>
  <c r="C707" i="336"/>
  <c r="D706" i="336"/>
  <c r="C706" i="336"/>
  <c r="D705" i="336"/>
  <c r="C705" i="336"/>
  <c r="D704" i="336"/>
  <c r="C704" i="336"/>
  <c r="D703" i="336"/>
  <c r="C703" i="336"/>
  <c r="D702" i="336"/>
  <c r="C702" i="336"/>
  <c r="D701" i="336"/>
  <c r="C701" i="336"/>
  <c r="D700" i="336"/>
  <c r="C700" i="336"/>
  <c r="D699" i="336"/>
  <c r="C699" i="336"/>
  <c r="D698" i="336"/>
  <c r="C698" i="336"/>
  <c r="D697" i="336"/>
  <c r="C697" i="336"/>
  <c r="D696" i="336"/>
  <c r="C696" i="336"/>
  <c r="D695" i="336"/>
  <c r="C695" i="336"/>
  <c r="D694" i="336"/>
  <c r="C694" i="336"/>
  <c r="D693" i="336"/>
  <c r="C693" i="336"/>
  <c r="D692" i="336"/>
  <c r="C692" i="336"/>
  <c r="D691" i="336"/>
  <c r="C691" i="336"/>
  <c r="D690" i="336"/>
  <c r="C690" i="336"/>
  <c r="D689" i="336"/>
  <c r="C689" i="336"/>
  <c r="D688" i="336"/>
  <c r="C688" i="336"/>
  <c r="D687" i="336"/>
  <c r="C687" i="336"/>
  <c r="D686" i="336"/>
  <c r="C686" i="336"/>
  <c r="D685" i="336"/>
  <c r="C685" i="336"/>
  <c r="D684" i="336"/>
  <c r="C684" i="336"/>
  <c r="D683" i="336"/>
  <c r="C683" i="336"/>
  <c r="D682" i="336"/>
  <c r="C682" i="336"/>
  <c r="D681" i="336"/>
  <c r="C681" i="336"/>
  <c r="D680" i="336"/>
  <c r="C680" i="336"/>
  <c r="D679" i="336"/>
  <c r="C679" i="336"/>
  <c r="D678" i="336"/>
  <c r="C678" i="336"/>
  <c r="D677" i="336"/>
  <c r="C677" i="336"/>
  <c r="D676" i="336"/>
  <c r="C676" i="336"/>
  <c r="D675" i="336"/>
  <c r="C675" i="336"/>
  <c r="D674" i="336"/>
  <c r="C674" i="336"/>
  <c r="D673" i="336"/>
  <c r="C673" i="336"/>
  <c r="D672" i="336"/>
  <c r="C672" i="336"/>
  <c r="D671" i="336"/>
  <c r="C671" i="336"/>
  <c r="D670" i="336"/>
  <c r="C670" i="336"/>
  <c r="D669" i="336"/>
  <c r="C669" i="336"/>
  <c r="D668" i="336"/>
  <c r="C668" i="336"/>
  <c r="D667" i="336"/>
  <c r="C667" i="336"/>
  <c r="D666" i="336"/>
  <c r="C666" i="336"/>
  <c r="D665" i="336"/>
  <c r="C665" i="336"/>
  <c r="D664" i="336"/>
  <c r="C664" i="336"/>
  <c r="D663" i="336"/>
  <c r="C663" i="336"/>
  <c r="D662" i="336"/>
  <c r="C662" i="336"/>
  <c r="D661" i="336"/>
  <c r="C661" i="336"/>
  <c r="D660" i="336"/>
  <c r="C660" i="336"/>
  <c r="D659" i="336"/>
  <c r="C659" i="336"/>
  <c r="D658" i="336"/>
  <c r="C658" i="336"/>
  <c r="D657" i="336"/>
  <c r="C657" i="336"/>
  <c r="D656" i="336"/>
  <c r="C656" i="336"/>
  <c r="D655" i="336"/>
  <c r="C655" i="336"/>
  <c r="D654" i="336"/>
  <c r="C654" i="336"/>
  <c r="D653" i="336"/>
  <c r="C653" i="336"/>
  <c r="D652" i="336"/>
  <c r="C652" i="336"/>
  <c r="D651" i="336"/>
  <c r="C651" i="336"/>
  <c r="D650" i="336"/>
  <c r="C650" i="336"/>
  <c r="D649" i="336"/>
  <c r="C649" i="336"/>
  <c r="D648" i="336"/>
  <c r="C648" i="336"/>
  <c r="D647" i="336"/>
  <c r="C647" i="336"/>
  <c r="D646" i="336"/>
  <c r="C646" i="336"/>
  <c r="D645" i="336"/>
  <c r="C645" i="336"/>
  <c r="D644" i="336"/>
  <c r="C644" i="336"/>
  <c r="D643" i="336"/>
  <c r="C643" i="336"/>
  <c r="D642" i="336"/>
  <c r="C642" i="336"/>
  <c r="D641" i="336"/>
  <c r="C641" i="336"/>
  <c r="D640" i="336"/>
  <c r="C640" i="336"/>
  <c r="D639" i="336"/>
  <c r="C639" i="336"/>
  <c r="D638" i="336"/>
  <c r="C638" i="336"/>
  <c r="D637" i="336"/>
  <c r="C637" i="336"/>
  <c r="D636" i="336"/>
  <c r="C636" i="336"/>
  <c r="D635" i="336"/>
  <c r="C635" i="336"/>
  <c r="D634" i="336"/>
  <c r="C634" i="336"/>
  <c r="D633" i="336"/>
  <c r="C633" i="336"/>
  <c r="D632" i="336"/>
  <c r="C632" i="336"/>
  <c r="D631" i="336"/>
  <c r="C631" i="336"/>
  <c r="D630" i="336"/>
  <c r="C630" i="336"/>
  <c r="D629" i="336"/>
  <c r="C629" i="336"/>
  <c r="D628" i="336"/>
  <c r="C628" i="336"/>
  <c r="D627" i="336"/>
  <c r="C627" i="336"/>
  <c r="D626" i="336"/>
  <c r="C626" i="336"/>
  <c r="D625" i="336"/>
  <c r="C625" i="336"/>
  <c r="D624" i="336"/>
  <c r="C624" i="336"/>
  <c r="D623" i="336"/>
  <c r="C623" i="336"/>
  <c r="D622" i="336"/>
  <c r="C622" i="336"/>
  <c r="D621" i="336"/>
  <c r="C621" i="336"/>
  <c r="D620" i="336"/>
  <c r="C620" i="336"/>
  <c r="D619" i="336"/>
  <c r="C619" i="336"/>
  <c r="D618" i="336"/>
  <c r="C618" i="336"/>
  <c r="D617" i="336"/>
  <c r="C617" i="336"/>
  <c r="D616" i="336"/>
  <c r="C616" i="336"/>
  <c r="D615" i="336"/>
  <c r="C615" i="336"/>
  <c r="D614" i="336"/>
  <c r="C614" i="336"/>
  <c r="D613" i="336"/>
  <c r="C613" i="336"/>
  <c r="D612" i="336"/>
  <c r="C612" i="336"/>
  <c r="D611" i="336"/>
  <c r="C611" i="336"/>
  <c r="D610" i="336"/>
  <c r="C610" i="336"/>
  <c r="D609" i="336"/>
  <c r="C609" i="336"/>
  <c r="D608" i="336"/>
  <c r="C608" i="336"/>
  <c r="D607" i="336"/>
  <c r="C607" i="336"/>
  <c r="D606" i="336"/>
  <c r="C606" i="336"/>
  <c r="D605" i="336"/>
  <c r="C605" i="336"/>
  <c r="D604" i="336"/>
  <c r="C604" i="336"/>
  <c r="D603" i="336"/>
  <c r="C603" i="336"/>
  <c r="D602" i="336"/>
  <c r="C602" i="336"/>
  <c r="D601" i="336"/>
  <c r="C601" i="336"/>
  <c r="D600" i="336"/>
  <c r="C600" i="336"/>
  <c r="D599" i="336"/>
  <c r="C599" i="336"/>
  <c r="D598" i="336"/>
  <c r="C598" i="336"/>
  <c r="D597" i="336"/>
  <c r="C597" i="336"/>
  <c r="D596" i="336"/>
  <c r="C596" i="336"/>
  <c r="D595" i="336"/>
  <c r="C595" i="336"/>
  <c r="D594" i="336"/>
  <c r="C594" i="336"/>
  <c r="D593" i="336"/>
  <c r="C593" i="336"/>
  <c r="D592" i="336"/>
  <c r="C592" i="336"/>
  <c r="D591" i="336"/>
  <c r="C591" i="336"/>
  <c r="D590" i="336"/>
  <c r="C590" i="336"/>
  <c r="D589" i="336"/>
  <c r="C589" i="336"/>
  <c r="D588" i="336"/>
  <c r="C588" i="336"/>
  <c r="D587" i="336"/>
  <c r="C587" i="336"/>
  <c r="D586" i="336"/>
  <c r="C586" i="336"/>
  <c r="D585" i="336"/>
  <c r="C585" i="336"/>
  <c r="D584" i="336"/>
  <c r="C584" i="336"/>
  <c r="D583" i="336"/>
  <c r="C583" i="336"/>
  <c r="D582" i="336"/>
  <c r="C582" i="336"/>
  <c r="D581" i="336"/>
  <c r="C581" i="336"/>
  <c r="D580" i="336"/>
  <c r="C580" i="336"/>
  <c r="D579" i="336"/>
  <c r="C579" i="336"/>
  <c r="D578" i="336"/>
  <c r="C578" i="336"/>
  <c r="D577" i="336"/>
  <c r="C577" i="336"/>
  <c r="D576" i="336"/>
  <c r="C576" i="336"/>
  <c r="D575" i="336"/>
  <c r="C575" i="336"/>
  <c r="D574" i="336"/>
  <c r="C574" i="336"/>
  <c r="D573" i="336"/>
  <c r="C573" i="336"/>
  <c r="D572" i="336"/>
  <c r="C572" i="336"/>
  <c r="D571" i="336"/>
  <c r="C571" i="336"/>
  <c r="D570" i="336"/>
  <c r="C570" i="336"/>
  <c r="D569" i="336"/>
  <c r="C569" i="336"/>
  <c r="D568" i="336"/>
  <c r="C568" i="336"/>
  <c r="D567" i="336"/>
  <c r="C567" i="336"/>
  <c r="D566" i="336"/>
  <c r="C566" i="336"/>
  <c r="D565" i="336"/>
  <c r="C565" i="336"/>
  <c r="D564" i="336"/>
  <c r="C564" i="336"/>
  <c r="D563" i="336"/>
  <c r="C563" i="336"/>
  <c r="D562" i="336"/>
  <c r="C562" i="336"/>
  <c r="D561" i="336"/>
  <c r="C561" i="336"/>
  <c r="D560" i="336"/>
  <c r="C560" i="336"/>
  <c r="D559" i="336"/>
  <c r="C559" i="336"/>
  <c r="D558" i="336"/>
  <c r="C558" i="336"/>
  <c r="D557" i="336"/>
  <c r="C557" i="336"/>
  <c r="D556" i="336"/>
  <c r="C556" i="336"/>
  <c r="D555" i="336"/>
  <c r="C555" i="336"/>
  <c r="D554" i="336"/>
  <c r="C554" i="336"/>
  <c r="D553" i="336"/>
  <c r="C553" i="336"/>
  <c r="D552" i="336"/>
  <c r="C552" i="336"/>
  <c r="D551" i="336"/>
  <c r="C551" i="336"/>
  <c r="D550" i="336"/>
  <c r="C550" i="336"/>
  <c r="D549" i="336"/>
  <c r="C549" i="336"/>
  <c r="D548" i="336"/>
  <c r="C548" i="336"/>
  <c r="D547" i="336"/>
  <c r="C547" i="336"/>
  <c r="D546" i="336"/>
  <c r="C546" i="336"/>
  <c r="D545" i="336"/>
  <c r="C545" i="336"/>
  <c r="D544" i="336"/>
  <c r="C544" i="336"/>
  <c r="D543" i="336"/>
  <c r="C543" i="336"/>
  <c r="D542" i="336"/>
  <c r="C542" i="336"/>
  <c r="D541" i="336"/>
  <c r="C541" i="336"/>
  <c r="D540" i="336"/>
  <c r="C540" i="336"/>
  <c r="D539" i="336"/>
  <c r="C539" i="336"/>
  <c r="D538" i="336"/>
  <c r="C538" i="336"/>
  <c r="D537" i="336"/>
  <c r="C537" i="336"/>
  <c r="D536" i="336"/>
  <c r="C536" i="336"/>
  <c r="D535" i="336"/>
  <c r="C535" i="336"/>
  <c r="D534" i="336"/>
  <c r="C534" i="336"/>
  <c r="D533" i="336"/>
  <c r="C533" i="336"/>
  <c r="D532" i="336"/>
  <c r="C532" i="336"/>
  <c r="D531" i="336"/>
  <c r="C531" i="336"/>
  <c r="D530" i="336"/>
  <c r="C530" i="336"/>
  <c r="D529" i="336"/>
  <c r="C529" i="336"/>
  <c r="D528" i="336"/>
  <c r="C528" i="336"/>
  <c r="D527" i="336"/>
  <c r="C527" i="336"/>
  <c r="D526" i="336"/>
  <c r="C526" i="336"/>
  <c r="D525" i="336"/>
  <c r="C525" i="336"/>
  <c r="D524" i="336"/>
  <c r="C524" i="336"/>
  <c r="D523" i="336"/>
  <c r="C523" i="336"/>
  <c r="D522" i="336"/>
  <c r="C522" i="336"/>
  <c r="D521" i="336"/>
  <c r="C521" i="336"/>
  <c r="D520" i="336"/>
  <c r="C520" i="336"/>
  <c r="D519" i="336"/>
  <c r="C519" i="336"/>
  <c r="D518" i="336"/>
  <c r="C518" i="336"/>
  <c r="D517" i="336"/>
  <c r="C517" i="336"/>
  <c r="D516" i="336"/>
  <c r="C516" i="336"/>
  <c r="D515" i="336"/>
  <c r="C515" i="336"/>
  <c r="D514" i="336"/>
  <c r="C514" i="336"/>
  <c r="D513" i="336"/>
  <c r="C513" i="336"/>
  <c r="D512" i="336"/>
  <c r="C512" i="336"/>
  <c r="D511" i="336"/>
  <c r="C511" i="336"/>
  <c r="D510" i="336"/>
  <c r="C510" i="336"/>
  <c r="D509" i="336"/>
  <c r="C509" i="336"/>
  <c r="D508" i="336"/>
  <c r="C508" i="336"/>
  <c r="D507" i="336"/>
  <c r="C507" i="336"/>
  <c r="D506" i="336"/>
  <c r="C506" i="336"/>
  <c r="D505" i="336"/>
  <c r="C505" i="336"/>
  <c r="D504" i="336"/>
  <c r="C504" i="336"/>
  <c r="D503" i="336"/>
  <c r="C503" i="336"/>
  <c r="D502" i="336"/>
  <c r="C502" i="336"/>
  <c r="D501" i="336"/>
  <c r="C501" i="336"/>
  <c r="D500" i="336"/>
  <c r="C500" i="336"/>
  <c r="D499" i="336"/>
  <c r="C499" i="336"/>
  <c r="D498" i="336"/>
  <c r="C498" i="336"/>
  <c r="D497" i="336"/>
  <c r="C497" i="336"/>
  <c r="D496" i="336"/>
  <c r="C496" i="336"/>
  <c r="D495" i="336"/>
  <c r="C495" i="336"/>
  <c r="D494" i="336"/>
  <c r="C494" i="336"/>
  <c r="D493" i="336"/>
  <c r="C493" i="336"/>
  <c r="D492" i="336"/>
  <c r="C492" i="336"/>
  <c r="D491" i="336"/>
  <c r="C491" i="336"/>
  <c r="D490" i="336"/>
  <c r="C490" i="336"/>
  <c r="D489" i="336"/>
  <c r="C489" i="336"/>
  <c r="D488" i="336"/>
  <c r="C488" i="336"/>
  <c r="D487" i="336"/>
  <c r="C487" i="336"/>
  <c r="D486" i="336"/>
  <c r="C486" i="336"/>
  <c r="D485" i="336"/>
  <c r="C485" i="336"/>
  <c r="D484" i="336"/>
  <c r="C484" i="336"/>
  <c r="D483" i="336"/>
  <c r="C483" i="336"/>
  <c r="D482" i="336"/>
  <c r="C482" i="336"/>
  <c r="D481" i="336"/>
  <c r="C481" i="336"/>
  <c r="D480" i="336"/>
  <c r="C480" i="336"/>
  <c r="D479" i="336"/>
  <c r="C479" i="336"/>
  <c r="D478" i="336"/>
  <c r="C478" i="336"/>
  <c r="D477" i="336"/>
  <c r="C477" i="336"/>
  <c r="D476" i="336"/>
  <c r="C476" i="336"/>
  <c r="D475" i="336"/>
  <c r="C475" i="336"/>
  <c r="D474" i="336"/>
  <c r="C474" i="336"/>
  <c r="D473" i="336"/>
  <c r="C473" i="336"/>
  <c r="D472" i="336"/>
  <c r="C472" i="336"/>
  <c r="D471" i="336"/>
  <c r="C471" i="336"/>
  <c r="D470" i="336"/>
  <c r="C470" i="336"/>
  <c r="D469" i="336"/>
  <c r="C469" i="336"/>
  <c r="D468" i="336"/>
  <c r="C468" i="336"/>
  <c r="D467" i="336"/>
  <c r="C467" i="336"/>
  <c r="D466" i="336"/>
  <c r="C466" i="336"/>
  <c r="D465" i="336"/>
  <c r="C465" i="336"/>
  <c r="D464" i="336"/>
  <c r="C464" i="336"/>
  <c r="D463" i="336"/>
  <c r="C463" i="336"/>
  <c r="D462" i="336"/>
  <c r="C462" i="336"/>
  <c r="D461" i="336"/>
  <c r="C461" i="336"/>
  <c r="D460" i="336"/>
  <c r="C460" i="336"/>
  <c r="D459" i="336"/>
  <c r="C459" i="336"/>
  <c r="D458" i="336"/>
  <c r="C458" i="336"/>
  <c r="D457" i="336"/>
  <c r="C457" i="336"/>
  <c r="D456" i="336"/>
  <c r="C456" i="336"/>
  <c r="D455" i="336"/>
  <c r="C455" i="336"/>
  <c r="D454" i="336"/>
  <c r="C454" i="336"/>
  <c r="D453" i="336"/>
  <c r="C453" i="336"/>
  <c r="D452" i="336"/>
  <c r="C452" i="336"/>
  <c r="D451" i="336"/>
  <c r="C451" i="336"/>
  <c r="D450" i="336"/>
  <c r="C450" i="336"/>
  <c r="D449" i="336"/>
  <c r="C449" i="336"/>
  <c r="D448" i="336"/>
  <c r="C448" i="336"/>
  <c r="D447" i="336"/>
  <c r="C447" i="336"/>
  <c r="D446" i="336"/>
  <c r="C446" i="336"/>
  <c r="D445" i="336"/>
  <c r="C445" i="336"/>
  <c r="D444" i="336"/>
  <c r="C444" i="336"/>
  <c r="D443" i="336"/>
  <c r="C443" i="336"/>
  <c r="D442" i="336"/>
  <c r="C442" i="336"/>
  <c r="D441" i="336"/>
  <c r="C441" i="336"/>
  <c r="D440" i="336"/>
  <c r="C440" i="336"/>
  <c r="D439" i="336"/>
  <c r="C439" i="336"/>
  <c r="D438" i="336"/>
  <c r="C438" i="336"/>
  <c r="D437" i="336"/>
  <c r="C437" i="336"/>
  <c r="D436" i="336"/>
  <c r="C436" i="336"/>
  <c r="D435" i="336"/>
  <c r="C435" i="336"/>
  <c r="D434" i="336"/>
  <c r="C434" i="336"/>
  <c r="D433" i="336"/>
  <c r="C433" i="336"/>
  <c r="D432" i="336"/>
  <c r="C432" i="336"/>
  <c r="D431" i="336"/>
  <c r="C431" i="336"/>
  <c r="D430" i="336"/>
  <c r="C430" i="336"/>
  <c r="D429" i="336"/>
  <c r="C429" i="336"/>
  <c r="D428" i="336"/>
  <c r="C428" i="336"/>
  <c r="D427" i="336"/>
  <c r="C427" i="336"/>
  <c r="D426" i="336"/>
  <c r="C426" i="336"/>
  <c r="D425" i="336"/>
  <c r="C425" i="336"/>
  <c r="D424" i="336"/>
  <c r="C424" i="336"/>
  <c r="D423" i="336"/>
  <c r="C423" i="336"/>
  <c r="D422" i="336"/>
  <c r="C422" i="336"/>
  <c r="D421" i="336"/>
  <c r="C421" i="336"/>
  <c r="D420" i="336"/>
  <c r="C420" i="336"/>
  <c r="D419" i="336"/>
  <c r="C419" i="336"/>
  <c r="D418" i="336"/>
  <c r="C418" i="336"/>
  <c r="D417" i="336"/>
  <c r="C417" i="336"/>
  <c r="D416" i="336"/>
  <c r="C416" i="336"/>
  <c r="D415" i="336"/>
  <c r="C415" i="336"/>
  <c r="D414" i="336"/>
  <c r="C414" i="336"/>
  <c r="D413" i="336"/>
  <c r="C413" i="336"/>
  <c r="D412" i="336"/>
  <c r="C412" i="336"/>
  <c r="D411" i="336"/>
  <c r="C411" i="336"/>
  <c r="D410" i="336"/>
  <c r="C410" i="336"/>
  <c r="D409" i="336"/>
  <c r="C409" i="336"/>
  <c r="D408" i="336"/>
  <c r="C408" i="336"/>
  <c r="D407" i="336"/>
  <c r="C407" i="336"/>
  <c r="D406" i="336"/>
  <c r="C406" i="336"/>
  <c r="D405" i="336"/>
  <c r="C405" i="336"/>
  <c r="D404" i="336"/>
  <c r="C404" i="336"/>
  <c r="D403" i="336"/>
  <c r="C403" i="336"/>
  <c r="D402" i="336"/>
  <c r="C402" i="336"/>
  <c r="D401" i="336"/>
  <c r="C401" i="336"/>
  <c r="D400" i="336"/>
  <c r="C400" i="336"/>
  <c r="D399" i="336"/>
  <c r="C399" i="336"/>
  <c r="D398" i="336"/>
  <c r="C398" i="336"/>
  <c r="D397" i="336"/>
  <c r="C397" i="336"/>
  <c r="D396" i="336"/>
  <c r="C396" i="336"/>
  <c r="D395" i="336"/>
  <c r="C395" i="336"/>
  <c r="D394" i="336"/>
  <c r="C394" i="336"/>
  <c r="D393" i="336"/>
  <c r="C393" i="336"/>
  <c r="D392" i="336"/>
  <c r="C392" i="336"/>
  <c r="D391" i="336"/>
  <c r="C391" i="336"/>
  <c r="D390" i="336"/>
  <c r="C390" i="336"/>
  <c r="D389" i="336"/>
  <c r="C389" i="336"/>
  <c r="D388" i="336"/>
  <c r="C388" i="336"/>
  <c r="D387" i="336"/>
  <c r="C387" i="336"/>
  <c r="D386" i="336"/>
  <c r="C386" i="336"/>
  <c r="D385" i="336"/>
  <c r="C385" i="336"/>
  <c r="D384" i="336"/>
  <c r="C384" i="336"/>
  <c r="D383" i="336"/>
  <c r="C383" i="336"/>
  <c r="D382" i="336"/>
  <c r="C382" i="336"/>
  <c r="D381" i="336"/>
  <c r="C381" i="336"/>
  <c r="D380" i="336"/>
  <c r="C380" i="336"/>
  <c r="D379" i="336"/>
  <c r="C379" i="336"/>
  <c r="D378" i="336"/>
  <c r="C378" i="336"/>
  <c r="D377" i="336"/>
  <c r="C377" i="336"/>
  <c r="D376" i="336"/>
  <c r="C376" i="336"/>
  <c r="D375" i="336"/>
  <c r="C375" i="336"/>
  <c r="D374" i="336"/>
  <c r="C374" i="336"/>
  <c r="D373" i="336"/>
  <c r="C373" i="336"/>
  <c r="D372" i="336"/>
  <c r="C372" i="336"/>
  <c r="D371" i="336"/>
  <c r="C371" i="336"/>
  <c r="D370" i="336"/>
  <c r="C370" i="336"/>
  <c r="D369" i="336"/>
  <c r="C369" i="336"/>
  <c r="D368" i="336"/>
  <c r="C368" i="336"/>
  <c r="D367" i="336"/>
  <c r="C367" i="336"/>
  <c r="D366" i="336"/>
  <c r="C366" i="336"/>
  <c r="D365" i="336"/>
  <c r="C365" i="336"/>
  <c r="D364" i="336"/>
  <c r="C364" i="336"/>
  <c r="D363" i="336"/>
  <c r="C363" i="336"/>
  <c r="D362" i="336"/>
  <c r="C362" i="336"/>
  <c r="D361" i="336"/>
  <c r="C361" i="336"/>
  <c r="D360" i="336"/>
  <c r="C360" i="336"/>
  <c r="D359" i="336"/>
  <c r="C359" i="336"/>
  <c r="D358" i="336"/>
  <c r="C358" i="336"/>
  <c r="D357" i="336"/>
  <c r="C357" i="336"/>
  <c r="D356" i="336"/>
  <c r="C356" i="336"/>
  <c r="D355" i="336"/>
  <c r="C355" i="336"/>
  <c r="D354" i="336"/>
  <c r="C354" i="336"/>
  <c r="D353" i="336"/>
  <c r="C353" i="336"/>
  <c r="D352" i="336"/>
  <c r="C352" i="336"/>
  <c r="D351" i="336"/>
  <c r="C351" i="336"/>
  <c r="D350" i="336"/>
  <c r="C350" i="336"/>
  <c r="D349" i="336"/>
  <c r="C349" i="336"/>
  <c r="D348" i="336"/>
  <c r="C348" i="336"/>
  <c r="D347" i="336"/>
  <c r="C347" i="336"/>
  <c r="D346" i="336"/>
  <c r="C346" i="336"/>
  <c r="D345" i="336"/>
  <c r="C345" i="336"/>
  <c r="D344" i="336"/>
  <c r="C344" i="336"/>
  <c r="D343" i="336"/>
  <c r="C343" i="336"/>
  <c r="D342" i="336"/>
  <c r="C342" i="336"/>
  <c r="D341" i="336"/>
  <c r="C341" i="336"/>
  <c r="D340" i="336"/>
  <c r="C340" i="336"/>
  <c r="D339" i="336"/>
  <c r="C339" i="336"/>
  <c r="D338" i="336"/>
  <c r="C338" i="336"/>
  <c r="D337" i="336"/>
  <c r="C337" i="336"/>
  <c r="D336" i="336"/>
  <c r="C336" i="336"/>
  <c r="D335" i="336"/>
  <c r="C335" i="336"/>
  <c r="D334" i="336"/>
  <c r="C334" i="336"/>
  <c r="D333" i="336"/>
  <c r="C333" i="336"/>
  <c r="D332" i="336"/>
  <c r="C332" i="336"/>
  <c r="D331" i="336"/>
  <c r="C331" i="336"/>
  <c r="D330" i="336"/>
  <c r="C330" i="336"/>
  <c r="D329" i="336"/>
  <c r="C329" i="336"/>
  <c r="D328" i="336"/>
  <c r="C328" i="336"/>
  <c r="D327" i="336"/>
  <c r="C327" i="336"/>
  <c r="D326" i="336"/>
  <c r="C326" i="336"/>
  <c r="D325" i="336"/>
  <c r="C325" i="336"/>
  <c r="D324" i="336"/>
  <c r="C324" i="336"/>
  <c r="D323" i="336"/>
  <c r="C323" i="336"/>
  <c r="D322" i="336"/>
  <c r="C322" i="336"/>
  <c r="D321" i="336"/>
  <c r="C321" i="336"/>
  <c r="D320" i="336"/>
  <c r="C320" i="336"/>
  <c r="D319" i="336"/>
  <c r="C319" i="336"/>
  <c r="D318" i="336"/>
  <c r="C318" i="336"/>
  <c r="D317" i="336"/>
  <c r="C317" i="336"/>
  <c r="D316" i="336"/>
  <c r="C316" i="336"/>
  <c r="D315" i="336"/>
  <c r="C315" i="336"/>
  <c r="D314" i="336"/>
  <c r="C314" i="336"/>
  <c r="D313" i="336"/>
  <c r="C313" i="336"/>
  <c r="D312" i="336"/>
  <c r="C312" i="336"/>
  <c r="D311" i="336"/>
  <c r="C311" i="336"/>
  <c r="D310" i="336"/>
  <c r="C310" i="336"/>
  <c r="D309" i="336"/>
  <c r="C309" i="336"/>
  <c r="D308" i="336"/>
  <c r="C308" i="336"/>
  <c r="D307" i="336"/>
  <c r="C307" i="336"/>
  <c r="D306" i="336"/>
  <c r="C306" i="336"/>
  <c r="D305" i="336"/>
  <c r="C305" i="336"/>
  <c r="D304" i="336"/>
  <c r="C304" i="336"/>
  <c r="D303" i="336"/>
  <c r="C303" i="336"/>
  <c r="D302" i="336"/>
  <c r="C302" i="336"/>
  <c r="D301" i="336"/>
  <c r="C301" i="336"/>
  <c r="D300" i="336"/>
  <c r="C300" i="336"/>
  <c r="D299" i="336"/>
  <c r="C299" i="336"/>
  <c r="D298" i="336"/>
  <c r="C298" i="336"/>
  <c r="D297" i="336"/>
  <c r="C297" i="336"/>
  <c r="D296" i="336"/>
  <c r="C296" i="336"/>
  <c r="D295" i="336"/>
  <c r="C295" i="336"/>
  <c r="D294" i="336"/>
  <c r="C294" i="336"/>
  <c r="D293" i="336"/>
  <c r="C293" i="336"/>
  <c r="D292" i="336"/>
  <c r="C292" i="336"/>
  <c r="D291" i="336"/>
  <c r="C291" i="336"/>
  <c r="D290" i="336"/>
  <c r="C290" i="336"/>
  <c r="D289" i="336"/>
  <c r="C289" i="336"/>
  <c r="D288" i="336"/>
  <c r="C288" i="336"/>
  <c r="D287" i="336"/>
  <c r="C287" i="336"/>
  <c r="D286" i="336"/>
  <c r="C286" i="336"/>
  <c r="D285" i="336"/>
  <c r="C285" i="336"/>
  <c r="D284" i="336"/>
  <c r="C284" i="336"/>
  <c r="D283" i="336"/>
  <c r="C283" i="336"/>
  <c r="D282" i="336"/>
  <c r="C282" i="336"/>
  <c r="D281" i="336"/>
  <c r="C281" i="336"/>
  <c r="D280" i="336"/>
  <c r="C280" i="336"/>
  <c r="D279" i="336"/>
  <c r="C279" i="336"/>
  <c r="D278" i="336"/>
  <c r="C278" i="336"/>
  <c r="D277" i="336"/>
  <c r="C277" i="336"/>
  <c r="D276" i="336"/>
  <c r="C276" i="336"/>
  <c r="D275" i="336"/>
  <c r="C275" i="336"/>
  <c r="D274" i="336"/>
  <c r="C274" i="336"/>
  <c r="D273" i="336"/>
  <c r="C273" i="336"/>
  <c r="D272" i="336"/>
  <c r="C272" i="336"/>
  <c r="D271" i="336"/>
  <c r="C271" i="336"/>
  <c r="D270" i="336"/>
  <c r="C270" i="336"/>
  <c r="D269" i="336"/>
  <c r="C269" i="336"/>
  <c r="D268" i="336"/>
  <c r="C268" i="336"/>
  <c r="D267" i="336"/>
  <c r="C267" i="336"/>
  <c r="D266" i="336"/>
  <c r="C266" i="336"/>
  <c r="D265" i="336"/>
  <c r="C265" i="336"/>
  <c r="D264" i="336"/>
  <c r="C264" i="336"/>
  <c r="D263" i="336"/>
  <c r="C263" i="336"/>
  <c r="D262" i="336"/>
  <c r="C262" i="336"/>
  <c r="D261" i="336"/>
  <c r="C261" i="336"/>
  <c r="D260" i="336"/>
  <c r="C260" i="336"/>
  <c r="D259" i="336"/>
  <c r="C259" i="336"/>
  <c r="D258" i="336"/>
  <c r="C258" i="336"/>
  <c r="D257" i="336"/>
  <c r="C257" i="336"/>
  <c r="D256" i="336"/>
  <c r="C256" i="336"/>
  <c r="D255" i="336"/>
  <c r="C255" i="336"/>
  <c r="D254" i="336"/>
  <c r="C254" i="336"/>
  <c r="D253" i="336"/>
  <c r="C253" i="336"/>
  <c r="D252" i="336"/>
  <c r="C252" i="336"/>
  <c r="D251" i="336"/>
  <c r="C251" i="336"/>
  <c r="D250" i="336"/>
  <c r="C250" i="336"/>
  <c r="D249" i="336"/>
  <c r="C249" i="336"/>
  <c r="D248" i="336"/>
  <c r="C248" i="336"/>
  <c r="D247" i="336"/>
  <c r="C247" i="336"/>
  <c r="D246" i="336"/>
  <c r="C246" i="336"/>
  <c r="D245" i="336"/>
  <c r="C245" i="336"/>
  <c r="D244" i="336"/>
  <c r="C244" i="336"/>
  <c r="D243" i="336"/>
  <c r="C243" i="336"/>
  <c r="D242" i="336"/>
  <c r="C242" i="336"/>
  <c r="D241" i="336"/>
  <c r="C241" i="336"/>
  <c r="D240" i="336"/>
  <c r="C240" i="336"/>
  <c r="D239" i="336"/>
  <c r="C239" i="336"/>
  <c r="D238" i="336"/>
  <c r="C238" i="336"/>
  <c r="D237" i="336"/>
  <c r="C237" i="336"/>
  <c r="D236" i="336"/>
  <c r="C236" i="336"/>
  <c r="D235" i="336"/>
  <c r="C235" i="336"/>
  <c r="D234" i="336"/>
  <c r="C234" i="336"/>
  <c r="D233" i="336"/>
  <c r="C233" i="336"/>
  <c r="D232" i="336"/>
  <c r="C232" i="336"/>
  <c r="D231" i="336"/>
  <c r="C231" i="336"/>
  <c r="D230" i="336"/>
  <c r="C230" i="336"/>
  <c r="D229" i="336"/>
  <c r="C229" i="336"/>
  <c r="D228" i="336"/>
  <c r="C228" i="336"/>
  <c r="D227" i="336"/>
  <c r="C227" i="336"/>
  <c r="D226" i="336"/>
  <c r="C226" i="336"/>
  <c r="D225" i="336"/>
  <c r="C225" i="336"/>
  <c r="D224" i="336"/>
  <c r="C224" i="336"/>
  <c r="D223" i="336"/>
  <c r="C223" i="336"/>
  <c r="D222" i="336"/>
  <c r="C222" i="336"/>
  <c r="D221" i="336"/>
  <c r="C221" i="336"/>
  <c r="D220" i="336"/>
  <c r="C220" i="336"/>
  <c r="D219" i="336"/>
  <c r="C219" i="336"/>
  <c r="D218" i="336"/>
  <c r="C218" i="336"/>
  <c r="D217" i="336"/>
  <c r="C217" i="336"/>
  <c r="D216" i="336"/>
  <c r="C216" i="336"/>
  <c r="D215" i="336"/>
  <c r="C215" i="336"/>
  <c r="D214" i="336"/>
  <c r="C214" i="336"/>
  <c r="D213" i="336"/>
  <c r="C213" i="336"/>
  <c r="D212" i="336"/>
  <c r="C212" i="336"/>
  <c r="D211" i="336"/>
  <c r="C211" i="336"/>
  <c r="D210" i="336"/>
  <c r="C210" i="336"/>
  <c r="D209" i="336"/>
  <c r="C209" i="336"/>
  <c r="D208" i="336"/>
  <c r="C208" i="336"/>
  <c r="D207" i="336"/>
  <c r="C207" i="336"/>
  <c r="D206" i="336"/>
  <c r="C206" i="336"/>
  <c r="D205" i="336"/>
  <c r="C205" i="336"/>
  <c r="D204" i="336"/>
  <c r="C204" i="336"/>
  <c r="D203" i="336"/>
  <c r="C203" i="336"/>
  <c r="D202" i="336"/>
  <c r="C202" i="336"/>
  <c r="D201" i="336"/>
  <c r="C201" i="336"/>
  <c r="D200" i="336"/>
  <c r="C200" i="336"/>
  <c r="D199" i="336"/>
  <c r="C199" i="336"/>
  <c r="D198" i="336"/>
  <c r="C198" i="336"/>
  <c r="D197" i="336"/>
  <c r="C197" i="336"/>
  <c r="D196" i="336"/>
  <c r="C196" i="336"/>
  <c r="D195" i="336"/>
  <c r="C195" i="336"/>
  <c r="D194" i="336"/>
  <c r="C194" i="336"/>
  <c r="D193" i="336"/>
  <c r="C193" i="336"/>
  <c r="D192" i="336"/>
  <c r="C192" i="336"/>
  <c r="D191" i="336"/>
  <c r="C191" i="336"/>
  <c r="D190" i="336"/>
  <c r="C190" i="336"/>
  <c r="D189" i="336"/>
  <c r="C189" i="336"/>
  <c r="D188" i="336"/>
  <c r="C188" i="336"/>
  <c r="D187" i="336"/>
  <c r="C187" i="336"/>
  <c r="D186" i="336"/>
  <c r="C186" i="336"/>
  <c r="D185" i="336"/>
  <c r="C185" i="336"/>
  <c r="D184" i="336"/>
  <c r="C184" i="336"/>
  <c r="D183" i="336"/>
  <c r="C183" i="336"/>
  <c r="D182" i="336"/>
  <c r="C182" i="336"/>
  <c r="D181" i="336"/>
  <c r="C181" i="336"/>
  <c r="D180" i="336"/>
  <c r="C180" i="336"/>
  <c r="D179" i="336"/>
  <c r="C179" i="336"/>
  <c r="D178" i="336"/>
  <c r="C178" i="336"/>
  <c r="D177" i="336"/>
  <c r="C177" i="336"/>
  <c r="D176" i="336"/>
  <c r="C176" i="336"/>
  <c r="D175" i="336"/>
  <c r="C175" i="336"/>
  <c r="D174" i="336"/>
  <c r="C174" i="336"/>
  <c r="D173" i="336"/>
  <c r="C173" i="336"/>
  <c r="D172" i="336"/>
  <c r="C172" i="336"/>
  <c r="D171" i="336"/>
  <c r="C171" i="336"/>
  <c r="D170" i="336"/>
  <c r="C170" i="336"/>
  <c r="D169" i="336"/>
  <c r="C169" i="336"/>
  <c r="D168" i="336"/>
  <c r="C168" i="336"/>
  <c r="D167" i="336"/>
  <c r="C167" i="336"/>
  <c r="D166" i="336"/>
  <c r="C166" i="336"/>
  <c r="D165" i="336"/>
  <c r="C165" i="336"/>
  <c r="D164" i="336"/>
  <c r="C164" i="336"/>
  <c r="D163" i="336"/>
  <c r="C163" i="336"/>
  <c r="D162" i="336"/>
  <c r="C162" i="336"/>
  <c r="D161" i="336"/>
  <c r="C161" i="336"/>
  <c r="D160" i="336"/>
  <c r="C160" i="336"/>
  <c r="D159" i="336"/>
  <c r="C159" i="336"/>
  <c r="D158" i="336"/>
  <c r="C158" i="336"/>
  <c r="D157" i="336"/>
  <c r="C157" i="336"/>
  <c r="D156" i="336"/>
  <c r="C156" i="336"/>
  <c r="D155" i="336"/>
  <c r="C155" i="336"/>
  <c r="D154" i="336"/>
  <c r="C154" i="336"/>
  <c r="D153" i="336"/>
  <c r="C153" i="336"/>
  <c r="D152" i="336"/>
  <c r="C152" i="336"/>
  <c r="D151" i="336"/>
  <c r="C151" i="336"/>
  <c r="D150" i="336"/>
  <c r="C150" i="336"/>
  <c r="D149" i="336"/>
  <c r="C149" i="336"/>
  <c r="D148" i="336"/>
  <c r="C148" i="336"/>
  <c r="D147" i="336"/>
  <c r="C147" i="336"/>
  <c r="D146" i="336"/>
  <c r="C146" i="336"/>
  <c r="D145" i="336"/>
  <c r="C145" i="336"/>
  <c r="D144" i="336"/>
  <c r="C144" i="336"/>
  <c r="D143" i="336"/>
  <c r="C143" i="336"/>
  <c r="D142" i="336"/>
  <c r="C142" i="336"/>
  <c r="D141" i="336"/>
  <c r="C141" i="336"/>
  <c r="D140" i="336"/>
  <c r="C140" i="336"/>
  <c r="D139" i="336"/>
  <c r="C139" i="336"/>
  <c r="D138" i="336"/>
  <c r="C138" i="336"/>
  <c r="D137" i="336"/>
  <c r="C137" i="336"/>
  <c r="D136" i="336"/>
  <c r="C136" i="336"/>
  <c r="D135" i="336"/>
  <c r="C135" i="336"/>
  <c r="D134" i="336"/>
  <c r="C134" i="336"/>
  <c r="D133" i="336"/>
  <c r="C133" i="336"/>
  <c r="D132" i="336"/>
  <c r="C132" i="336"/>
  <c r="D131" i="336"/>
  <c r="C131" i="336"/>
  <c r="D130" i="336"/>
  <c r="C130" i="336"/>
  <c r="D129" i="336"/>
  <c r="C129" i="336"/>
  <c r="D128" i="336"/>
  <c r="C128" i="336"/>
  <c r="D127" i="336"/>
  <c r="C127" i="336"/>
  <c r="D126" i="336"/>
  <c r="C126" i="336"/>
  <c r="D125" i="336"/>
  <c r="C125" i="336"/>
  <c r="D124" i="336"/>
  <c r="C124" i="336"/>
  <c r="D123" i="336"/>
  <c r="C123" i="336"/>
  <c r="D122" i="336"/>
  <c r="C122" i="336"/>
  <c r="D121" i="336"/>
  <c r="C121" i="336"/>
  <c r="D120" i="336"/>
  <c r="C120" i="336"/>
  <c r="D119" i="336"/>
  <c r="C119" i="336"/>
  <c r="D118" i="336"/>
  <c r="C118" i="336"/>
  <c r="D117" i="336"/>
  <c r="C117" i="336"/>
  <c r="D116" i="336"/>
  <c r="C116" i="336"/>
  <c r="D115" i="336"/>
  <c r="C115" i="336"/>
  <c r="D114" i="336"/>
  <c r="C114" i="336"/>
  <c r="D113" i="336"/>
  <c r="C113" i="336"/>
  <c r="D112" i="336"/>
  <c r="C112" i="336"/>
  <c r="D111" i="336"/>
  <c r="C111" i="336"/>
  <c r="D110" i="336"/>
  <c r="C110" i="336"/>
  <c r="D109" i="336"/>
  <c r="C109" i="336"/>
  <c r="D108" i="336"/>
  <c r="C108" i="336"/>
  <c r="D107" i="336"/>
  <c r="C107" i="336"/>
  <c r="D106" i="336"/>
  <c r="C106" i="336"/>
  <c r="D105" i="336"/>
  <c r="C105" i="336"/>
  <c r="D104" i="336"/>
  <c r="C104" i="336"/>
  <c r="D103" i="336"/>
  <c r="C103" i="336"/>
  <c r="D102" i="336"/>
  <c r="C102" i="336"/>
  <c r="D101" i="336"/>
  <c r="C101" i="336"/>
  <c r="D100" i="336"/>
  <c r="C100" i="336"/>
  <c r="D99" i="336"/>
  <c r="C99" i="336"/>
  <c r="D98" i="336"/>
  <c r="C98" i="336"/>
  <c r="D97" i="336"/>
  <c r="C97" i="336"/>
  <c r="D96" i="336"/>
  <c r="C96" i="336"/>
  <c r="D95" i="336"/>
  <c r="C95" i="336"/>
  <c r="D94" i="336"/>
  <c r="C94" i="336"/>
  <c r="D93" i="336"/>
  <c r="C93" i="336"/>
  <c r="D92" i="336"/>
  <c r="C92" i="336"/>
  <c r="D91" i="336"/>
  <c r="C91" i="336"/>
  <c r="D90" i="336"/>
  <c r="C90" i="336"/>
  <c r="D89" i="336"/>
  <c r="C89" i="336"/>
  <c r="D88" i="336"/>
  <c r="C88" i="336"/>
  <c r="D87" i="336"/>
  <c r="C87" i="336"/>
  <c r="D86" i="336"/>
  <c r="C86" i="336"/>
  <c r="D85" i="336"/>
  <c r="C85" i="336"/>
  <c r="D84" i="336"/>
  <c r="C84" i="336"/>
  <c r="D83" i="336"/>
  <c r="C83" i="336"/>
  <c r="D82" i="336"/>
  <c r="C82" i="336"/>
  <c r="D81" i="336"/>
  <c r="C81" i="336"/>
  <c r="D80" i="336"/>
  <c r="C80" i="336"/>
  <c r="D79" i="336"/>
  <c r="C79" i="336"/>
  <c r="D78" i="336"/>
  <c r="C78" i="336"/>
  <c r="D77" i="336"/>
  <c r="C77" i="336"/>
  <c r="D76" i="336"/>
  <c r="C76" i="336"/>
  <c r="D75" i="336"/>
  <c r="C75" i="336"/>
  <c r="D74" i="336"/>
  <c r="C74" i="336"/>
  <c r="D73" i="336"/>
  <c r="C73" i="336"/>
  <c r="D72" i="336"/>
  <c r="C72" i="336"/>
  <c r="D71" i="336"/>
  <c r="C71" i="336"/>
  <c r="D70" i="336"/>
  <c r="C70" i="336"/>
  <c r="D69" i="336"/>
  <c r="C69" i="336"/>
  <c r="D68" i="336"/>
  <c r="C68" i="336"/>
  <c r="D67" i="336"/>
  <c r="C67" i="336"/>
  <c r="D66" i="336"/>
  <c r="C66" i="336"/>
  <c r="D65" i="336"/>
  <c r="C65" i="336"/>
  <c r="D64" i="336"/>
  <c r="C64" i="336"/>
  <c r="D63" i="336"/>
  <c r="C63" i="336"/>
  <c r="D62" i="336"/>
  <c r="C62" i="336"/>
  <c r="D61" i="336"/>
  <c r="C61" i="336"/>
  <c r="D60" i="336"/>
  <c r="C60" i="336"/>
  <c r="D59" i="336"/>
  <c r="C59" i="336"/>
  <c r="D58" i="336"/>
  <c r="C58" i="336"/>
  <c r="D57" i="336"/>
  <c r="C57" i="336"/>
  <c r="D56" i="336"/>
  <c r="C56" i="336"/>
  <c r="D55" i="336"/>
  <c r="C55" i="336"/>
  <c r="D54" i="336"/>
  <c r="C54" i="336"/>
  <c r="D53" i="336"/>
  <c r="C53" i="336"/>
  <c r="D52" i="336"/>
  <c r="C52" i="336"/>
  <c r="D51" i="336"/>
  <c r="C51" i="336"/>
  <c r="D50" i="336"/>
  <c r="C50" i="336"/>
  <c r="D49" i="336"/>
  <c r="C49" i="336"/>
  <c r="D48" i="336"/>
  <c r="C48" i="336"/>
  <c r="D47" i="336"/>
  <c r="C47" i="336"/>
  <c r="D46" i="336"/>
  <c r="C46" i="336"/>
  <c r="D45" i="336"/>
  <c r="C45" i="336"/>
  <c r="D44" i="336"/>
  <c r="C44" i="336"/>
  <c r="D43" i="336"/>
  <c r="C43" i="336"/>
  <c r="D42" i="336"/>
  <c r="C42" i="336"/>
  <c r="D41" i="336"/>
  <c r="C41" i="336"/>
  <c r="D40" i="336"/>
  <c r="C40" i="336"/>
  <c r="D39" i="336"/>
  <c r="C39" i="336"/>
  <c r="D38" i="336"/>
  <c r="C38" i="336"/>
  <c r="D37" i="336"/>
  <c r="C37" i="336"/>
  <c r="D36" i="336"/>
  <c r="C36" i="336"/>
  <c r="D35" i="336"/>
  <c r="C35" i="336"/>
  <c r="D34" i="336"/>
  <c r="C34" i="336"/>
  <c r="D33" i="336"/>
  <c r="C33" i="336"/>
  <c r="D32" i="336"/>
  <c r="C32" i="336"/>
  <c r="D31" i="336"/>
  <c r="C31" i="336"/>
  <c r="D30" i="336"/>
  <c r="C30" i="336"/>
  <c r="D29" i="336"/>
  <c r="C29" i="336"/>
  <c r="D28" i="336"/>
  <c r="C28" i="336"/>
  <c r="D27" i="336"/>
  <c r="C27" i="336"/>
  <c r="D26" i="336"/>
  <c r="C26" i="336"/>
  <c r="D25" i="336"/>
  <c r="C25" i="336"/>
  <c r="D24" i="336"/>
  <c r="C24" i="336"/>
  <c r="D23" i="336"/>
  <c r="C23" i="336"/>
  <c r="D22" i="336"/>
  <c r="C22" i="336"/>
  <c r="D21" i="336"/>
  <c r="C21" i="336"/>
  <c r="D20" i="336"/>
  <c r="C20" i="336"/>
  <c r="D19" i="336"/>
  <c r="C19" i="336"/>
  <c r="D18" i="336"/>
  <c r="C18" i="336"/>
  <c r="D17" i="336"/>
  <c r="C17" i="336"/>
  <c r="D16" i="336"/>
  <c r="C16" i="336"/>
  <c r="D15" i="336"/>
  <c r="C15" i="336"/>
  <c r="D14" i="336"/>
  <c r="C14" i="336"/>
  <c r="D13" i="336"/>
  <c r="C13" i="336"/>
  <c r="D12" i="336"/>
  <c r="C12" i="336"/>
  <c r="D11" i="336"/>
  <c r="C11" i="336"/>
  <c r="D10" i="336"/>
  <c r="C10" i="336"/>
  <c r="D9" i="336"/>
  <c r="C9" i="336"/>
  <c r="D8" i="336"/>
  <c r="C8" i="336"/>
  <c r="D7" i="336"/>
  <c r="C7" i="336"/>
  <c r="D6" i="336"/>
  <c r="C6" i="336"/>
  <c r="D5" i="336"/>
  <c r="C5" i="336"/>
  <c r="D4" i="336"/>
  <c r="C4" i="336"/>
  <c r="C3" i="336"/>
  <c r="D3" i="336" s="1"/>
  <c r="E1000" i="335"/>
  <c r="D1000" i="335"/>
  <c r="E999" i="335"/>
  <c r="D999" i="335"/>
  <c r="E998" i="335"/>
  <c r="D998" i="335"/>
  <c r="E997" i="335"/>
  <c r="D997" i="335"/>
  <c r="E996" i="335"/>
  <c r="D996" i="335"/>
  <c r="E995" i="335"/>
  <c r="D995" i="335"/>
  <c r="E994" i="335"/>
  <c r="D994" i="335"/>
  <c r="E993" i="335"/>
  <c r="D993" i="335"/>
  <c r="E992" i="335"/>
  <c r="D992" i="335"/>
  <c r="E991" i="335"/>
  <c r="D991" i="335"/>
  <c r="E990" i="335"/>
  <c r="D990" i="335"/>
  <c r="E989" i="335"/>
  <c r="D989" i="335"/>
  <c r="E988" i="335"/>
  <c r="D988" i="335"/>
  <c r="E987" i="335"/>
  <c r="D987" i="335"/>
  <c r="E986" i="335"/>
  <c r="D986" i="335"/>
  <c r="E985" i="335"/>
  <c r="D985" i="335"/>
  <c r="E984" i="335"/>
  <c r="D984" i="335"/>
  <c r="E983" i="335"/>
  <c r="D983" i="335"/>
  <c r="E982" i="335"/>
  <c r="D982" i="335"/>
  <c r="E981" i="335"/>
  <c r="D981" i="335"/>
  <c r="E980" i="335"/>
  <c r="D980" i="335"/>
  <c r="E979" i="335"/>
  <c r="D979" i="335"/>
  <c r="E978" i="335"/>
  <c r="D978" i="335"/>
  <c r="E977" i="335"/>
  <c r="D977" i="335"/>
  <c r="E976" i="335"/>
  <c r="D976" i="335"/>
  <c r="E975" i="335"/>
  <c r="D975" i="335"/>
  <c r="E974" i="335"/>
  <c r="D974" i="335"/>
  <c r="E973" i="335"/>
  <c r="D973" i="335"/>
  <c r="E972" i="335"/>
  <c r="D972" i="335"/>
  <c r="E971" i="335"/>
  <c r="D971" i="335"/>
  <c r="E970" i="335"/>
  <c r="D970" i="335"/>
  <c r="E969" i="335"/>
  <c r="D969" i="335"/>
  <c r="E968" i="335"/>
  <c r="D968" i="335"/>
  <c r="E967" i="335"/>
  <c r="D967" i="335"/>
  <c r="E966" i="335"/>
  <c r="D966" i="335"/>
  <c r="E965" i="335"/>
  <c r="D965" i="335"/>
  <c r="E964" i="335"/>
  <c r="D964" i="335"/>
  <c r="E963" i="335"/>
  <c r="D963" i="335"/>
  <c r="E962" i="335"/>
  <c r="D962" i="335"/>
  <c r="E961" i="335"/>
  <c r="D961" i="335"/>
  <c r="E960" i="335"/>
  <c r="D960" i="335"/>
  <c r="E959" i="335"/>
  <c r="D959" i="335"/>
  <c r="E958" i="335"/>
  <c r="D958" i="335"/>
  <c r="E957" i="335"/>
  <c r="D957" i="335"/>
  <c r="E956" i="335"/>
  <c r="D956" i="335"/>
  <c r="E955" i="335"/>
  <c r="D955" i="335"/>
  <c r="E954" i="335"/>
  <c r="D954" i="335"/>
  <c r="E953" i="335"/>
  <c r="D953" i="335"/>
  <c r="E952" i="335"/>
  <c r="D952" i="335"/>
  <c r="E951" i="335"/>
  <c r="D951" i="335"/>
  <c r="E950" i="335"/>
  <c r="D950" i="335"/>
  <c r="E949" i="335"/>
  <c r="D949" i="335"/>
  <c r="E948" i="335"/>
  <c r="D948" i="335"/>
  <c r="E947" i="335"/>
  <c r="D947" i="335"/>
  <c r="E946" i="335"/>
  <c r="D946" i="335"/>
  <c r="E945" i="335"/>
  <c r="D945" i="335"/>
  <c r="E944" i="335"/>
  <c r="D944" i="335"/>
  <c r="E943" i="335"/>
  <c r="D943" i="335"/>
  <c r="E942" i="335"/>
  <c r="D942" i="335"/>
  <c r="E941" i="335"/>
  <c r="D941" i="335"/>
  <c r="E940" i="335"/>
  <c r="D940" i="335"/>
  <c r="E939" i="335"/>
  <c r="D939" i="335"/>
  <c r="E938" i="335"/>
  <c r="D938" i="335"/>
  <c r="E937" i="335"/>
  <c r="D937" i="335"/>
  <c r="E936" i="335"/>
  <c r="D936" i="335"/>
  <c r="E935" i="335"/>
  <c r="D935" i="335"/>
  <c r="E934" i="335"/>
  <c r="D934" i="335"/>
  <c r="E933" i="335"/>
  <c r="D933" i="335"/>
  <c r="E932" i="335"/>
  <c r="D932" i="335"/>
  <c r="E931" i="335"/>
  <c r="D931" i="335"/>
  <c r="E930" i="335"/>
  <c r="D930" i="335"/>
  <c r="E929" i="335"/>
  <c r="D929" i="335"/>
  <c r="E928" i="335"/>
  <c r="D928" i="335"/>
  <c r="E927" i="335"/>
  <c r="D927" i="335"/>
  <c r="E926" i="335"/>
  <c r="D926" i="335"/>
  <c r="E925" i="335"/>
  <c r="D925" i="335"/>
  <c r="E924" i="335"/>
  <c r="D924" i="335"/>
  <c r="E923" i="335"/>
  <c r="D923" i="335"/>
  <c r="E922" i="335"/>
  <c r="D922" i="335"/>
  <c r="E921" i="335"/>
  <c r="D921" i="335"/>
  <c r="E920" i="335"/>
  <c r="D920" i="335"/>
  <c r="E919" i="335"/>
  <c r="D919" i="335"/>
  <c r="E918" i="335"/>
  <c r="D918" i="335"/>
  <c r="E917" i="335"/>
  <c r="D917" i="335"/>
  <c r="E916" i="335"/>
  <c r="D916" i="335"/>
  <c r="E915" i="335"/>
  <c r="D915" i="335"/>
  <c r="E914" i="335"/>
  <c r="D914" i="335"/>
  <c r="E913" i="335"/>
  <c r="D913" i="335"/>
  <c r="E912" i="335"/>
  <c r="D912" i="335"/>
  <c r="E911" i="335"/>
  <c r="D911" i="335"/>
  <c r="E910" i="335"/>
  <c r="D910" i="335"/>
  <c r="E909" i="335"/>
  <c r="D909" i="335"/>
  <c r="E908" i="335"/>
  <c r="D908" i="335"/>
  <c r="E907" i="335"/>
  <c r="D907" i="335"/>
  <c r="E906" i="335"/>
  <c r="D906" i="335"/>
  <c r="E905" i="335"/>
  <c r="D905" i="335"/>
  <c r="E904" i="335"/>
  <c r="D904" i="335"/>
  <c r="E903" i="335"/>
  <c r="D903" i="335"/>
  <c r="E902" i="335"/>
  <c r="D902" i="335"/>
  <c r="E901" i="335"/>
  <c r="D901" i="335"/>
  <c r="E900" i="335"/>
  <c r="D900" i="335"/>
  <c r="E899" i="335"/>
  <c r="D899" i="335"/>
  <c r="E898" i="335"/>
  <c r="D898" i="335"/>
  <c r="E897" i="335"/>
  <c r="D897" i="335"/>
  <c r="E896" i="335"/>
  <c r="D896" i="335"/>
  <c r="E895" i="335"/>
  <c r="D895" i="335"/>
  <c r="E894" i="335"/>
  <c r="D894" i="335"/>
  <c r="E893" i="335"/>
  <c r="D893" i="335"/>
  <c r="E892" i="335"/>
  <c r="D892" i="335"/>
  <c r="E891" i="335"/>
  <c r="D891" i="335"/>
  <c r="E890" i="335"/>
  <c r="D890" i="335"/>
  <c r="E889" i="335"/>
  <c r="D889" i="335"/>
  <c r="E888" i="335"/>
  <c r="D888" i="335"/>
  <c r="E887" i="335"/>
  <c r="D887" i="335"/>
  <c r="E886" i="335"/>
  <c r="D886" i="335"/>
  <c r="E885" i="335"/>
  <c r="D885" i="335"/>
  <c r="E884" i="335"/>
  <c r="D884" i="335"/>
  <c r="E883" i="335"/>
  <c r="D883" i="335"/>
  <c r="E882" i="335"/>
  <c r="D882" i="335"/>
  <c r="E881" i="335"/>
  <c r="D881" i="335"/>
  <c r="E880" i="335"/>
  <c r="D880" i="335"/>
  <c r="E879" i="335"/>
  <c r="D879" i="335"/>
  <c r="E878" i="335"/>
  <c r="D878" i="335"/>
  <c r="E877" i="335"/>
  <c r="D877" i="335"/>
  <c r="E876" i="335"/>
  <c r="D876" i="335"/>
  <c r="E875" i="335"/>
  <c r="D875" i="335"/>
  <c r="E874" i="335"/>
  <c r="D874" i="335"/>
  <c r="E873" i="335"/>
  <c r="D873" i="335"/>
  <c r="E872" i="335"/>
  <c r="D872" i="335"/>
  <c r="E871" i="335"/>
  <c r="D871" i="335"/>
  <c r="E870" i="335"/>
  <c r="D870" i="335"/>
  <c r="E869" i="335"/>
  <c r="D869" i="335"/>
  <c r="E868" i="335"/>
  <c r="D868" i="335"/>
  <c r="E867" i="335"/>
  <c r="D867" i="335"/>
  <c r="E866" i="335"/>
  <c r="D866" i="335"/>
  <c r="E865" i="335"/>
  <c r="D865" i="335"/>
  <c r="E864" i="335"/>
  <c r="D864" i="335"/>
  <c r="E863" i="335"/>
  <c r="D863" i="335"/>
  <c r="E862" i="335"/>
  <c r="D862" i="335"/>
  <c r="E861" i="335"/>
  <c r="D861" i="335"/>
  <c r="E860" i="335"/>
  <c r="D860" i="335"/>
  <c r="E859" i="335"/>
  <c r="D859" i="335"/>
  <c r="E858" i="335"/>
  <c r="D858" i="335"/>
  <c r="E857" i="335"/>
  <c r="D857" i="335"/>
  <c r="E856" i="335"/>
  <c r="D856" i="335"/>
  <c r="E855" i="335"/>
  <c r="D855" i="335"/>
  <c r="E854" i="335"/>
  <c r="D854" i="335"/>
  <c r="E853" i="335"/>
  <c r="D853" i="335"/>
  <c r="E852" i="335"/>
  <c r="D852" i="335"/>
  <c r="E851" i="335"/>
  <c r="D851" i="335"/>
  <c r="E850" i="335"/>
  <c r="D850" i="335"/>
  <c r="E849" i="335"/>
  <c r="D849" i="335"/>
  <c r="E848" i="335"/>
  <c r="D848" i="335"/>
  <c r="E847" i="335"/>
  <c r="D847" i="335"/>
  <c r="E846" i="335"/>
  <c r="D846" i="335"/>
  <c r="E845" i="335"/>
  <c r="D845" i="335"/>
  <c r="E844" i="335"/>
  <c r="D844" i="335"/>
  <c r="E843" i="335"/>
  <c r="D843" i="335"/>
  <c r="E842" i="335"/>
  <c r="D842" i="335"/>
  <c r="E841" i="335"/>
  <c r="D841" i="335"/>
  <c r="E840" i="335"/>
  <c r="D840" i="335"/>
  <c r="E839" i="335"/>
  <c r="D839" i="335"/>
  <c r="E838" i="335"/>
  <c r="D838" i="335"/>
  <c r="E837" i="335"/>
  <c r="D837" i="335"/>
  <c r="E836" i="335"/>
  <c r="D836" i="335"/>
  <c r="E835" i="335"/>
  <c r="D835" i="335"/>
  <c r="E834" i="335"/>
  <c r="D834" i="335"/>
  <c r="E833" i="335"/>
  <c r="D833" i="335"/>
  <c r="E832" i="335"/>
  <c r="D832" i="335"/>
  <c r="E831" i="335"/>
  <c r="D831" i="335"/>
  <c r="E830" i="335"/>
  <c r="D830" i="335"/>
  <c r="E829" i="335"/>
  <c r="D829" i="335"/>
  <c r="E828" i="335"/>
  <c r="D828" i="335"/>
  <c r="E827" i="335"/>
  <c r="D827" i="335"/>
  <c r="E826" i="335"/>
  <c r="D826" i="335"/>
  <c r="E825" i="335"/>
  <c r="D825" i="335"/>
  <c r="E824" i="335"/>
  <c r="D824" i="335"/>
  <c r="E823" i="335"/>
  <c r="D823" i="335"/>
  <c r="E822" i="335"/>
  <c r="D822" i="335"/>
  <c r="E821" i="335"/>
  <c r="D821" i="335"/>
  <c r="E820" i="335"/>
  <c r="D820" i="335"/>
  <c r="E819" i="335"/>
  <c r="D819" i="335"/>
  <c r="E818" i="335"/>
  <c r="D818" i="335"/>
  <c r="E817" i="335"/>
  <c r="D817" i="335"/>
  <c r="E816" i="335"/>
  <c r="D816" i="335"/>
  <c r="E815" i="335"/>
  <c r="D815" i="335"/>
  <c r="E814" i="335"/>
  <c r="D814" i="335"/>
  <c r="E813" i="335"/>
  <c r="D813" i="335"/>
  <c r="E812" i="335"/>
  <c r="D812" i="335"/>
  <c r="E811" i="335"/>
  <c r="D811" i="335"/>
  <c r="E810" i="335"/>
  <c r="D810" i="335"/>
  <c r="E809" i="335"/>
  <c r="D809" i="335"/>
  <c r="E808" i="335"/>
  <c r="D808" i="335"/>
  <c r="E807" i="335"/>
  <c r="D807" i="335"/>
  <c r="E806" i="335"/>
  <c r="D806" i="335"/>
  <c r="E805" i="335"/>
  <c r="D805" i="335"/>
  <c r="E804" i="335"/>
  <c r="D804" i="335"/>
  <c r="E803" i="335"/>
  <c r="D803" i="335"/>
  <c r="E802" i="335"/>
  <c r="D802" i="335"/>
  <c r="E801" i="335"/>
  <c r="D801" i="335"/>
  <c r="E800" i="335"/>
  <c r="D800" i="335"/>
  <c r="E799" i="335"/>
  <c r="D799" i="335"/>
  <c r="E798" i="335"/>
  <c r="D798" i="335"/>
  <c r="E797" i="335"/>
  <c r="D797" i="335"/>
  <c r="E796" i="335"/>
  <c r="D796" i="335"/>
  <c r="E795" i="335"/>
  <c r="D795" i="335"/>
  <c r="E794" i="335"/>
  <c r="D794" i="335"/>
  <c r="E793" i="335"/>
  <c r="D793" i="335"/>
  <c r="E792" i="335"/>
  <c r="D792" i="335"/>
  <c r="E791" i="335"/>
  <c r="D791" i="335"/>
  <c r="E790" i="335"/>
  <c r="D790" i="335"/>
  <c r="E789" i="335"/>
  <c r="D789" i="335"/>
  <c r="E788" i="335"/>
  <c r="D788" i="335"/>
  <c r="E787" i="335"/>
  <c r="D787" i="335"/>
  <c r="E786" i="335"/>
  <c r="D786" i="335"/>
  <c r="E785" i="335"/>
  <c r="D785" i="335"/>
  <c r="E784" i="335"/>
  <c r="D784" i="335"/>
  <c r="E783" i="335"/>
  <c r="D783" i="335"/>
  <c r="E782" i="335"/>
  <c r="D782" i="335"/>
  <c r="E781" i="335"/>
  <c r="D781" i="335"/>
  <c r="E780" i="335"/>
  <c r="D780" i="335"/>
  <c r="E779" i="335"/>
  <c r="D779" i="335"/>
  <c r="E778" i="335"/>
  <c r="D778" i="335"/>
  <c r="E777" i="335"/>
  <c r="D777" i="335"/>
  <c r="E776" i="335"/>
  <c r="D776" i="335"/>
  <c r="E775" i="335"/>
  <c r="D775" i="335"/>
  <c r="E774" i="335"/>
  <c r="D774" i="335"/>
  <c r="E773" i="335"/>
  <c r="D773" i="335"/>
  <c r="E772" i="335"/>
  <c r="D772" i="335"/>
  <c r="E771" i="335"/>
  <c r="D771" i="335"/>
  <c r="E770" i="335"/>
  <c r="D770" i="335"/>
  <c r="E769" i="335"/>
  <c r="D769" i="335"/>
  <c r="E768" i="335"/>
  <c r="D768" i="335"/>
  <c r="E767" i="335"/>
  <c r="D767" i="335"/>
  <c r="E766" i="335"/>
  <c r="D766" i="335"/>
  <c r="E765" i="335"/>
  <c r="D765" i="335"/>
  <c r="E764" i="335"/>
  <c r="D764" i="335"/>
  <c r="E763" i="335"/>
  <c r="D763" i="335"/>
  <c r="E762" i="335"/>
  <c r="D762" i="335"/>
  <c r="E761" i="335"/>
  <c r="D761" i="335"/>
  <c r="E760" i="335"/>
  <c r="D760" i="335"/>
  <c r="E759" i="335"/>
  <c r="D759" i="335"/>
  <c r="E758" i="335"/>
  <c r="D758" i="335"/>
  <c r="E757" i="335"/>
  <c r="D757" i="335"/>
  <c r="E756" i="335"/>
  <c r="D756" i="335"/>
  <c r="E755" i="335"/>
  <c r="D755" i="335"/>
  <c r="E754" i="335"/>
  <c r="D754" i="335"/>
  <c r="E753" i="335"/>
  <c r="D753" i="335"/>
  <c r="E752" i="335"/>
  <c r="D752" i="335"/>
  <c r="E751" i="335"/>
  <c r="D751" i="335"/>
  <c r="E750" i="335"/>
  <c r="D750" i="335"/>
  <c r="E749" i="335"/>
  <c r="D749" i="335"/>
  <c r="E748" i="335"/>
  <c r="D748" i="335"/>
  <c r="E747" i="335"/>
  <c r="D747" i="335"/>
  <c r="E746" i="335"/>
  <c r="D746" i="335"/>
  <c r="E745" i="335"/>
  <c r="D745" i="335"/>
  <c r="E744" i="335"/>
  <c r="D744" i="335"/>
  <c r="E743" i="335"/>
  <c r="D743" i="335"/>
  <c r="E742" i="335"/>
  <c r="D742" i="335"/>
  <c r="E741" i="335"/>
  <c r="D741" i="335"/>
  <c r="E740" i="335"/>
  <c r="D740" i="335"/>
  <c r="E739" i="335"/>
  <c r="D739" i="335"/>
  <c r="E738" i="335"/>
  <c r="D738" i="335"/>
  <c r="E737" i="335"/>
  <c r="D737" i="335"/>
  <c r="E736" i="335"/>
  <c r="D736" i="335"/>
  <c r="E735" i="335"/>
  <c r="D735" i="335"/>
  <c r="E734" i="335"/>
  <c r="D734" i="335"/>
  <c r="E733" i="335"/>
  <c r="D733" i="335"/>
  <c r="E732" i="335"/>
  <c r="D732" i="335"/>
  <c r="E731" i="335"/>
  <c r="D731" i="335"/>
  <c r="E730" i="335"/>
  <c r="D730" i="335"/>
  <c r="E729" i="335"/>
  <c r="D729" i="335"/>
  <c r="E728" i="335"/>
  <c r="D728" i="335"/>
  <c r="E727" i="335"/>
  <c r="D727" i="335"/>
  <c r="E726" i="335"/>
  <c r="D726" i="335"/>
  <c r="E725" i="335"/>
  <c r="D725" i="335"/>
  <c r="E724" i="335"/>
  <c r="D724" i="335"/>
  <c r="E723" i="335"/>
  <c r="D723" i="335"/>
  <c r="E722" i="335"/>
  <c r="D722" i="335"/>
  <c r="E721" i="335"/>
  <c r="D721" i="335"/>
  <c r="E720" i="335"/>
  <c r="D720" i="335"/>
  <c r="E719" i="335"/>
  <c r="D719" i="335"/>
  <c r="E718" i="335"/>
  <c r="D718" i="335"/>
  <c r="E717" i="335"/>
  <c r="D717" i="335"/>
  <c r="E716" i="335"/>
  <c r="D716" i="335"/>
  <c r="E715" i="335"/>
  <c r="D715" i="335"/>
  <c r="E714" i="335"/>
  <c r="D714" i="335"/>
  <c r="E713" i="335"/>
  <c r="D713" i="335"/>
  <c r="E712" i="335"/>
  <c r="D712" i="335"/>
  <c r="E711" i="335"/>
  <c r="D711" i="335"/>
  <c r="E710" i="335"/>
  <c r="D710" i="335"/>
  <c r="E709" i="335"/>
  <c r="D709" i="335"/>
  <c r="E708" i="335"/>
  <c r="D708" i="335"/>
  <c r="E707" i="335"/>
  <c r="D707" i="335"/>
  <c r="E706" i="335"/>
  <c r="D706" i="335"/>
  <c r="E705" i="335"/>
  <c r="D705" i="335"/>
  <c r="E704" i="335"/>
  <c r="D704" i="335"/>
  <c r="E703" i="335"/>
  <c r="D703" i="335"/>
  <c r="E702" i="335"/>
  <c r="D702" i="335"/>
  <c r="E701" i="335"/>
  <c r="D701" i="335"/>
  <c r="E700" i="335"/>
  <c r="D700" i="335"/>
  <c r="E699" i="335"/>
  <c r="D699" i="335"/>
  <c r="E698" i="335"/>
  <c r="D698" i="335"/>
  <c r="E697" i="335"/>
  <c r="D697" i="335"/>
  <c r="E696" i="335"/>
  <c r="D696" i="335"/>
  <c r="E695" i="335"/>
  <c r="D695" i="335"/>
  <c r="E694" i="335"/>
  <c r="D694" i="335"/>
  <c r="E693" i="335"/>
  <c r="D693" i="335"/>
  <c r="E692" i="335"/>
  <c r="D692" i="335"/>
  <c r="E691" i="335"/>
  <c r="D691" i="335"/>
  <c r="E690" i="335"/>
  <c r="D690" i="335"/>
  <c r="E689" i="335"/>
  <c r="D689" i="335"/>
  <c r="E688" i="335"/>
  <c r="D688" i="335"/>
  <c r="E687" i="335"/>
  <c r="D687" i="335"/>
  <c r="E686" i="335"/>
  <c r="D686" i="335"/>
  <c r="E685" i="335"/>
  <c r="D685" i="335"/>
  <c r="E684" i="335"/>
  <c r="D684" i="335"/>
  <c r="E683" i="335"/>
  <c r="D683" i="335"/>
  <c r="E682" i="335"/>
  <c r="D682" i="335"/>
  <c r="E681" i="335"/>
  <c r="D681" i="335"/>
  <c r="E680" i="335"/>
  <c r="D680" i="335"/>
  <c r="E679" i="335"/>
  <c r="D679" i="335"/>
  <c r="E678" i="335"/>
  <c r="D678" i="335"/>
  <c r="E677" i="335"/>
  <c r="D677" i="335"/>
  <c r="E676" i="335"/>
  <c r="D676" i="335"/>
  <c r="E675" i="335"/>
  <c r="D675" i="335"/>
  <c r="E674" i="335"/>
  <c r="D674" i="335"/>
  <c r="E673" i="335"/>
  <c r="D673" i="335"/>
  <c r="E672" i="335"/>
  <c r="D672" i="335"/>
  <c r="E671" i="335"/>
  <c r="D671" i="335"/>
  <c r="E670" i="335"/>
  <c r="D670" i="335"/>
  <c r="E669" i="335"/>
  <c r="D669" i="335"/>
  <c r="E668" i="335"/>
  <c r="D668" i="335"/>
  <c r="E667" i="335"/>
  <c r="D667" i="335"/>
  <c r="E666" i="335"/>
  <c r="D666" i="335"/>
  <c r="E665" i="335"/>
  <c r="D665" i="335"/>
  <c r="E664" i="335"/>
  <c r="D664" i="335"/>
  <c r="E663" i="335"/>
  <c r="D663" i="335"/>
  <c r="E662" i="335"/>
  <c r="D662" i="335"/>
  <c r="E661" i="335"/>
  <c r="D661" i="335"/>
  <c r="E660" i="335"/>
  <c r="D660" i="335"/>
  <c r="E659" i="335"/>
  <c r="D659" i="335"/>
  <c r="E658" i="335"/>
  <c r="D658" i="335"/>
  <c r="E657" i="335"/>
  <c r="D657" i="335"/>
  <c r="E656" i="335"/>
  <c r="D656" i="335"/>
  <c r="E655" i="335"/>
  <c r="D655" i="335"/>
  <c r="E654" i="335"/>
  <c r="D654" i="335"/>
  <c r="E653" i="335"/>
  <c r="D653" i="335"/>
  <c r="E652" i="335"/>
  <c r="D652" i="335"/>
  <c r="E651" i="335"/>
  <c r="D651" i="335"/>
  <c r="E650" i="335"/>
  <c r="D650" i="335"/>
  <c r="E649" i="335"/>
  <c r="D649" i="335"/>
  <c r="E648" i="335"/>
  <c r="D648" i="335"/>
  <c r="E647" i="335"/>
  <c r="D647" i="335"/>
  <c r="E646" i="335"/>
  <c r="D646" i="335"/>
  <c r="E645" i="335"/>
  <c r="D645" i="335"/>
  <c r="E644" i="335"/>
  <c r="D644" i="335"/>
  <c r="E643" i="335"/>
  <c r="D643" i="335"/>
  <c r="E642" i="335"/>
  <c r="D642" i="335"/>
  <c r="E641" i="335"/>
  <c r="D641" i="335"/>
  <c r="E640" i="335"/>
  <c r="D640" i="335"/>
  <c r="E639" i="335"/>
  <c r="D639" i="335"/>
  <c r="E638" i="335"/>
  <c r="D638" i="335"/>
  <c r="E637" i="335"/>
  <c r="D637" i="335"/>
  <c r="E636" i="335"/>
  <c r="D636" i="335"/>
  <c r="E635" i="335"/>
  <c r="D635" i="335"/>
  <c r="E634" i="335"/>
  <c r="D634" i="335"/>
  <c r="E633" i="335"/>
  <c r="D633" i="335"/>
  <c r="E632" i="335"/>
  <c r="D632" i="335"/>
  <c r="E631" i="335"/>
  <c r="D631" i="335"/>
  <c r="E630" i="335"/>
  <c r="D630" i="335"/>
  <c r="E629" i="335"/>
  <c r="D629" i="335"/>
  <c r="E628" i="335"/>
  <c r="D628" i="335"/>
  <c r="E627" i="335"/>
  <c r="D627" i="335"/>
  <c r="E626" i="335"/>
  <c r="D626" i="335"/>
  <c r="E625" i="335"/>
  <c r="D625" i="335"/>
  <c r="E624" i="335"/>
  <c r="D624" i="335"/>
  <c r="E623" i="335"/>
  <c r="D623" i="335"/>
  <c r="E622" i="335"/>
  <c r="D622" i="335"/>
  <c r="E621" i="335"/>
  <c r="D621" i="335"/>
  <c r="E620" i="335"/>
  <c r="D620" i="335"/>
  <c r="E619" i="335"/>
  <c r="D619" i="335"/>
  <c r="E618" i="335"/>
  <c r="D618" i="335"/>
  <c r="E617" i="335"/>
  <c r="D617" i="335"/>
  <c r="E616" i="335"/>
  <c r="D616" i="335"/>
  <c r="E615" i="335"/>
  <c r="D615" i="335"/>
  <c r="E614" i="335"/>
  <c r="D614" i="335"/>
  <c r="E613" i="335"/>
  <c r="D613" i="335"/>
  <c r="E612" i="335"/>
  <c r="D612" i="335"/>
  <c r="E611" i="335"/>
  <c r="D611" i="335"/>
  <c r="E610" i="335"/>
  <c r="D610" i="335"/>
  <c r="E609" i="335"/>
  <c r="D609" i="335"/>
  <c r="E608" i="335"/>
  <c r="D608" i="335"/>
  <c r="E607" i="335"/>
  <c r="D607" i="335"/>
  <c r="E606" i="335"/>
  <c r="D606" i="335"/>
  <c r="E605" i="335"/>
  <c r="D605" i="335"/>
  <c r="E604" i="335"/>
  <c r="D604" i="335"/>
  <c r="E603" i="335"/>
  <c r="D603" i="335"/>
  <c r="E602" i="335"/>
  <c r="D602" i="335"/>
  <c r="E601" i="335"/>
  <c r="D601" i="335"/>
  <c r="E600" i="335"/>
  <c r="D600" i="335"/>
  <c r="E599" i="335"/>
  <c r="D599" i="335"/>
  <c r="E598" i="335"/>
  <c r="D598" i="335"/>
  <c r="E597" i="335"/>
  <c r="D597" i="335"/>
  <c r="E596" i="335"/>
  <c r="D596" i="335"/>
  <c r="E595" i="335"/>
  <c r="D595" i="335"/>
  <c r="E594" i="335"/>
  <c r="D594" i="335"/>
  <c r="E593" i="335"/>
  <c r="D593" i="335"/>
  <c r="E592" i="335"/>
  <c r="D592" i="335"/>
  <c r="E591" i="335"/>
  <c r="D591" i="335"/>
  <c r="E590" i="335"/>
  <c r="D590" i="335"/>
  <c r="E589" i="335"/>
  <c r="D589" i="335"/>
  <c r="E588" i="335"/>
  <c r="D588" i="335"/>
  <c r="E587" i="335"/>
  <c r="D587" i="335"/>
  <c r="E586" i="335"/>
  <c r="D586" i="335"/>
  <c r="E585" i="335"/>
  <c r="D585" i="335"/>
  <c r="E584" i="335"/>
  <c r="D584" i="335"/>
  <c r="E583" i="335"/>
  <c r="D583" i="335"/>
  <c r="E582" i="335"/>
  <c r="D582" i="335"/>
  <c r="E581" i="335"/>
  <c r="D581" i="335"/>
  <c r="E580" i="335"/>
  <c r="D580" i="335"/>
  <c r="E579" i="335"/>
  <c r="D579" i="335"/>
  <c r="E578" i="335"/>
  <c r="D578" i="335"/>
  <c r="E577" i="335"/>
  <c r="D577" i="335"/>
  <c r="E576" i="335"/>
  <c r="D576" i="335"/>
  <c r="E575" i="335"/>
  <c r="D575" i="335"/>
  <c r="E574" i="335"/>
  <c r="D574" i="335"/>
  <c r="E573" i="335"/>
  <c r="D573" i="335"/>
  <c r="E572" i="335"/>
  <c r="D572" i="335"/>
  <c r="E571" i="335"/>
  <c r="D571" i="335"/>
  <c r="E570" i="335"/>
  <c r="D570" i="335"/>
  <c r="E569" i="335"/>
  <c r="D569" i="335"/>
  <c r="E568" i="335"/>
  <c r="D568" i="335"/>
  <c r="E567" i="335"/>
  <c r="D567" i="335"/>
  <c r="E566" i="335"/>
  <c r="D566" i="335"/>
  <c r="E565" i="335"/>
  <c r="D565" i="335"/>
  <c r="E564" i="335"/>
  <c r="D564" i="335"/>
  <c r="E563" i="335"/>
  <c r="D563" i="335"/>
  <c r="E562" i="335"/>
  <c r="D562" i="335"/>
  <c r="E561" i="335"/>
  <c r="D561" i="335"/>
  <c r="E560" i="335"/>
  <c r="D560" i="335"/>
  <c r="E559" i="335"/>
  <c r="D559" i="335"/>
  <c r="E558" i="335"/>
  <c r="D558" i="335"/>
  <c r="E557" i="335"/>
  <c r="D557" i="335"/>
  <c r="E556" i="335"/>
  <c r="D556" i="335"/>
  <c r="E555" i="335"/>
  <c r="D555" i="335"/>
  <c r="E554" i="335"/>
  <c r="D554" i="335"/>
  <c r="E553" i="335"/>
  <c r="D553" i="335"/>
  <c r="E552" i="335"/>
  <c r="D552" i="335"/>
  <c r="E551" i="335"/>
  <c r="D551" i="335"/>
  <c r="E550" i="335"/>
  <c r="D550" i="335"/>
  <c r="E549" i="335"/>
  <c r="D549" i="335"/>
  <c r="E548" i="335"/>
  <c r="D548" i="335"/>
  <c r="E547" i="335"/>
  <c r="D547" i="335"/>
  <c r="E546" i="335"/>
  <c r="D546" i="335"/>
  <c r="E545" i="335"/>
  <c r="D545" i="335"/>
  <c r="E544" i="335"/>
  <c r="D544" i="335"/>
  <c r="E543" i="335"/>
  <c r="D543" i="335"/>
  <c r="E542" i="335"/>
  <c r="D542" i="335"/>
  <c r="E541" i="335"/>
  <c r="D541" i="335"/>
  <c r="E540" i="335"/>
  <c r="D540" i="335"/>
  <c r="E539" i="335"/>
  <c r="D539" i="335"/>
  <c r="E538" i="335"/>
  <c r="D538" i="335"/>
  <c r="E537" i="335"/>
  <c r="D537" i="335"/>
  <c r="E536" i="335"/>
  <c r="D536" i="335"/>
  <c r="E535" i="335"/>
  <c r="D535" i="335"/>
  <c r="E534" i="335"/>
  <c r="D534" i="335"/>
  <c r="E533" i="335"/>
  <c r="D533" i="335"/>
  <c r="E532" i="335"/>
  <c r="D532" i="335"/>
  <c r="E531" i="335"/>
  <c r="D531" i="335"/>
  <c r="E530" i="335"/>
  <c r="D530" i="335"/>
  <c r="E529" i="335"/>
  <c r="D529" i="335"/>
  <c r="E528" i="335"/>
  <c r="D528" i="335"/>
  <c r="E527" i="335"/>
  <c r="D527" i="335"/>
  <c r="E526" i="335"/>
  <c r="D526" i="335"/>
  <c r="E525" i="335"/>
  <c r="D525" i="335"/>
  <c r="E524" i="335"/>
  <c r="D524" i="335"/>
  <c r="E523" i="335"/>
  <c r="D523" i="335"/>
  <c r="E522" i="335"/>
  <c r="D522" i="335"/>
  <c r="E521" i="335"/>
  <c r="D521" i="335"/>
  <c r="E520" i="335"/>
  <c r="D520" i="335"/>
  <c r="E519" i="335"/>
  <c r="D519" i="335"/>
  <c r="E518" i="335"/>
  <c r="D518" i="335"/>
  <c r="E517" i="335"/>
  <c r="D517" i="335"/>
  <c r="E516" i="335"/>
  <c r="D516" i="335"/>
  <c r="E515" i="335"/>
  <c r="D515" i="335"/>
  <c r="E514" i="335"/>
  <c r="D514" i="335"/>
  <c r="E513" i="335"/>
  <c r="D513" i="335"/>
  <c r="E512" i="335"/>
  <c r="D512" i="335"/>
  <c r="E511" i="335"/>
  <c r="D511" i="335"/>
  <c r="E510" i="335"/>
  <c r="D510" i="335"/>
  <c r="E509" i="335"/>
  <c r="D509" i="335"/>
  <c r="E508" i="335"/>
  <c r="D508" i="335"/>
  <c r="E507" i="335"/>
  <c r="D507" i="335"/>
  <c r="E506" i="335"/>
  <c r="D506" i="335"/>
  <c r="E505" i="335"/>
  <c r="D505" i="335"/>
  <c r="E504" i="335"/>
  <c r="D504" i="335"/>
  <c r="E503" i="335"/>
  <c r="D503" i="335"/>
  <c r="E502" i="335"/>
  <c r="D502" i="335"/>
  <c r="E501" i="335"/>
  <c r="D501" i="335"/>
  <c r="E500" i="335"/>
  <c r="D500" i="335"/>
  <c r="E499" i="335"/>
  <c r="D499" i="335"/>
  <c r="E498" i="335"/>
  <c r="D498" i="335"/>
  <c r="E497" i="335"/>
  <c r="D497" i="335"/>
  <c r="E496" i="335"/>
  <c r="D496" i="335"/>
  <c r="E495" i="335"/>
  <c r="D495" i="335"/>
  <c r="E494" i="335"/>
  <c r="D494" i="335"/>
  <c r="E493" i="335"/>
  <c r="D493" i="335"/>
  <c r="E492" i="335"/>
  <c r="D492" i="335"/>
  <c r="E491" i="335"/>
  <c r="D491" i="335"/>
  <c r="E490" i="335"/>
  <c r="D490" i="335"/>
  <c r="E489" i="335"/>
  <c r="D489" i="335"/>
  <c r="E488" i="335"/>
  <c r="D488" i="335"/>
  <c r="E487" i="335"/>
  <c r="D487" i="335"/>
  <c r="E486" i="335"/>
  <c r="D486" i="335"/>
  <c r="E485" i="335"/>
  <c r="D485" i="335"/>
  <c r="E484" i="335"/>
  <c r="D484" i="335"/>
  <c r="E483" i="335"/>
  <c r="D483" i="335"/>
  <c r="E482" i="335"/>
  <c r="D482" i="335"/>
  <c r="E481" i="335"/>
  <c r="D481" i="335"/>
  <c r="E480" i="335"/>
  <c r="D480" i="335"/>
  <c r="E479" i="335"/>
  <c r="D479" i="335"/>
  <c r="E478" i="335"/>
  <c r="D478" i="335"/>
  <c r="E477" i="335"/>
  <c r="D477" i="335"/>
  <c r="E476" i="335"/>
  <c r="D476" i="335"/>
  <c r="E475" i="335"/>
  <c r="D475" i="335"/>
  <c r="E474" i="335"/>
  <c r="D474" i="335"/>
  <c r="E473" i="335"/>
  <c r="D473" i="335"/>
  <c r="E472" i="335"/>
  <c r="D472" i="335"/>
  <c r="E471" i="335"/>
  <c r="D471" i="335"/>
  <c r="E470" i="335"/>
  <c r="D470" i="335"/>
  <c r="E469" i="335"/>
  <c r="D469" i="335"/>
  <c r="E468" i="335"/>
  <c r="D468" i="335"/>
  <c r="E467" i="335"/>
  <c r="D467" i="335"/>
  <c r="E466" i="335"/>
  <c r="D466" i="335"/>
  <c r="E465" i="335"/>
  <c r="D465" i="335"/>
  <c r="E464" i="335"/>
  <c r="D464" i="335"/>
  <c r="E463" i="335"/>
  <c r="D463" i="335"/>
  <c r="E462" i="335"/>
  <c r="D462" i="335"/>
  <c r="E461" i="335"/>
  <c r="D461" i="335"/>
  <c r="E460" i="335"/>
  <c r="D460" i="335"/>
  <c r="E459" i="335"/>
  <c r="D459" i="335"/>
  <c r="E458" i="335"/>
  <c r="D458" i="335"/>
  <c r="E457" i="335"/>
  <c r="D457" i="335"/>
  <c r="E456" i="335"/>
  <c r="D456" i="335"/>
  <c r="E455" i="335"/>
  <c r="D455" i="335"/>
  <c r="E454" i="335"/>
  <c r="D454" i="335"/>
  <c r="E453" i="335"/>
  <c r="D453" i="335"/>
  <c r="E452" i="335"/>
  <c r="D452" i="335"/>
  <c r="E451" i="335"/>
  <c r="D451" i="335"/>
  <c r="E450" i="335"/>
  <c r="D450" i="335"/>
  <c r="E449" i="335"/>
  <c r="D449" i="335"/>
  <c r="E448" i="335"/>
  <c r="D448" i="335"/>
  <c r="E447" i="335"/>
  <c r="D447" i="335"/>
  <c r="E446" i="335"/>
  <c r="D446" i="335"/>
  <c r="E445" i="335"/>
  <c r="D445" i="335"/>
  <c r="E444" i="335"/>
  <c r="D444" i="335"/>
  <c r="E443" i="335"/>
  <c r="D443" i="335"/>
  <c r="E442" i="335"/>
  <c r="D442" i="335"/>
  <c r="E441" i="335"/>
  <c r="D441" i="335"/>
  <c r="E440" i="335"/>
  <c r="D440" i="335"/>
  <c r="E439" i="335"/>
  <c r="D439" i="335"/>
  <c r="E438" i="335"/>
  <c r="D438" i="335"/>
  <c r="E437" i="335"/>
  <c r="D437" i="335"/>
  <c r="E436" i="335"/>
  <c r="D436" i="335"/>
  <c r="E435" i="335"/>
  <c r="D435" i="335"/>
  <c r="E434" i="335"/>
  <c r="D434" i="335"/>
  <c r="E433" i="335"/>
  <c r="D433" i="335"/>
  <c r="E432" i="335"/>
  <c r="D432" i="335"/>
  <c r="E431" i="335"/>
  <c r="D431" i="335"/>
  <c r="E430" i="335"/>
  <c r="D430" i="335"/>
  <c r="E429" i="335"/>
  <c r="D429" i="335"/>
  <c r="E428" i="335"/>
  <c r="D428" i="335"/>
  <c r="E427" i="335"/>
  <c r="D427" i="335"/>
  <c r="E426" i="335"/>
  <c r="D426" i="335"/>
  <c r="E425" i="335"/>
  <c r="D425" i="335"/>
  <c r="E424" i="335"/>
  <c r="D424" i="335"/>
  <c r="E423" i="335"/>
  <c r="D423" i="335"/>
  <c r="E422" i="335"/>
  <c r="D422" i="335"/>
  <c r="E421" i="335"/>
  <c r="D421" i="335"/>
  <c r="E420" i="335"/>
  <c r="D420" i="335"/>
  <c r="E419" i="335"/>
  <c r="D419" i="335"/>
  <c r="E418" i="335"/>
  <c r="D418" i="335"/>
  <c r="E417" i="335"/>
  <c r="D417" i="335"/>
  <c r="E416" i="335"/>
  <c r="D416" i="335"/>
  <c r="E415" i="335"/>
  <c r="D415" i="335"/>
  <c r="E414" i="335"/>
  <c r="D414" i="335"/>
  <c r="E413" i="335"/>
  <c r="D413" i="335"/>
  <c r="E412" i="335"/>
  <c r="D412" i="335"/>
  <c r="E411" i="335"/>
  <c r="D411" i="335"/>
  <c r="E410" i="335"/>
  <c r="D410" i="335"/>
  <c r="E409" i="335"/>
  <c r="D409" i="335"/>
  <c r="E408" i="335"/>
  <c r="D408" i="335"/>
  <c r="E407" i="335"/>
  <c r="D407" i="335"/>
  <c r="E406" i="335"/>
  <c r="D406" i="335"/>
  <c r="E405" i="335"/>
  <c r="D405" i="335"/>
  <c r="E404" i="335"/>
  <c r="D404" i="335"/>
  <c r="E403" i="335"/>
  <c r="D403" i="335"/>
  <c r="E402" i="335"/>
  <c r="D402" i="335"/>
  <c r="E401" i="335"/>
  <c r="D401" i="335"/>
  <c r="E400" i="335"/>
  <c r="D400" i="335"/>
  <c r="E399" i="335"/>
  <c r="D399" i="335"/>
  <c r="E398" i="335"/>
  <c r="D398" i="335"/>
  <c r="E397" i="335"/>
  <c r="D397" i="335"/>
  <c r="E396" i="335"/>
  <c r="D396" i="335"/>
  <c r="E395" i="335"/>
  <c r="D395" i="335"/>
  <c r="E394" i="335"/>
  <c r="D394" i="335"/>
  <c r="E393" i="335"/>
  <c r="D393" i="335"/>
  <c r="E392" i="335"/>
  <c r="D392" i="335"/>
  <c r="E391" i="335"/>
  <c r="D391" i="335"/>
  <c r="E390" i="335"/>
  <c r="D390" i="335"/>
  <c r="E389" i="335"/>
  <c r="D389" i="335"/>
  <c r="E388" i="335"/>
  <c r="D388" i="335"/>
  <c r="E387" i="335"/>
  <c r="D387" i="335"/>
  <c r="E386" i="335"/>
  <c r="D386" i="335"/>
  <c r="E385" i="335"/>
  <c r="D385" i="335"/>
  <c r="E384" i="335"/>
  <c r="D384" i="335"/>
  <c r="E383" i="335"/>
  <c r="D383" i="335"/>
  <c r="E382" i="335"/>
  <c r="D382" i="335"/>
  <c r="E381" i="335"/>
  <c r="D381" i="335"/>
  <c r="E380" i="335"/>
  <c r="D380" i="335"/>
  <c r="E379" i="335"/>
  <c r="D379" i="335"/>
  <c r="E378" i="335"/>
  <c r="D378" i="335"/>
  <c r="E377" i="335"/>
  <c r="D377" i="335"/>
  <c r="E376" i="335"/>
  <c r="D376" i="335"/>
  <c r="E375" i="335"/>
  <c r="D375" i="335"/>
  <c r="E374" i="335"/>
  <c r="D374" i="335"/>
  <c r="E373" i="335"/>
  <c r="D373" i="335"/>
  <c r="E372" i="335"/>
  <c r="D372" i="335"/>
  <c r="E371" i="335"/>
  <c r="D371" i="335"/>
  <c r="E370" i="335"/>
  <c r="D370" i="335"/>
  <c r="E369" i="335"/>
  <c r="D369" i="335"/>
  <c r="E368" i="335"/>
  <c r="D368" i="335"/>
  <c r="E367" i="335"/>
  <c r="D367" i="335"/>
  <c r="E366" i="335"/>
  <c r="D366" i="335"/>
  <c r="E365" i="335"/>
  <c r="D365" i="335"/>
  <c r="E364" i="335"/>
  <c r="D364" i="335"/>
  <c r="E363" i="335"/>
  <c r="D363" i="335"/>
  <c r="E362" i="335"/>
  <c r="D362" i="335"/>
  <c r="E361" i="335"/>
  <c r="D361" i="335"/>
  <c r="E360" i="335"/>
  <c r="D360" i="335"/>
  <c r="E359" i="335"/>
  <c r="D359" i="335"/>
  <c r="E358" i="335"/>
  <c r="D358" i="335"/>
  <c r="E357" i="335"/>
  <c r="D357" i="335"/>
  <c r="E356" i="335"/>
  <c r="D356" i="335"/>
  <c r="E355" i="335"/>
  <c r="D355" i="335"/>
  <c r="E354" i="335"/>
  <c r="D354" i="335"/>
  <c r="E353" i="335"/>
  <c r="D353" i="335"/>
  <c r="E352" i="335"/>
  <c r="D352" i="335"/>
  <c r="E351" i="335"/>
  <c r="D351" i="335"/>
  <c r="E350" i="335"/>
  <c r="D350" i="335"/>
  <c r="E349" i="335"/>
  <c r="D349" i="335"/>
  <c r="E348" i="335"/>
  <c r="D348" i="335"/>
  <c r="E347" i="335"/>
  <c r="D347" i="335"/>
  <c r="E346" i="335"/>
  <c r="D346" i="335"/>
  <c r="E345" i="335"/>
  <c r="D345" i="335"/>
  <c r="E344" i="335"/>
  <c r="D344" i="335"/>
  <c r="E343" i="335"/>
  <c r="D343" i="335"/>
  <c r="E342" i="335"/>
  <c r="D342" i="335"/>
  <c r="E341" i="335"/>
  <c r="D341" i="335"/>
  <c r="E340" i="335"/>
  <c r="D340" i="335"/>
  <c r="E339" i="335"/>
  <c r="D339" i="335"/>
  <c r="E338" i="335"/>
  <c r="D338" i="335"/>
  <c r="E337" i="335"/>
  <c r="D337" i="335"/>
  <c r="E336" i="335"/>
  <c r="D336" i="335"/>
  <c r="E335" i="335"/>
  <c r="D335" i="335"/>
  <c r="E334" i="335"/>
  <c r="D334" i="335"/>
  <c r="E333" i="335"/>
  <c r="D333" i="335"/>
  <c r="E332" i="335"/>
  <c r="D332" i="335"/>
  <c r="E331" i="335"/>
  <c r="D331" i="335"/>
  <c r="E330" i="335"/>
  <c r="D330" i="335"/>
  <c r="E329" i="335"/>
  <c r="D329" i="335"/>
  <c r="E328" i="335"/>
  <c r="D328" i="335"/>
  <c r="E327" i="335"/>
  <c r="D327" i="335"/>
  <c r="E326" i="335"/>
  <c r="D326" i="335"/>
  <c r="E325" i="335"/>
  <c r="D325" i="335"/>
  <c r="E324" i="335"/>
  <c r="D324" i="335"/>
  <c r="E323" i="335"/>
  <c r="D323" i="335"/>
  <c r="E322" i="335"/>
  <c r="D322" i="335"/>
  <c r="E321" i="335"/>
  <c r="D321" i="335"/>
  <c r="E320" i="335"/>
  <c r="D320" i="335"/>
  <c r="E319" i="335"/>
  <c r="D319" i="335"/>
  <c r="E318" i="335"/>
  <c r="D318" i="335"/>
  <c r="E317" i="335"/>
  <c r="D317" i="335"/>
  <c r="E316" i="335"/>
  <c r="D316" i="335"/>
  <c r="E315" i="335"/>
  <c r="D315" i="335"/>
  <c r="E314" i="335"/>
  <c r="D314" i="335"/>
  <c r="E313" i="335"/>
  <c r="D313" i="335"/>
  <c r="E312" i="335"/>
  <c r="D312" i="335"/>
  <c r="E311" i="335"/>
  <c r="D311" i="335"/>
  <c r="E310" i="335"/>
  <c r="D310" i="335"/>
  <c r="E309" i="335"/>
  <c r="D309" i="335"/>
  <c r="E308" i="335"/>
  <c r="D308" i="335"/>
  <c r="E307" i="335"/>
  <c r="D307" i="335"/>
  <c r="E306" i="335"/>
  <c r="D306" i="335"/>
  <c r="E305" i="335"/>
  <c r="D305" i="335"/>
  <c r="E304" i="335"/>
  <c r="D304" i="335"/>
  <c r="E303" i="335"/>
  <c r="D303" i="335"/>
  <c r="E302" i="335"/>
  <c r="D302" i="335"/>
  <c r="E301" i="335"/>
  <c r="D301" i="335"/>
  <c r="E300" i="335"/>
  <c r="D300" i="335"/>
  <c r="E299" i="335"/>
  <c r="D299" i="335"/>
  <c r="E298" i="335"/>
  <c r="D298" i="335"/>
  <c r="E297" i="335"/>
  <c r="D297" i="335"/>
  <c r="E296" i="335"/>
  <c r="D296" i="335"/>
  <c r="E295" i="335"/>
  <c r="D295" i="335"/>
  <c r="E294" i="335"/>
  <c r="D294" i="335"/>
  <c r="E293" i="335"/>
  <c r="D293" i="335"/>
  <c r="E292" i="335"/>
  <c r="D292" i="335"/>
  <c r="E291" i="335"/>
  <c r="D291" i="335"/>
  <c r="E290" i="335"/>
  <c r="D290" i="335"/>
  <c r="E289" i="335"/>
  <c r="D289" i="335"/>
  <c r="E288" i="335"/>
  <c r="D288" i="335"/>
  <c r="E287" i="335"/>
  <c r="D287" i="335"/>
  <c r="E286" i="335"/>
  <c r="D286" i="335"/>
  <c r="E285" i="335"/>
  <c r="D285" i="335"/>
  <c r="E284" i="335"/>
  <c r="D284" i="335"/>
  <c r="E283" i="335"/>
  <c r="D283" i="335"/>
  <c r="E282" i="335"/>
  <c r="D282" i="335"/>
  <c r="E281" i="335"/>
  <c r="D281" i="335"/>
  <c r="E280" i="335"/>
  <c r="D280" i="335"/>
  <c r="E279" i="335"/>
  <c r="D279" i="335"/>
  <c r="E278" i="335"/>
  <c r="D278" i="335"/>
  <c r="E277" i="335"/>
  <c r="D277" i="335"/>
  <c r="E276" i="335"/>
  <c r="D276" i="335"/>
  <c r="E275" i="335"/>
  <c r="D275" i="335"/>
  <c r="E274" i="335"/>
  <c r="D274" i="335"/>
  <c r="E273" i="335"/>
  <c r="D273" i="335"/>
  <c r="E272" i="335"/>
  <c r="D272" i="335"/>
  <c r="E271" i="335"/>
  <c r="D271" i="335"/>
  <c r="E270" i="335"/>
  <c r="D270" i="335"/>
  <c r="E269" i="335"/>
  <c r="D269" i="335"/>
  <c r="E268" i="335"/>
  <c r="D268" i="335"/>
  <c r="E267" i="335"/>
  <c r="D267" i="335"/>
  <c r="E266" i="335"/>
  <c r="D266" i="335"/>
  <c r="E265" i="335"/>
  <c r="D265" i="335"/>
  <c r="E264" i="335"/>
  <c r="D264" i="335"/>
  <c r="E263" i="335"/>
  <c r="D263" i="335"/>
  <c r="E262" i="335"/>
  <c r="D262" i="335"/>
  <c r="E261" i="335"/>
  <c r="D261" i="335"/>
  <c r="E260" i="335"/>
  <c r="D260" i="335"/>
  <c r="E259" i="335"/>
  <c r="D259" i="335"/>
  <c r="E258" i="335"/>
  <c r="D258" i="335"/>
  <c r="E257" i="335"/>
  <c r="D257" i="335"/>
  <c r="E256" i="335"/>
  <c r="D256" i="335"/>
  <c r="E255" i="335"/>
  <c r="D255" i="335"/>
  <c r="E254" i="335"/>
  <c r="D254" i="335"/>
  <c r="E253" i="335"/>
  <c r="D253" i="335"/>
  <c r="E252" i="335"/>
  <c r="D252" i="335"/>
  <c r="E251" i="335"/>
  <c r="D251" i="335"/>
  <c r="E250" i="335"/>
  <c r="D250" i="335"/>
  <c r="E249" i="335"/>
  <c r="D249" i="335"/>
  <c r="E248" i="335"/>
  <c r="D248" i="335"/>
  <c r="E247" i="335"/>
  <c r="D247" i="335"/>
  <c r="E246" i="335"/>
  <c r="D246" i="335"/>
  <c r="E245" i="335"/>
  <c r="D245" i="335"/>
  <c r="E244" i="335"/>
  <c r="D244" i="335"/>
  <c r="E243" i="335"/>
  <c r="D243" i="335"/>
  <c r="E242" i="335"/>
  <c r="D242" i="335"/>
  <c r="E241" i="335"/>
  <c r="D241" i="335"/>
  <c r="E240" i="335"/>
  <c r="D240" i="335"/>
  <c r="E239" i="335"/>
  <c r="D239" i="335"/>
  <c r="E238" i="335"/>
  <c r="D238" i="335"/>
  <c r="E237" i="335"/>
  <c r="D237" i="335"/>
  <c r="E236" i="335"/>
  <c r="D236" i="335"/>
  <c r="E235" i="335"/>
  <c r="D235" i="335"/>
  <c r="E234" i="335"/>
  <c r="D234" i="335"/>
  <c r="E233" i="335"/>
  <c r="D233" i="335"/>
  <c r="E232" i="335"/>
  <c r="D232" i="335"/>
  <c r="E231" i="335"/>
  <c r="D231" i="335"/>
  <c r="E230" i="335"/>
  <c r="D230" i="335"/>
  <c r="E229" i="335"/>
  <c r="D229" i="335"/>
  <c r="E228" i="335"/>
  <c r="D228" i="335"/>
  <c r="E227" i="335"/>
  <c r="D227" i="335"/>
  <c r="E226" i="335"/>
  <c r="D226" i="335"/>
  <c r="E225" i="335"/>
  <c r="D225" i="335"/>
  <c r="E224" i="335"/>
  <c r="D224" i="335"/>
  <c r="E223" i="335"/>
  <c r="D223" i="335"/>
  <c r="E222" i="335"/>
  <c r="D222" i="335"/>
  <c r="E221" i="335"/>
  <c r="D221" i="335"/>
  <c r="E220" i="335"/>
  <c r="D220" i="335"/>
  <c r="E219" i="335"/>
  <c r="D219" i="335"/>
  <c r="E218" i="335"/>
  <c r="D218" i="335"/>
  <c r="E217" i="335"/>
  <c r="D217" i="335"/>
  <c r="E216" i="335"/>
  <c r="D216" i="335"/>
  <c r="E215" i="335"/>
  <c r="D215" i="335"/>
  <c r="E214" i="335"/>
  <c r="D214" i="335"/>
  <c r="E213" i="335"/>
  <c r="D213" i="335"/>
  <c r="E212" i="335"/>
  <c r="D212" i="335"/>
  <c r="E211" i="335"/>
  <c r="D211" i="335"/>
  <c r="E210" i="335"/>
  <c r="D210" i="335"/>
  <c r="E209" i="335"/>
  <c r="D209" i="335"/>
  <c r="E208" i="335"/>
  <c r="D208" i="335"/>
  <c r="E207" i="335"/>
  <c r="D207" i="335"/>
  <c r="E206" i="335"/>
  <c r="D206" i="335"/>
  <c r="E205" i="335"/>
  <c r="D205" i="335"/>
  <c r="E204" i="335"/>
  <c r="D204" i="335"/>
  <c r="E203" i="335"/>
  <c r="D203" i="335"/>
  <c r="E202" i="335"/>
  <c r="D202" i="335"/>
  <c r="E201" i="335"/>
  <c r="D201" i="335"/>
  <c r="E200" i="335"/>
  <c r="D200" i="335"/>
  <c r="E199" i="335"/>
  <c r="D199" i="335"/>
  <c r="E198" i="335"/>
  <c r="D198" i="335"/>
  <c r="E197" i="335"/>
  <c r="D197" i="335"/>
  <c r="E196" i="335"/>
  <c r="D196" i="335"/>
  <c r="E195" i="335"/>
  <c r="D195" i="335"/>
  <c r="E194" i="335"/>
  <c r="D194" i="335"/>
  <c r="E193" i="335"/>
  <c r="D193" i="335"/>
  <c r="E192" i="335"/>
  <c r="D192" i="335"/>
  <c r="E191" i="335"/>
  <c r="D191" i="335"/>
  <c r="E190" i="335"/>
  <c r="D190" i="335"/>
  <c r="E189" i="335"/>
  <c r="D189" i="335"/>
  <c r="E188" i="335"/>
  <c r="D188" i="335"/>
  <c r="E187" i="335"/>
  <c r="D187" i="335"/>
  <c r="E186" i="335"/>
  <c r="D186" i="335"/>
  <c r="E185" i="335"/>
  <c r="D185" i="335"/>
  <c r="E184" i="335"/>
  <c r="D184" i="335"/>
  <c r="E183" i="335"/>
  <c r="D183" i="335"/>
  <c r="E182" i="335"/>
  <c r="D182" i="335"/>
  <c r="E181" i="335"/>
  <c r="D181" i="335"/>
  <c r="E180" i="335"/>
  <c r="D180" i="335"/>
  <c r="E179" i="335"/>
  <c r="D179" i="335"/>
  <c r="E178" i="335"/>
  <c r="D178" i="335"/>
  <c r="E177" i="335"/>
  <c r="D177" i="335"/>
  <c r="E176" i="335"/>
  <c r="D176" i="335"/>
  <c r="E175" i="335"/>
  <c r="D175" i="335"/>
  <c r="E174" i="335"/>
  <c r="D174" i="335"/>
  <c r="E173" i="335"/>
  <c r="D173" i="335"/>
  <c r="E172" i="335"/>
  <c r="D172" i="335"/>
  <c r="E171" i="335"/>
  <c r="D171" i="335"/>
  <c r="E170" i="335"/>
  <c r="D170" i="335"/>
  <c r="E169" i="335"/>
  <c r="D169" i="335"/>
  <c r="E168" i="335"/>
  <c r="D168" i="335"/>
  <c r="E167" i="335"/>
  <c r="D167" i="335"/>
  <c r="E166" i="335"/>
  <c r="D166" i="335"/>
  <c r="E165" i="335"/>
  <c r="D165" i="335"/>
  <c r="E164" i="335"/>
  <c r="D164" i="335"/>
  <c r="E163" i="335"/>
  <c r="D163" i="335"/>
  <c r="E162" i="335"/>
  <c r="D162" i="335"/>
  <c r="E161" i="335"/>
  <c r="D161" i="335"/>
  <c r="E160" i="335"/>
  <c r="D160" i="335"/>
  <c r="E159" i="335"/>
  <c r="D159" i="335"/>
  <c r="E158" i="335"/>
  <c r="D158" i="335"/>
  <c r="E157" i="335"/>
  <c r="D157" i="335"/>
  <c r="E156" i="335"/>
  <c r="D156" i="335"/>
  <c r="E155" i="335"/>
  <c r="D155" i="335"/>
  <c r="E154" i="335"/>
  <c r="D154" i="335"/>
  <c r="E153" i="335"/>
  <c r="D153" i="335"/>
  <c r="E152" i="335"/>
  <c r="D152" i="335"/>
  <c r="E151" i="335"/>
  <c r="D151" i="335"/>
  <c r="E150" i="335"/>
  <c r="D150" i="335"/>
  <c r="E149" i="335"/>
  <c r="D149" i="335"/>
  <c r="E148" i="335"/>
  <c r="D148" i="335"/>
  <c r="E147" i="335"/>
  <c r="D147" i="335"/>
  <c r="E146" i="335"/>
  <c r="D146" i="335"/>
  <c r="E145" i="335"/>
  <c r="D145" i="335"/>
  <c r="E144" i="335"/>
  <c r="D144" i="335"/>
  <c r="E143" i="335"/>
  <c r="D143" i="335"/>
  <c r="E142" i="335"/>
  <c r="D142" i="335"/>
  <c r="E141" i="335"/>
  <c r="D141" i="335"/>
  <c r="E140" i="335"/>
  <c r="D140" i="335"/>
  <c r="E139" i="335"/>
  <c r="D139" i="335"/>
  <c r="E138" i="335"/>
  <c r="D138" i="335"/>
  <c r="E137" i="335"/>
  <c r="D137" i="335"/>
  <c r="E136" i="335"/>
  <c r="D136" i="335"/>
  <c r="E135" i="335"/>
  <c r="D135" i="335"/>
  <c r="E134" i="335"/>
  <c r="D134" i="335"/>
  <c r="E133" i="335"/>
  <c r="D133" i="335"/>
  <c r="E132" i="335"/>
  <c r="D132" i="335"/>
  <c r="E131" i="335"/>
  <c r="D131" i="335"/>
  <c r="E130" i="335"/>
  <c r="D130" i="335"/>
  <c r="E129" i="335"/>
  <c r="D129" i="335"/>
  <c r="E128" i="335"/>
  <c r="D128" i="335"/>
  <c r="E127" i="335"/>
  <c r="D127" i="335"/>
  <c r="E126" i="335"/>
  <c r="D126" i="335"/>
  <c r="E125" i="335"/>
  <c r="D125" i="335"/>
  <c r="E124" i="335"/>
  <c r="D124" i="335"/>
  <c r="E123" i="335"/>
  <c r="D123" i="335"/>
  <c r="E122" i="335"/>
  <c r="D122" i="335"/>
  <c r="E121" i="335"/>
  <c r="D121" i="335"/>
  <c r="E120" i="335"/>
  <c r="D120" i="335"/>
  <c r="E119" i="335"/>
  <c r="D119" i="335"/>
  <c r="E118" i="335"/>
  <c r="D118" i="335"/>
  <c r="E117" i="335"/>
  <c r="D117" i="335"/>
  <c r="E116" i="335"/>
  <c r="D116" i="335"/>
  <c r="E115" i="335"/>
  <c r="D115" i="335"/>
  <c r="E114" i="335"/>
  <c r="D114" i="335"/>
  <c r="E113" i="335"/>
  <c r="D113" i="335"/>
  <c r="E112" i="335"/>
  <c r="D112" i="335"/>
  <c r="E111" i="335"/>
  <c r="D111" i="335"/>
  <c r="E110" i="335"/>
  <c r="D110" i="335"/>
  <c r="E109" i="335"/>
  <c r="D109" i="335"/>
  <c r="E108" i="335"/>
  <c r="D108" i="335"/>
  <c r="E107" i="335"/>
  <c r="D107" i="335"/>
  <c r="E106" i="335"/>
  <c r="D106" i="335"/>
  <c r="E105" i="335"/>
  <c r="D105" i="335"/>
  <c r="E104" i="335"/>
  <c r="D104" i="335"/>
  <c r="E103" i="335"/>
  <c r="D103" i="335"/>
  <c r="E102" i="335"/>
  <c r="D102" i="335"/>
  <c r="E101" i="335"/>
  <c r="D101" i="335"/>
  <c r="E100" i="335"/>
  <c r="D100" i="335"/>
  <c r="E99" i="335"/>
  <c r="D99" i="335"/>
  <c r="E98" i="335"/>
  <c r="D98" i="335"/>
  <c r="E97" i="335"/>
  <c r="D97" i="335"/>
  <c r="E96" i="335"/>
  <c r="D96" i="335"/>
  <c r="E95" i="335"/>
  <c r="D95" i="335"/>
  <c r="E94" i="335"/>
  <c r="D94" i="335"/>
  <c r="E93" i="335"/>
  <c r="D93" i="335"/>
  <c r="E92" i="335"/>
  <c r="D92" i="335"/>
  <c r="E91" i="335"/>
  <c r="D91" i="335"/>
  <c r="E90" i="335"/>
  <c r="D90" i="335"/>
  <c r="E89" i="335"/>
  <c r="D89" i="335"/>
  <c r="E88" i="335"/>
  <c r="D88" i="335"/>
  <c r="E87" i="335"/>
  <c r="D87" i="335"/>
  <c r="E86" i="335"/>
  <c r="D86" i="335"/>
  <c r="E85" i="335"/>
  <c r="D85" i="335"/>
  <c r="E84" i="335"/>
  <c r="D84" i="335"/>
  <c r="E83" i="335"/>
  <c r="D83" i="335"/>
  <c r="E82" i="335"/>
  <c r="D82" i="335"/>
  <c r="E81" i="335"/>
  <c r="D81" i="335"/>
  <c r="E80" i="335"/>
  <c r="D80" i="335"/>
  <c r="E79" i="335"/>
  <c r="D79" i="335"/>
  <c r="E78" i="335"/>
  <c r="D78" i="335"/>
  <c r="E77" i="335"/>
  <c r="D77" i="335"/>
  <c r="E76" i="335"/>
  <c r="D76" i="335"/>
  <c r="E75" i="335"/>
  <c r="D75" i="335"/>
  <c r="E74" i="335"/>
  <c r="D74" i="335"/>
  <c r="E73" i="335"/>
  <c r="D73" i="335"/>
  <c r="E72" i="335"/>
  <c r="D72" i="335"/>
  <c r="E71" i="335"/>
  <c r="D71" i="335"/>
  <c r="E70" i="335"/>
  <c r="D70" i="335"/>
  <c r="E69" i="335"/>
  <c r="D69" i="335"/>
  <c r="E68" i="335"/>
  <c r="D68" i="335"/>
  <c r="E67" i="335"/>
  <c r="D67" i="335"/>
  <c r="E66" i="335"/>
  <c r="D66" i="335"/>
  <c r="E65" i="335"/>
  <c r="D65" i="335"/>
  <c r="E64" i="335"/>
  <c r="D64" i="335"/>
  <c r="E63" i="335"/>
  <c r="D63" i="335"/>
  <c r="E62" i="335"/>
  <c r="D62" i="335"/>
  <c r="E61" i="335"/>
  <c r="D61" i="335"/>
  <c r="E60" i="335"/>
  <c r="D60" i="335"/>
  <c r="E59" i="335"/>
  <c r="D59" i="335"/>
  <c r="E58" i="335"/>
  <c r="D58" i="335"/>
  <c r="E57" i="335"/>
  <c r="D57" i="335"/>
  <c r="E56" i="335"/>
  <c r="D56" i="335"/>
  <c r="E55" i="335"/>
  <c r="D55" i="335"/>
  <c r="E54" i="335"/>
  <c r="D54" i="335"/>
  <c r="E53" i="335"/>
  <c r="D53" i="335"/>
  <c r="E52" i="335"/>
  <c r="D52" i="335"/>
  <c r="E51" i="335"/>
  <c r="D51" i="335"/>
  <c r="E50" i="335"/>
  <c r="D50" i="335"/>
  <c r="E49" i="335"/>
  <c r="D49" i="335"/>
  <c r="E48" i="335"/>
  <c r="D48" i="335"/>
  <c r="E47" i="335"/>
  <c r="D47" i="335"/>
  <c r="E46" i="335"/>
  <c r="D46" i="335"/>
  <c r="E45" i="335"/>
  <c r="D45" i="335"/>
  <c r="E44" i="335"/>
  <c r="D44" i="335"/>
  <c r="E43" i="335"/>
  <c r="D43" i="335"/>
  <c r="E42" i="335"/>
  <c r="D42" i="335"/>
  <c r="E41" i="335"/>
  <c r="D41" i="335"/>
  <c r="E40" i="335"/>
  <c r="D40" i="335"/>
  <c r="E39" i="335"/>
  <c r="D39" i="335"/>
  <c r="E38" i="335"/>
  <c r="D38" i="335"/>
  <c r="E37" i="335"/>
  <c r="D37" i="335"/>
  <c r="E36" i="335"/>
  <c r="D36" i="335"/>
  <c r="E35" i="335"/>
  <c r="D35" i="335"/>
  <c r="E34" i="335"/>
  <c r="D34" i="335"/>
  <c r="E33" i="335"/>
  <c r="D33" i="335"/>
  <c r="E32" i="335"/>
  <c r="D32" i="335"/>
  <c r="E31" i="335"/>
  <c r="D31" i="335"/>
  <c r="E30" i="335"/>
  <c r="D30" i="335"/>
  <c r="E29" i="335"/>
  <c r="D29" i="335"/>
  <c r="E28" i="335"/>
  <c r="D28" i="335"/>
  <c r="E27" i="335"/>
  <c r="D27" i="335"/>
  <c r="E26" i="335"/>
  <c r="D26" i="335"/>
  <c r="E25" i="335"/>
  <c r="D25" i="335"/>
  <c r="E24" i="335"/>
  <c r="D24" i="335"/>
  <c r="E23" i="335"/>
  <c r="D23" i="335"/>
  <c r="E22" i="335"/>
  <c r="D22" i="335"/>
  <c r="E21" i="335"/>
  <c r="D21" i="335"/>
  <c r="E20" i="335"/>
  <c r="D20" i="335"/>
  <c r="E19" i="335"/>
  <c r="D19" i="335"/>
  <c r="E18" i="335"/>
  <c r="D18" i="335"/>
  <c r="E17" i="335"/>
  <c r="D17" i="335"/>
  <c r="E16" i="335"/>
  <c r="D16" i="335"/>
  <c r="E15" i="335"/>
  <c r="D15" i="335"/>
  <c r="E14" i="335"/>
  <c r="D14" i="335"/>
  <c r="E13" i="335"/>
  <c r="D13" i="335"/>
  <c r="E12" i="335"/>
  <c r="D12" i="335"/>
  <c r="E11" i="335"/>
  <c r="D11" i="335"/>
  <c r="E10" i="335"/>
  <c r="D10" i="335"/>
  <c r="E9" i="335"/>
  <c r="D9" i="335"/>
  <c r="E8" i="335"/>
  <c r="D8" i="335"/>
  <c r="E7" i="335"/>
  <c r="D7" i="335"/>
  <c r="E6" i="335"/>
  <c r="D6" i="335"/>
  <c r="E5" i="335"/>
  <c r="D5" i="335"/>
  <c r="D4" i="335"/>
  <c r="E4" i="335" s="1"/>
  <c r="D3" i="335"/>
  <c r="E3" i="335" s="1"/>
  <c r="D1000" i="334"/>
  <c r="C1000" i="334"/>
  <c r="D999" i="334"/>
  <c r="C999" i="334"/>
  <c r="D998" i="334"/>
  <c r="C998" i="334"/>
  <c r="D997" i="334"/>
  <c r="C997" i="334"/>
  <c r="D996" i="334"/>
  <c r="C996" i="334"/>
  <c r="D995" i="334"/>
  <c r="C995" i="334"/>
  <c r="D994" i="334"/>
  <c r="C994" i="334"/>
  <c r="D993" i="334"/>
  <c r="C993" i="334"/>
  <c r="D992" i="334"/>
  <c r="C992" i="334"/>
  <c r="D991" i="334"/>
  <c r="C991" i="334"/>
  <c r="D990" i="334"/>
  <c r="C990" i="334"/>
  <c r="D989" i="334"/>
  <c r="C989" i="334"/>
  <c r="D988" i="334"/>
  <c r="C988" i="334"/>
  <c r="D987" i="334"/>
  <c r="C987" i="334"/>
  <c r="D986" i="334"/>
  <c r="C986" i="334"/>
  <c r="D985" i="334"/>
  <c r="C985" i="334"/>
  <c r="D984" i="334"/>
  <c r="C984" i="334"/>
  <c r="D983" i="334"/>
  <c r="C983" i="334"/>
  <c r="D982" i="334"/>
  <c r="C982" i="334"/>
  <c r="D981" i="334"/>
  <c r="C981" i="334"/>
  <c r="D980" i="334"/>
  <c r="C980" i="334"/>
  <c r="D979" i="334"/>
  <c r="C979" i="334"/>
  <c r="D978" i="334"/>
  <c r="C978" i="334"/>
  <c r="D977" i="334"/>
  <c r="C977" i="334"/>
  <c r="D976" i="334"/>
  <c r="C976" i="334"/>
  <c r="D975" i="334"/>
  <c r="C975" i="334"/>
  <c r="D974" i="334"/>
  <c r="C974" i="334"/>
  <c r="D973" i="334"/>
  <c r="C973" i="334"/>
  <c r="D972" i="334"/>
  <c r="C972" i="334"/>
  <c r="D971" i="334"/>
  <c r="C971" i="334"/>
  <c r="D970" i="334"/>
  <c r="C970" i="334"/>
  <c r="D969" i="334"/>
  <c r="C969" i="334"/>
  <c r="D968" i="334"/>
  <c r="C968" i="334"/>
  <c r="D967" i="334"/>
  <c r="C967" i="334"/>
  <c r="D966" i="334"/>
  <c r="C966" i="334"/>
  <c r="D965" i="334"/>
  <c r="C965" i="334"/>
  <c r="D964" i="334"/>
  <c r="C964" i="334"/>
  <c r="D963" i="334"/>
  <c r="C963" i="334"/>
  <c r="D962" i="334"/>
  <c r="C962" i="334"/>
  <c r="D961" i="334"/>
  <c r="C961" i="334"/>
  <c r="D960" i="334"/>
  <c r="C960" i="334"/>
  <c r="D959" i="334"/>
  <c r="C959" i="334"/>
  <c r="D958" i="334"/>
  <c r="C958" i="334"/>
  <c r="D957" i="334"/>
  <c r="C957" i="334"/>
  <c r="D956" i="334"/>
  <c r="C956" i="334"/>
  <c r="D955" i="334"/>
  <c r="C955" i="334"/>
  <c r="D954" i="334"/>
  <c r="C954" i="334"/>
  <c r="D953" i="334"/>
  <c r="C953" i="334"/>
  <c r="D952" i="334"/>
  <c r="C952" i="334"/>
  <c r="D951" i="334"/>
  <c r="C951" i="334"/>
  <c r="D950" i="334"/>
  <c r="C950" i="334"/>
  <c r="D949" i="334"/>
  <c r="C949" i="334"/>
  <c r="D948" i="334"/>
  <c r="C948" i="334"/>
  <c r="D947" i="334"/>
  <c r="C947" i="334"/>
  <c r="D946" i="334"/>
  <c r="C946" i="334"/>
  <c r="D945" i="334"/>
  <c r="C945" i="334"/>
  <c r="D944" i="334"/>
  <c r="C944" i="334"/>
  <c r="D943" i="334"/>
  <c r="C943" i="334"/>
  <c r="D942" i="334"/>
  <c r="C942" i="334"/>
  <c r="D941" i="334"/>
  <c r="C941" i="334"/>
  <c r="D940" i="334"/>
  <c r="C940" i="334"/>
  <c r="D939" i="334"/>
  <c r="C939" i="334"/>
  <c r="D938" i="334"/>
  <c r="C938" i="334"/>
  <c r="D937" i="334"/>
  <c r="C937" i="334"/>
  <c r="D936" i="334"/>
  <c r="C936" i="334"/>
  <c r="D935" i="334"/>
  <c r="C935" i="334"/>
  <c r="D934" i="334"/>
  <c r="C934" i="334"/>
  <c r="D933" i="334"/>
  <c r="C933" i="334"/>
  <c r="D932" i="334"/>
  <c r="C932" i="334"/>
  <c r="D931" i="334"/>
  <c r="C931" i="334"/>
  <c r="D930" i="334"/>
  <c r="C930" i="334"/>
  <c r="D929" i="334"/>
  <c r="C929" i="334"/>
  <c r="D928" i="334"/>
  <c r="C928" i="334"/>
  <c r="D927" i="334"/>
  <c r="C927" i="334"/>
  <c r="D926" i="334"/>
  <c r="C926" i="334"/>
  <c r="D925" i="334"/>
  <c r="C925" i="334"/>
  <c r="D924" i="334"/>
  <c r="C924" i="334"/>
  <c r="D923" i="334"/>
  <c r="C923" i="334"/>
  <c r="D922" i="334"/>
  <c r="C922" i="334"/>
  <c r="D921" i="334"/>
  <c r="C921" i="334"/>
  <c r="D920" i="334"/>
  <c r="C920" i="334"/>
  <c r="D919" i="334"/>
  <c r="C919" i="334"/>
  <c r="D918" i="334"/>
  <c r="C918" i="334"/>
  <c r="D917" i="334"/>
  <c r="C917" i="334"/>
  <c r="D916" i="334"/>
  <c r="C916" i="334"/>
  <c r="D915" i="334"/>
  <c r="C915" i="334"/>
  <c r="D914" i="334"/>
  <c r="C914" i="334"/>
  <c r="D913" i="334"/>
  <c r="C913" i="334"/>
  <c r="D912" i="334"/>
  <c r="C912" i="334"/>
  <c r="D911" i="334"/>
  <c r="C911" i="334"/>
  <c r="D910" i="334"/>
  <c r="C910" i="334"/>
  <c r="D909" i="334"/>
  <c r="C909" i="334"/>
  <c r="D908" i="334"/>
  <c r="C908" i="334"/>
  <c r="D907" i="334"/>
  <c r="C907" i="334"/>
  <c r="D906" i="334"/>
  <c r="C906" i="334"/>
  <c r="D905" i="334"/>
  <c r="C905" i="334"/>
  <c r="D904" i="334"/>
  <c r="C904" i="334"/>
  <c r="D903" i="334"/>
  <c r="C903" i="334"/>
  <c r="D902" i="334"/>
  <c r="C902" i="334"/>
  <c r="D901" i="334"/>
  <c r="C901" i="334"/>
  <c r="D900" i="334"/>
  <c r="C900" i="334"/>
  <c r="D899" i="334"/>
  <c r="C899" i="334"/>
  <c r="D898" i="334"/>
  <c r="C898" i="334"/>
  <c r="D897" i="334"/>
  <c r="C897" i="334"/>
  <c r="D896" i="334"/>
  <c r="C896" i="334"/>
  <c r="D895" i="334"/>
  <c r="C895" i="334"/>
  <c r="D894" i="334"/>
  <c r="C894" i="334"/>
  <c r="D893" i="334"/>
  <c r="C893" i="334"/>
  <c r="D892" i="334"/>
  <c r="C892" i="334"/>
  <c r="D891" i="334"/>
  <c r="C891" i="334"/>
  <c r="D890" i="334"/>
  <c r="C890" i="334"/>
  <c r="D889" i="334"/>
  <c r="C889" i="334"/>
  <c r="D888" i="334"/>
  <c r="C888" i="334"/>
  <c r="D887" i="334"/>
  <c r="C887" i="334"/>
  <c r="D886" i="334"/>
  <c r="C886" i="334"/>
  <c r="D885" i="334"/>
  <c r="C885" i="334"/>
  <c r="D884" i="334"/>
  <c r="C884" i="334"/>
  <c r="D883" i="334"/>
  <c r="C883" i="334"/>
  <c r="D882" i="334"/>
  <c r="C882" i="334"/>
  <c r="D881" i="334"/>
  <c r="C881" i="334"/>
  <c r="D880" i="334"/>
  <c r="C880" i="334"/>
  <c r="D879" i="334"/>
  <c r="C879" i="334"/>
  <c r="D878" i="334"/>
  <c r="C878" i="334"/>
  <c r="D877" i="334"/>
  <c r="C877" i="334"/>
  <c r="D876" i="334"/>
  <c r="C876" i="334"/>
  <c r="D875" i="334"/>
  <c r="C875" i="334"/>
  <c r="D874" i="334"/>
  <c r="C874" i="334"/>
  <c r="D873" i="334"/>
  <c r="C873" i="334"/>
  <c r="D872" i="334"/>
  <c r="C872" i="334"/>
  <c r="D871" i="334"/>
  <c r="C871" i="334"/>
  <c r="D870" i="334"/>
  <c r="C870" i="334"/>
  <c r="D869" i="334"/>
  <c r="C869" i="334"/>
  <c r="D868" i="334"/>
  <c r="C868" i="334"/>
  <c r="D867" i="334"/>
  <c r="C867" i="334"/>
  <c r="D866" i="334"/>
  <c r="C866" i="334"/>
  <c r="D865" i="334"/>
  <c r="C865" i="334"/>
  <c r="D864" i="334"/>
  <c r="C864" i="334"/>
  <c r="D863" i="334"/>
  <c r="C863" i="334"/>
  <c r="D862" i="334"/>
  <c r="C862" i="334"/>
  <c r="D861" i="334"/>
  <c r="C861" i="334"/>
  <c r="D860" i="334"/>
  <c r="C860" i="334"/>
  <c r="D859" i="334"/>
  <c r="C859" i="334"/>
  <c r="D858" i="334"/>
  <c r="C858" i="334"/>
  <c r="D857" i="334"/>
  <c r="C857" i="334"/>
  <c r="D856" i="334"/>
  <c r="C856" i="334"/>
  <c r="D855" i="334"/>
  <c r="C855" i="334"/>
  <c r="D854" i="334"/>
  <c r="C854" i="334"/>
  <c r="D853" i="334"/>
  <c r="C853" i="334"/>
  <c r="D852" i="334"/>
  <c r="C852" i="334"/>
  <c r="D851" i="334"/>
  <c r="C851" i="334"/>
  <c r="D850" i="334"/>
  <c r="C850" i="334"/>
  <c r="D849" i="334"/>
  <c r="C849" i="334"/>
  <c r="D848" i="334"/>
  <c r="C848" i="334"/>
  <c r="D847" i="334"/>
  <c r="C847" i="334"/>
  <c r="D846" i="334"/>
  <c r="C846" i="334"/>
  <c r="D845" i="334"/>
  <c r="C845" i="334"/>
  <c r="D844" i="334"/>
  <c r="C844" i="334"/>
  <c r="D843" i="334"/>
  <c r="C843" i="334"/>
  <c r="D842" i="334"/>
  <c r="C842" i="334"/>
  <c r="D841" i="334"/>
  <c r="C841" i="334"/>
  <c r="D840" i="334"/>
  <c r="C840" i="334"/>
  <c r="D839" i="334"/>
  <c r="C839" i="334"/>
  <c r="D838" i="334"/>
  <c r="C838" i="334"/>
  <c r="D837" i="334"/>
  <c r="C837" i="334"/>
  <c r="D836" i="334"/>
  <c r="C836" i="334"/>
  <c r="D835" i="334"/>
  <c r="C835" i="334"/>
  <c r="D834" i="334"/>
  <c r="C834" i="334"/>
  <c r="D833" i="334"/>
  <c r="C833" i="334"/>
  <c r="D832" i="334"/>
  <c r="C832" i="334"/>
  <c r="D831" i="334"/>
  <c r="C831" i="334"/>
  <c r="D830" i="334"/>
  <c r="C830" i="334"/>
  <c r="D829" i="334"/>
  <c r="C829" i="334"/>
  <c r="D828" i="334"/>
  <c r="C828" i="334"/>
  <c r="D827" i="334"/>
  <c r="C827" i="334"/>
  <c r="D826" i="334"/>
  <c r="C826" i="334"/>
  <c r="D825" i="334"/>
  <c r="C825" i="334"/>
  <c r="D824" i="334"/>
  <c r="C824" i="334"/>
  <c r="D823" i="334"/>
  <c r="C823" i="334"/>
  <c r="D822" i="334"/>
  <c r="C822" i="334"/>
  <c r="D821" i="334"/>
  <c r="C821" i="334"/>
  <c r="D820" i="334"/>
  <c r="C820" i="334"/>
  <c r="D819" i="334"/>
  <c r="C819" i="334"/>
  <c r="D818" i="334"/>
  <c r="C818" i="334"/>
  <c r="D817" i="334"/>
  <c r="C817" i="334"/>
  <c r="D816" i="334"/>
  <c r="C816" i="334"/>
  <c r="D815" i="334"/>
  <c r="C815" i="334"/>
  <c r="D814" i="334"/>
  <c r="C814" i="334"/>
  <c r="D813" i="334"/>
  <c r="C813" i="334"/>
  <c r="D812" i="334"/>
  <c r="C812" i="334"/>
  <c r="D811" i="334"/>
  <c r="C811" i="334"/>
  <c r="D810" i="334"/>
  <c r="C810" i="334"/>
  <c r="D809" i="334"/>
  <c r="C809" i="334"/>
  <c r="D808" i="334"/>
  <c r="C808" i="334"/>
  <c r="D807" i="334"/>
  <c r="C807" i="334"/>
  <c r="D806" i="334"/>
  <c r="C806" i="334"/>
  <c r="D805" i="334"/>
  <c r="C805" i="334"/>
  <c r="D804" i="334"/>
  <c r="C804" i="334"/>
  <c r="D803" i="334"/>
  <c r="C803" i="334"/>
  <c r="D802" i="334"/>
  <c r="C802" i="334"/>
  <c r="D801" i="334"/>
  <c r="C801" i="334"/>
  <c r="D800" i="334"/>
  <c r="C800" i="334"/>
  <c r="D799" i="334"/>
  <c r="C799" i="334"/>
  <c r="D798" i="334"/>
  <c r="C798" i="334"/>
  <c r="D797" i="334"/>
  <c r="C797" i="334"/>
  <c r="D796" i="334"/>
  <c r="C796" i="334"/>
  <c r="D795" i="334"/>
  <c r="C795" i="334"/>
  <c r="D794" i="334"/>
  <c r="C794" i="334"/>
  <c r="D793" i="334"/>
  <c r="C793" i="334"/>
  <c r="D792" i="334"/>
  <c r="C792" i="334"/>
  <c r="D791" i="334"/>
  <c r="C791" i="334"/>
  <c r="D790" i="334"/>
  <c r="C790" i="334"/>
  <c r="D789" i="334"/>
  <c r="C789" i="334"/>
  <c r="D788" i="334"/>
  <c r="C788" i="334"/>
  <c r="D787" i="334"/>
  <c r="C787" i="334"/>
  <c r="D786" i="334"/>
  <c r="C786" i="334"/>
  <c r="D785" i="334"/>
  <c r="C785" i="334"/>
  <c r="D784" i="334"/>
  <c r="C784" i="334"/>
  <c r="D783" i="334"/>
  <c r="C783" i="334"/>
  <c r="D782" i="334"/>
  <c r="C782" i="334"/>
  <c r="D781" i="334"/>
  <c r="C781" i="334"/>
  <c r="D780" i="334"/>
  <c r="C780" i="334"/>
  <c r="D779" i="334"/>
  <c r="C779" i="334"/>
  <c r="D778" i="334"/>
  <c r="C778" i="334"/>
  <c r="D777" i="334"/>
  <c r="C777" i="334"/>
  <c r="D776" i="334"/>
  <c r="C776" i="334"/>
  <c r="D775" i="334"/>
  <c r="C775" i="334"/>
  <c r="D774" i="334"/>
  <c r="C774" i="334"/>
  <c r="D773" i="334"/>
  <c r="C773" i="334"/>
  <c r="D772" i="334"/>
  <c r="C772" i="334"/>
  <c r="D771" i="334"/>
  <c r="C771" i="334"/>
  <c r="D770" i="334"/>
  <c r="C770" i="334"/>
  <c r="D769" i="334"/>
  <c r="C769" i="334"/>
  <c r="D768" i="334"/>
  <c r="C768" i="334"/>
  <c r="D767" i="334"/>
  <c r="C767" i="334"/>
  <c r="D766" i="334"/>
  <c r="C766" i="334"/>
  <c r="D765" i="334"/>
  <c r="C765" i="334"/>
  <c r="D764" i="334"/>
  <c r="C764" i="334"/>
  <c r="D763" i="334"/>
  <c r="C763" i="334"/>
  <c r="D762" i="334"/>
  <c r="C762" i="334"/>
  <c r="D761" i="334"/>
  <c r="C761" i="334"/>
  <c r="D760" i="334"/>
  <c r="C760" i="334"/>
  <c r="D759" i="334"/>
  <c r="C759" i="334"/>
  <c r="D758" i="334"/>
  <c r="C758" i="334"/>
  <c r="D757" i="334"/>
  <c r="C757" i="334"/>
  <c r="D756" i="334"/>
  <c r="C756" i="334"/>
  <c r="D755" i="334"/>
  <c r="C755" i="334"/>
  <c r="D754" i="334"/>
  <c r="C754" i="334"/>
  <c r="D753" i="334"/>
  <c r="C753" i="334"/>
  <c r="D752" i="334"/>
  <c r="C752" i="334"/>
  <c r="D751" i="334"/>
  <c r="C751" i="334"/>
  <c r="D750" i="334"/>
  <c r="C750" i="334"/>
  <c r="D749" i="334"/>
  <c r="C749" i="334"/>
  <c r="D748" i="334"/>
  <c r="C748" i="334"/>
  <c r="D747" i="334"/>
  <c r="C747" i="334"/>
  <c r="D746" i="334"/>
  <c r="C746" i="334"/>
  <c r="D745" i="334"/>
  <c r="C745" i="334"/>
  <c r="D744" i="334"/>
  <c r="C744" i="334"/>
  <c r="D743" i="334"/>
  <c r="C743" i="334"/>
  <c r="D742" i="334"/>
  <c r="C742" i="334"/>
  <c r="D741" i="334"/>
  <c r="C741" i="334"/>
  <c r="D740" i="334"/>
  <c r="C740" i="334"/>
  <c r="D739" i="334"/>
  <c r="C739" i="334"/>
  <c r="D738" i="334"/>
  <c r="C738" i="334"/>
  <c r="D737" i="334"/>
  <c r="C737" i="334"/>
  <c r="D736" i="334"/>
  <c r="C736" i="334"/>
  <c r="D735" i="334"/>
  <c r="C735" i="334"/>
  <c r="D734" i="334"/>
  <c r="C734" i="334"/>
  <c r="D733" i="334"/>
  <c r="C733" i="334"/>
  <c r="D732" i="334"/>
  <c r="C732" i="334"/>
  <c r="D731" i="334"/>
  <c r="C731" i="334"/>
  <c r="D730" i="334"/>
  <c r="C730" i="334"/>
  <c r="D729" i="334"/>
  <c r="C729" i="334"/>
  <c r="D728" i="334"/>
  <c r="C728" i="334"/>
  <c r="D727" i="334"/>
  <c r="C727" i="334"/>
  <c r="D726" i="334"/>
  <c r="C726" i="334"/>
  <c r="D725" i="334"/>
  <c r="C725" i="334"/>
  <c r="D724" i="334"/>
  <c r="C724" i="334"/>
  <c r="D723" i="334"/>
  <c r="C723" i="334"/>
  <c r="D722" i="334"/>
  <c r="C722" i="334"/>
  <c r="D721" i="334"/>
  <c r="C721" i="334"/>
  <c r="D720" i="334"/>
  <c r="C720" i="334"/>
  <c r="D719" i="334"/>
  <c r="C719" i="334"/>
  <c r="D718" i="334"/>
  <c r="C718" i="334"/>
  <c r="D717" i="334"/>
  <c r="C717" i="334"/>
  <c r="D716" i="334"/>
  <c r="C716" i="334"/>
  <c r="D715" i="334"/>
  <c r="C715" i="334"/>
  <c r="D714" i="334"/>
  <c r="C714" i="334"/>
  <c r="D713" i="334"/>
  <c r="C713" i="334"/>
  <c r="D712" i="334"/>
  <c r="C712" i="334"/>
  <c r="D711" i="334"/>
  <c r="C711" i="334"/>
  <c r="D710" i="334"/>
  <c r="C710" i="334"/>
  <c r="D709" i="334"/>
  <c r="C709" i="334"/>
  <c r="D708" i="334"/>
  <c r="C708" i="334"/>
  <c r="D707" i="334"/>
  <c r="C707" i="334"/>
  <c r="D706" i="334"/>
  <c r="C706" i="334"/>
  <c r="D705" i="334"/>
  <c r="C705" i="334"/>
  <c r="D704" i="334"/>
  <c r="C704" i="334"/>
  <c r="D703" i="334"/>
  <c r="C703" i="334"/>
  <c r="D702" i="334"/>
  <c r="C702" i="334"/>
  <c r="D701" i="334"/>
  <c r="C701" i="334"/>
  <c r="D700" i="334"/>
  <c r="C700" i="334"/>
  <c r="D699" i="334"/>
  <c r="C699" i="334"/>
  <c r="D698" i="334"/>
  <c r="C698" i="334"/>
  <c r="D697" i="334"/>
  <c r="C697" i="334"/>
  <c r="D696" i="334"/>
  <c r="C696" i="334"/>
  <c r="D695" i="334"/>
  <c r="C695" i="334"/>
  <c r="D694" i="334"/>
  <c r="C694" i="334"/>
  <c r="D693" i="334"/>
  <c r="C693" i="334"/>
  <c r="D692" i="334"/>
  <c r="C692" i="334"/>
  <c r="D691" i="334"/>
  <c r="C691" i="334"/>
  <c r="D690" i="334"/>
  <c r="C690" i="334"/>
  <c r="D689" i="334"/>
  <c r="C689" i="334"/>
  <c r="D688" i="334"/>
  <c r="C688" i="334"/>
  <c r="D687" i="334"/>
  <c r="C687" i="334"/>
  <c r="D686" i="334"/>
  <c r="C686" i="334"/>
  <c r="D685" i="334"/>
  <c r="C685" i="334"/>
  <c r="D684" i="334"/>
  <c r="C684" i="334"/>
  <c r="D683" i="334"/>
  <c r="C683" i="334"/>
  <c r="D682" i="334"/>
  <c r="C682" i="334"/>
  <c r="D681" i="334"/>
  <c r="C681" i="334"/>
  <c r="D680" i="334"/>
  <c r="C680" i="334"/>
  <c r="D679" i="334"/>
  <c r="C679" i="334"/>
  <c r="D678" i="334"/>
  <c r="C678" i="334"/>
  <c r="D677" i="334"/>
  <c r="C677" i="334"/>
  <c r="D676" i="334"/>
  <c r="C676" i="334"/>
  <c r="D675" i="334"/>
  <c r="C675" i="334"/>
  <c r="D674" i="334"/>
  <c r="C674" i="334"/>
  <c r="D673" i="334"/>
  <c r="C673" i="334"/>
  <c r="D672" i="334"/>
  <c r="C672" i="334"/>
  <c r="D671" i="334"/>
  <c r="C671" i="334"/>
  <c r="D670" i="334"/>
  <c r="C670" i="334"/>
  <c r="D669" i="334"/>
  <c r="C669" i="334"/>
  <c r="D668" i="334"/>
  <c r="C668" i="334"/>
  <c r="D667" i="334"/>
  <c r="C667" i="334"/>
  <c r="D666" i="334"/>
  <c r="C666" i="334"/>
  <c r="D665" i="334"/>
  <c r="C665" i="334"/>
  <c r="D664" i="334"/>
  <c r="C664" i="334"/>
  <c r="D663" i="334"/>
  <c r="C663" i="334"/>
  <c r="D662" i="334"/>
  <c r="C662" i="334"/>
  <c r="D661" i="334"/>
  <c r="C661" i="334"/>
  <c r="D660" i="334"/>
  <c r="C660" i="334"/>
  <c r="D659" i="334"/>
  <c r="C659" i="334"/>
  <c r="D658" i="334"/>
  <c r="C658" i="334"/>
  <c r="D657" i="334"/>
  <c r="C657" i="334"/>
  <c r="D656" i="334"/>
  <c r="C656" i="334"/>
  <c r="D655" i="334"/>
  <c r="C655" i="334"/>
  <c r="D654" i="334"/>
  <c r="C654" i="334"/>
  <c r="D653" i="334"/>
  <c r="C653" i="334"/>
  <c r="D652" i="334"/>
  <c r="C652" i="334"/>
  <c r="D651" i="334"/>
  <c r="C651" i="334"/>
  <c r="D650" i="334"/>
  <c r="C650" i="334"/>
  <c r="D649" i="334"/>
  <c r="C649" i="334"/>
  <c r="D648" i="334"/>
  <c r="C648" i="334"/>
  <c r="D647" i="334"/>
  <c r="C647" i="334"/>
  <c r="D646" i="334"/>
  <c r="C646" i="334"/>
  <c r="D645" i="334"/>
  <c r="C645" i="334"/>
  <c r="D644" i="334"/>
  <c r="C644" i="334"/>
  <c r="D643" i="334"/>
  <c r="C643" i="334"/>
  <c r="D642" i="334"/>
  <c r="C642" i="334"/>
  <c r="D641" i="334"/>
  <c r="C641" i="334"/>
  <c r="D640" i="334"/>
  <c r="C640" i="334"/>
  <c r="D639" i="334"/>
  <c r="C639" i="334"/>
  <c r="D638" i="334"/>
  <c r="C638" i="334"/>
  <c r="D637" i="334"/>
  <c r="C637" i="334"/>
  <c r="D636" i="334"/>
  <c r="C636" i="334"/>
  <c r="D635" i="334"/>
  <c r="C635" i="334"/>
  <c r="D634" i="334"/>
  <c r="C634" i="334"/>
  <c r="D633" i="334"/>
  <c r="C633" i="334"/>
  <c r="D632" i="334"/>
  <c r="C632" i="334"/>
  <c r="D631" i="334"/>
  <c r="C631" i="334"/>
  <c r="D630" i="334"/>
  <c r="C630" i="334"/>
  <c r="D629" i="334"/>
  <c r="C629" i="334"/>
  <c r="D628" i="334"/>
  <c r="C628" i="334"/>
  <c r="D627" i="334"/>
  <c r="C627" i="334"/>
  <c r="D626" i="334"/>
  <c r="C626" i="334"/>
  <c r="D625" i="334"/>
  <c r="C625" i="334"/>
  <c r="D624" i="334"/>
  <c r="C624" i="334"/>
  <c r="D623" i="334"/>
  <c r="C623" i="334"/>
  <c r="D622" i="334"/>
  <c r="C622" i="334"/>
  <c r="D621" i="334"/>
  <c r="C621" i="334"/>
  <c r="D620" i="334"/>
  <c r="C620" i="334"/>
  <c r="D619" i="334"/>
  <c r="C619" i="334"/>
  <c r="D618" i="334"/>
  <c r="C618" i="334"/>
  <c r="D617" i="334"/>
  <c r="C617" i="334"/>
  <c r="D616" i="334"/>
  <c r="C616" i="334"/>
  <c r="D615" i="334"/>
  <c r="C615" i="334"/>
  <c r="D614" i="334"/>
  <c r="C614" i="334"/>
  <c r="D613" i="334"/>
  <c r="C613" i="334"/>
  <c r="D612" i="334"/>
  <c r="C612" i="334"/>
  <c r="D611" i="334"/>
  <c r="C611" i="334"/>
  <c r="D610" i="334"/>
  <c r="C610" i="334"/>
  <c r="D609" i="334"/>
  <c r="C609" i="334"/>
  <c r="D608" i="334"/>
  <c r="C608" i="334"/>
  <c r="D607" i="334"/>
  <c r="C607" i="334"/>
  <c r="D606" i="334"/>
  <c r="C606" i="334"/>
  <c r="D605" i="334"/>
  <c r="C605" i="334"/>
  <c r="D604" i="334"/>
  <c r="C604" i="334"/>
  <c r="D603" i="334"/>
  <c r="C603" i="334"/>
  <c r="D602" i="334"/>
  <c r="C602" i="334"/>
  <c r="D601" i="334"/>
  <c r="C601" i="334"/>
  <c r="D600" i="334"/>
  <c r="C600" i="334"/>
  <c r="D599" i="334"/>
  <c r="C599" i="334"/>
  <c r="D598" i="334"/>
  <c r="C598" i="334"/>
  <c r="D597" i="334"/>
  <c r="C597" i="334"/>
  <c r="D596" i="334"/>
  <c r="C596" i="334"/>
  <c r="D595" i="334"/>
  <c r="C595" i="334"/>
  <c r="D594" i="334"/>
  <c r="C594" i="334"/>
  <c r="D593" i="334"/>
  <c r="C593" i="334"/>
  <c r="D592" i="334"/>
  <c r="C592" i="334"/>
  <c r="D591" i="334"/>
  <c r="C591" i="334"/>
  <c r="D590" i="334"/>
  <c r="C590" i="334"/>
  <c r="D589" i="334"/>
  <c r="C589" i="334"/>
  <c r="D588" i="334"/>
  <c r="C588" i="334"/>
  <c r="D587" i="334"/>
  <c r="C587" i="334"/>
  <c r="D586" i="334"/>
  <c r="C586" i="334"/>
  <c r="D585" i="334"/>
  <c r="C585" i="334"/>
  <c r="D584" i="334"/>
  <c r="C584" i="334"/>
  <c r="D583" i="334"/>
  <c r="C583" i="334"/>
  <c r="D582" i="334"/>
  <c r="C582" i="334"/>
  <c r="D581" i="334"/>
  <c r="C581" i="334"/>
  <c r="D580" i="334"/>
  <c r="C580" i="334"/>
  <c r="D579" i="334"/>
  <c r="C579" i="334"/>
  <c r="D578" i="334"/>
  <c r="C578" i="334"/>
  <c r="D577" i="334"/>
  <c r="C577" i="334"/>
  <c r="D576" i="334"/>
  <c r="C576" i="334"/>
  <c r="D575" i="334"/>
  <c r="C575" i="334"/>
  <c r="D574" i="334"/>
  <c r="C574" i="334"/>
  <c r="D573" i="334"/>
  <c r="C573" i="334"/>
  <c r="D572" i="334"/>
  <c r="C572" i="334"/>
  <c r="D571" i="334"/>
  <c r="C571" i="334"/>
  <c r="D570" i="334"/>
  <c r="C570" i="334"/>
  <c r="D569" i="334"/>
  <c r="C569" i="334"/>
  <c r="D568" i="334"/>
  <c r="C568" i="334"/>
  <c r="D567" i="334"/>
  <c r="C567" i="334"/>
  <c r="D566" i="334"/>
  <c r="C566" i="334"/>
  <c r="D565" i="334"/>
  <c r="C565" i="334"/>
  <c r="D564" i="334"/>
  <c r="C564" i="334"/>
  <c r="D563" i="334"/>
  <c r="C563" i="334"/>
  <c r="D562" i="334"/>
  <c r="C562" i="334"/>
  <c r="D561" i="334"/>
  <c r="C561" i="334"/>
  <c r="D560" i="334"/>
  <c r="C560" i="334"/>
  <c r="D559" i="334"/>
  <c r="C559" i="334"/>
  <c r="D558" i="334"/>
  <c r="C558" i="334"/>
  <c r="D557" i="334"/>
  <c r="C557" i="334"/>
  <c r="D556" i="334"/>
  <c r="C556" i="334"/>
  <c r="D555" i="334"/>
  <c r="C555" i="334"/>
  <c r="D554" i="334"/>
  <c r="C554" i="334"/>
  <c r="D553" i="334"/>
  <c r="C553" i="334"/>
  <c r="D552" i="334"/>
  <c r="C552" i="334"/>
  <c r="D551" i="334"/>
  <c r="C551" i="334"/>
  <c r="D550" i="334"/>
  <c r="C550" i="334"/>
  <c r="D549" i="334"/>
  <c r="C549" i="334"/>
  <c r="D548" i="334"/>
  <c r="C548" i="334"/>
  <c r="D547" i="334"/>
  <c r="C547" i="334"/>
  <c r="D546" i="334"/>
  <c r="C546" i="334"/>
  <c r="D545" i="334"/>
  <c r="C545" i="334"/>
  <c r="D544" i="334"/>
  <c r="C544" i="334"/>
  <c r="D543" i="334"/>
  <c r="C543" i="334"/>
  <c r="D542" i="334"/>
  <c r="C542" i="334"/>
  <c r="D541" i="334"/>
  <c r="C541" i="334"/>
  <c r="D540" i="334"/>
  <c r="C540" i="334"/>
  <c r="D539" i="334"/>
  <c r="C539" i="334"/>
  <c r="D538" i="334"/>
  <c r="C538" i="334"/>
  <c r="D537" i="334"/>
  <c r="C537" i="334"/>
  <c r="D536" i="334"/>
  <c r="C536" i="334"/>
  <c r="D535" i="334"/>
  <c r="C535" i="334"/>
  <c r="D534" i="334"/>
  <c r="C534" i="334"/>
  <c r="D533" i="334"/>
  <c r="C533" i="334"/>
  <c r="D532" i="334"/>
  <c r="C532" i="334"/>
  <c r="D531" i="334"/>
  <c r="C531" i="334"/>
  <c r="D530" i="334"/>
  <c r="C530" i="334"/>
  <c r="D529" i="334"/>
  <c r="C529" i="334"/>
  <c r="D528" i="334"/>
  <c r="C528" i="334"/>
  <c r="D527" i="334"/>
  <c r="C527" i="334"/>
  <c r="D526" i="334"/>
  <c r="C526" i="334"/>
  <c r="D525" i="334"/>
  <c r="C525" i="334"/>
  <c r="D524" i="334"/>
  <c r="C524" i="334"/>
  <c r="D523" i="334"/>
  <c r="C523" i="334"/>
  <c r="D522" i="334"/>
  <c r="C522" i="334"/>
  <c r="D521" i="334"/>
  <c r="C521" i="334"/>
  <c r="D520" i="334"/>
  <c r="C520" i="334"/>
  <c r="D519" i="334"/>
  <c r="C519" i="334"/>
  <c r="D518" i="334"/>
  <c r="C518" i="334"/>
  <c r="D517" i="334"/>
  <c r="C517" i="334"/>
  <c r="D516" i="334"/>
  <c r="C516" i="334"/>
  <c r="D515" i="334"/>
  <c r="C515" i="334"/>
  <c r="D514" i="334"/>
  <c r="C514" i="334"/>
  <c r="D513" i="334"/>
  <c r="C513" i="334"/>
  <c r="D512" i="334"/>
  <c r="C512" i="334"/>
  <c r="D511" i="334"/>
  <c r="C511" i="334"/>
  <c r="D510" i="334"/>
  <c r="C510" i="334"/>
  <c r="D509" i="334"/>
  <c r="C509" i="334"/>
  <c r="D508" i="334"/>
  <c r="C508" i="334"/>
  <c r="D507" i="334"/>
  <c r="C507" i="334"/>
  <c r="D506" i="334"/>
  <c r="C506" i="334"/>
  <c r="D505" i="334"/>
  <c r="C505" i="334"/>
  <c r="D504" i="334"/>
  <c r="C504" i="334"/>
  <c r="D503" i="334"/>
  <c r="C503" i="334"/>
  <c r="D502" i="334"/>
  <c r="C502" i="334"/>
  <c r="D501" i="334"/>
  <c r="C501" i="334"/>
  <c r="D500" i="334"/>
  <c r="C500" i="334"/>
  <c r="D499" i="334"/>
  <c r="C499" i="334"/>
  <c r="D498" i="334"/>
  <c r="C498" i="334"/>
  <c r="D497" i="334"/>
  <c r="C497" i="334"/>
  <c r="D496" i="334"/>
  <c r="C496" i="334"/>
  <c r="D495" i="334"/>
  <c r="C495" i="334"/>
  <c r="D494" i="334"/>
  <c r="C494" i="334"/>
  <c r="D493" i="334"/>
  <c r="C493" i="334"/>
  <c r="D492" i="334"/>
  <c r="C492" i="334"/>
  <c r="D491" i="334"/>
  <c r="C491" i="334"/>
  <c r="D490" i="334"/>
  <c r="C490" i="334"/>
  <c r="D489" i="334"/>
  <c r="C489" i="334"/>
  <c r="D488" i="334"/>
  <c r="C488" i="334"/>
  <c r="D487" i="334"/>
  <c r="C487" i="334"/>
  <c r="D486" i="334"/>
  <c r="C486" i="334"/>
  <c r="D485" i="334"/>
  <c r="C485" i="334"/>
  <c r="D484" i="334"/>
  <c r="C484" i="334"/>
  <c r="D483" i="334"/>
  <c r="C483" i="334"/>
  <c r="D482" i="334"/>
  <c r="C482" i="334"/>
  <c r="D481" i="334"/>
  <c r="C481" i="334"/>
  <c r="D480" i="334"/>
  <c r="C480" i="334"/>
  <c r="D479" i="334"/>
  <c r="C479" i="334"/>
  <c r="D478" i="334"/>
  <c r="C478" i="334"/>
  <c r="D477" i="334"/>
  <c r="C477" i="334"/>
  <c r="D476" i="334"/>
  <c r="C476" i="334"/>
  <c r="D475" i="334"/>
  <c r="C475" i="334"/>
  <c r="D474" i="334"/>
  <c r="C474" i="334"/>
  <c r="D473" i="334"/>
  <c r="C473" i="334"/>
  <c r="D472" i="334"/>
  <c r="C472" i="334"/>
  <c r="D471" i="334"/>
  <c r="C471" i="334"/>
  <c r="D470" i="334"/>
  <c r="C470" i="334"/>
  <c r="D469" i="334"/>
  <c r="C469" i="334"/>
  <c r="D468" i="334"/>
  <c r="C468" i="334"/>
  <c r="D467" i="334"/>
  <c r="C467" i="334"/>
  <c r="D466" i="334"/>
  <c r="C466" i="334"/>
  <c r="D465" i="334"/>
  <c r="C465" i="334"/>
  <c r="D464" i="334"/>
  <c r="C464" i="334"/>
  <c r="D463" i="334"/>
  <c r="C463" i="334"/>
  <c r="D462" i="334"/>
  <c r="C462" i="334"/>
  <c r="D461" i="334"/>
  <c r="C461" i="334"/>
  <c r="D460" i="334"/>
  <c r="C460" i="334"/>
  <c r="D459" i="334"/>
  <c r="C459" i="334"/>
  <c r="D458" i="334"/>
  <c r="C458" i="334"/>
  <c r="D457" i="334"/>
  <c r="C457" i="334"/>
  <c r="D456" i="334"/>
  <c r="C456" i="334"/>
  <c r="D455" i="334"/>
  <c r="C455" i="334"/>
  <c r="D454" i="334"/>
  <c r="C454" i="334"/>
  <c r="D453" i="334"/>
  <c r="C453" i="334"/>
  <c r="D452" i="334"/>
  <c r="C452" i="334"/>
  <c r="D451" i="334"/>
  <c r="C451" i="334"/>
  <c r="D450" i="334"/>
  <c r="C450" i="334"/>
  <c r="D449" i="334"/>
  <c r="C449" i="334"/>
  <c r="D448" i="334"/>
  <c r="C448" i="334"/>
  <c r="D447" i="334"/>
  <c r="C447" i="334"/>
  <c r="D446" i="334"/>
  <c r="C446" i="334"/>
  <c r="D445" i="334"/>
  <c r="C445" i="334"/>
  <c r="D444" i="334"/>
  <c r="C444" i="334"/>
  <c r="D443" i="334"/>
  <c r="C443" i="334"/>
  <c r="D442" i="334"/>
  <c r="C442" i="334"/>
  <c r="D441" i="334"/>
  <c r="C441" i="334"/>
  <c r="D440" i="334"/>
  <c r="C440" i="334"/>
  <c r="D439" i="334"/>
  <c r="C439" i="334"/>
  <c r="D438" i="334"/>
  <c r="C438" i="334"/>
  <c r="D437" i="334"/>
  <c r="C437" i="334"/>
  <c r="D436" i="334"/>
  <c r="C436" i="334"/>
  <c r="D435" i="334"/>
  <c r="C435" i="334"/>
  <c r="D434" i="334"/>
  <c r="C434" i="334"/>
  <c r="D433" i="334"/>
  <c r="C433" i="334"/>
  <c r="D432" i="334"/>
  <c r="C432" i="334"/>
  <c r="D431" i="334"/>
  <c r="C431" i="334"/>
  <c r="D430" i="334"/>
  <c r="C430" i="334"/>
  <c r="D429" i="334"/>
  <c r="C429" i="334"/>
  <c r="D428" i="334"/>
  <c r="C428" i="334"/>
  <c r="D427" i="334"/>
  <c r="C427" i="334"/>
  <c r="D426" i="334"/>
  <c r="C426" i="334"/>
  <c r="D425" i="334"/>
  <c r="C425" i="334"/>
  <c r="D424" i="334"/>
  <c r="C424" i="334"/>
  <c r="D423" i="334"/>
  <c r="C423" i="334"/>
  <c r="D422" i="334"/>
  <c r="C422" i="334"/>
  <c r="D421" i="334"/>
  <c r="C421" i="334"/>
  <c r="D420" i="334"/>
  <c r="C420" i="334"/>
  <c r="D419" i="334"/>
  <c r="C419" i="334"/>
  <c r="D418" i="334"/>
  <c r="C418" i="334"/>
  <c r="D417" i="334"/>
  <c r="C417" i="334"/>
  <c r="D416" i="334"/>
  <c r="C416" i="334"/>
  <c r="D415" i="334"/>
  <c r="C415" i="334"/>
  <c r="D414" i="334"/>
  <c r="C414" i="334"/>
  <c r="D413" i="334"/>
  <c r="C413" i="334"/>
  <c r="D412" i="334"/>
  <c r="C412" i="334"/>
  <c r="D411" i="334"/>
  <c r="C411" i="334"/>
  <c r="D410" i="334"/>
  <c r="C410" i="334"/>
  <c r="D409" i="334"/>
  <c r="C409" i="334"/>
  <c r="D408" i="334"/>
  <c r="C408" i="334"/>
  <c r="D407" i="334"/>
  <c r="C407" i="334"/>
  <c r="D406" i="334"/>
  <c r="C406" i="334"/>
  <c r="D405" i="334"/>
  <c r="C405" i="334"/>
  <c r="D404" i="334"/>
  <c r="C404" i="334"/>
  <c r="D403" i="334"/>
  <c r="C403" i="334"/>
  <c r="D402" i="334"/>
  <c r="C402" i="334"/>
  <c r="D401" i="334"/>
  <c r="C401" i="334"/>
  <c r="D400" i="334"/>
  <c r="C400" i="334"/>
  <c r="D399" i="334"/>
  <c r="C399" i="334"/>
  <c r="D398" i="334"/>
  <c r="C398" i="334"/>
  <c r="D397" i="334"/>
  <c r="C397" i="334"/>
  <c r="D396" i="334"/>
  <c r="C396" i="334"/>
  <c r="D395" i="334"/>
  <c r="C395" i="334"/>
  <c r="D394" i="334"/>
  <c r="C394" i="334"/>
  <c r="D393" i="334"/>
  <c r="C393" i="334"/>
  <c r="D392" i="334"/>
  <c r="C392" i="334"/>
  <c r="D391" i="334"/>
  <c r="C391" i="334"/>
  <c r="D390" i="334"/>
  <c r="C390" i="334"/>
  <c r="D389" i="334"/>
  <c r="C389" i="334"/>
  <c r="D388" i="334"/>
  <c r="C388" i="334"/>
  <c r="D387" i="334"/>
  <c r="C387" i="334"/>
  <c r="D386" i="334"/>
  <c r="C386" i="334"/>
  <c r="D385" i="334"/>
  <c r="C385" i="334"/>
  <c r="D384" i="334"/>
  <c r="C384" i="334"/>
  <c r="D383" i="334"/>
  <c r="C383" i="334"/>
  <c r="D382" i="334"/>
  <c r="C382" i="334"/>
  <c r="D381" i="334"/>
  <c r="C381" i="334"/>
  <c r="D380" i="334"/>
  <c r="C380" i="334"/>
  <c r="D379" i="334"/>
  <c r="C379" i="334"/>
  <c r="D378" i="334"/>
  <c r="C378" i="334"/>
  <c r="D377" i="334"/>
  <c r="C377" i="334"/>
  <c r="D376" i="334"/>
  <c r="C376" i="334"/>
  <c r="D375" i="334"/>
  <c r="C375" i="334"/>
  <c r="D374" i="334"/>
  <c r="C374" i="334"/>
  <c r="D373" i="334"/>
  <c r="C373" i="334"/>
  <c r="D372" i="334"/>
  <c r="C372" i="334"/>
  <c r="D371" i="334"/>
  <c r="C371" i="334"/>
  <c r="D370" i="334"/>
  <c r="C370" i="334"/>
  <c r="D369" i="334"/>
  <c r="C369" i="334"/>
  <c r="D368" i="334"/>
  <c r="C368" i="334"/>
  <c r="D367" i="334"/>
  <c r="C367" i="334"/>
  <c r="D366" i="334"/>
  <c r="C366" i="334"/>
  <c r="D365" i="334"/>
  <c r="C365" i="334"/>
  <c r="D364" i="334"/>
  <c r="C364" i="334"/>
  <c r="D363" i="334"/>
  <c r="C363" i="334"/>
  <c r="D362" i="334"/>
  <c r="C362" i="334"/>
  <c r="D361" i="334"/>
  <c r="C361" i="334"/>
  <c r="D360" i="334"/>
  <c r="C360" i="334"/>
  <c r="D359" i="334"/>
  <c r="C359" i="334"/>
  <c r="D358" i="334"/>
  <c r="C358" i="334"/>
  <c r="D357" i="334"/>
  <c r="C357" i="334"/>
  <c r="D356" i="334"/>
  <c r="C356" i="334"/>
  <c r="D355" i="334"/>
  <c r="C355" i="334"/>
  <c r="D354" i="334"/>
  <c r="C354" i="334"/>
  <c r="D353" i="334"/>
  <c r="C353" i="334"/>
  <c r="D352" i="334"/>
  <c r="C352" i="334"/>
  <c r="D351" i="334"/>
  <c r="C351" i="334"/>
  <c r="D350" i="334"/>
  <c r="C350" i="334"/>
  <c r="D349" i="334"/>
  <c r="C349" i="334"/>
  <c r="D348" i="334"/>
  <c r="C348" i="334"/>
  <c r="D347" i="334"/>
  <c r="C347" i="334"/>
  <c r="D346" i="334"/>
  <c r="C346" i="334"/>
  <c r="D345" i="334"/>
  <c r="C345" i="334"/>
  <c r="D344" i="334"/>
  <c r="C344" i="334"/>
  <c r="D343" i="334"/>
  <c r="C343" i="334"/>
  <c r="D342" i="334"/>
  <c r="C342" i="334"/>
  <c r="D341" i="334"/>
  <c r="C341" i="334"/>
  <c r="D340" i="334"/>
  <c r="C340" i="334"/>
  <c r="D339" i="334"/>
  <c r="C339" i="334"/>
  <c r="D338" i="334"/>
  <c r="C338" i="334"/>
  <c r="D337" i="334"/>
  <c r="C337" i="334"/>
  <c r="D336" i="334"/>
  <c r="C336" i="334"/>
  <c r="D335" i="334"/>
  <c r="C335" i="334"/>
  <c r="D334" i="334"/>
  <c r="C334" i="334"/>
  <c r="D333" i="334"/>
  <c r="C333" i="334"/>
  <c r="D332" i="334"/>
  <c r="C332" i="334"/>
  <c r="D331" i="334"/>
  <c r="C331" i="334"/>
  <c r="D330" i="334"/>
  <c r="C330" i="334"/>
  <c r="D329" i="334"/>
  <c r="C329" i="334"/>
  <c r="D328" i="334"/>
  <c r="C328" i="334"/>
  <c r="D327" i="334"/>
  <c r="C327" i="334"/>
  <c r="D326" i="334"/>
  <c r="C326" i="334"/>
  <c r="D325" i="334"/>
  <c r="C325" i="334"/>
  <c r="D324" i="334"/>
  <c r="C324" i="334"/>
  <c r="D323" i="334"/>
  <c r="C323" i="334"/>
  <c r="D322" i="334"/>
  <c r="C322" i="334"/>
  <c r="D321" i="334"/>
  <c r="C321" i="334"/>
  <c r="D320" i="334"/>
  <c r="C320" i="334"/>
  <c r="D319" i="334"/>
  <c r="C319" i="334"/>
  <c r="D318" i="334"/>
  <c r="C318" i="334"/>
  <c r="D317" i="334"/>
  <c r="C317" i="334"/>
  <c r="D316" i="334"/>
  <c r="C316" i="334"/>
  <c r="D315" i="334"/>
  <c r="C315" i="334"/>
  <c r="D314" i="334"/>
  <c r="C314" i="334"/>
  <c r="D313" i="334"/>
  <c r="C313" i="334"/>
  <c r="D312" i="334"/>
  <c r="C312" i="334"/>
  <c r="D311" i="334"/>
  <c r="C311" i="334"/>
  <c r="D310" i="334"/>
  <c r="C310" i="334"/>
  <c r="D309" i="334"/>
  <c r="C309" i="334"/>
  <c r="D308" i="334"/>
  <c r="C308" i="334"/>
  <c r="D307" i="334"/>
  <c r="C307" i="334"/>
  <c r="D306" i="334"/>
  <c r="C306" i="334"/>
  <c r="D305" i="334"/>
  <c r="C305" i="334"/>
  <c r="D304" i="334"/>
  <c r="C304" i="334"/>
  <c r="D303" i="334"/>
  <c r="C303" i="334"/>
  <c r="D302" i="334"/>
  <c r="C302" i="334"/>
  <c r="D301" i="334"/>
  <c r="C301" i="334"/>
  <c r="D300" i="334"/>
  <c r="C300" i="334"/>
  <c r="D299" i="334"/>
  <c r="C299" i="334"/>
  <c r="D298" i="334"/>
  <c r="C298" i="334"/>
  <c r="D297" i="334"/>
  <c r="C297" i="334"/>
  <c r="D296" i="334"/>
  <c r="C296" i="334"/>
  <c r="D295" i="334"/>
  <c r="C295" i="334"/>
  <c r="D294" i="334"/>
  <c r="C294" i="334"/>
  <c r="D293" i="334"/>
  <c r="C293" i="334"/>
  <c r="D292" i="334"/>
  <c r="C292" i="334"/>
  <c r="D291" i="334"/>
  <c r="C291" i="334"/>
  <c r="D290" i="334"/>
  <c r="C290" i="334"/>
  <c r="D289" i="334"/>
  <c r="C289" i="334"/>
  <c r="D288" i="334"/>
  <c r="C288" i="334"/>
  <c r="D287" i="334"/>
  <c r="C287" i="334"/>
  <c r="D286" i="334"/>
  <c r="C286" i="334"/>
  <c r="D285" i="334"/>
  <c r="C285" i="334"/>
  <c r="D284" i="334"/>
  <c r="C284" i="334"/>
  <c r="D283" i="334"/>
  <c r="C283" i="334"/>
  <c r="D282" i="334"/>
  <c r="C282" i="334"/>
  <c r="D281" i="334"/>
  <c r="C281" i="334"/>
  <c r="D280" i="334"/>
  <c r="C280" i="334"/>
  <c r="D279" i="334"/>
  <c r="C279" i="334"/>
  <c r="D278" i="334"/>
  <c r="C278" i="334"/>
  <c r="D277" i="334"/>
  <c r="C277" i="334"/>
  <c r="D276" i="334"/>
  <c r="C276" i="334"/>
  <c r="D275" i="334"/>
  <c r="C275" i="334"/>
  <c r="D274" i="334"/>
  <c r="C274" i="334"/>
  <c r="D273" i="334"/>
  <c r="C273" i="334"/>
  <c r="D272" i="334"/>
  <c r="C272" i="334"/>
  <c r="D271" i="334"/>
  <c r="C271" i="334"/>
  <c r="D270" i="334"/>
  <c r="C270" i="334"/>
  <c r="D269" i="334"/>
  <c r="C269" i="334"/>
  <c r="D268" i="334"/>
  <c r="C268" i="334"/>
  <c r="D267" i="334"/>
  <c r="C267" i="334"/>
  <c r="D266" i="334"/>
  <c r="C266" i="334"/>
  <c r="D265" i="334"/>
  <c r="C265" i="334"/>
  <c r="D264" i="334"/>
  <c r="C264" i="334"/>
  <c r="D263" i="334"/>
  <c r="C263" i="334"/>
  <c r="D262" i="334"/>
  <c r="C262" i="334"/>
  <c r="D261" i="334"/>
  <c r="C261" i="334"/>
  <c r="D260" i="334"/>
  <c r="C260" i="334"/>
  <c r="D259" i="334"/>
  <c r="C259" i="334"/>
  <c r="D258" i="334"/>
  <c r="C258" i="334"/>
  <c r="D257" i="334"/>
  <c r="C257" i="334"/>
  <c r="D256" i="334"/>
  <c r="C256" i="334"/>
  <c r="D255" i="334"/>
  <c r="C255" i="334"/>
  <c r="D254" i="334"/>
  <c r="C254" i="334"/>
  <c r="D253" i="334"/>
  <c r="C253" i="334"/>
  <c r="D252" i="334"/>
  <c r="C252" i="334"/>
  <c r="D251" i="334"/>
  <c r="C251" i="334"/>
  <c r="D250" i="334"/>
  <c r="C250" i="334"/>
  <c r="D249" i="334"/>
  <c r="C249" i="334"/>
  <c r="D248" i="334"/>
  <c r="C248" i="334"/>
  <c r="D247" i="334"/>
  <c r="C247" i="334"/>
  <c r="D246" i="334"/>
  <c r="C246" i="334"/>
  <c r="D245" i="334"/>
  <c r="C245" i="334"/>
  <c r="D244" i="334"/>
  <c r="C244" i="334"/>
  <c r="D243" i="334"/>
  <c r="C243" i="334"/>
  <c r="D242" i="334"/>
  <c r="C242" i="334"/>
  <c r="D241" i="334"/>
  <c r="C241" i="334"/>
  <c r="D240" i="334"/>
  <c r="C240" i="334"/>
  <c r="D239" i="334"/>
  <c r="C239" i="334"/>
  <c r="D238" i="334"/>
  <c r="C238" i="334"/>
  <c r="D237" i="334"/>
  <c r="C237" i="334"/>
  <c r="D236" i="334"/>
  <c r="C236" i="334"/>
  <c r="D235" i="334"/>
  <c r="C235" i="334"/>
  <c r="D234" i="334"/>
  <c r="C234" i="334"/>
  <c r="D233" i="334"/>
  <c r="C233" i="334"/>
  <c r="D232" i="334"/>
  <c r="C232" i="334"/>
  <c r="D231" i="334"/>
  <c r="C231" i="334"/>
  <c r="D230" i="334"/>
  <c r="C230" i="334"/>
  <c r="D229" i="334"/>
  <c r="C229" i="334"/>
  <c r="D228" i="334"/>
  <c r="C228" i="334"/>
  <c r="D227" i="334"/>
  <c r="C227" i="334"/>
  <c r="D226" i="334"/>
  <c r="C226" i="334"/>
  <c r="D225" i="334"/>
  <c r="C225" i="334"/>
  <c r="D224" i="334"/>
  <c r="C224" i="334"/>
  <c r="D223" i="334"/>
  <c r="C223" i="334"/>
  <c r="D222" i="334"/>
  <c r="C222" i="334"/>
  <c r="D221" i="334"/>
  <c r="C221" i="334"/>
  <c r="D220" i="334"/>
  <c r="C220" i="334"/>
  <c r="D219" i="334"/>
  <c r="C219" i="334"/>
  <c r="D218" i="334"/>
  <c r="C218" i="334"/>
  <c r="D217" i="334"/>
  <c r="C217" i="334"/>
  <c r="D216" i="334"/>
  <c r="C216" i="334"/>
  <c r="D215" i="334"/>
  <c r="C215" i="334"/>
  <c r="D214" i="334"/>
  <c r="C214" i="334"/>
  <c r="D213" i="334"/>
  <c r="C213" i="334"/>
  <c r="D212" i="334"/>
  <c r="C212" i="334"/>
  <c r="D211" i="334"/>
  <c r="C211" i="334"/>
  <c r="D210" i="334"/>
  <c r="C210" i="334"/>
  <c r="D209" i="334"/>
  <c r="C209" i="334"/>
  <c r="D208" i="334"/>
  <c r="C208" i="334"/>
  <c r="D207" i="334"/>
  <c r="C207" i="334"/>
  <c r="D206" i="334"/>
  <c r="C206" i="334"/>
  <c r="D205" i="334"/>
  <c r="C205" i="334"/>
  <c r="D204" i="334"/>
  <c r="C204" i="334"/>
  <c r="D203" i="334"/>
  <c r="C203" i="334"/>
  <c r="D202" i="334"/>
  <c r="C202" i="334"/>
  <c r="D201" i="334"/>
  <c r="C201" i="334"/>
  <c r="D200" i="334"/>
  <c r="C200" i="334"/>
  <c r="D199" i="334"/>
  <c r="C199" i="334"/>
  <c r="D198" i="334"/>
  <c r="C198" i="334"/>
  <c r="D197" i="334"/>
  <c r="C197" i="334"/>
  <c r="D196" i="334"/>
  <c r="C196" i="334"/>
  <c r="D195" i="334"/>
  <c r="C195" i="334"/>
  <c r="D194" i="334"/>
  <c r="C194" i="334"/>
  <c r="D193" i="334"/>
  <c r="C193" i="334"/>
  <c r="D192" i="334"/>
  <c r="C192" i="334"/>
  <c r="D191" i="334"/>
  <c r="C191" i="334"/>
  <c r="D190" i="334"/>
  <c r="C190" i="334"/>
  <c r="D189" i="334"/>
  <c r="C189" i="334"/>
  <c r="D188" i="334"/>
  <c r="C188" i="334"/>
  <c r="D187" i="334"/>
  <c r="C187" i="334"/>
  <c r="D186" i="334"/>
  <c r="C186" i="334"/>
  <c r="D185" i="334"/>
  <c r="C185" i="334"/>
  <c r="D184" i="334"/>
  <c r="C184" i="334"/>
  <c r="D183" i="334"/>
  <c r="C183" i="334"/>
  <c r="D182" i="334"/>
  <c r="C182" i="334"/>
  <c r="D181" i="334"/>
  <c r="C181" i="334"/>
  <c r="D180" i="334"/>
  <c r="C180" i="334"/>
  <c r="D179" i="334"/>
  <c r="C179" i="334"/>
  <c r="D178" i="334"/>
  <c r="C178" i="334"/>
  <c r="D177" i="334"/>
  <c r="C177" i="334"/>
  <c r="D176" i="334"/>
  <c r="C176" i="334"/>
  <c r="D175" i="334"/>
  <c r="C175" i="334"/>
  <c r="D174" i="334"/>
  <c r="C174" i="334"/>
  <c r="D173" i="334"/>
  <c r="C173" i="334"/>
  <c r="D172" i="334"/>
  <c r="C172" i="334"/>
  <c r="D171" i="334"/>
  <c r="C171" i="334"/>
  <c r="D170" i="334"/>
  <c r="C170" i="334"/>
  <c r="D169" i="334"/>
  <c r="C169" i="334"/>
  <c r="D168" i="334"/>
  <c r="C168" i="334"/>
  <c r="D167" i="334"/>
  <c r="C167" i="334"/>
  <c r="D166" i="334"/>
  <c r="C166" i="334"/>
  <c r="D165" i="334"/>
  <c r="C165" i="334"/>
  <c r="D164" i="334"/>
  <c r="C164" i="334"/>
  <c r="D163" i="334"/>
  <c r="C163" i="334"/>
  <c r="D162" i="334"/>
  <c r="C162" i="334"/>
  <c r="D161" i="334"/>
  <c r="C161" i="334"/>
  <c r="D160" i="334"/>
  <c r="C160" i="334"/>
  <c r="D159" i="334"/>
  <c r="C159" i="334"/>
  <c r="D158" i="334"/>
  <c r="C158" i="334"/>
  <c r="D157" i="334"/>
  <c r="C157" i="334"/>
  <c r="D156" i="334"/>
  <c r="C156" i="334"/>
  <c r="D155" i="334"/>
  <c r="C155" i="334"/>
  <c r="D154" i="334"/>
  <c r="C154" i="334"/>
  <c r="D153" i="334"/>
  <c r="C153" i="334"/>
  <c r="D152" i="334"/>
  <c r="C152" i="334"/>
  <c r="D151" i="334"/>
  <c r="C151" i="334"/>
  <c r="D150" i="334"/>
  <c r="C150" i="334"/>
  <c r="D149" i="334"/>
  <c r="C149" i="334"/>
  <c r="D148" i="334"/>
  <c r="C148" i="334"/>
  <c r="D147" i="334"/>
  <c r="C147" i="334"/>
  <c r="D146" i="334"/>
  <c r="C146" i="334"/>
  <c r="D145" i="334"/>
  <c r="C145" i="334"/>
  <c r="D144" i="334"/>
  <c r="C144" i="334"/>
  <c r="D143" i="334"/>
  <c r="C143" i="334"/>
  <c r="D142" i="334"/>
  <c r="C142" i="334"/>
  <c r="D141" i="334"/>
  <c r="C141" i="334"/>
  <c r="D140" i="334"/>
  <c r="C140" i="334"/>
  <c r="D139" i="334"/>
  <c r="C139" i="334"/>
  <c r="D138" i="334"/>
  <c r="C138" i="334"/>
  <c r="D137" i="334"/>
  <c r="C137" i="334"/>
  <c r="D136" i="334"/>
  <c r="C136" i="334"/>
  <c r="D135" i="334"/>
  <c r="C135" i="334"/>
  <c r="D134" i="334"/>
  <c r="C134" i="334"/>
  <c r="D133" i="334"/>
  <c r="C133" i="334"/>
  <c r="D132" i="334"/>
  <c r="C132" i="334"/>
  <c r="D131" i="334"/>
  <c r="C131" i="334"/>
  <c r="D130" i="334"/>
  <c r="C130" i="334"/>
  <c r="D129" i="334"/>
  <c r="C129" i="334"/>
  <c r="D128" i="334"/>
  <c r="C128" i="334"/>
  <c r="D127" i="334"/>
  <c r="C127" i="334"/>
  <c r="D126" i="334"/>
  <c r="C126" i="334"/>
  <c r="D125" i="334"/>
  <c r="C125" i="334"/>
  <c r="D124" i="334"/>
  <c r="C124" i="334"/>
  <c r="D123" i="334"/>
  <c r="C123" i="334"/>
  <c r="D122" i="334"/>
  <c r="C122" i="334"/>
  <c r="D121" i="334"/>
  <c r="C121" i="334"/>
  <c r="D120" i="334"/>
  <c r="C120" i="334"/>
  <c r="D119" i="334"/>
  <c r="C119" i="334"/>
  <c r="D118" i="334"/>
  <c r="C118" i="334"/>
  <c r="D117" i="334"/>
  <c r="C117" i="334"/>
  <c r="D116" i="334"/>
  <c r="C116" i="334"/>
  <c r="D115" i="334"/>
  <c r="C115" i="334"/>
  <c r="D114" i="334"/>
  <c r="C114" i="334"/>
  <c r="D113" i="334"/>
  <c r="C113" i="334"/>
  <c r="D112" i="334"/>
  <c r="C112" i="334"/>
  <c r="D111" i="334"/>
  <c r="C111" i="334"/>
  <c r="D110" i="334"/>
  <c r="C110" i="334"/>
  <c r="D109" i="334"/>
  <c r="C109" i="334"/>
  <c r="D108" i="334"/>
  <c r="C108" i="334"/>
  <c r="D107" i="334"/>
  <c r="C107" i="334"/>
  <c r="D106" i="334"/>
  <c r="C106" i="334"/>
  <c r="D105" i="334"/>
  <c r="C105" i="334"/>
  <c r="D104" i="334"/>
  <c r="C104" i="334"/>
  <c r="D103" i="334"/>
  <c r="C103" i="334"/>
  <c r="D102" i="334"/>
  <c r="C102" i="334"/>
  <c r="D101" i="334"/>
  <c r="C101" i="334"/>
  <c r="D100" i="334"/>
  <c r="C100" i="334"/>
  <c r="D99" i="334"/>
  <c r="C99" i="334"/>
  <c r="D98" i="334"/>
  <c r="C98" i="334"/>
  <c r="D97" i="334"/>
  <c r="C97" i="334"/>
  <c r="D96" i="334"/>
  <c r="C96" i="334"/>
  <c r="D95" i="334"/>
  <c r="C95" i="334"/>
  <c r="D94" i="334"/>
  <c r="C94" i="334"/>
  <c r="D93" i="334"/>
  <c r="C93" i="334"/>
  <c r="D92" i="334"/>
  <c r="C92" i="334"/>
  <c r="D91" i="334"/>
  <c r="C91" i="334"/>
  <c r="D90" i="334"/>
  <c r="C90" i="334"/>
  <c r="D89" i="334"/>
  <c r="C89" i="334"/>
  <c r="D88" i="334"/>
  <c r="C88" i="334"/>
  <c r="D87" i="334"/>
  <c r="C87" i="334"/>
  <c r="D86" i="334"/>
  <c r="C86" i="334"/>
  <c r="D85" i="334"/>
  <c r="C85" i="334"/>
  <c r="D84" i="334"/>
  <c r="C84" i="334"/>
  <c r="D83" i="334"/>
  <c r="C83" i="334"/>
  <c r="D82" i="334"/>
  <c r="C82" i="334"/>
  <c r="D81" i="334"/>
  <c r="C81" i="334"/>
  <c r="D80" i="334"/>
  <c r="C80" i="334"/>
  <c r="D79" i="334"/>
  <c r="C79" i="334"/>
  <c r="D78" i="334"/>
  <c r="C78" i="334"/>
  <c r="D77" i="334"/>
  <c r="C77" i="334"/>
  <c r="D76" i="334"/>
  <c r="C76" i="334"/>
  <c r="D75" i="334"/>
  <c r="C75" i="334"/>
  <c r="D74" i="334"/>
  <c r="C74" i="334"/>
  <c r="D73" i="334"/>
  <c r="C73" i="334"/>
  <c r="D72" i="334"/>
  <c r="C72" i="334"/>
  <c r="D71" i="334"/>
  <c r="C71" i="334"/>
  <c r="D70" i="334"/>
  <c r="C70" i="334"/>
  <c r="D69" i="334"/>
  <c r="C69" i="334"/>
  <c r="D68" i="334"/>
  <c r="C68" i="334"/>
  <c r="D67" i="334"/>
  <c r="C67" i="334"/>
  <c r="D66" i="334"/>
  <c r="C66" i="334"/>
  <c r="D65" i="334"/>
  <c r="C65" i="334"/>
  <c r="D64" i="334"/>
  <c r="C64" i="334"/>
  <c r="D63" i="334"/>
  <c r="C63" i="334"/>
  <c r="D62" i="334"/>
  <c r="C62" i="334"/>
  <c r="D61" i="334"/>
  <c r="C61" i="334"/>
  <c r="D60" i="334"/>
  <c r="C60" i="334"/>
  <c r="D59" i="334"/>
  <c r="C59" i="334"/>
  <c r="D58" i="334"/>
  <c r="C58" i="334"/>
  <c r="D57" i="334"/>
  <c r="C57" i="334"/>
  <c r="D56" i="334"/>
  <c r="C56" i="334"/>
  <c r="D55" i="334"/>
  <c r="C55" i="334"/>
  <c r="D54" i="334"/>
  <c r="C54" i="334"/>
  <c r="D53" i="334"/>
  <c r="C53" i="334"/>
  <c r="D52" i="334"/>
  <c r="C52" i="334"/>
  <c r="D51" i="334"/>
  <c r="C51" i="334"/>
  <c r="D50" i="334"/>
  <c r="C50" i="334"/>
  <c r="D49" i="334"/>
  <c r="C49" i="334"/>
  <c r="D48" i="334"/>
  <c r="C48" i="334"/>
  <c r="D47" i="334"/>
  <c r="C47" i="334"/>
  <c r="D46" i="334"/>
  <c r="C46" i="334"/>
  <c r="D45" i="334"/>
  <c r="C45" i="334"/>
  <c r="D44" i="334"/>
  <c r="C44" i="334"/>
  <c r="D43" i="334"/>
  <c r="C43" i="334"/>
  <c r="D42" i="334"/>
  <c r="C42" i="334"/>
  <c r="D41" i="334"/>
  <c r="C41" i="334"/>
  <c r="D40" i="334"/>
  <c r="C40" i="334"/>
  <c r="D39" i="334"/>
  <c r="C39" i="334"/>
  <c r="D38" i="334"/>
  <c r="C38" i="334"/>
  <c r="D37" i="334"/>
  <c r="C37" i="334"/>
  <c r="D36" i="334"/>
  <c r="C36" i="334"/>
  <c r="D35" i="334"/>
  <c r="C35" i="334"/>
  <c r="D34" i="334"/>
  <c r="C34" i="334"/>
  <c r="D33" i="334"/>
  <c r="C33" i="334"/>
  <c r="D32" i="334"/>
  <c r="C32" i="334"/>
  <c r="D31" i="334"/>
  <c r="C31" i="334"/>
  <c r="D30" i="334"/>
  <c r="C30" i="334"/>
  <c r="D29" i="334"/>
  <c r="C29" i="334"/>
  <c r="D28" i="334"/>
  <c r="C28" i="334"/>
  <c r="D27" i="334"/>
  <c r="C27" i="334"/>
  <c r="D26" i="334"/>
  <c r="C26" i="334"/>
  <c r="D25" i="334"/>
  <c r="C25" i="334"/>
  <c r="D24" i="334"/>
  <c r="C24" i="334"/>
  <c r="D23" i="334"/>
  <c r="C23" i="334"/>
  <c r="D22" i="334"/>
  <c r="C22" i="334"/>
  <c r="D21" i="334"/>
  <c r="C21" i="334"/>
  <c r="D20" i="334"/>
  <c r="C20" i="334"/>
  <c r="D19" i="334"/>
  <c r="C19" i="334"/>
  <c r="D18" i="334"/>
  <c r="C18" i="334"/>
  <c r="D17" i="334"/>
  <c r="C17" i="334"/>
  <c r="D16" i="334"/>
  <c r="C16" i="334"/>
  <c r="D15" i="334"/>
  <c r="C15" i="334"/>
  <c r="D14" i="334"/>
  <c r="C14" i="334"/>
  <c r="D13" i="334"/>
  <c r="C13" i="334"/>
  <c r="D12" i="334"/>
  <c r="C12" i="334"/>
  <c r="D11" i="334"/>
  <c r="C11" i="334"/>
  <c r="D10" i="334"/>
  <c r="C10" i="334"/>
  <c r="D9" i="334"/>
  <c r="C9" i="334"/>
  <c r="D8" i="334"/>
  <c r="C8" i="334"/>
  <c r="D7" i="334"/>
  <c r="C7" i="334"/>
  <c r="D6" i="334"/>
  <c r="C6" i="334"/>
  <c r="D5" i="334"/>
  <c r="C5" i="334"/>
  <c r="C4" i="334"/>
  <c r="D4" i="334" s="1"/>
  <c r="C3" i="334"/>
  <c r="D3" i="334" s="1"/>
  <c r="B2" i="332"/>
  <c r="G3" i="338" l="1"/>
  <c r="H3" i="338" s="1"/>
  <c r="J3" i="338"/>
  <c r="K3" i="338" s="1"/>
</calcChain>
</file>

<file path=xl/sharedStrings.xml><?xml version="1.0" encoding="utf-8"?>
<sst xmlns="http://schemas.openxmlformats.org/spreadsheetml/2006/main" count="80" uniqueCount="27">
  <si>
    <t>Tem valores</t>
  </si>
  <si>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</si>
  <si>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</si>
  <si>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</si>
  <si>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</si>
  <si>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</si>
  <si>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</si>
  <si>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</si>
  <si>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TP1</t>
  </si>
  <si>
    <t>TP2</t>
  </si>
  <si>
    <t>Exame</t>
  </si>
  <si>
    <t>Recurso</t>
  </si>
  <si>
    <t>Nomes</t>
  </si>
  <si>
    <t>Nota</t>
  </si>
  <si>
    <t>Total</t>
  </si>
  <si>
    <t>G2</t>
  </si>
  <si>
    <t>G1</t>
  </si>
  <si>
    <t>Rui</t>
  </si>
  <si>
    <t>A</t>
  </si>
  <si>
    <t>Ruben</t>
  </si>
  <si>
    <t>B</t>
  </si>
  <si>
    <t>P1</t>
  </si>
  <si>
    <t>tudo</t>
  </si>
  <si>
    <t>Nota Convertida</t>
  </si>
  <si>
    <t>Ap</t>
  </si>
  <si>
    <t>ALG</t>
  </si>
  <si>
    <t>TUDO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</si>
</sst>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E20" sqref="E20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6B8BE-3E57-4F5C-96F7-1D0631E8B22B}">
  <sheetPr codeName="Folha154"/>
  <dimension ref="A1:ZZ1000"/>
  <sheetViews>
    <sheetView tabSelected="1" workbookViewId="0">
      <selection activeCell="A5" sqref="A5"/>
    </sheetView>
  </sheetViews>
  <sheetFormatPr defaultRowHeight="14.4" x14ac:dyDescent="0.3"/>
  <cols>
    <col min="1" max="1" width="35.77734375" style="2" customWidth="1"/>
    <col min="2" max="2" width="6.5546875" style="2" bestFit="1" customWidth="1"/>
    <col min="3" max="3" width="3.21875" style="2" bestFit="1" customWidth="1"/>
    <col min="4" max="4" width="4.109375" style="2" bestFit="1" customWidth="1"/>
    <col min="5" max="5" width="3.21875" style="2" bestFit="1" customWidth="1"/>
    <col min="6" max="6" width="4.109375" style="2" bestFit="1" customWidth="1"/>
    <col min="7" max="7" width="5.21875" style="2" bestFit="1" customWidth="1"/>
    <col min="8" max="8" width="5.109375" style="2" bestFit="1" customWidth="1"/>
    <col min="9" max="702" width="8.88671875" style="2"/>
  </cols>
  <sheetData>
    <row r="1" spans="1:11" x14ac:dyDescent="0.3">
      <c r="B1" s="8">
        <v>12</v>
      </c>
      <c r="D1" s="8">
        <v>4</v>
      </c>
      <c r="F1" s="8">
        <v>4</v>
      </c>
      <c r="G1" s="8">
        <v>20</v>
      </c>
      <c r="H1" s="8">
        <v>20</v>
      </c>
      <c r="I1" s="8">
        <v>12</v>
      </c>
      <c r="J1" s="8">
        <v>20</v>
      </c>
      <c r="K1" s="8">
        <v>20</v>
      </c>
    </row>
    <row r="2" spans="1:11" x14ac:dyDescent="0.3">
      <c r="A2" s="7" t="s">
        <v>12</v>
      </c>
      <c r="B2" s="7" t="s">
        <v>10</v>
      </c>
      <c r="C2" s="7" t="s">
        <v>16</v>
      </c>
      <c r="D2" s="7" t="s">
        <v>8</v>
      </c>
      <c r="E2" s="7" t="s">
        <v>15</v>
      </c>
      <c r="F2" s="7" t="s">
        <v>9</v>
      </c>
      <c r="G2" s="7" t="s">
        <v>14</v>
      </c>
      <c r="H2" s="7" t="s">
        <v>13</v>
      </c>
      <c r="I2" s="7" t="s">
        <v>11</v>
      </c>
      <c r="J2" s="7" t="s">
        <v>14</v>
      </c>
      <c r="K2" s="7" t="s">
        <v>13</v>
      </c>
    </row>
    <row r="3" spans="1:11" x14ac:dyDescent="0.3">
      <c r="A3" s="2" t="s">
        <v>17</v>
      </c>
      <c r="B3" s="2">
        <f>IFERROR(IF(A3&lt;&gt;"",VLOOKUP(Alunos!A3,Exame!A3:D1000,4, FALSE),""), "")</f>
        <v>1.44</v>
      </c>
      <c r="C3" s="2" t="str">
        <f>IF(A3&lt;&gt;"",VLOOKUP(Alunos!A3,Agrupamentos!A3:C1000,2, FALSE),"")</f>
        <v>A</v>
      </c>
      <c r="D3" s="2">
        <f>IFERROR(IF(A3&lt;&gt;"",VLOOKUP(Alunos!C3,'TP1'!A3:E1000,5, FALSE),""),"")</f>
        <v>3.88</v>
      </c>
      <c r="E3" s="2" t="str">
        <f>IF(A3&lt;&gt;"",VLOOKUP(Alunos!A3,Agrupamentos!A3:C1000,3, FALSE),"")</f>
        <v>B</v>
      </c>
      <c r="F3" s="2">
        <f>IFERROR(IF(A3&lt;&gt;"",VLOOKUP(Alunos!E3,'TP2'!A3:D1000,4, FALSE),""),"")</f>
        <v>2.7280000000000002</v>
      </c>
      <c r="G3" s="2">
        <f>IF(A3&lt;&gt;"", SUMIF(B1:F1,"&lt;&gt;",B3:F3),"")</f>
        <v>8.048</v>
      </c>
      <c r="H3" s="2">
        <f>IF(AND(A3&lt;&gt;"",G3&lt;&gt;""),ROUND(G3,0),"")</f>
        <v>8</v>
      </c>
      <c r="I3" s="2">
        <f>IFERROR(IF(A3&lt;&gt;"",VLOOKUP(Alunos!A3,Recurso!A3:D1000,4, FALSE),""), "")</f>
        <v>9</v>
      </c>
      <c r="J3" s="2">
        <f>IF(AND(A3&lt;&gt;"",I3&lt;&gt;""), SUMIFS(B3:I3,B1:I1,"&lt;&gt;",B2:I2,"&lt;&gt;Exame",B2:I2,"&lt;&gt;exame",B2:I2,"&lt;&gt;Nota",B2:I2,"&lt;&gt;Total"),"")</f>
        <v>15.608000000000001</v>
      </c>
      <c r="K3" s="2">
        <f>IF(AND(A3&lt;&gt;"",J3&lt;&gt;""),ROUND(J3,0),"")</f>
        <v>16</v>
      </c>
    </row>
    <row r="4" spans="1:11" x14ac:dyDescent="0.3">
      <c r="A4" s="2" t="s">
        <v>19</v>
      </c>
      <c r="B4" s="2">
        <f>IFERROR(IF(A4&lt;&gt;"",VLOOKUP(Alunos!A4,Exame!A3:D1000,4, FALSE),""), "")</f>
        <v>7.8</v>
      </c>
      <c r="C4" s="2" t="str">
        <f>IF(A4&lt;&gt;"",VLOOKUP(Alunos!A4,Agrupamentos!A3:C1000,2, FALSE),"")</f>
        <v>B</v>
      </c>
      <c r="D4" s="2">
        <f>IFERROR(IF(A4&lt;&gt;"",VLOOKUP(Alunos!C4,'TP1'!A3:E1000,5, FALSE),""),"")</f>
        <v>2.2400000000000002</v>
      </c>
      <c r="E4" s="2" t="str">
        <f>IF(A4&lt;&gt;"",VLOOKUP(Alunos!A4,Agrupamentos!A3:C1000,3, FALSE),"")</f>
        <v>A</v>
      </c>
      <c r="F4" s="2">
        <f>IFERROR(IF(A4&lt;&gt;"",VLOOKUP(Alunos!E4,'TP2'!A3:D1000,4, FALSE),""),"")</f>
        <v>3.6</v>
      </c>
      <c r="G4" s="2">
        <f>IF(A4&lt;&gt;"", SUMIF(B1:F1,"&lt;&gt;",B4:F4),"")</f>
        <v>13.639999999999999</v>
      </c>
      <c r="H4" s="2">
        <f>IF(AND(A4&lt;&gt;"",G4&lt;&gt;""),ROUND(G4,0),"")</f>
        <v>14</v>
      </c>
      <c r="I4" s="2" t="str">
        <f>IFERROR(IF(A4&lt;&gt;"",VLOOKUP(Alunos!A4,Recurso!A3:D1000,4, FALSE),""), "")</f>
        <v/>
      </c>
      <c r="J4" s="2" t="str">
        <f>IF(AND(A4&lt;&gt;"",I4&lt;&gt;""), SUMIFS(B4:I4,B1:I1,"&lt;&gt;",B2:I2,"&lt;&gt;Exame",B2:I2,"&lt;&gt;exame",B2:I2,"&lt;&gt;Nota",B2:I2,"&lt;&gt;Total"),"")</f>
        <v/>
      </c>
      <c r="K4" s="2" t="str">
        <f>IF(AND(A4&lt;&gt;"",J4&lt;&gt;""),ROUND(J4,0),"")</f>
        <v/>
      </c>
    </row>
    <row r="5" spans="1:11" x14ac:dyDescent="0.3">
      <c r="B5" s="2" t="str">
        <f>IFERROR(IF(A5&lt;&gt;"",VLOOKUP(Alunos!A5,Exame!A3:D1000,4, FALSE),""), "")</f>
        <v/>
      </c>
      <c r="C5" s="2" t="str">
        <f>IF(A5&lt;&gt;"",VLOOKUP(Alunos!A5,Agrupamentos!A3:C1000,2, FALSE),"")</f>
        <v/>
      </c>
      <c r="D5" s="2" t="str">
        <f>IFERROR(IF(A5&lt;&gt;"",VLOOKUP(Alunos!C5,'TP1'!A3:E1000,5, FALSE),""),"")</f>
        <v/>
      </c>
      <c r="E5" s="2" t="str">
        <f>IF(A5&lt;&gt;"",VLOOKUP(Alunos!A5,Agrupamentos!A3:C1000,3, FALSE),"")</f>
        <v/>
      </c>
      <c r="F5" s="2" t="str">
        <f>IFERROR(IF(A5&lt;&gt;"",VLOOKUP(Alunos!E5,'TP2'!A3:D1000,4, FALSE),""),"")</f>
        <v/>
      </c>
      <c r="G5" s="2" t="str">
        <f>IF(A5&lt;&gt;"", SUMIF(B1:F1,"&lt;&gt;",B5:F5),"")</f>
        <v/>
      </c>
      <c r="H5" s="2" t="str">
        <f>IF(AND(A5&lt;&gt;"",G5&lt;&gt;""),ROUND(G5,0),"")</f>
        <v/>
      </c>
      <c r="I5" s="2" t="str">
        <f>IFERROR(IF(A5&lt;&gt;"",VLOOKUP(Alunos!A5,Recurso!A3:D1000,4, FALSE),""), "")</f>
        <v/>
      </c>
      <c r="J5" s="2" t="str">
        <f>IF(AND(A5&lt;&gt;"",I5&lt;&gt;""), SUMIFS(B5:I5,B1:I1,"&lt;&gt;",B2:I2,"&lt;&gt;Exame",B2:I2,"&lt;&gt;exame",B2:I2,"&lt;&gt;Nota",B2:I2,"&lt;&gt;Total"),"")</f>
        <v/>
      </c>
      <c r="K5" s="2" t="str">
        <f>IF(AND(A5&lt;&gt;"",J5&lt;&gt;""),ROUND(J5,0),"")</f>
        <v/>
      </c>
    </row>
    <row r="6" spans="1:11" x14ac:dyDescent="0.3">
      <c r="B6" s="2" t="str">
        <f>IFERROR(IF(A6&lt;&gt;"",VLOOKUP(Alunos!A6,Exame!A3:D1000,4, FALSE),""), "")</f>
        <v/>
      </c>
      <c r="C6" s="2" t="str">
        <f>IF(A6&lt;&gt;"",VLOOKUP(Alunos!A6,Agrupamentos!A3:C1000,2, FALSE),"")</f>
        <v/>
      </c>
      <c r="D6" s="2" t="str">
        <f>IFERROR(IF(A6&lt;&gt;"",VLOOKUP(Alunos!C6,'TP1'!A3:E1000,5, FALSE),""),"")</f>
        <v/>
      </c>
      <c r="E6" s="2" t="str">
        <f>IF(A6&lt;&gt;"",VLOOKUP(Alunos!A6,Agrupamentos!A3:C1000,3, FALSE),"")</f>
        <v/>
      </c>
      <c r="F6" s="2" t="str">
        <f>IFERROR(IF(A6&lt;&gt;"",VLOOKUP(Alunos!E6,'TP2'!A3:D1000,4, FALSE),""),"")</f>
        <v/>
      </c>
      <c r="G6" s="2" t="str">
        <f>IF(A6&lt;&gt;"", SUMIF(B1:F1,"&lt;&gt;",B6:F6),"")</f>
        <v/>
      </c>
      <c r="H6" s="2" t="str">
        <f>IF(AND(A6&lt;&gt;"",G6&lt;&gt;""),ROUND(G6,0),"")</f>
        <v/>
      </c>
      <c r="I6" s="2" t="str">
        <f>IFERROR(IF(A6&lt;&gt;"",VLOOKUP(Alunos!A6,Recurso!A3:D1000,4, FALSE),""), "")</f>
        <v/>
      </c>
      <c r="J6" s="2" t="str">
        <f>IF(AND(A6&lt;&gt;"",I6&lt;&gt;""), SUMIFS(B6:I6,B1:I1,"&lt;&gt;",B2:I2,"&lt;&gt;Exame",B2:I2,"&lt;&gt;exame",B2:I2,"&lt;&gt;Nota",B2:I2,"&lt;&gt;Total"),"")</f>
        <v/>
      </c>
      <c r="K6" s="2" t="str">
        <f>IF(AND(A6&lt;&gt;"",J6&lt;&gt;""),ROUND(J6,0),"")</f>
        <v/>
      </c>
    </row>
    <row r="7" spans="1:11" x14ac:dyDescent="0.3">
      <c r="B7" s="2" t="str">
        <f>IFERROR(IF(A7&lt;&gt;"",VLOOKUP(Alunos!A7,Exame!A3:D1000,4, FALSE),""), "")</f>
        <v/>
      </c>
      <c r="C7" s="2" t="str">
        <f>IF(A7&lt;&gt;"",VLOOKUP(Alunos!A7,Agrupamentos!A3:C1000,2, FALSE),"")</f>
        <v/>
      </c>
      <c r="D7" s="2" t="str">
        <f>IFERROR(IF(A7&lt;&gt;"",VLOOKUP(Alunos!C7,'TP1'!A3:E1000,5, FALSE),""),"")</f>
        <v/>
      </c>
      <c r="E7" s="2" t="str">
        <f>IF(A7&lt;&gt;"",VLOOKUP(Alunos!A7,Agrupamentos!A3:C1000,3, FALSE),"")</f>
        <v/>
      </c>
      <c r="F7" s="2" t="str">
        <f>IFERROR(IF(A7&lt;&gt;"",VLOOKUP(Alunos!E7,'TP2'!A3:D1000,4, FALSE),""),"")</f>
        <v/>
      </c>
      <c r="G7" s="2" t="str">
        <f>IF(A7&lt;&gt;"", SUMIF(B1:F1,"&lt;&gt;",B7:F7),"")</f>
        <v/>
      </c>
      <c r="H7" s="2" t="str">
        <f>IF(AND(A7&lt;&gt;"",G7&lt;&gt;""),ROUND(G7,0),"")</f>
        <v/>
      </c>
      <c r="I7" s="2" t="str">
        <f>IFERROR(IF(A7&lt;&gt;"",VLOOKUP(Alunos!A7,Recurso!A3:D1000,4, FALSE),""), "")</f>
        <v/>
      </c>
      <c r="J7" s="2" t="str">
        <f>IF(AND(A7&lt;&gt;"",I7&lt;&gt;""), SUMIFS(B7:I7,B1:I1,"&lt;&gt;",B2:I2,"&lt;&gt;Exame",B2:I2,"&lt;&gt;exame",B2:I2,"&lt;&gt;Nota",B2:I2,"&lt;&gt;Total"),"")</f>
        <v/>
      </c>
      <c r="K7" s="2" t="str">
        <f>IF(AND(A7&lt;&gt;"",J7&lt;&gt;""),ROUND(J7,0),"")</f>
        <v/>
      </c>
    </row>
    <row r="8" spans="1:11" x14ac:dyDescent="0.3">
      <c r="B8" s="2" t="str">
        <f>IFERROR(IF(A8&lt;&gt;"",VLOOKUP(Alunos!A8,Exame!A3:D1000,4, FALSE),""), "")</f>
        <v/>
      </c>
      <c r="C8" s="2" t="str">
        <f>IF(A8&lt;&gt;"",VLOOKUP(Alunos!A8,Agrupamentos!A3:C1000,2, FALSE),"")</f>
        <v/>
      </c>
      <c r="D8" s="2" t="str">
        <f>IFERROR(IF(A8&lt;&gt;"",VLOOKUP(Alunos!C8,'TP1'!A3:E1000,5, FALSE),""),"")</f>
        <v/>
      </c>
      <c r="E8" s="2" t="str">
        <f>IF(A8&lt;&gt;"",VLOOKUP(Alunos!A8,Agrupamentos!A3:C1000,3, FALSE),"")</f>
        <v/>
      </c>
      <c r="F8" s="2" t="str">
        <f>IFERROR(IF(A8&lt;&gt;"",VLOOKUP(Alunos!E8,'TP2'!A3:D1000,4, FALSE),""),"")</f>
        <v/>
      </c>
      <c r="G8" s="2" t="str">
        <f>IF(A8&lt;&gt;"", SUMIF(B1:F1,"&lt;&gt;",B8:F8),"")</f>
        <v/>
      </c>
      <c r="H8" s="2" t="str">
        <f>IF(AND(A8&lt;&gt;"",G8&lt;&gt;""),ROUND(G8,0),"")</f>
        <v/>
      </c>
      <c r="I8" s="2" t="str">
        <f>IFERROR(IF(A8&lt;&gt;"",VLOOKUP(Alunos!A8,Recurso!A3:D1000,4, FALSE),""), "")</f>
        <v/>
      </c>
      <c r="J8" s="2" t="str">
        <f>IF(AND(A8&lt;&gt;"",I8&lt;&gt;""), SUMIFS(B8:I8,B1:I1,"&lt;&gt;",B2:I2,"&lt;&gt;Exame",B2:I2,"&lt;&gt;exame",B2:I2,"&lt;&gt;Nota",B2:I2,"&lt;&gt;Total"),"")</f>
        <v/>
      </c>
      <c r="K8" s="2" t="str">
        <f>IF(AND(A8&lt;&gt;"",J8&lt;&gt;""),ROUND(J8,0),"")</f>
        <v/>
      </c>
    </row>
    <row r="9" spans="1:11" x14ac:dyDescent="0.3">
      <c r="B9" s="2" t="str">
        <f>IFERROR(IF(A9&lt;&gt;"",VLOOKUP(Alunos!A9,Exame!A3:D1000,4, FALSE),""), "")</f>
        <v/>
      </c>
      <c r="C9" s="2" t="str">
        <f>IF(A9&lt;&gt;"",VLOOKUP(Alunos!A9,Agrupamentos!A3:C1000,2, FALSE),"")</f>
        <v/>
      </c>
      <c r="D9" s="2" t="str">
        <f>IFERROR(IF(A9&lt;&gt;"",VLOOKUP(Alunos!C9,'TP1'!A3:E1000,5, FALSE),""),"")</f>
        <v/>
      </c>
      <c r="E9" s="2" t="str">
        <f>IF(A9&lt;&gt;"",VLOOKUP(Alunos!A9,Agrupamentos!A3:C1000,3, FALSE),"")</f>
        <v/>
      </c>
      <c r="F9" s="2" t="str">
        <f>IFERROR(IF(A9&lt;&gt;"",VLOOKUP(Alunos!E9,'TP2'!A3:D1000,4, FALSE),""),"")</f>
        <v/>
      </c>
      <c r="G9" s="2" t="str">
        <f>IF(A9&lt;&gt;"", SUMIF(B1:F1,"&lt;&gt;",B9:F9),"")</f>
        <v/>
      </c>
      <c r="H9" s="2" t="str">
        <f>IF(AND(A9&lt;&gt;"",G9&lt;&gt;""),ROUND(G9,0),"")</f>
        <v/>
      </c>
      <c r="I9" s="2" t="str">
        <f>IFERROR(IF(A9&lt;&gt;"",VLOOKUP(Alunos!A9,Recurso!A3:D1000,4, FALSE),""), "")</f>
        <v/>
      </c>
      <c r="J9" s="2" t="str">
        <f>IF(AND(A9&lt;&gt;"",I9&lt;&gt;""), SUMIFS(B9:I9,B1:I1,"&lt;&gt;",B2:I2,"&lt;&gt;Exame",B2:I2,"&lt;&gt;exame",B2:I2,"&lt;&gt;Nota",B2:I2,"&lt;&gt;Total"),"")</f>
        <v/>
      </c>
      <c r="K9" s="2" t="str">
        <f>IF(AND(A9&lt;&gt;"",J9&lt;&gt;""),ROUND(J9,0),"")</f>
        <v/>
      </c>
    </row>
    <row r="10" spans="1:11" x14ac:dyDescent="0.3">
      <c r="B10" s="2" t="str">
        <f>IFERROR(IF(A10&lt;&gt;"",VLOOKUP(Alunos!A10,Exame!A3:D1000,4, FALSE),""), "")</f>
        <v/>
      </c>
      <c r="C10" s="2" t="str">
        <f>IF(A10&lt;&gt;"",VLOOKUP(Alunos!A10,Agrupamentos!A3:C1000,2, FALSE),"")</f>
        <v/>
      </c>
      <c r="D10" s="2" t="str">
        <f>IFERROR(IF(A10&lt;&gt;"",VLOOKUP(Alunos!C10,'TP1'!A3:E1000,5, FALSE),""),"")</f>
        <v/>
      </c>
      <c r="E10" s="2" t="str">
        <f>IF(A10&lt;&gt;"",VLOOKUP(Alunos!A10,Agrupamentos!A3:C1000,3, FALSE),"")</f>
        <v/>
      </c>
      <c r="F10" s="2" t="str">
        <f>IFERROR(IF(A10&lt;&gt;"",VLOOKUP(Alunos!E10,'TP2'!A3:D1000,4, FALSE),""),"")</f>
        <v/>
      </c>
      <c r="G10" s="2" t="str">
        <f>IF(A10&lt;&gt;"", SUMIF(B1:F1,"&lt;&gt;",B10:F10),"")</f>
        <v/>
      </c>
      <c r="H10" s="2" t="str">
        <f>IF(AND(A10&lt;&gt;"",G10&lt;&gt;""),ROUND(G10,0),"")</f>
        <v/>
      </c>
      <c r="I10" s="2" t="str">
        <f>IFERROR(IF(A10&lt;&gt;"",VLOOKUP(Alunos!A10,Recurso!A3:D1000,4, FALSE),""), "")</f>
        <v/>
      </c>
      <c r="J10" s="2" t="str">
        <f>IF(AND(A10&lt;&gt;"",I10&lt;&gt;""), SUMIFS(B10:I10,B1:I1,"&lt;&gt;",B2:I2,"&lt;&gt;Exame",B2:I2,"&lt;&gt;exame",B2:I2,"&lt;&gt;Nota",B2:I2,"&lt;&gt;Total"),"")</f>
        <v/>
      </c>
      <c r="K10" s="2" t="str">
        <f>IF(AND(A10&lt;&gt;"",J10&lt;&gt;""),ROUND(J10,0),"")</f>
        <v/>
      </c>
    </row>
    <row r="11" spans="1:11" x14ac:dyDescent="0.3">
      <c r="B11" s="2" t="str">
        <f>IFERROR(IF(A11&lt;&gt;"",VLOOKUP(Alunos!A11,Exame!A3:D1000,4, FALSE),""), "")</f>
        <v/>
      </c>
      <c r="C11" s="2" t="str">
        <f>IF(A11&lt;&gt;"",VLOOKUP(Alunos!A11,Agrupamentos!A3:C1000,2, FALSE),"")</f>
        <v/>
      </c>
      <c r="D11" s="2" t="str">
        <f>IFERROR(IF(A11&lt;&gt;"",VLOOKUP(Alunos!C11,'TP1'!A3:E1000,5, FALSE),""),"")</f>
        <v/>
      </c>
      <c r="E11" s="2" t="str">
        <f>IF(A11&lt;&gt;"",VLOOKUP(Alunos!A11,Agrupamentos!A3:C1000,3, FALSE),"")</f>
        <v/>
      </c>
      <c r="F11" s="2" t="str">
        <f>IFERROR(IF(A11&lt;&gt;"",VLOOKUP(Alunos!E11,'TP2'!A3:D1000,4, FALSE),""),"")</f>
        <v/>
      </c>
      <c r="G11" s="2" t="str">
        <f>IF(A11&lt;&gt;"", SUMIF(B1:F1,"&lt;&gt;",B11:F11),"")</f>
        <v/>
      </c>
      <c r="H11" s="2" t="str">
        <f>IF(AND(A11&lt;&gt;"",G11&lt;&gt;""),ROUND(G11,0),"")</f>
        <v/>
      </c>
      <c r="I11" s="2" t="str">
        <f>IFERROR(IF(A11&lt;&gt;"",VLOOKUP(Alunos!A11,Recurso!A3:D1000,4, FALSE),""), "")</f>
        <v/>
      </c>
      <c r="J11" s="2" t="str">
        <f>IF(AND(A11&lt;&gt;"",I11&lt;&gt;""), SUMIFS(B11:I11,B1:I1,"&lt;&gt;",B2:I2,"&lt;&gt;Exame",B2:I2,"&lt;&gt;exame",B2:I2,"&lt;&gt;Nota",B2:I2,"&lt;&gt;Total"),"")</f>
        <v/>
      </c>
      <c r="K11" s="2" t="str">
        <f>IF(AND(A11&lt;&gt;"",J11&lt;&gt;""),ROUND(J11,0),"")</f>
        <v/>
      </c>
    </row>
    <row r="12" spans="1:11" x14ac:dyDescent="0.3">
      <c r="B12" s="2" t="str">
        <f>IFERROR(IF(A12&lt;&gt;"",VLOOKUP(Alunos!A12,Exame!A3:D1000,4, FALSE),""), "")</f>
        <v/>
      </c>
      <c r="C12" s="2" t="str">
        <f>IF(A12&lt;&gt;"",VLOOKUP(Alunos!A12,Agrupamentos!A3:C1000,2, FALSE),"")</f>
        <v/>
      </c>
      <c r="D12" s="2" t="str">
        <f>IFERROR(IF(A12&lt;&gt;"",VLOOKUP(Alunos!C12,'TP1'!A3:E1000,5, FALSE),""),"")</f>
        <v/>
      </c>
      <c r="E12" s="2" t="str">
        <f>IF(A12&lt;&gt;"",VLOOKUP(Alunos!A12,Agrupamentos!A3:C1000,3, FALSE),"")</f>
        <v/>
      </c>
      <c r="F12" s="2" t="str">
        <f>IFERROR(IF(A12&lt;&gt;"",VLOOKUP(Alunos!E12,'TP2'!A3:D1000,4, FALSE),""),"")</f>
        <v/>
      </c>
      <c r="G12" s="2" t="str">
        <f>IF(A12&lt;&gt;"", SUMIF(B1:F1,"&lt;&gt;",B12:F12),"")</f>
        <v/>
      </c>
      <c r="H12" s="2" t="str">
        <f>IF(AND(A12&lt;&gt;"",G12&lt;&gt;""),ROUND(G12,0),"")</f>
        <v/>
      </c>
      <c r="I12" s="2" t="str">
        <f>IFERROR(IF(A12&lt;&gt;"",VLOOKUP(Alunos!A12,Recurso!A3:D1000,4, FALSE),""), "")</f>
        <v/>
      </c>
      <c r="J12" s="2" t="str">
        <f>IF(AND(A12&lt;&gt;"",I12&lt;&gt;""), SUMIFS(B12:I12,B1:I1,"&lt;&gt;",B2:I2,"&lt;&gt;Exame",B2:I2,"&lt;&gt;exame",B2:I2,"&lt;&gt;Nota",B2:I2,"&lt;&gt;Total"),"")</f>
        <v/>
      </c>
      <c r="K12" s="2" t="str">
        <f>IF(AND(A12&lt;&gt;"",J12&lt;&gt;""),ROUND(J12,0),"")</f>
        <v/>
      </c>
    </row>
    <row r="13" spans="1:11" x14ac:dyDescent="0.3">
      <c r="B13" s="2" t="str">
        <f>IFERROR(IF(A13&lt;&gt;"",VLOOKUP(Alunos!A13,Exame!A3:D1000,4, FALSE),""), "")</f>
        <v/>
      </c>
      <c r="C13" s="2" t="str">
        <f>IF(A13&lt;&gt;"",VLOOKUP(Alunos!A13,Agrupamentos!A3:C1000,2, FALSE),"")</f>
        <v/>
      </c>
      <c r="D13" s="2" t="str">
        <f>IFERROR(IF(A13&lt;&gt;"",VLOOKUP(Alunos!C13,'TP1'!A3:E1000,5, FALSE),""),"")</f>
        <v/>
      </c>
      <c r="E13" s="2" t="str">
        <f>IF(A13&lt;&gt;"",VLOOKUP(Alunos!A13,Agrupamentos!A3:C1000,3, FALSE),"")</f>
        <v/>
      </c>
      <c r="F13" s="2" t="str">
        <f>IFERROR(IF(A13&lt;&gt;"",VLOOKUP(Alunos!E13,'TP2'!A3:D1000,4, FALSE),""),"")</f>
        <v/>
      </c>
      <c r="G13" s="2" t="str">
        <f>IF(A13&lt;&gt;"", SUMIF(B1:F1,"&lt;&gt;",B13:F13),"")</f>
        <v/>
      </c>
      <c r="H13" s="2" t="str">
        <f>IF(AND(A13&lt;&gt;"",G13&lt;&gt;""),ROUND(G13,0),"")</f>
        <v/>
      </c>
      <c r="I13" s="2" t="str">
        <f>IFERROR(IF(A13&lt;&gt;"",VLOOKUP(Alunos!A13,Recurso!A3:D1000,4, FALSE),""), "")</f>
        <v/>
      </c>
      <c r="J13" s="2" t="str">
        <f>IF(AND(A13&lt;&gt;"",I13&lt;&gt;""), SUMIFS(B13:I13,B1:I1,"&lt;&gt;",B2:I2,"&lt;&gt;Exame",B2:I2,"&lt;&gt;exame",B2:I2,"&lt;&gt;Nota",B2:I2,"&lt;&gt;Total"),"")</f>
        <v/>
      </c>
      <c r="K13" s="2" t="str">
        <f>IF(AND(A13&lt;&gt;"",J13&lt;&gt;""),ROUND(J13,0),"")</f>
        <v/>
      </c>
    </row>
    <row r="14" spans="1:11" x14ac:dyDescent="0.3">
      <c r="B14" s="2" t="str">
        <f>IFERROR(IF(A14&lt;&gt;"",VLOOKUP(Alunos!A14,Exame!A3:D1000,4, FALSE),""), "")</f>
        <v/>
      </c>
      <c r="C14" s="2" t="str">
        <f>IF(A14&lt;&gt;"",VLOOKUP(Alunos!A14,Agrupamentos!A3:C1000,2, FALSE),"")</f>
        <v/>
      </c>
      <c r="D14" s="2" t="str">
        <f>IFERROR(IF(A14&lt;&gt;"",VLOOKUP(Alunos!C14,'TP1'!A3:E1000,5, FALSE),""),"")</f>
        <v/>
      </c>
      <c r="E14" s="2" t="str">
        <f>IF(A14&lt;&gt;"",VLOOKUP(Alunos!A14,Agrupamentos!A3:C1000,3, FALSE),"")</f>
        <v/>
      </c>
      <c r="F14" s="2" t="str">
        <f>IFERROR(IF(A14&lt;&gt;"",VLOOKUP(Alunos!E14,'TP2'!A3:D1000,4, FALSE),""),"")</f>
        <v/>
      </c>
      <c r="G14" s="2" t="str">
        <f>IF(A14&lt;&gt;"", SUMIF(B1:F1,"&lt;&gt;",B14:F14),"")</f>
        <v/>
      </c>
      <c r="H14" s="2" t="str">
        <f>IF(AND(A14&lt;&gt;"",G14&lt;&gt;""),ROUND(G14,0),"")</f>
        <v/>
      </c>
      <c r="I14" s="2" t="str">
        <f>IFERROR(IF(A14&lt;&gt;"",VLOOKUP(Alunos!A14,Recurso!A3:D1000,4, FALSE),""), "")</f>
        <v/>
      </c>
      <c r="J14" s="2" t="str">
        <f>IF(AND(A14&lt;&gt;"",I14&lt;&gt;""), SUMIFS(B14:I14,B1:I1,"&lt;&gt;",B2:I2,"&lt;&gt;Exame",B2:I2,"&lt;&gt;exame",B2:I2,"&lt;&gt;Nota",B2:I2,"&lt;&gt;Total"),"")</f>
        <v/>
      </c>
      <c r="K14" s="2" t="str">
        <f>IF(AND(A14&lt;&gt;"",J14&lt;&gt;""),ROUND(J14,0),"")</f>
        <v/>
      </c>
    </row>
    <row r="15" spans="1:11" x14ac:dyDescent="0.3">
      <c r="B15" s="2" t="str">
        <f>IFERROR(IF(A15&lt;&gt;"",VLOOKUP(Alunos!A15,Exame!A3:D1000,4, FALSE),""), "")</f>
        <v/>
      </c>
      <c r="C15" s="2" t="str">
        <f>IF(A15&lt;&gt;"",VLOOKUP(Alunos!A15,Agrupamentos!A3:C1000,2, FALSE),"")</f>
        <v/>
      </c>
      <c r="D15" s="2" t="str">
        <f>IFERROR(IF(A15&lt;&gt;"",VLOOKUP(Alunos!C15,'TP1'!A3:E1000,5, FALSE),""),"")</f>
        <v/>
      </c>
      <c r="E15" s="2" t="str">
        <f>IF(A15&lt;&gt;"",VLOOKUP(Alunos!A15,Agrupamentos!A3:C1000,3, FALSE),"")</f>
        <v/>
      </c>
      <c r="F15" s="2" t="str">
        <f>IFERROR(IF(A15&lt;&gt;"",VLOOKUP(Alunos!E15,'TP2'!A3:D1000,4, FALSE),""),"")</f>
        <v/>
      </c>
      <c r="G15" s="2" t="str">
        <f>IF(A15&lt;&gt;"", SUMIF(B1:F1,"&lt;&gt;",B15:F15),"")</f>
        <v/>
      </c>
      <c r="H15" s="2" t="str">
        <f>IF(AND(A15&lt;&gt;"",G15&lt;&gt;""),ROUND(G15,0),"")</f>
        <v/>
      </c>
      <c r="I15" s="2" t="str">
        <f>IFERROR(IF(A15&lt;&gt;"",VLOOKUP(Alunos!A15,Recurso!A3:D1000,4, FALSE),""), "")</f>
        <v/>
      </c>
      <c r="J15" s="2" t="str">
        <f>IF(AND(A15&lt;&gt;"",I15&lt;&gt;""), SUMIFS(B15:I15,B1:I1,"&lt;&gt;",B2:I2,"&lt;&gt;Exame",B2:I2,"&lt;&gt;exame",B2:I2,"&lt;&gt;Nota",B2:I2,"&lt;&gt;Total"),"")</f>
        <v/>
      </c>
      <c r="K15" s="2" t="str">
        <f>IF(AND(A15&lt;&gt;"",J15&lt;&gt;""),ROUND(J15,0),"")</f>
        <v/>
      </c>
    </row>
    <row r="16" spans="1:11" x14ac:dyDescent="0.3">
      <c r="B16" s="2" t="str">
        <f>IFERROR(IF(A16&lt;&gt;"",VLOOKUP(Alunos!A16,Exame!A3:D1000,4, FALSE),""), "")</f>
        <v/>
      </c>
      <c r="C16" s="2" t="str">
        <f>IF(A16&lt;&gt;"",VLOOKUP(Alunos!A16,Agrupamentos!A3:C1000,2, FALSE),"")</f>
        <v/>
      </c>
      <c r="D16" s="2" t="str">
        <f>IFERROR(IF(A16&lt;&gt;"",VLOOKUP(Alunos!C16,'TP1'!A3:E1000,5, FALSE),""),"")</f>
        <v/>
      </c>
      <c r="E16" s="2" t="str">
        <f>IF(A16&lt;&gt;"",VLOOKUP(Alunos!A16,Agrupamentos!A3:C1000,3, FALSE),"")</f>
        <v/>
      </c>
      <c r="F16" s="2" t="str">
        <f>IFERROR(IF(A16&lt;&gt;"",VLOOKUP(Alunos!E16,'TP2'!A3:D1000,4, FALSE),""),"")</f>
        <v/>
      </c>
      <c r="G16" s="2" t="str">
        <f>IF(A16&lt;&gt;"", SUMIF(B1:F1,"&lt;&gt;",B16:F16),"")</f>
        <v/>
      </c>
      <c r="H16" s="2" t="str">
        <f>IF(AND(A16&lt;&gt;"",G16&lt;&gt;""),ROUND(G16,0),"")</f>
        <v/>
      </c>
      <c r="I16" s="2" t="str">
        <f>IFERROR(IF(A16&lt;&gt;"",VLOOKUP(Alunos!A16,Recurso!A3:D1000,4, FALSE),""), "")</f>
        <v/>
      </c>
      <c r="J16" s="2" t="str">
        <f>IF(AND(A16&lt;&gt;"",I16&lt;&gt;""), SUMIFS(B16:I16,B1:I1,"&lt;&gt;",B2:I2,"&lt;&gt;Exame",B2:I2,"&lt;&gt;exame",B2:I2,"&lt;&gt;Nota",B2:I2,"&lt;&gt;Total"),"")</f>
        <v/>
      </c>
      <c r="K16" s="2" t="str">
        <f>IF(AND(A16&lt;&gt;"",J16&lt;&gt;""),ROUND(J16,0),"")</f>
        <v/>
      </c>
    </row>
    <row r="17" spans="2:11" x14ac:dyDescent="0.3">
      <c r="B17" s="2" t="str">
        <f>IFERROR(IF(A17&lt;&gt;"",VLOOKUP(Alunos!A17,Exame!A3:D1000,4, FALSE),""), "")</f>
        <v/>
      </c>
      <c r="C17" s="2" t="str">
        <f>IF(A17&lt;&gt;"",VLOOKUP(Alunos!A17,Agrupamentos!A3:C1000,2, FALSE),"")</f>
        <v/>
      </c>
      <c r="D17" s="2" t="str">
        <f>IFERROR(IF(A17&lt;&gt;"",VLOOKUP(Alunos!C17,'TP1'!A3:E1000,5, FALSE),""),"")</f>
        <v/>
      </c>
      <c r="E17" s="2" t="str">
        <f>IF(A17&lt;&gt;"",VLOOKUP(Alunos!A17,Agrupamentos!A3:C1000,3, FALSE),"")</f>
        <v/>
      </c>
      <c r="F17" s="2" t="str">
        <f>IFERROR(IF(A17&lt;&gt;"",VLOOKUP(Alunos!E17,'TP2'!A3:D1000,4, FALSE),""),"")</f>
        <v/>
      </c>
      <c r="G17" s="2" t="str">
        <f>IF(A17&lt;&gt;"", SUMIF(B1:F1,"&lt;&gt;",B17:F17),"")</f>
        <v/>
      </c>
      <c r="H17" s="2" t="str">
        <f>IF(AND(A17&lt;&gt;"",G17&lt;&gt;""),ROUND(G17,0),"")</f>
        <v/>
      </c>
      <c r="I17" s="2" t="str">
        <f>IFERROR(IF(A17&lt;&gt;"",VLOOKUP(Alunos!A17,Recurso!A3:D1000,4, FALSE),""), "")</f>
        <v/>
      </c>
      <c r="J17" s="2" t="str">
        <f>IF(AND(A17&lt;&gt;"",I17&lt;&gt;""), SUMIFS(B17:I17,B1:I1,"&lt;&gt;",B2:I2,"&lt;&gt;Exame",B2:I2,"&lt;&gt;exame",B2:I2,"&lt;&gt;Nota",B2:I2,"&lt;&gt;Total"),"")</f>
        <v/>
      </c>
      <c r="K17" s="2" t="str">
        <f>IF(AND(A17&lt;&gt;"",J17&lt;&gt;""),ROUND(J17,0),"")</f>
        <v/>
      </c>
    </row>
    <row r="18" spans="2:11" x14ac:dyDescent="0.3">
      <c r="B18" s="2" t="str">
        <f>IFERROR(IF(A18&lt;&gt;"",VLOOKUP(Alunos!A18,Exame!A3:D1000,4, FALSE),""), "")</f>
        <v/>
      </c>
      <c r="C18" s="2" t="str">
        <f>IF(A18&lt;&gt;"",VLOOKUP(Alunos!A18,Agrupamentos!A3:C1000,2, FALSE),"")</f>
        <v/>
      </c>
      <c r="D18" s="2" t="str">
        <f>IFERROR(IF(A18&lt;&gt;"",VLOOKUP(Alunos!C18,'TP1'!A3:E1000,5, FALSE),""),"")</f>
        <v/>
      </c>
      <c r="E18" s="2" t="str">
        <f>IF(A18&lt;&gt;"",VLOOKUP(Alunos!A18,Agrupamentos!A3:C1000,3, FALSE),"")</f>
        <v/>
      </c>
      <c r="F18" s="2" t="str">
        <f>IFERROR(IF(A18&lt;&gt;"",VLOOKUP(Alunos!E18,'TP2'!A3:D1000,4, FALSE),""),"")</f>
        <v/>
      </c>
      <c r="G18" s="2" t="str">
        <f>IF(A18&lt;&gt;"", SUMIF(B1:F1,"&lt;&gt;",B18:F18),"")</f>
        <v/>
      </c>
      <c r="H18" s="2" t="str">
        <f>IF(AND(A18&lt;&gt;"",G18&lt;&gt;""),ROUND(G18,0),"")</f>
        <v/>
      </c>
      <c r="I18" s="2" t="str">
        <f>IFERROR(IF(A18&lt;&gt;"",VLOOKUP(Alunos!A18,Recurso!A3:D1000,4, FALSE),""), "")</f>
        <v/>
      </c>
      <c r="J18" s="2" t="str">
        <f>IF(AND(A18&lt;&gt;"",I18&lt;&gt;""), SUMIFS(B18:I18,B1:I1,"&lt;&gt;",B2:I2,"&lt;&gt;Exame",B2:I2,"&lt;&gt;exame",B2:I2,"&lt;&gt;Nota",B2:I2,"&lt;&gt;Total"),"")</f>
        <v/>
      </c>
      <c r="K18" s="2" t="str">
        <f>IF(AND(A18&lt;&gt;"",J18&lt;&gt;""),ROUND(J18,0),"")</f>
        <v/>
      </c>
    </row>
    <row r="19" spans="2:11" x14ac:dyDescent="0.3">
      <c r="B19" s="2" t="str">
        <f>IFERROR(IF(A19&lt;&gt;"",VLOOKUP(Alunos!A19,Exame!A3:D1000,4, FALSE),""), "")</f>
        <v/>
      </c>
      <c r="C19" s="2" t="str">
        <f>IF(A19&lt;&gt;"",VLOOKUP(Alunos!A19,Agrupamentos!A3:C1000,2, FALSE),"")</f>
        <v/>
      </c>
      <c r="D19" s="2" t="str">
        <f>IFERROR(IF(A19&lt;&gt;"",VLOOKUP(Alunos!C19,'TP1'!A3:E1000,5, FALSE),""),"")</f>
        <v/>
      </c>
      <c r="E19" s="2" t="str">
        <f>IF(A19&lt;&gt;"",VLOOKUP(Alunos!A19,Agrupamentos!A3:C1000,3, FALSE),"")</f>
        <v/>
      </c>
      <c r="F19" s="2" t="str">
        <f>IFERROR(IF(A19&lt;&gt;"",VLOOKUP(Alunos!E19,'TP2'!A3:D1000,4, FALSE),""),"")</f>
        <v/>
      </c>
      <c r="G19" s="2" t="str">
        <f>IF(A19&lt;&gt;"", SUMIF(B1:F1,"&lt;&gt;",B19:F19),"")</f>
        <v/>
      </c>
      <c r="H19" s="2" t="str">
        <f>IF(AND(A19&lt;&gt;"",G19&lt;&gt;""),ROUND(G19,0),"")</f>
        <v/>
      </c>
      <c r="I19" s="2" t="str">
        <f>IFERROR(IF(A19&lt;&gt;"",VLOOKUP(Alunos!A19,Recurso!A3:D1000,4, FALSE),""), "")</f>
        <v/>
      </c>
      <c r="J19" s="2" t="str">
        <f>IF(AND(A19&lt;&gt;"",I19&lt;&gt;""), SUMIFS(B19:I19,B1:I1,"&lt;&gt;",B2:I2,"&lt;&gt;Exame",B2:I2,"&lt;&gt;exame",B2:I2,"&lt;&gt;Nota",B2:I2,"&lt;&gt;Total"),"")</f>
        <v/>
      </c>
      <c r="K19" s="2" t="str">
        <f>IF(AND(A19&lt;&gt;"",J19&lt;&gt;""),ROUND(J19,0),"")</f>
        <v/>
      </c>
    </row>
    <row r="20" spans="2:11" x14ac:dyDescent="0.3">
      <c r="B20" s="2" t="str">
        <f>IFERROR(IF(A20&lt;&gt;"",VLOOKUP(Alunos!A20,Exame!A3:D1000,4, FALSE),""), "")</f>
        <v/>
      </c>
      <c r="C20" s="2" t="str">
        <f>IF(A20&lt;&gt;"",VLOOKUP(Alunos!A20,Agrupamentos!A3:C1000,2, FALSE),"")</f>
        <v/>
      </c>
      <c r="D20" s="2" t="str">
        <f>IFERROR(IF(A20&lt;&gt;"",VLOOKUP(Alunos!C20,'TP1'!A3:E1000,5, FALSE),""),"")</f>
        <v/>
      </c>
      <c r="E20" s="2" t="str">
        <f>IF(A20&lt;&gt;"",VLOOKUP(Alunos!A20,Agrupamentos!A3:C1000,3, FALSE),"")</f>
        <v/>
      </c>
      <c r="F20" s="2" t="str">
        <f>IFERROR(IF(A20&lt;&gt;"",VLOOKUP(Alunos!E20,'TP2'!A3:D1000,4, FALSE),""),"")</f>
        <v/>
      </c>
      <c r="G20" s="2" t="str">
        <f>IF(A20&lt;&gt;"", SUMIF(B1:F1,"&lt;&gt;",B20:F20),"")</f>
        <v/>
      </c>
      <c r="H20" s="2" t="str">
        <f>IF(AND(A20&lt;&gt;"",G20&lt;&gt;""),ROUND(G20,0),"")</f>
        <v/>
      </c>
      <c r="I20" s="2" t="str">
        <f>IFERROR(IF(A20&lt;&gt;"",VLOOKUP(Alunos!A20,Recurso!A3:D1000,4, FALSE),""), "")</f>
        <v/>
      </c>
      <c r="J20" s="2" t="str">
        <f>IF(AND(A20&lt;&gt;"",I20&lt;&gt;""), SUMIFS(B20:I20,B1:I1,"&lt;&gt;",B2:I2,"&lt;&gt;Exame",B2:I2,"&lt;&gt;exame",B2:I2,"&lt;&gt;Nota",B2:I2,"&lt;&gt;Total"),"")</f>
        <v/>
      </c>
      <c r="K20" s="2" t="str">
        <f>IF(AND(A20&lt;&gt;"",J20&lt;&gt;""),ROUND(J20,0),"")</f>
        <v/>
      </c>
    </row>
    <row r="21" spans="2:11" x14ac:dyDescent="0.3">
      <c r="B21" s="2" t="str">
        <f>IFERROR(IF(A21&lt;&gt;"",VLOOKUP(Alunos!A21,Exame!A3:D1000,4, FALSE),""), "")</f>
        <v/>
      </c>
      <c r="C21" s="2" t="str">
        <f>IF(A21&lt;&gt;"",VLOOKUP(Alunos!A21,Agrupamentos!A3:C1000,2, FALSE),"")</f>
        <v/>
      </c>
      <c r="D21" s="2" t="str">
        <f>IFERROR(IF(A21&lt;&gt;"",VLOOKUP(Alunos!C21,'TP1'!A3:E1000,5, FALSE),""),"")</f>
        <v/>
      </c>
      <c r="E21" s="2" t="str">
        <f>IF(A21&lt;&gt;"",VLOOKUP(Alunos!A21,Agrupamentos!A3:C1000,3, FALSE),"")</f>
        <v/>
      </c>
      <c r="F21" s="2" t="str">
        <f>IFERROR(IF(A21&lt;&gt;"",VLOOKUP(Alunos!E21,'TP2'!A3:D1000,4, FALSE),""),"")</f>
        <v/>
      </c>
      <c r="G21" s="2" t="str">
        <f>IF(A21&lt;&gt;"", SUMIF(B1:F1,"&lt;&gt;",B21:F21),"")</f>
        <v/>
      </c>
      <c r="H21" s="2" t="str">
        <f>IF(AND(A21&lt;&gt;"",G21&lt;&gt;""),ROUND(G21,0),"")</f>
        <v/>
      </c>
      <c r="I21" s="2" t="str">
        <f>IFERROR(IF(A21&lt;&gt;"",VLOOKUP(Alunos!A21,Recurso!A3:D1000,4, FALSE),""), "")</f>
        <v/>
      </c>
      <c r="J21" s="2" t="str">
        <f>IF(AND(A21&lt;&gt;"",I21&lt;&gt;""), SUMIFS(B21:I21,B1:I1,"&lt;&gt;",B2:I2,"&lt;&gt;Exame",B2:I2,"&lt;&gt;exame",B2:I2,"&lt;&gt;Nota",B2:I2,"&lt;&gt;Total"),"")</f>
        <v/>
      </c>
      <c r="K21" s="2" t="str">
        <f>IF(AND(A21&lt;&gt;"",J21&lt;&gt;""),ROUND(J21,0),"")</f>
        <v/>
      </c>
    </row>
    <row r="22" spans="2:11" x14ac:dyDescent="0.3">
      <c r="B22" s="2" t="str">
        <f>IFERROR(IF(A22&lt;&gt;"",VLOOKUP(Alunos!A22,Exame!A3:D1000,4, FALSE),""), "")</f>
        <v/>
      </c>
      <c r="C22" s="2" t="str">
        <f>IF(A22&lt;&gt;"",VLOOKUP(Alunos!A22,Agrupamentos!A3:C1000,2, FALSE),"")</f>
        <v/>
      </c>
      <c r="D22" s="2" t="str">
        <f>IFERROR(IF(A22&lt;&gt;"",VLOOKUP(Alunos!C22,'TP1'!A3:E1000,5, FALSE),""),"")</f>
        <v/>
      </c>
      <c r="E22" s="2" t="str">
        <f>IF(A22&lt;&gt;"",VLOOKUP(Alunos!A22,Agrupamentos!A3:C1000,3, FALSE),"")</f>
        <v/>
      </c>
      <c r="F22" s="2" t="str">
        <f>IFERROR(IF(A22&lt;&gt;"",VLOOKUP(Alunos!E22,'TP2'!A3:D1000,4, FALSE),""),"")</f>
        <v/>
      </c>
      <c r="G22" s="2" t="str">
        <f>IF(A22&lt;&gt;"", SUMIF(B1:F1,"&lt;&gt;",B22:F22),"")</f>
        <v/>
      </c>
      <c r="H22" s="2" t="str">
        <f>IF(AND(A22&lt;&gt;"",G22&lt;&gt;""),ROUND(G22,0),"")</f>
        <v/>
      </c>
      <c r="I22" s="2" t="str">
        <f>IFERROR(IF(A22&lt;&gt;"",VLOOKUP(Alunos!A22,Recurso!A3:D1000,4, FALSE),""), "")</f>
        <v/>
      </c>
      <c r="J22" s="2" t="str">
        <f>IF(AND(A22&lt;&gt;"",I22&lt;&gt;""), SUMIFS(B22:I22,B1:I1,"&lt;&gt;",B2:I2,"&lt;&gt;Exame",B2:I2,"&lt;&gt;exame",B2:I2,"&lt;&gt;Nota",B2:I2,"&lt;&gt;Total"),"")</f>
        <v/>
      </c>
      <c r="K22" s="2" t="str">
        <f>IF(AND(A22&lt;&gt;"",J22&lt;&gt;""),ROUND(J22,0),"")</f>
        <v/>
      </c>
    </row>
    <row r="23" spans="2:11" x14ac:dyDescent="0.3">
      <c r="B23" s="2" t="str">
        <f>IFERROR(IF(A23&lt;&gt;"",VLOOKUP(Alunos!A23,Exame!A3:D1000,4, FALSE),""), "")</f>
        <v/>
      </c>
      <c r="C23" s="2" t="str">
        <f>IF(A23&lt;&gt;"",VLOOKUP(Alunos!A23,Agrupamentos!A3:C1000,2, FALSE),"")</f>
        <v/>
      </c>
      <c r="D23" s="2" t="str">
        <f>IFERROR(IF(A23&lt;&gt;"",VLOOKUP(Alunos!C23,'TP1'!A3:E1000,5, FALSE),""),"")</f>
        <v/>
      </c>
      <c r="E23" s="2" t="str">
        <f>IF(A23&lt;&gt;"",VLOOKUP(Alunos!A23,Agrupamentos!A3:C1000,3, FALSE),"")</f>
        <v/>
      </c>
      <c r="F23" s="2" t="str">
        <f>IFERROR(IF(A23&lt;&gt;"",VLOOKUP(Alunos!E23,'TP2'!A3:D1000,4, FALSE),""),"")</f>
        <v/>
      </c>
      <c r="G23" s="2" t="str">
        <f>IF(A23&lt;&gt;"", SUMIF(B1:F1,"&lt;&gt;",B23:F23),"")</f>
        <v/>
      </c>
      <c r="H23" s="2" t="str">
        <f>IF(AND(A23&lt;&gt;"",G23&lt;&gt;""),ROUND(G23,0),"")</f>
        <v/>
      </c>
      <c r="I23" s="2" t="str">
        <f>IFERROR(IF(A23&lt;&gt;"",VLOOKUP(Alunos!A23,Recurso!A3:D1000,4, FALSE),""), "")</f>
        <v/>
      </c>
      <c r="J23" s="2" t="str">
        <f>IF(AND(A23&lt;&gt;"",I23&lt;&gt;""), SUMIFS(B23:I23,B1:I1,"&lt;&gt;",B2:I2,"&lt;&gt;Exame",B2:I2,"&lt;&gt;exame",B2:I2,"&lt;&gt;Nota",B2:I2,"&lt;&gt;Total"),"")</f>
        <v/>
      </c>
      <c r="K23" s="2" t="str">
        <f>IF(AND(A23&lt;&gt;"",J23&lt;&gt;""),ROUND(J23,0),"")</f>
        <v/>
      </c>
    </row>
    <row r="24" spans="2:11" x14ac:dyDescent="0.3">
      <c r="B24" s="2" t="str">
        <f>IFERROR(IF(A24&lt;&gt;"",VLOOKUP(Alunos!A24,Exame!A3:D1000,4, FALSE),""), "")</f>
        <v/>
      </c>
      <c r="C24" s="2" t="str">
        <f>IF(A24&lt;&gt;"",VLOOKUP(Alunos!A24,Agrupamentos!A3:C1000,2, FALSE),"")</f>
        <v/>
      </c>
      <c r="D24" s="2" t="str">
        <f>IFERROR(IF(A24&lt;&gt;"",VLOOKUP(Alunos!C24,'TP1'!A3:E1000,5, FALSE),""),"")</f>
        <v/>
      </c>
      <c r="E24" s="2" t="str">
        <f>IF(A24&lt;&gt;"",VLOOKUP(Alunos!A24,Agrupamentos!A3:C1000,3, FALSE),"")</f>
        <v/>
      </c>
      <c r="F24" s="2" t="str">
        <f>IFERROR(IF(A24&lt;&gt;"",VLOOKUP(Alunos!E24,'TP2'!A3:D1000,4, FALSE),""),"")</f>
        <v/>
      </c>
      <c r="G24" s="2" t="str">
        <f>IF(A24&lt;&gt;"", SUMIF(B1:F1,"&lt;&gt;",B24:F24),"")</f>
        <v/>
      </c>
      <c r="H24" s="2" t="str">
        <f>IF(AND(A24&lt;&gt;"",G24&lt;&gt;""),ROUND(G24,0),"")</f>
        <v/>
      </c>
      <c r="I24" s="2" t="str">
        <f>IFERROR(IF(A24&lt;&gt;"",VLOOKUP(Alunos!A24,Recurso!A3:D1000,4, FALSE),""), "")</f>
        <v/>
      </c>
      <c r="J24" s="2" t="str">
        <f>IF(AND(A24&lt;&gt;"",I24&lt;&gt;""), SUMIFS(B24:I24,B1:I1,"&lt;&gt;",B2:I2,"&lt;&gt;Exame",B2:I2,"&lt;&gt;exame",B2:I2,"&lt;&gt;Nota",B2:I2,"&lt;&gt;Total"),"")</f>
        <v/>
      </c>
      <c r="K24" s="2" t="str">
        <f>IF(AND(A24&lt;&gt;"",J24&lt;&gt;""),ROUND(J24,0),"")</f>
        <v/>
      </c>
    </row>
    <row r="25" spans="2:11" x14ac:dyDescent="0.3">
      <c r="B25" s="2" t="str">
        <f>IFERROR(IF(A25&lt;&gt;"",VLOOKUP(Alunos!A25,Exame!A3:D1000,4, FALSE),""), "")</f>
        <v/>
      </c>
      <c r="C25" s="2" t="str">
        <f>IF(A25&lt;&gt;"",VLOOKUP(Alunos!A25,Agrupamentos!A3:C1000,2, FALSE),"")</f>
        <v/>
      </c>
      <c r="D25" s="2" t="str">
        <f>IFERROR(IF(A25&lt;&gt;"",VLOOKUP(Alunos!C25,'TP1'!A3:E1000,5, FALSE),""),"")</f>
        <v/>
      </c>
      <c r="E25" s="2" t="str">
        <f>IF(A25&lt;&gt;"",VLOOKUP(Alunos!A25,Agrupamentos!A3:C1000,3, FALSE),"")</f>
        <v/>
      </c>
      <c r="F25" s="2" t="str">
        <f>IFERROR(IF(A25&lt;&gt;"",VLOOKUP(Alunos!E25,'TP2'!A3:D1000,4, FALSE),""),"")</f>
        <v/>
      </c>
      <c r="G25" s="2" t="str">
        <f>IF(A25&lt;&gt;"", SUMIF(B1:F1,"&lt;&gt;",B25:F25),"")</f>
        <v/>
      </c>
      <c r="H25" s="2" t="str">
        <f>IF(AND(A25&lt;&gt;"",G25&lt;&gt;""),ROUND(G25,0),"")</f>
        <v/>
      </c>
      <c r="I25" s="2" t="str">
        <f>IFERROR(IF(A25&lt;&gt;"",VLOOKUP(Alunos!A25,Recurso!A3:D1000,4, FALSE),""), "")</f>
        <v/>
      </c>
      <c r="J25" s="2" t="str">
        <f>IF(AND(A25&lt;&gt;"",I25&lt;&gt;""), SUMIFS(B25:I25,B1:I1,"&lt;&gt;",B2:I2,"&lt;&gt;Exame",B2:I2,"&lt;&gt;exame",B2:I2,"&lt;&gt;Nota",B2:I2,"&lt;&gt;Total"),"")</f>
        <v/>
      </c>
      <c r="K25" s="2" t="str">
        <f>IF(AND(A25&lt;&gt;"",J25&lt;&gt;""),ROUND(J25,0),"")</f>
        <v/>
      </c>
    </row>
    <row r="26" spans="2:11" x14ac:dyDescent="0.3">
      <c r="B26" s="2" t="str">
        <f>IFERROR(IF(A26&lt;&gt;"",VLOOKUP(Alunos!A26,Exame!A3:D1000,4, FALSE),""), "")</f>
        <v/>
      </c>
      <c r="C26" s="2" t="str">
        <f>IF(A26&lt;&gt;"",VLOOKUP(Alunos!A26,Agrupamentos!A3:C1000,2, FALSE),"")</f>
        <v/>
      </c>
      <c r="D26" s="2" t="str">
        <f>IFERROR(IF(A26&lt;&gt;"",VLOOKUP(Alunos!C26,'TP1'!A3:E1000,5, FALSE),""),"")</f>
        <v/>
      </c>
      <c r="E26" s="2" t="str">
        <f>IF(A26&lt;&gt;"",VLOOKUP(Alunos!A26,Agrupamentos!A3:C1000,3, FALSE),"")</f>
        <v/>
      </c>
      <c r="F26" s="2" t="str">
        <f>IFERROR(IF(A26&lt;&gt;"",VLOOKUP(Alunos!E26,'TP2'!A3:D1000,4, FALSE),""),"")</f>
        <v/>
      </c>
      <c r="G26" s="2" t="str">
        <f>IF(A26&lt;&gt;"", SUMIF(B1:F1,"&lt;&gt;",B26:F26),"")</f>
        <v/>
      </c>
      <c r="H26" s="2" t="str">
        <f>IF(AND(A26&lt;&gt;"",G26&lt;&gt;""),ROUND(G26,0),"")</f>
        <v/>
      </c>
      <c r="I26" s="2" t="str">
        <f>IFERROR(IF(A26&lt;&gt;"",VLOOKUP(Alunos!A26,Recurso!A3:D1000,4, FALSE),""), "")</f>
        <v/>
      </c>
      <c r="J26" s="2" t="str">
        <f>IF(AND(A26&lt;&gt;"",I26&lt;&gt;""), SUMIFS(B26:I26,B1:I1,"&lt;&gt;",B2:I2,"&lt;&gt;Exame",B2:I2,"&lt;&gt;exame",B2:I2,"&lt;&gt;Nota",B2:I2,"&lt;&gt;Total"),"")</f>
        <v/>
      </c>
      <c r="K26" s="2" t="str">
        <f>IF(AND(A26&lt;&gt;"",J26&lt;&gt;""),ROUND(J26,0),"")</f>
        <v/>
      </c>
    </row>
    <row r="27" spans="2:11" x14ac:dyDescent="0.3">
      <c r="B27" s="2" t="str">
        <f>IFERROR(IF(A27&lt;&gt;"",VLOOKUP(Alunos!A27,Exame!A3:D1000,4, FALSE),""), "")</f>
        <v/>
      </c>
      <c r="C27" s="2" t="str">
        <f>IF(A27&lt;&gt;"",VLOOKUP(Alunos!A27,Agrupamentos!A3:C1000,2, FALSE),"")</f>
        <v/>
      </c>
      <c r="D27" s="2" t="str">
        <f>IFERROR(IF(A27&lt;&gt;"",VLOOKUP(Alunos!C27,'TP1'!A3:E1000,5, FALSE),""),"")</f>
        <v/>
      </c>
      <c r="E27" s="2" t="str">
        <f>IF(A27&lt;&gt;"",VLOOKUP(Alunos!A27,Agrupamentos!A3:C1000,3, FALSE),"")</f>
        <v/>
      </c>
      <c r="F27" s="2" t="str">
        <f>IFERROR(IF(A27&lt;&gt;"",VLOOKUP(Alunos!E27,'TP2'!A3:D1000,4, FALSE),""),"")</f>
        <v/>
      </c>
      <c r="G27" s="2" t="str">
        <f>IF(A27&lt;&gt;"", SUMIF(B1:F1,"&lt;&gt;",B27:F27),"")</f>
        <v/>
      </c>
      <c r="H27" s="2" t="str">
        <f>IF(AND(A27&lt;&gt;"",G27&lt;&gt;""),ROUND(G27,0),"")</f>
        <v/>
      </c>
      <c r="I27" s="2" t="str">
        <f>IFERROR(IF(A27&lt;&gt;"",VLOOKUP(Alunos!A27,Recurso!A3:D1000,4, FALSE),""), "")</f>
        <v/>
      </c>
      <c r="J27" s="2" t="str">
        <f>IF(AND(A27&lt;&gt;"",I27&lt;&gt;""), SUMIFS(B27:I27,B1:I1,"&lt;&gt;",B2:I2,"&lt;&gt;Exame",B2:I2,"&lt;&gt;exame",B2:I2,"&lt;&gt;Nota",B2:I2,"&lt;&gt;Total"),"")</f>
        <v/>
      </c>
      <c r="K27" s="2" t="str">
        <f>IF(AND(A27&lt;&gt;"",J27&lt;&gt;""),ROUND(J27,0),"")</f>
        <v/>
      </c>
    </row>
    <row r="28" spans="2:11" x14ac:dyDescent="0.3">
      <c r="B28" s="2" t="str">
        <f>IFERROR(IF(A28&lt;&gt;"",VLOOKUP(Alunos!A28,Exame!A3:D1000,4, FALSE),""), "")</f>
        <v/>
      </c>
      <c r="C28" s="2" t="str">
        <f>IF(A28&lt;&gt;"",VLOOKUP(Alunos!A28,Agrupamentos!A3:C1000,2, FALSE),"")</f>
        <v/>
      </c>
      <c r="D28" s="2" t="str">
        <f>IFERROR(IF(A28&lt;&gt;"",VLOOKUP(Alunos!C28,'TP1'!A3:E1000,5, FALSE),""),"")</f>
        <v/>
      </c>
      <c r="E28" s="2" t="str">
        <f>IF(A28&lt;&gt;"",VLOOKUP(Alunos!A28,Agrupamentos!A3:C1000,3, FALSE),"")</f>
        <v/>
      </c>
      <c r="F28" s="2" t="str">
        <f>IFERROR(IF(A28&lt;&gt;"",VLOOKUP(Alunos!E28,'TP2'!A3:D1000,4, FALSE),""),"")</f>
        <v/>
      </c>
      <c r="G28" s="2" t="str">
        <f>IF(A28&lt;&gt;"", SUMIF(B1:F1,"&lt;&gt;",B28:F28),"")</f>
        <v/>
      </c>
      <c r="H28" s="2" t="str">
        <f>IF(AND(A28&lt;&gt;"",G28&lt;&gt;""),ROUND(G28,0),"")</f>
        <v/>
      </c>
      <c r="I28" s="2" t="str">
        <f>IFERROR(IF(A28&lt;&gt;"",VLOOKUP(Alunos!A28,Recurso!A3:D1000,4, FALSE),""), "")</f>
        <v/>
      </c>
      <c r="J28" s="2" t="str">
        <f>IF(AND(A28&lt;&gt;"",I28&lt;&gt;""), SUMIFS(B28:I28,B1:I1,"&lt;&gt;",B2:I2,"&lt;&gt;Exame",B2:I2,"&lt;&gt;exame",B2:I2,"&lt;&gt;Nota",B2:I2,"&lt;&gt;Total"),"")</f>
        <v/>
      </c>
      <c r="K28" s="2" t="str">
        <f>IF(AND(A28&lt;&gt;"",J28&lt;&gt;""),ROUND(J28,0),"")</f>
        <v/>
      </c>
    </row>
    <row r="29" spans="2:11" x14ac:dyDescent="0.3">
      <c r="B29" s="2" t="str">
        <f>IFERROR(IF(A29&lt;&gt;"",VLOOKUP(Alunos!A29,Exame!A3:D1000,4, FALSE),""), "")</f>
        <v/>
      </c>
      <c r="C29" s="2" t="str">
        <f>IF(A29&lt;&gt;"",VLOOKUP(Alunos!A29,Agrupamentos!A3:C1000,2, FALSE),"")</f>
        <v/>
      </c>
      <c r="D29" s="2" t="str">
        <f>IFERROR(IF(A29&lt;&gt;"",VLOOKUP(Alunos!C29,'TP1'!A3:E1000,5, FALSE),""),"")</f>
        <v/>
      </c>
      <c r="E29" s="2" t="str">
        <f>IF(A29&lt;&gt;"",VLOOKUP(Alunos!A29,Agrupamentos!A3:C1000,3, FALSE),"")</f>
        <v/>
      </c>
      <c r="F29" s="2" t="str">
        <f>IFERROR(IF(A29&lt;&gt;"",VLOOKUP(Alunos!E29,'TP2'!A3:D1000,4, FALSE),""),"")</f>
        <v/>
      </c>
      <c r="G29" s="2" t="str">
        <f>IF(A29&lt;&gt;"", SUMIF(B1:F1,"&lt;&gt;",B29:F29),"")</f>
        <v/>
      </c>
      <c r="H29" s="2" t="str">
        <f>IF(AND(A29&lt;&gt;"",G29&lt;&gt;""),ROUND(G29,0),"")</f>
        <v/>
      </c>
      <c r="I29" s="2" t="str">
        <f>IFERROR(IF(A29&lt;&gt;"",VLOOKUP(Alunos!A29,Recurso!A3:D1000,4, FALSE),""), "")</f>
        <v/>
      </c>
      <c r="J29" s="2" t="str">
        <f>IF(AND(A29&lt;&gt;"",I29&lt;&gt;""), SUMIFS(B29:I29,B1:I1,"&lt;&gt;",B2:I2,"&lt;&gt;Exame",B2:I2,"&lt;&gt;exame",B2:I2,"&lt;&gt;Nota",B2:I2,"&lt;&gt;Total"),"")</f>
        <v/>
      </c>
      <c r="K29" s="2" t="str">
        <f>IF(AND(A29&lt;&gt;"",J29&lt;&gt;""),ROUND(J29,0),"")</f>
        <v/>
      </c>
    </row>
    <row r="30" spans="2:11" x14ac:dyDescent="0.3">
      <c r="B30" s="2" t="str">
        <f>IFERROR(IF(A30&lt;&gt;"",VLOOKUP(Alunos!A30,Exame!A3:D1000,4, FALSE),""), "")</f>
        <v/>
      </c>
      <c r="C30" s="2" t="str">
        <f>IF(A30&lt;&gt;"",VLOOKUP(Alunos!A30,Agrupamentos!A3:C1000,2, FALSE),"")</f>
        <v/>
      </c>
      <c r="D30" s="2" t="str">
        <f>IFERROR(IF(A30&lt;&gt;"",VLOOKUP(Alunos!C30,'TP1'!A3:E1000,5, FALSE),""),"")</f>
        <v/>
      </c>
      <c r="E30" s="2" t="str">
        <f>IF(A30&lt;&gt;"",VLOOKUP(Alunos!A30,Agrupamentos!A3:C1000,3, FALSE),"")</f>
        <v/>
      </c>
      <c r="F30" s="2" t="str">
        <f>IFERROR(IF(A30&lt;&gt;"",VLOOKUP(Alunos!E30,'TP2'!A3:D1000,4, FALSE),""),"")</f>
        <v/>
      </c>
      <c r="G30" s="2" t="str">
        <f>IF(A30&lt;&gt;"", SUMIF(B1:F1,"&lt;&gt;",B30:F30),"")</f>
        <v/>
      </c>
      <c r="H30" s="2" t="str">
        <f>IF(AND(A30&lt;&gt;"",G30&lt;&gt;""),ROUND(G30,0),"")</f>
        <v/>
      </c>
      <c r="I30" s="2" t="str">
        <f>IFERROR(IF(A30&lt;&gt;"",VLOOKUP(Alunos!A30,Recurso!A3:D1000,4, FALSE),""), "")</f>
        <v/>
      </c>
      <c r="J30" s="2" t="str">
        <f>IF(AND(A30&lt;&gt;"",I30&lt;&gt;""), SUMIFS(B30:I30,B1:I1,"&lt;&gt;",B2:I2,"&lt;&gt;Exame",B2:I2,"&lt;&gt;exame",B2:I2,"&lt;&gt;Nota",B2:I2,"&lt;&gt;Total"),"")</f>
        <v/>
      </c>
      <c r="K30" s="2" t="str">
        <f>IF(AND(A30&lt;&gt;"",J30&lt;&gt;""),ROUND(J30,0),"")</f>
        <v/>
      </c>
    </row>
    <row r="31" spans="2:11" x14ac:dyDescent="0.3">
      <c r="B31" s="2" t="str">
        <f>IFERROR(IF(A31&lt;&gt;"",VLOOKUP(Alunos!A31,Exame!A3:D1000,4, FALSE),""), "")</f>
        <v/>
      </c>
      <c r="C31" s="2" t="str">
        <f>IF(A31&lt;&gt;"",VLOOKUP(Alunos!A31,Agrupamentos!A3:C1000,2, FALSE),"")</f>
        <v/>
      </c>
      <c r="D31" s="2" t="str">
        <f>IFERROR(IF(A31&lt;&gt;"",VLOOKUP(Alunos!C31,'TP1'!A3:E1000,5, FALSE),""),"")</f>
        <v/>
      </c>
      <c r="E31" s="2" t="str">
        <f>IF(A31&lt;&gt;"",VLOOKUP(Alunos!A31,Agrupamentos!A3:C1000,3, FALSE),"")</f>
        <v/>
      </c>
      <c r="F31" s="2" t="str">
        <f>IFERROR(IF(A31&lt;&gt;"",VLOOKUP(Alunos!E31,'TP2'!A3:D1000,4, FALSE),""),"")</f>
        <v/>
      </c>
      <c r="G31" s="2" t="str">
        <f>IF(A31&lt;&gt;"", SUMIF(B1:F1,"&lt;&gt;",B31:F31),"")</f>
        <v/>
      </c>
      <c r="H31" s="2" t="str">
        <f>IF(AND(A31&lt;&gt;"",G31&lt;&gt;""),ROUND(G31,0),"")</f>
        <v/>
      </c>
      <c r="I31" s="2" t="str">
        <f>IFERROR(IF(A31&lt;&gt;"",VLOOKUP(Alunos!A31,Recurso!A3:D1000,4, FALSE),""), "")</f>
        <v/>
      </c>
      <c r="J31" s="2" t="str">
        <f>IF(AND(A31&lt;&gt;"",I31&lt;&gt;""), SUMIFS(B31:I31,B1:I1,"&lt;&gt;",B2:I2,"&lt;&gt;Exame",B2:I2,"&lt;&gt;exame",B2:I2,"&lt;&gt;Nota",B2:I2,"&lt;&gt;Total"),"")</f>
        <v/>
      </c>
      <c r="K31" s="2" t="str">
        <f>IF(AND(A31&lt;&gt;"",J31&lt;&gt;""),ROUND(J31,0),"")</f>
        <v/>
      </c>
    </row>
    <row r="32" spans="2:11" x14ac:dyDescent="0.3">
      <c r="B32" s="2" t="str">
        <f>IFERROR(IF(A32&lt;&gt;"",VLOOKUP(Alunos!A32,Exame!A3:D1000,4, FALSE),""), "")</f>
        <v/>
      </c>
      <c r="C32" s="2" t="str">
        <f>IF(A32&lt;&gt;"",VLOOKUP(Alunos!A32,Agrupamentos!A3:C1000,2, FALSE),"")</f>
        <v/>
      </c>
      <c r="D32" s="2" t="str">
        <f>IFERROR(IF(A32&lt;&gt;"",VLOOKUP(Alunos!C32,'TP1'!A3:E1000,5, FALSE),""),"")</f>
        <v/>
      </c>
      <c r="E32" s="2" t="str">
        <f>IF(A32&lt;&gt;"",VLOOKUP(Alunos!A32,Agrupamentos!A3:C1000,3, FALSE),"")</f>
        <v/>
      </c>
      <c r="F32" s="2" t="str">
        <f>IFERROR(IF(A32&lt;&gt;"",VLOOKUP(Alunos!E32,'TP2'!A3:D1000,4, FALSE),""),"")</f>
        <v/>
      </c>
      <c r="G32" s="2" t="str">
        <f>IF(A32&lt;&gt;"", SUMIF(B1:F1,"&lt;&gt;",B32:F32),"")</f>
        <v/>
      </c>
      <c r="H32" s="2" t="str">
        <f>IF(AND(A32&lt;&gt;"",G32&lt;&gt;""),ROUND(G32,0),"")</f>
        <v/>
      </c>
      <c r="I32" s="2" t="str">
        <f>IFERROR(IF(A32&lt;&gt;"",VLOOKUP(Alunos!A32,Recurso!A3:D1000,4, FALSE),""), "")</f>
        <v/>
      </c>
      <c r="J32" s="2" t="str">
        <f>IF(AND(A32&lt;&gt;"",I32&lt;&gt;""), SUMIFS(B32:I32,B1:I1,"&lt;&gt;",B2:I2,"&lt;&gt;Exame",B2:I2,"&lt;&gt;exame",B2:I2,"&lt;&gt;Nota",B2:I2,"&lt;&gt;Total"),"")</f>
        <v/>
      </c>
      <c r="K32" s="2" t="str">
        <f>IF(AND(A32&lt;&gt;"",J32&lt;&gt;""),ROUND(J32,0),"")</f>
        <v/>
      </c>
    </row>
    <row r="33" spans="2:11" x14ac:dyDescent="0.3">
      <c r="B33" s="2" t="str">
        <f>IFERROR(IF(A33&lt;&gt;"",VLOOKUP(Alunos!A33,Exame!A3:D1000,4, FALSE),""), "")</f>
        <v/>
      </c>
      <c r="C33" s="2" t="str">
        <f>IF(A33&lt;&gt;"",VLOOKUP(Alunos!A33,Agrupamentos!A3:C1000,2, FALSE),"")</f>
        <v/>
      </c>
      <c r="D33" s="2" t="str">
        <f>IFERROR(IF(A33&lt;&gt;"",VLOOKUP(Alunos!C33,'TP1'!A3:E1000,5, FALSE),""),"")</f>
        <v/>
      </c>
      <c r="E33" s="2" t="str">
        <f>IF(A33&lt;&gt;"",VLOOKUP(Alunos!A33,Agrupamentos!A3:C1000,3, FALSE),"")</f>
        <v/>
      </c>
      <c r="F33" s="2" t="str">
        <f>IFERROR(IF(A33&lt;&gt;"",VLOOKUP(Alunos!E33,'TP2'!A3:D1000,4, FALSE),""),"")</f>
        <v/>
      </c>
      <c r="G33" s="2" t="str">
        <f>IF(A33&lt;&gt;"", SUMIF(B1:F1,"&lt;&gt;",B33:F33),"")</f>
        <v/>
      </c>
      <c r="H33" s="2" t="str">
        <f>IF(AND(A33&lt;&gt;"",G33&lt;&gt;""),ROUND(G33,0),"")</f>
        <v/>
      </c>
      <c r="I33" s="2" t="str">
        <f>IFERROR(IF(A33&lt;&gt;"",VLOOKUP(Alunos!A33,Recurso!A3:D1000,4, FALSE),""), "")</f>
        <v/>
      </c>
      <c r="J33" s="2" t="str">
        <f>IF(AND(A33&lt;&gt;"",I33&lt;&gt;""), SUMIFS(B33:I33,B1:I1,"&lt;&gt;",B2:I2,"&lt;&gt;Exame",B2:I2,"&lt;&gt;exame",B2:I2,"&lt;&gt;Nota",B2:I2,"&lt;&gt;Total"),"")</f>
        <v/>
      </c>
      <c r="K33" s="2" t="str">
        <f>IF(AND(A33&lt;&gt;"",J33&lt;&gt;""),ROUND(J33,0),"")</f>
        <v/>
      </c>
    </row>
    <row r="34" spans="2:11" x14ac:dyDescent="0.3">
      <c r="B34" s="2" t="str">
        <f>IFERROR(IF(A34&lt;&gt;"",VLOOKUP(Alunos!A34,Exame!A3:D1000,4, FALSE),""), "")</f>
        <v/>
      </c>
      <c r="C34" s="2" t="str">
        <f>IF(A34&lt;&gt;"",VLOOKUP(Alunos!A34,Agrupamentos!A3:C1000,2, FALSE),"")</f>
        <v/>
      </c>
      <c r="D34" s="2" t="str">
        <f>IFERROR(IF(A34&lt;&gt;"",VLOOKUP(Alunos!C34,'TP1'!A3:E1000,5, FALSE),""),"")</f>
        <v/>
      </c>
      <c r="E34" s="2" t="str">
        <f>IF(A34&lt;&gt;"",VLOOKUP(Alunos!A34,Agrupamentos!A3:C1000,3, FALSE),"")</f>
        <v/>
      </c>
      <c r="F34" s="2" t="str">
        <f>IFERROR(IF(A34&lt;&gt;"",VLOOKUP(Alunos!E34,'TP2'!A3:D1000,4, FALSE),""),"")</f>
        <v/>
      </c>
      <c r="G34" s="2" t="str">
        <f>IF(A34&lt;&gt;"", SUMIF(B1:F1,"&lt;&gt;",B34:F34),"")</f>
        <v/>
      </c>
      <c r="H34" s="2" t="str">
        <f>IF(AND(A34&lt;&gt;"",G34&lt;&gt;""),ROUND(G34,0),"")</f>
        <v/>
      </c>
      <c r="I34" s="2" t="str">
        <f>IFERROR(IF(A34&lt;&gt;"",VLOOKUP(Alunos!A34,Recurso!A3:D1000,4, FALSE),""), "")</f>
        <v/>
      </c>
      <c r="J34" s="2" t="str">
        <f>IF(AND(A34&lt;&gt;"",I34&lt;&gt;""), SUMIFS(B34:I34,B1:I1,"&lt;&gt;",B2:I2,"&lt;&gt;Exame",B2:I2,"&lt;&gt;exame",B2:I2,"&lt;&gt;Nota",B2:I2,"&lt;&gt;Total"),"")</f>
        <v/>
      </c>
      <c r="K34" s="2" t="str">
        <f>IF(AND(A34&lt;&gt;"",J34&lt;&gt;""),ROUND(J34,0),"")</f>
        <v/>
      </c>
    </row>
    <row r="35" spans="2:11" x14ac:dyDescent="0.3">
      <c r="B35" s="2" t="str">
        <f>IFERROR(IF(A35&lt;&gt;"",VLOOKUP(Alunos!A35,Exame!A3:D1000,4, FALSE),""), "")</f>
        <v/>
      </c>
      <c r="C35" s="2" t="str">
        <f>IF(A35&lt;&gt;"",VLOOKUP(Alunos!A35,Agrupamentos!A3:C1000,2, FALSE),"")</f>
        <v/>
      </c>
      <c r="D35" s="2" t="str">
        <f>IFERROR(IF(A35&lt;&gt;"",VLOOKUP(Alunos!C35,'TP1'!A3:E1000,5, FALSE),""),"")</f>
        <v/>
      </c>
      <c r="E35" s="2" t="str">
        <f>IF(A35&lt;&gt;"",VLOOKUP(Alunos!A35,Agrupamentos!A3:C1000,3, FALSE),"")</f>
        <v/>
      </c>
      <c r="F35" s="2" t="str">
        <f>IFERROR(IF(A35&lt;&gt;"",VLOOKUP(Alunos!E35,'TP2'!A3:D1000,4, FALSE),""),"")</f>
        <v/>
      </c>
      <c r="G35" s="2" t="str">
        <f>IF(A35&lt;&gt;"", SUMIF(B1:F1,"&lt;&gt;",B35:F35),"")</f>
        <v/>
      </c>
      <c r="H35" s="2" t="str">
        <f>IF(AND(A35&lt;&gt;"",G35&lt;&gt;""),ROUND(G35,0),"")</f>
        <v/>
      </c>
      <c r="I35" s="2" t="str">
        <f>IFERROR(IF(A35&lt;&gt;"",VLOOKUP(Alunos!A35,Recurso!A3:D1000,4, FALSE),""), "")</f>
        <v/>
      </c>
      <c r="J35" s="2" t="str">
        <f>IF(AND(A35&lt;&gt;"",I35&lt;&gt;""), SUMIFS(B35:I35,B1:I1,"&lt;&gt;",B2:I2,"&lt;&gt;Exame",B2:I2,"&lt;&gt;exame",B2:I2,"&lt;&gt;Nota",B2:I2,"&lt;&gt;Total"),"")</f>
        <v/>
      </c>
      <c r="K35" s="2" t="str">
        <f>IF(AND(A35&lt;&gt;"",J35&lt;&gt;""),ROUND(J35,0),"")</f>
        <v/>
      </c>
    </row>
    <row r="36" spans="2:11" x14ac:dyDescent="0.3">
      <c r="B36" s="2" t="str">
        <f>IFERROR(IF(A36&lt;&gt;"",VLOOKUP(Alunos!A36,Exame!A3:D1000,4, FALSE),""), "")</f>
        <v/>
      </c>
      <c r="C36" s="2" t="str">
        <f>IF(A36&lt;&gt;"",VLOOKUP(Alunos!A36,Agrupamentos!A3:C1000,2, FALSE),"")</f>
        <v/>
      </c>
      <c r="D36" s="2" t="str">
        <f>IFERROR(IF(A36&lt;&gt;"",VLOOKUP(Alunos!C36,'TP1'!A3:E1000,5, FALSE),""),"")</f>
        <v/>
      </c>
      <c r="E36" s="2" t="str">
        <f>IF(A36&lt;&gt;"",VLOOKUP(Alunos!A36,Agrupamentos!A3:C1000,3, FALSE),"")</f>
        <v/>
      </c>
      <c r="F36" s="2" t="str">
        <f>IFERROR(IF(A36&lt;&gt;"",VLOOKUP(Alunos!E36,'TP2'!A3:D1000,4, FALSE),""),"")</f>
        <v/>
      </c>
      <c r="G36" s="2" t="str">
        <f>IF(A36&lt;&gt;"", SUMIF(B1:F1,"&lt;&gt;",B36:F36),"")</f>
        <v/>
      </c>
      <c r="H36" s="2" t="str">
        <f>IF(AND(A36&lt;&gt;"",G36&lt;&gt;""),ROUND(G36,0),"")</f>
        <v/>
      </c>
      <c r="I36" s="2" t="str">
        <f>IFERROR(IF(A36&lt;&gt;"",VLOOKUP(Alunos!A36,Recurso!A3:D1000,4, FALSE),""), "")</f>
        <v/>
      </c>
      <c r="J36" s="2" t="str">
        <f>IF(AND(A36&lt;&gt;"",I36&lt;&gt;""), SUMIFS(B36:I36,B1:I1,"&lt;&gt;",B2:I2,"&lt;&gt;Exame",B2:I2,"&lt;&gt;exame",B2:I2,"&lt;&gt;Nota",B2:I2,"&lt;&gt;Total"),"")</f>
        <v/>
      </c>
      <c r="K36" s="2" t="str">
        <f>IF(AND(A36&lt;&gt;"",J36&lt;&gt;""),ROUND(J36,0),"")</f>
        <v/>
      </c>
    </row>
    <row r="37" spans="2:11" x14ac:dyDescent="0.3">
      <c r="B37" s="2" t="str">
        <f>IFERROR(IF(A37&lt;&gt;"",VLOOKUP(Alunos!A37,Exame!A3:D1000,4, FALSE),""), "")</f>
        <v/>
      </c>
      <c r="C37" s="2" t="str">
        <f>IF(A37&lt;&gt;"",VLOOKUP(Alunos!A37,Agrupamentos!A3:C1000,2, FALSE),"")</f>
        <v/>
      </c>
      <c r="D37" s="2" t="str">
        <f>IFERROR(IF(A37&lt;&gt;"",VLOOKUP(Alunos!C37,'TP1'!A3:E1000,5, FALSE),""),"")</f>
        <v/>
      </c>
      <c r="E37" s="2" t="str">
        <f>IF(A37&lt;&gt;"",VLOOKUP(Alunos!A37,Agrupamentos!A3:C1000,3, FALSE),"")</f>
        <v/>
      </c>
      <c r="F37" s="2" t="str">
        <f>IFERROR(IF(A37&lt;&gt;"",VLOOKUP(Alunos!E37,'TP2'!A3:D1000,4, FALSE),""),"")</f>
        <v/>
      </c>
      <c r="G37" s="2" t="str">
        <f>IF(A37&lt;&gt;"", SUMIF(B1:F1,"&lt;&gt;",B37:F37),"")</f>
        <v/>
      </c>
      <c r="H37" s="2" t="str">
        <f>IF(AND(A37&lt;&gt;"",G37&lt;&gt;""),ROUND(G37,0),"")</f>
        <v/>
      </c>
      <c r="I37" s="2" t="str">
        <f>IFERROR(IF(A37&lt;&gt;"",VLOOKUP(Alunos!A37,Recurso!A3:D1000,4, FALSE),""), "")</f>
        <v/>
      </c>
      <c r="J37" s="2" t="str">
        <f>IF(AND(A37&lt;&gt;"",I37&lt;&gt;""), SUMIFS(B37:I37,B1:I1,"&lt;&gt;",B2:I2,"&lt;&gt;Exame",B2:I2,"&lt;&gt;exame",B2:I2,"&lt;&gt;Nota",B2:I2,"&lt;&gt;Total"),"")</f>
        <v/>
      </c>
      <c r="K37" s="2" t="str">
        <f>IF(AND(A37&lt;&gt;"",J37&lt;&gt;""),ROUND(J37,0),"")</f>
        <v/>
      </c>
    </row>
    <row r="38" spans="2:11" x14ac:dyDescent="0.3">
      <c r="B38" s="2" t="str">
        <f>IFERROR(IF(A38&lt;&gt;"",VLOOKUP(Alunos!A38,Exame!A3:D1000,4, FALSE),""), "")</f>
        <v/>
      </c>
      <c r="C38" s="2" t="str">
        <f>IF(A38&lt;&gt;"",VLOOKUP(Alunos!A38,Agrupamentos!A3:C1000,2, FALSE),"")</f>
        <v/>
      </c>
      <c r="D38" s="2" t="str">
        <f>IFERROR(IF(A38&lt;&gt;"",VLOOKUP(Alunos!C38,'TP1'!A3:E1000,5, FALSE),""),"")</f>
        <v/>
      </c>
      <c r="E38" s="2" t="str">
        <f>IF(A38&lt;&gt;"",VLOOKUP(Alunos!A38,Agrupamentos!A3:C1000,3, FALSE),"")</f>
        <v/>
      </c>
      <c r="F38" s="2" t="str">
        <f>IFERROR(IF(A38&lt;&gt;"",VLOOKUP(Alunos!E38,'TP2'!A3:D1000,4, FALSE),""),"")</f>
        <v/>
      </c>
      <c r="G38" s="2" t="str">
        <f>IF(A38&lt;&gt;"", SUMIF(B1:F1,"&lt;&gt;",B38:F38),"")</f>
        <v/>
      </c>
      <c r="H38" s="2" t="str">
        <f>IF(AND(A38&lt;&gt;"",G38&lt;&gt;""),ROUND(G38,0),"")</f>
        <v/>
      </c>
      <c r="I38" s="2" t="str">
        <f>IFERROR(IF(A38&lt;&gt;"",VLOOKUP(Alunos!A38,Recurso!A3:D1000,4, FALSE),""), "")</f>
        <v/>
      </c>
      <c r="J38" s="2" t="str">
        <f>IF(AND(A38&lt;&gt;"",I38&lt;&gt;""), SUMIFS(B38:I38,B1:I1,"&lt;&gt;",B2:I2,"&lt;&gt;Exame",B2:I2,"&lt;&gt;exame",B2:I2,"&lt;&gt;Nota",B2:I2,"&lt;&gt;Total"),"")</f>
        <v/>
      </c>
      <c r="K38" s="2" t="str">
        <f>IF(AND(A38&lt;&gt;"",J38&lt;&gt;""),ROUND(J38,0),"")</f>
        <v/>
      </c>
    </row>
    <row r="39" spans="2:11" x14ac:dyDescent="0.3">
      <c r="B39" s="2" t="str">
        <f>IFERROR(IF(A39&lt;&gt;"",VLOOKUP(Alunos!A39,Exame!A3:D1000,4, FALSE),""), "")</f>
        <v/>
      </c>
      <c r="C39" s="2" t="str">
        <f>IF(A39&lt;&gt;"",VLOOKUP(Alunos!A39,Agrupamentos!A3:C1000,2, FALSE),"")</f>
        <v/>
      </c>
      <c r="D39" s="2" t="str">
        <f>IFERROR(IF(A39&lt;&gt;"",VLOOKUP(Alunos!C39,'TP1'!A3:E1000,5, FALSE),""),"")</f>
        <v/>
      </c>
      <c r="E39" s="2" t="str">
        <f>IF(A39&lt;&gt;"",VLOOKUP(Alunos!A39,Agrupamentos!A3:C1000,3, FALSE),"")</f>
        <v/>
      </c>
      <c r="F39" s="2" t="str">
        <f>IFERROR(IF(A39&lt;&gt;"",VLOOKUP(Alunos!E39,'TP2'!A3:D1000,4, FALSE),""),"")</f>
        <v/>
      </c>
      <c r="G39" s="2" t="str">
        <f>IF(A39&lt;&gt;"", SUMIF(B1:F1,"&lt;&gt;",B39:F39),"")</f>
        <v/>
      </c>
      <c r="H39" s="2" t="str">
        <f>IF(AND(A39&lt;&gt;"",G39&lt;&gt;""),ROUND(G39,0),"")</f>
        <v/>
      </c>
      <c r="I39" s="2" t="str">
        <f>IFERROR(IF(A39&lt;&gt;"",VLOOKUP(Alunos!A39,Recurso!A3:D1000,4, FALSE),""), "")</f>
        <v/>
      </c>
      <c r="J39" s="2" t="str">
        <f>IF(AND(A39&lt;&gt;"",I39&lt;&gt;""), SUMIFS(B39:I39,B1:I1,"&lt;&gt;",B2:I2,"&lt;&gt;Exame",B2:I2,"&lt;&gt;exame",B2:I2,"&lt;&gt;Nota",B2:I2,"&lt;&gt;Total"),"")</f>
        <v/>
      </c>
      <c r="K39" s="2" t="str">
        <f>IF(AND(A39&lt;&gt;"",J39&lt;&gt;""),ROUND(J39,0),"")</f>
        <v/>
      </c>
    </row>
    <row r="40" spans="2:11" x14ac:dyDescent="0.3">
      <c r="B40" s="2" t="str">
        <f>IFERROR(IF(A40&lt;&gt;"",VLOOKUP(Alunos!A40,Exame!A3:D1000,4, FALSE),""), "")</f>
        <v/>
      </c>
      <c r="C40" s="2" t="str">
        <f>IF(A40&lt;&gt;"",VLOOKUP(Alunos!A40,Agrupamentos!A3:C1000,2, FALSE),"")</f>
        <v/>
      </c>
      <c r="D40" s="2" t="str">
        <f>IFERROR(IF(A40&lt;&gt;"",VLOOKUP(Alunos!C40,'TP1'!A3:E1000,5, FALSE),""),"")</f>
        <v/>
      </c>
      <c r="E40" s="2" t="str">
        <f>IF(A40&lt;&gt;"",VLOOKUP(Alunos!A40,Agrupamentos!A3:C1000,3, FALSE),"")</f>
        <v/>
      </c>
      <c r="F40" s="2" t="str">
        <f>IFERROR(IF(A40&lt;&gt;"",VLOOKUP(Alunos!E40,'TP2'!A3:D1000,4, FALSE),""),"")</f>
        <v/>
      </c>
      <c r="G40" s="2" t="str">
        <f>IF(A40&lt;&gt;"", SUMIF(B1:F1,"&lt;&gt;",B40:F40),"")</f>
        <v/>
      </c>
      <c r="H40" s="2" t="str">
        <f>IF(AND(A40&lt;&gt;"",G40&lt;&gt;""),ROUND(G40,0),"")</f>
        <v/>
      </c>
      <c r="I40" s="2" t="str">
        <f>IFERROR(IF(A40&lt;&gt;"",VLOOKUP(Alunos!A40,Recurso!A3:D1000,4, FALSE),""), "")</f>
        <v/>
      </c>
      <c r="J40" s="2" t="str">
        <f>IF(AND(A40&lt;&gt;"",I40&lt;&gt;""), SUMIFS(B40:I40,B1:I1,"&lt;&gt;",B2:I2,"&lt;&gt;Exame",B2:I2,"&lt;&gt;exame",B2:I2,"&lt;&gt;Nota",B2:I2,"&lt;&gt;Total"),"")</f>
        <v/>
      </c>
      <c r="K40" s="2" t="str">
        <f>IF(AND(A40&lt;&gt;"",J40&lt;&gt;""),ROUND(J40,0),"")</f>
        <v/>
      </c>
    </row>
    <row r="41" spans="2:11" x14ac:dyDescent="0.3">
      <c r="B41" s="2" t="str">
        <f>IFERROR(IF(A41&lt;&gt;"",VLOOKUP(Alunos!A41,Exame!A3:D1000,4, FALSE),""), "")</f>
        <v/>
      </c>
      <c r="C41" s="2" t="str">
        <f>IF(A41&lt;&gt;"",VLOOKUP(Alunos!A41,Agrupamentos!A3:C1000,2, FALSE),"")</f>
        <v/>
      </c>
      <c r="D41" s="2" t="str">
        <f>IFERROR(IF(A41&lt;&gt;"",VLOOKUP(Alunos!C41,'TP1'!A3:E1000,5, FALSE),""),"")</f>
        <v/>
      </c>
      <c r="E41" s="2" t="str">
        <f>IF(A41&lt;&gt;"",VLOOKUP(Alunos!A41,Agrupamentos!A3:C1000,3, FALSE),"")</f>
        <v/>
      </c>
      <c r="F41" s="2" t="str">
        <f>IFERROR(IF(A41&lt;&gt;"",VLOOKUP(Alunos!E41,'TP2'!A3:D1000,4, FALSE),""),"")</f>
        <v/>
      </c>
      <c r="G41" s="2" t="str">
        <f>IF(A41&lt;&gt;"", SUMIF(B1:F1,"&lt;&gt;",B41:F41),"")</f>
        <v/>
      </c>
      <c r="H41" s="2" t="str">
        <f>IF(AND(A41&lt;&gt;"",G41&lt;&gt;""),ROUND(G41,0),"")</f>
        <v/>
      </c>
      <c r="I41" s="2" t="str">
        <f>IFERROR(IF(A41&lt;&gt;"",VLOOKUP(Alunos!A41,Recurso!A3:D1000,4, FALSE),""), "")</f>
        <v/>
      </c>
      <c r="J41" s="2" t="str">
        <f>IF(AND(A41&lt;&gt;"",I41&lt;&gt;""), SUMIFS(B41:I41,B1:I1,"&lt;&gt;",B2:I2,"&lt;&gt;Exame",B2:I2,"&lt;&gt;exame",B2:I2,"&lt;&gt;Nota",B2:I2,"&lt;&gt;Total"),"")</f>
        <v/>
      </c>
      <c r="K41" s="2" t="str">
        <f>IF(AND(A41&lt;&gt;"",J41&lt;&gt;""),ROUND(J41,0),"")</f>
        <v/>
      </c>
    </row>
    <row r="42" spans="2:11" x14ac:dyDescent="0.3">
      <c r="B42" s="2" t="str">
        <f>IFERROR(IF(A42&lt;&gt;"",VLOOKUP(Alunos!A42,Exame!A3:D1000,4, FALSE),""), "")</f>
        <v/>
      </c>
      <c r="C42" s="2" t="str">
        <f>IF(A42&lt;&gt;"",VLOOKUP(Alunos!A42,Agrupamentos!A3:C1000,2, FALSE),"")</f>
        <v/>
      </c>
      <c r="D42" s="2" t="str">
        <f>IFERROR(IF(A42&lt;&gt;"",VLOOKUP(Alunos!C42,'TP1'!A3:E1000,5, FALSE),""),"")</f>
        <v/>
      </c>
      <c r="E42" s="2" t="str">
        <f>IF(A42&lt;&gt;"",VLOOKUP(Alunos!A42,Agrupamentos!A3:C1000,3, FALSE),"")</f>
        <v/>
      </c>
      <c r="F42" s="2" t="str">
        <f>IFERROR(IF(A42&lt;&gt;"",VLOOKUP(Alunos!E42,'TP2'!A3:D1000,4, FALSE),""),"")</f>
        <v/>
      </c>
      <c r="G42" s="2" t="str">
        <f>IF(A42&lt;&gt;"", SUMIF(B1:F1,"&lt;&gt;",B42:F42),"")</f>
        <v/>
      </c>
      <c r="H42" s="2" t="str">
        <f>IF(AND(A42&lt;&gt;"",G42&lt;&gt;""),ROUND(G42,0),"")</f>
        <v/>
      </c>
      <c r="I42" s="2" t="str">
        <f>IFERROR(IF(A42&lt;&gt;"",VLOOKUP(Alunos!A42,Recurso!A3:D1000,4, FALSE),""), "")</f>
        <v/>
      </c>
      <c r="J42" s="2" t="str">
        <f>IF(AND(A42&lt;&gt;"",I42&lt;&gt;""), SUMIFS(B42:I42,B1:I1,"&lt;&gt;",B2:I2,"&lt;&gt;Exame",B2:I2,"&lt;&gt;exame",B2:I2,"&lt;&gt;Nota",B2:I2,"&lt;&gt;Total"),"")</f>
        <v/>
      </c>
      <c r="K42" s="2" t="str">
        <f>IF(AND(A42&lt;&gt;"",J42&lt;&gt;""),ROUND(J42,0),"")</f>
        <v/>
      </c>
    </row>
    <row r="43" spans="2:11" x14ac:dyDescent="0.3">
      <c r="B43" s="2" t="str">
        <f>IFERROR(IF(A43&lt;&gt;"",VLOOKUP(Alunos!A43,Exame!A3:D1000,4, FALSE),""), "")</f>
        <v/>
      </c>
      <c r="C43" s="2" t="str">
        <f>IF(A43&lt;&gt;"",VLOOKUP(Alunos!A43,Agrupamentos!A3:C1000,2, FALSE),"")</f>
        <v/>
      </c>
      <c r="D43" s="2" t="str">
        <f>IFERROR(IF(A43&lt;&gt;"",VLOOKUP(Alunos!C43,'TP1'!A3:E1000,5, FALSE),""),"")</f>
        <v/>
      </c>
      <c r="E43" s="2" t="str">
        <f>IF(A43&lt;&gt;"",VLOOKUP(Alunos!A43,Agrupamentos!A3:C1000,3, FALSE),"")</f>
        <v/>
      </c>
      <c r="F43" s="2" t="str">
        <f>IFERROR(IF(A43&lt;&gt;"",VLOOKUP(Alunos!E43,'TP2'!A3:D1000,4, FALSE),""),"")</f>
        <v/>
      </c>
      <c r="G43" s="2" t="str">
        <f>IF(A43&lt;&gt;"", SUMIF(B1:F1,"&lt;&gt;",B43:F43),"")</f>
        <v/>
      </c>
      <c r="H43" s="2" t="str">
        <f>IF(AND(A43&lt;&gt;"",G43&lt;&gt;""),ROUND(G43,0),"")</f>
        <v/>
      </c>
      <c r="I43" s="2" t="str">
        <f>IFERROR(IF(A43&lt;&gt;"",VLOOKUP(Alunos!A43,Recurso!A3:D1000,4, FALSE),""), "")</f>
        <v/>
      </c>
      <c r="J43" s="2" t="str">
        <f>IF(AND(A43&lt;&gt;"",I43&lt;&gt;""), SUMIFS(B43:I43,B1:I1,"&lt;&gt;",B2:I2,"&lt;&gt;Exame",B2:I2,"&lt;&gt;exame",B2:I2,"&lt;&gt;Nota",B2:I2,"&lt;&gt;Total"),"")</f>
        <v/>
      </c>
      <c r="K43" s="2" t="str">
        <f>IF(AND(A43&lt;&gt;"",J43&lt;&gt;""),ROUND(J43,0),"")</f>
        <v/>
      </c>
    </row>
    <row r="44" spans="2:11" x14ac:dyDescent="0.3">
      <c r="B44" s="2" t="str">
        <f>IFERROR(IF(A44&lt;&gt;"",VLOOKUP(Alunos!A44,Exame!A3:D1000,4, FALSE),""), "")</f>
        <v/>
      </c>
      <c r="C44" s="2" t="str">
        <f>IF(A44&lt;&gt;"",VLOOKUP(Alunos!A44,Agrupamentos!A3:C1000,2, FALSE),"")</f>
        <v/>
      </c>
      <c r="D44" s="2" t="str">
        <f>IFERROR(IF(A44&lt;&gt;"",VLOOKUP(Alunos!C44,'TP1'!A3:E1000,5, FALSE),""),"")</f>
        <v/>
      </c>
      <c r="E44" s="2" t="str">
        <f>IF(A44&lt;&gt;"",VLOOKUP(Alunos!A44,Agrupamentos!A3:C1000,3, FALSE),"")</f>
        <v/>
      </c>
      <c r="F44" s="2" t="str">
        <f>IFERROR(IF(A44&lt;&gt;"",VLOOKUP(Alunos!E44,'TP2'!A3:D1000,4, FALSE),""),"")</f>
        <v/>
      </c>
      <c r="G44" s="2" t="str">
        <f>IF(A44&lt;&gt;"", SUMIF(B1:F1,"&lt;&gt;",B44:F44),"")</f>
        <v/>
      </c>
      <c r="H44" s="2" t="str">
        <f>IF(AND(A44&lt;&gt;"",G44&lt;&gt;""),ROUND(G44,0),"")</f>
        <v/>
      </c>
      <c r="I44" s="2" t="str">
        <f>IFERROR(IF(A44&lt;&gt;"",VLOOKUP(Alunos!A44,Recurso!A3:D1000,4, FALSE),""), "")</f>
        <v/>
      </c>
      <c r="J44" s="2" t="str">
        <f>IF(AND(A44&lt;&gt;"",I44&lt;&gt;""), SUMIFS(B44:I44,B1:I1,"&lt;&gt;",B2:I2,"&lt;&gt;Exame",B2:I2,"&lt;&gt;exame",B2:I2,"&lt;&gt;Nota",B2:I2,"&lt;&gt;Total"),"")</f>
        <v/>
      </c>
      <c r="K44" s="2" t="str">
        <f>IF(AND(A44&lt;&gt;"",J44&lt;&gt;""),ROUND(J44,0),"")</f>
        <v/>
      </c>
    </row>
    <row r="45" spans="2:11" x14ac:dyDescent="0.3">
      <c r="B45" s="2" t="str">
        <f>IFERROR(IF(A45&lt;&gt;"",VLOOKUP(Alunos!A45,Exame!A3:D1000,4, FALSE),""), "")</f>
        <v/>
      </c>
      <c r="C45" s="2" t="str">
        <f>IF(A45&lt;&gt;"",VLOOKUP(Alunos!A45,Agrupamentos!A3:C1000,2, FALSE),"")</f>
        <v/>
      </c>
      <c r="D45" s="2" t="str">
        <f>IFERROR(IF(A45&lt;&gt;"",VLOOKUP(Alunos!C45,'TP1'!A3:E1000,5, FALSE),""),"")</f>
        <v/>
      </c>
      <c r="E45" s="2" t="str">
        <f>IF(A45&lt;&gt;"",VLOOKUP(Alunos!A45,Agrupamentos!A3:C1000,3, FALSE),"")</f>
        <v/>
      </c>
      <c r="F45" s="2" t="str">
        <f>IFERROR(IF(A45&lt;&gt;"",VLOOKUP(Alunos!E45,'TP2'!A3:D1000,4, FALSE),""),"")</f>
        <v/>
      </c>
      <c r="G45" s="2" t="str">
        <f>IF(A45&lt;&gt;"", SUMIF(B1:F1,"&lt;&gt;",B45:F45),"")</f>
        <v/>
      </c>
      <c r="H45" s="2" t="str">
        <f>IF(AND(A45&lt;&gt;"",G45&lt;&gt;""),ROUND(G45,0),"")</f>
        <v/>
      </c>
      <c r="I45" s="2" t="str">
        <f>IFERROR(IF(A45&lt;&gt;"",VLOOKUP(Alunos!A45,Recurso!A3:D1000,4, FALSE),""), "")</f>
        <v/>
      </c>
      <c r="J45" s="2" t="str">
        <f>IF(AND(A45&lt;&gt;"",I45&lt;&gt;""), SUMIFS(B45:I45,B1:I1,"&lt;&gt;",B2:I2,"&lt;&gt;Exame",B2:I2,"&lt;&gt;exame",B2:I2,"&lt;&gt;Nota",B2:I2,"&lt;&gt;Total"),"")</f>
        <v/>
      </c>
      <c r="K45" s="2" t="str">
        <f>IF(AND(A45&lt;&gt;"",J45&lt;&gt;""),ROUND(J45,0),"")</f>
        <v/>
      </c>
    </row>
    <row r="46" spans="2:11" x14ac:dyDescent="0.3">
      <c r="B46" s="2" t="str">
        <f>IFERROR(IF(A46&lt;&gt;"",VLOOKUP(Alunos!A46,Exame!A3:D1000,4, FALSE),""), "")</f>
        <v/>
      </c>
      <c r="C46" s="2" t="str">
        <f>IF(A46&lt;&gt;"",VLOOKUP(Alunos!A46,Agrupamentos!A3:C1000,2, FALSE),"")</f>
        <v/>
      </c>
      <c r="D46" s="2" t="str">
        <f>IFERROR(IF(A46&lt;&gt;"",VLOOKUP(Alunos!C46,'TP1'!A3:E1000,5, FALSE),""),"")</f>
        <v/>
      </c>
      <c r="E46" s="2" t="str">
        <f>IF(A46&lt;&gt;"",VLOOKUP(Alunos!A46,Agrupamentos!A3:C1000,3, FALSE),"")</f>
        <v/>
      </c>
      <c r="F46" s="2" t="str">
        <f>IFERROR(IF(A46&lt;&gt;"",VLOOKUP(Alunos!E46,'TP2'!A3:D1000,4, FALSE),""),"")</f>
        <v/>
      </c>
      <c r="G46" s="2" t="str">
        <f>IF(A46&lt;&gt;"", SUMIF(B1:F1,"&lt;&gt;",B46:F46),"")</f>
        <v/>
      </c>
      <c r="H46" s="2" t="str">
        <f>IF(AND(A46&lt;&gt;"",G46&lt;&gt;""),ROUND(G46,0),"")</f>
        <v/>
      </c>
      <c r="I46" s="2" t="str">
        <f>IFERROR(IF(A46&lt;&gt;"",VLOOKUP(Alunos!A46,Recurso!A3:D1000,4, FALSE),""), "")</f>
        <v/>
      </c>
      <c r="J46" s="2" t="str">
        <f>IF(AND(A46&lt;&gt;"",I46&lt;&gt;""), SUMIFS(B46:I46,B1:I1,"&lt;&gt;",B2:I2,"&lt;&gt;Exame",B2:I2,"&lt;&gt;exame",B2:I2,"&lt;&gt;Nota",B2:I2,"&lt;&gt;Total"),"")</f>
        <v/>
      </c>
      <c r="K46" s="2" t="str">
        <f>IF(AND(A46&lt;&gt;"",J46&lt;&gt;""),ROUND(J46,0),"")</f>
        <v/>
      </c>
    </row>
    <row r="47" spans="2:11" x14ac:dyDescent="0.3">
      <c r="B47" s="2" t="str">
        <f>IFERROR(IF(A47&lt;&gt;"",VLOOKUP(Alunos!A47,Exame!A3:D1000,4, FALSE),""), "")</f>
        <v/>
      </c>
      <c r="C47" s="2" t="str">
        <f>IF(A47&lt;&gt;"",VLOOKUP(Alunos!A47,Agrupamentos!A3:C1000,2, FALSE),"")</f>
        <v/>
      </c>
      <c r="D47" s="2" t="str">
        <f>IFERROR(IF(A47&lt;&gt;"",VLOOKUP(Alunos!C47,'TP1'!A3:E1000,5, FALSE),""),"")</f>
        <v/>
      </c>
      <c r="E47" s="2" t="str">
        <f>IF(A47&lt;&gt;"",VLOOKUP(Alunos!A47,Agrupamentos!A3:C1000,3, FALSE),"")</f>
        <v/>
      </c>
      <c r="F47" s="2" t="str">
        <f>IFERROR(IF(A47&lt;&gt;"",VLOOKUP(Alunos!E47,'TP2'!A3:D1000,4, FALSE),""),"")</f>
        <v/>
      </c>
      <c r="G47" s="2" t="str">
        <f>IF(A47&lt;&gt;"", SUMIF(B1:F1,"&lt;&gt;",B47:F47),"")</f>
        <v/>
      </c>
      <c r="H47" s="2" t="str">
        <f>IF(AND(A47&lt;&gt;"",G47&lt;&gt;""),ROUND(G47,0),"")</f>
        <v/>
      </c>
      <c r="I47" s="2" t="str">
        <f>IFERROR(IF(A47&lt;&gt;"",VLOOKUP(Alunos!A47,Recurso!A3:D1000,4, FALSE),""), "")</f>
        <v/>
      </c>
      <c r="J47" s="2" t="str">
        <f>IF(AND(A47&lt;&gt;"",I47&lt;&gt;""), SUMIFS(B47:I47,B1:I1,"&lt;&gt;",B2:I2,"&lt;&gt;Exame",B2:I2,"&lt;&gt;exame",B2:I2,"&lt;&gt;Nota",B2:I2,"&lt;&gt;Total"),"")</f>
        <v/>
      </c>
      <c r="K47" s="2" t="str">
        <f>IF(AND(A47&lt;&gt;"",J47&lt;&gt;""),ROUND(J47,0),"")</f>
        <v/>
      </c>
    </row>
    <row r="48" spans="2:11" x14ac:dyDescent="0.3">
      <c r="B48" s="2" t="str">
        <f>IFERROR(IF(A48&lt;&gt;"",VLOOKUP(Alunos!A48,Exame!A3:D1000,4, FALSE),""), "")</f>
        <v/>
      </c>
      <c r="C48" s="2" t="str">
        <f>IF(A48&lt;&gt;"",VLOOKUP(Alunos!A48,Agrupamentos!A3:C1000,2, FALSE),"")</f>
        <v/>
      </c>
      <c r="D48" s="2" t="str">
        <f>IFERROR(IF(A48&lt;&gt;"",VLOOKUP(Alunos!C48,'TP1'!A3:E1000,5, FALSE),""),"")</f>
        <v/>
      </c>
      <c r="E48" s="2" t="str">
        <f>IF(A48&lt;&gt;"",VLOOKUP(Alunos!A48,Agrupamentos!A3:C1000,3, FALSE),"")</f>
        <v/>
      </c>
      <c r="F48" s="2" t="str">
        <f>IFERROR(IF(A48&lt;&gt;"",VLOOKUP(Alunos!E48,'TP2'!A3:D1000,4, FALSE),""),"")</f>
        <v/>
      </c>
      <c r="G48" s="2" t="str">
        <f>IF(A48&lt;&gt;"", SUMIF(B1:F1,"&lt;&gt;",B48:F48),"")</f>
        <v/>
      </c>
      <c r="H48" s="2" t="str">
        <f>IF(AND(A48&lt;&gt;"",G48&lt;&gt;""),ROUND(G48,0),"")</f>
        <v/>
      </c>
      <c r="I48" s="2" t="str">
        <f>IFERROR(IF(A48&lt;&gt;"",VLOOKUP(Alunos!A48,Recurso!A3:D1000,4, FALSE),""), "")</f>
        <v/>
      </c>
      <c r="J48" s="2" t="str">
        <f>IF(AND(A48&lt;&gt;"",I48&lt;&gt;""), SUMIFS(B48:I48,B1:I1,"&lt;&gt;",B2:I2,"&lt;&gt;Exame",B2:I2,"&lt;&gt;exame",B2:I2,"&lt;&gt;Nota",B2:I2,"&lt;&gt;Total"),"")</f>
        <v/>
      </c>
      <c r="K48" s="2" t="str">
        <f>IF(AND(A48&lt;&gt;"",J48&lt;&gt;""),ROUND(J48,0),"")</f>
        <v/>
      </c>
    </row>
    <row r="49" spans="2:11" x14ac:dyDescent="0.3">
      <c r="B49" s="2" t="str">
        <f>IFERROR(IF(A49&lt;&gt;"",VLOOKUP(Alunos!A49,Exame!A3:D1000,4, FALSE),""), "")</f>
        <v/>
      </c>
      <c r="C49" s="2" t="str">
        <f>IF(A49&lt;&gt;"",VLOOKUP(Alunos!A49,Agrupamentos!A3:C1000,2, FALSE),"")</f>
        <v/>
      </c>
      <c r="D49" s="2" t="str">
        <f>IFERROR(IF(A49&lt;&gt;"",VLOOKUP(Alunos!C49,'TP1'!A3:E1000,5, FALSE),""),"")</f>
        <v/>
      </c>
      <c r="E49" s="2" t="str">
        <f>IF(A49&lt;&gt;"",VLOOKUP(Alunos!A49,Agrupamentos!A3:C1000,3, FALSE),"")</f>
        <v/>
      </c>
      <c r="F49" s="2" t="str">
        <f>IFERROR(IF(A49&lt;&gt;"",VLOOKUP(Alunos!E49,'TP2'!A3:D1000,4, FALSE),""),"")</f>
        <v/>
      </c>
      <c r="G49" s="2" t="str">
        <f>IF(A49&lt;&gt;"", SUMIF(B1:F1,"&lt;&gt;",B49:F49),"")</f>
        <v/>
      </c>
      <c r="H49" s="2" t="str">
        <f>IF(AND(A49&lt;&gt;"",G49&lt;&gt;""),ROUND(G49,0),"")</f>
        <v/>
      </c>
      <c r="I49" s="2" t="str">
        <f>IFERROR(IF(A49&lt;&gt;"",VLOOKUP(Alunos!A49,Recurso!A3:D1000,4, FALSE),""), "")</f>
        <v/>
      </c>
      <c r="J49" s="2" t="str">
        <f>IF(AND(A49&lt;&gt;"",I49&lt;&gt;""), SUMIFS(B49:I49,B1:I1,"&lt;&gt;",B2:I2,"&lt;&gt;Exame",B2:I2,"&lt;&gt;exame",B2:I2,"&lt;&gt;Nota",B2:I2,"&lt;&gt;Total"),"")</f>
        <v/>
      </c>
      <c r="K49" s="2" t="str">
        <f>IF(AND(A49&lt;&gt;"",J49&lt;&gt;""),ROUND(J49,0),"")</f>
        <v/>
      </c>
    </row>
    <row r="50" spans="2:11" x14ac:dyDescent="0.3">
      <c r="B50" s="2" t="str">
        <f>IFERROR(IF(A50&lt;&gt;"",VLOOKUP(Alunos!A50,Exame!A3:D1000,4, FALSE),""), "")</f>
        <v/>
      </c>
      <c r="C50" s="2" t="str">
        <f>IF(A50&lt;&gt;"",VLOOKUP(Alunos!A50,Agrupamentos!A3:C1000,2, FALSE),"")</f>
        <v/>
      </c>
      <c r="D50" s="2" t="str">
        <f>IFERROR(IF(A50&lt;&gt;"",VLOOKUP(Alunos!C50,'TP1'!A3:E1000,5, FALSE),""),"")</f>
        <v/>
      </c>
      <c r="E50" s="2" t="str">
        <f>IF(A50&lt;&gt;"",VLOOKUP(Alunos!A50,Agrupamentos!A3:C1000,3, FALSE),"")</f>
        <v/>
      </c>
      <c r="F50" s="2" t="str">
        <f>IFERROR(IF(A50&lt;&gt;"",VLOOKUP(Alunos!E50,'TP2'!A3:D1000,4, FALSE),""),"")</f>
        <v/>
      </c>
      <c r="G50" s="2" t="str">
        <f>IF(A50&lt;&gt;"", SUMIF(B1:F1,"&lt;&gt;",B50:F50),"")</f>
        <v/>
      </c>
      <c r="H50" s="2" t="str">
        <f>IF(AND(A50&lt;&gt;"",G50&lt;&gt;""),ROUND(G50,0),"")</f>
        <v/>
      </c>
      <c r="I50" s="2" t="str">
        <f>IFERROR(IF(A50&lt;&gt;"",VLOOKUP(Alunos!A50,Recurso!A3:D1000,4, FALSE),""), "")</f>
        <v/>
      </c>
      <c r="J50" s="2" t="str">
        <f>IF(AND(A50&lt;&gt;"",I50&lt;&gt;""), SUMIFS(B50:I50,B1:I1,"&lt;&gt;",B2:I2,"&lt;&gt;Exame",B2:I2,"&lt;&gt;exame",B2:I2,"&lt;&gt;Nota",B2:I2,"&lt;&gt;Total"),"")</f>
        <v/>
      </c>
      <c r="K50" s="2" t="str">
        <f>IF(AND(A50&lt;&gt;"",J50&lt;&gt;""),ROUND(J50,0),"")</f>
        <v/>
      </c>
    </row>
    <row r="51" spans="2:11" x14ac:dyDescent="0.3">
      <c r="B51" s="2" t="str">
        <f>IFERROR(IF(A51&lt;&gt;"",VLOOKUP(Alunos!A51,Exame!A3:D1000,4, FALSE),""), "")</f>
        <v/>
      </c>
      <c r="C51" s="2" t="str">
        <f>IF(A51&lt;&gt;"",VLOOKUP(Alunos!A51,Agrupamentos!A3:C1000,2, FALSE),"")</f>
        <v/>
      </c>
      <c r="D51" s="2" t="str">
        <f>IFERROR(IF(A51&lt;&gt;"",VLOOKUP(Alunos!C51,'TP1'!A3:E1000,5, FALSE),""),"")</f>
        <v/>
      </c>
      <c r="E51" s="2" t="str">
        <f>IF(A51&lt;&gt;"",VLOOKUP(Alunos!A51,Agrupamentos!A3:C1000,3, FALSE),"")</f>
        <v/>
      </c>
      <c r="F51" s="2" t="str">
        <f>IFERROR(IF(A51&lt;&gt;"",VLOOKUP(Alunos!E51,'TP2'!A3:D1000,4, FALSE),""),"")</f>
        <v/>
      </c>
      <c r="G51" s="2" t="str">
        <f>IF(A51&lt;&gt;"", SUMIF(B1:F1,"&lt;&gt;",B51:F51),"")</f>
        <v/>
      </c>
      <c r="H51" s="2" t="str">
        <f>IF(AND(A51&lt;&gt;"",G51&lt;&gt;""),ROUND(G51,0),"")</f>
        <v/>
      </c>
      <c r="I51" s="2" t="str">
        <f>IFERROR(IF(A51&lt;&gt;"",VLOOKUP(Alunos!A51,Recurso!A3:D1000,4, FALSE),""), "")</f>
        <v/>
      </c>
      <c r="J51" s="2" t="str">
        <f>IF(AND(A51&lt;&gt;"",I51&lt;&gt;""), SUMIFS(B51:I51,B1:I1,"&lt;&gt;",B2:I2,"&lt;&gt;Exame",B2:I2,"&lt;&gt;exame",B2:I2,"&lt;&gt;Nota",B2:I2,"&lt;&gt;Total"),"")</f>
        <v/>
      </c>
      <c r="K51" s="2" t="str">
        <f>IF(AND(A51&lt;&gt;"",J51&lt;&gt;""),ROUND(J51,0),"")</f>
        <v/>
      </c>
    </row>
    <row r="52" spans="2:11" x14ac:dyDescent="0.3">
      <c r="B52" s="2" t="str">
        <f>IFERROR(IF(A52&lt;&gt;"",VLOOKUP(Alunos!A52,Exame!A3:D1000,4, FALSE),""), "")</f>
        <v/>
      </c>
      <c r="C52" s="2" t="str">
        <f>IF(A52&lt;&gt;"",VLOOKUP(Alunos!A52,Agrupamentos!A3:C1000,2, FALSE),"")</f>
        <v/>
      </c>
      <c r="D52" s="2" t="str">
        <f>IFERROR(IF(A52&lt;&gt;"",VLOOKUP(Alunos!C52,'TP1'!A3:E1000,5, FALSE),""),"")</f>
        <v/>
      </c>
      <c r="E52" s="2" t="str">
        <f>IF(A52&lt;&gt;"",VLOOKUP(Alunos!A52,Agrupamentos!A3:C1000,3, FALSE),"")</f>
        <v/>
      </c>
      <c r="F52" s="2" t="str">
        <f>IFERROR(IF(A52&lt;&gt;"",VLOOKUP(Alunos!E52,'TP2'!A3:D1000,4, FALSE),""),"")</f>
        <v/>
      </c>
      <c r="G52" s="2" t="str">
        <f>IF(A52&lt;&gt;"", SUMIF(B1:F1,"&lt;&gt;",B52:F52),"")</f>
        <v/>
      </c>
      <c r="H52" s="2" t="str">
        <f>IF(AND(A52&lt;&gt;"",G52&lt;&gt;""),ROUND(G52,0),"")</f>
        <v/>
      </c>
      <c r="I52" s="2" t="str">
        <f>IFERROR(IF(A52&lt;&gt;"",VLOOKUP(Alunos!A52,Recurso!A3:D1000,4, FALSE),""), "")</f>
        <v/>
      </c>
      <c r="J52" s="2" t="str">
        <f>IF(AND(A52&lt;&gt;"",I52&lt;&gt;""), SUMIFS(B52:I52,B1:I1,"&lt;&gt;",B2:I2,"&lt;&gt;Exame",B2:I2,"&lt;&gt;exame",B2:I2,"&lt;&gt;Nota",B2:I2,"&lt;&gt;Total"),"")</f>
        <v/>
      </c>
      <c r="K52" s="2" t="str">
        <f>IF(AND(A52&lt;&gt;"",J52&lt;&gt;""),ROUND(J52,0),"")</f>
        <v/>
      </c>
    </row>
    <row r="53" spans="2:11" x14ac:dyDescent="0.3">
      <c r="B53" s="2" t="str">
        <f>IFERROR(IF(A53&lt;&gt;"",VLOOKUP(Alunos!A53,Exame!A3:D1000,4, FALSE),""), "")</f>
        <v/>
      </c>
      <c r="C53" s="2" t="str">
        <f>IF(A53&lt;&gt;"",VLOOKUP(Alunos!A53,Agrupamentos!A3:C1000,2, FALSE),"")</f>
        <v/>
      </c>
      <c r="D53" s="2" t="str">
        <f>IFERROR(IF(A53&lt;&gt;"",VLOOKUP(Alunos!C53,'TP1'!A3:E1000,5, FALSE),""),"")</f>
        <v/>
      </c>
      <c r="E53" s="2" t="str">
        <f>IF(A53&lt;&gt;"",VLOOKUP(Alunos!A53,Agrupamentos!A3:C1000,3, FALSE),"")</f>
        <v/>
      </c>
      <c r="F53" s="2" t="str">
        <f>IFERROR(IF(A53&lt;&gt;"",VLOOKUP(Alunos!E53,'TP2'!A3:D1000,4, FALSE),""),"")</f>
        <v/>
      </c>
      <c r="G53" s="2" t="str">
        <f>IF(A53&lt;&gt;"", SUMIF(B1:F1,"&lt;&gt;",B53:F53),"")</f>
        <v/>
      </c>
      <c r="H53" s="2" t="str">
        <f>IF(AND(A53&lt;&gt;"",G53&lt;&gt;""),ROUND(G53,0),"")</f>
        <v/>
      </c>
      <c r="I53" s="2" t="str">
        <f>IFERROR(IF(A53&lt;&gt;"",VLOOKUP(Alunos!A53,Recurso!A3:D1000,4, FALSE),""), "")</f>
        <v/>
      </c>
      <c r="J53" s="2" t="str">
        <f>IF(AND(A53&lt;&gt;"",I53&lt;&gt;""), SUMIFS(B53:I53,B1:I1,"&lt;&gt;",B2:I2,"&lt;&gt;Exame",B2:I2,"&lt;&gt;exame",B2:I2,"&lt;&gt;Nota",B2:I2,"&lt;&gt;Total"),"")</f>
        <v/>
      </c>
      <c r="K53" s="2" t="str">
        <f>IF(AND(A53&lt;&gt;"",J53&lt;&gt;""),ROUND(J53,0),"")</f>
        <v/>
      </c>
    </row>
    <row r="54" spans="2:11" x14ac:dyDescent="0.3">
      <c r="B54" s="2" t="str">
        <f>IFERROR(IF(A54&lt;&gt;"",VLOOKUP(Alunos!A54,Exame!A3:D1000,4, FALSE),""), "")</f>
        <v/>
      </c>
      <c r="C54" s="2" t="str">
        <f>IF(A54&lt;&gt;"",VLOOKUP(Alunos!A54,Agrupamentos!A3:C1000,2, FALSE),"")</f>
        <v/>
      </c>
      <c r="D54" s="2" t="str">
        <f>IFERROR(IF(A54&lt;&gt;"",VLOOKUP(Alunos!C54,'TP1'!A3:E1000,5, FALSE),""),"")</f>
        <v/>
      </c>
      <c r="E54" s="2" t="str">
        <f>IF(A54&lt;&gt;"",VLOOKUP(Alunos!A54,Agrupamentos!A3:C1000,3, FALSE),"")</f>
        <v/>
      </c>
      <c r="F54" s="2" t="str">
        <f>IFERROR(IF(A54&lt;&gt;"",VLOOKUP(Alunos!E54,'TP2'!A3:D1000,4, FALSE),""),"")</f>
        <v/>
      </c>
      <c r="G54" s="2" t="str">
        <f>IF(A54&lt;&gt;"", SUMIF(B1:F1,"&lt;&gt;",B54:F54),"")</f>
        <v/>
      </c>
      <c r="H54" s="2" t="str">
        <f>IF(AND(A54&lt;&gt;"",G54&lt;&gt;""),ROUND(G54,0),"")</f>
        <v/>
      </c>
      <c r="I54" s="2" t="str">
        <f>IFERROR(IF(A54&lt;&gt;"",VLOOKUP(Alunos!A54,Recurso!A3:D1000,4, FALSE),""), "")</f>
        <v/>
      </c>
      <c r="J54" s="2" t="str">
        <f>IF(AND(A54&lt;&gt;"",I54&lt;&gt;""), SUMIFS(B54:I54,B1:I1,"&lt;&gt;",B2:I2,"&lt;&gt;Exame",B2:I2,"&lt;&gt;exame",B2:I2,"&lt;&gt;Nota",B2:I2,"&lt;&gt;Total"),"")</f>
        <v/>
      </c>
      <c r="K54" s="2" t="str">
        <f>IF(AND(A54&lt;&gt;"",J54&lt;&gt;""),ROUND(J54,0),"")</f>
        <v/>
      </c>
    </row>
    <row r="55" spans="2:11" x14ac:dyDescent="0.3">
      <c r="B55" s="2" t="str">
        <f>IFERROR(IF(A55&lt;&gt;"",VLOOKUP(Alunos!A55,Exame!A3:D1000,4, FALSE),""), "")</f>
        <v/>
      </c>
      <c r="C55" s="2" t="str">
        <f>IF(A55&lt;&gt;"",VLOOKUP(Alunos!A55,Agrupamentos!A3:C1000,2, FALSE),"")</f>
        <v/>
      </c>
      <c r="D55" s="2" t="str">
        <f>IFERROR(IF(A55&lt;&gt;"",VLOOKUP(Alunos!C55,'TP1'!A3:E1000,5, FALSE),""),"")</f>
        <v/>
      </c>
      <c r="E55" s="2" t="str">
        <f>IF(A55&lt;&gt;"",VLOOKUP(Alunos!A55,Agrupamentos!A3:C1000,3, FALSE),"")</f>
        <v/>
      </c>
      <c r="F55" s="2" t="str">
        <f>IFERROR(IF(A55&lt;&gt;"",VLOOKUP(Alunos!E55,'TP2'!A3:D1000,4, FALSE),""),"")</f>
        <v/>
      </c>
      <c r="G55" s="2" t="str">
        <f>IF(A55&lt;&gt;"", SUMIF(B1:F1,"&lt;&gt;",B55:F55),"")</f>
        <v/>
      </c>
      <c r="H55" s="2" t="str">
        <f>IF(AND(A55&lt;&gt;"",G55&lt;&gt;""),ROUND(G55,0),"")</f>
        <v/>
      </c>
      <c r="I55" s="2" t="str">
        <f>IFERROR(IF(A55&lt;&gt;"",VLOOKUP(Alunos!A55,Recurso!A3:D1000,4, FALSE),""), "")</f>
        <v/>
      </c>
      <c r="J55" s="2" t="str">
        <f>IF(AND(A55&lt;&gt;"",I55&lt;&gt;""), SUMIFS(B55:I55,B1:I1,"&lt;&gt;",B2:I2,"&lt;&gt;Exame",B2:I2,"&lt;&gt;exame",B2:I2,"&lt;&gt;Nota",B2:I2,"&lt;&gt;Total"),"")</f>
        <v/>
      </c>
      <c r="K55" s="2" t="str">
        <f>IF(AND(A55&lt;&gt;"",J55&lt;&gt;""),ROUND(J55,0),"")</f>
        <v/>
      </c>
    </row>
    <row r="56" spans="2:11" x14ac:dyDescent="0.3">
      <c r="B56" s="2" t="str">
        <f>IFERROR(IF(A56&lt;&gt;"",VLOOKUP(Alunos!A56,Exame!A3:D1000,4, FALSE),""), "")</f>
        <v/>
      </c>
      <c r="C56" s="2" t="str">
        <f>IF(A56&lt;&gt;"",VLOOKUP(Alunos!A56,Agrupamentos!A3:C1000,2, FALSE),"")</f>
        <v/>
      </c>
      <c r="D56" s="2" t="str">
        <f>IFERROR(IF(A56&lt;&gt;"",VLOOKUP(Alunos!C56,'TP1'!A3:E1000,5, FALSE),""),"")</f>
        <v/>
      </c>
      <c r="E56" s="2" t="str">
        <f>IF(A56&lt;&gt;"",VLOOKUP(Alunos!A56,Agrupamentos!A3:C1000,3, FALSE),"")</f>
        <v/>
      </c>
      <c r="F56" s="2" t="str">
        <f>IFERROR(IF(A56&lt;&gt;"",VLOOKUP(Alunos!E56,'TP2'!A3:D1000,4, FALSE),""),"")</f>
        <v/>
      </c>
      <c r="G56" s="2" t="str">
        <f>IF(A56&lt;&gt;"", SUMIF(B1:F1,"&lt;&gt;",B56:F56),"")</f>
        <v/>
      </c>
      <c r="H56" s="2" t="str">
        <f>IF(AND(A56&lt;&gt;"",G56&lt;&gt;""),ROUND(G56,0),"")</f>
        <v/>
      </c>
      <c r="I56" s="2" t="str">
        <f>IFERROR(IF(A56&lt;&gt;"",VLOOKUP(Alunos!A56,Recurso!A3:D1000,4, FALSE),""), "")</f>
        <v/>
      </c>
      <c r="J56" s="2" t="str">
        <f>IF(AND(A56&lt;&gt;"",I56&lt;&gt;""), SUMIFS(B56:I56,B1:I1,"&lt;&gt;",B2:I2,"&lt;&gt;Exame",B2:I2,"&lt;&gt;exame",B2:I2,"&lt;&gt;Nota",B2:I2,"&lt;&gt;Total"),"")</f>
        <v/>
      </c>
      <c r="K56" s="2" t="str">
        <f>IF(AND(A56&lt;&gt;"",J56&lt;&gt;""),ROUND(J56,0),"")</f>
        <v/>
      </c>
    </row>
    <row r="57" spans="2:11" x14ac:dyDescent="0.3">
      <c r="B57" s="2" t="str">
        <f>IFERROR(IF(A57&lt;&gt;"",VLOOKUP(Alunos!A57,Exame!A3:D1000,4, FALSE),""), "")</f>
        <v/>
      </c>
      <c r="C57" s="2" t="str">
        <f>IF(A57&lt;&gt;"",VLOOKUP(Alunos!A57,Agrupamentos!A3:C1000,2, FALSE),"")</f>
        <v/>
      </c>
      <c r="D57" s="2" t="str">
        <f>IFERROR(IF(A57&lt;&gt;"",VLOOKUP(Alunos!C57,'TP1'!A3:E1000,5, FALSE),""),"")</f>
        <v/>
      </c>
      <c r="E57" s="2" t="str">
        <f>IF(A57&lt;&gt;"",VLOOKUP(Alunos!A57,Agrupamentos!A3:C1000,3, FALSE),"")</f>
        <v/>
      </c>
      <c r="F57" s="2" t="str">
        <f>IFERROR(IF(A57&lt;&gt;"",VLOOKUP(Alunos!E57,'TP2'!A3:D1000,4, FALSE),""),"")</f>
        <v/>
      </c>
      <c r="G57" s="2" t="str">
        <f>IF(A57&lt;&gt;"", SUMIF(B1:F1,"&lt;&gt;",B57:F57),"")</f>
        <v/>
      </c>
      <c r="H57" s="2" t="str">
        <f>IF(AND(A57&lt;&gt;"",G57&lt;&gt;""),ROUND(G57,0),"")</f>
        <v/>
      </c>
      <c r="I57" s="2" t="str">
        <f>IFERROR(IF(A57&lt;&gt;"",VLOOKUP(Alunos!A57,Recurso!A3:D1000,4, FALSE),""), "")</f>
        <v/>
      </c>
      <c r="J57" s="2" t="str">
        <f>IF(AND(A57&lt;&gt;"",I57&lt;&gt;""), SUMIFS(B57:I57,B1:I1,"&lt;&gt;",B2:I2,"&lt;&gt;Exame",B2:I2,"&lt;&gt;exame",B2:I2,"&lt;&gt;Nota",B2:I2,"&lt;&gt;Total"),"")</f>
        <v/>
      </c>
      <c r="K57" s="2" t="str">
        <f>IF(AND(A57&lt;&gt;"",J57&lt;&gt;""),ROUND(J57,0),"")</f>
        <v/>
      </c>
    </row>
    <row r="58" spans="2:11" x14ac:dyDescent="0.3">
      <c r="B58" s="2" t="str">
        <f>IFERROR(IF(A58&lt;&gt;"",VLOOKUP(Alunos!A58,Exame!A3:D1000,4, FALSE),""), "")</f>
        <v/>
      </c>
      <c r="C58" s="2" t="str">
        <f>IF(A58&lt;&gt;"",VLOOKUP(Alunos!A58,Agrupamentos!A3:C1000,2, FALSE),"")</f>
        <v/>
      </c>
      <c r="D58" s="2" t="str">
        <f>IFERROR(IF(A58&lt;&gt;"",VLOOKUP(Alunos!C58,'TP1'!A3:E1000,5, FALSE),""),"")</f>
        <v/>
      </c>
      <c r="E58" s="2" t="str">
        <f>IF(A58&lt;&gt;"",VLOOKUP(Alunos!A58,Agrupamentos!A3:C1000,3, FALSE),"")</f>
        <v/>
      </c>
      <c r="F58" s="2" t="str">
        <f>IFERROR(IF(A58&lt;&gt;"",VLOOKUP(Alunos!E58,'TP2'!A3:D1000,4, FALSE),""),"")</f>
        <v/>
      </c>
      <c r="G58" s="2" t="str">
        <f>IF(A58&lt;&gt;"", SUMIF(B1:F1,"&lt;&gt;",B58:F58),"")</f>
        <v/>
      </c>
      <c r="H58" s="2" t="str">
        <f>IF(AND(A58&lt;&gt;"",G58&lt;&gt;""),ROUND(G58,0),"")</f>
        <v/>
      </c>
      <c r="I58" s="2" t="str">
        <f>IFERROR(IF(A58&lt;&gt;"",VLOOKUP(Alunos!A58,Recurso!A3:D1000,4, FALSE),""), "")</f>
        <v/>
      </c>
      <c r="J58" s="2" t="str">
        <f>IF(AND(A58&lt;&gt;"",I58&lt;&gt;""), SUMIFS(B58:I58,B1:I1,"&lt;&gt;",B2:I2,"&lt;&gt;Exame",B2:I2,"&lt;&gt;exame",B2:I2,"&lt;&gt;Nota",B2:I2,"&lt;&gt;Total"),"")</f>
        <v/>
      </c>
      <c r="K58" s="2" t="str">
        <f>IF(AND(A58&lt;&gt;"",J58&lt;&gt;""),ROUND(J58,0),"")</f>
        <v/>
      </c>
    </row>
    <row r="59" spans="2:11" x14ac:dyDescent="0.3">
      <c r="B59" s="2" t="str">
        <f>IFERROR(IF(A59&lt;&gt;"",VLOOKUP(Alunos!A59,Exame!A3:D1000,4, FALSE),""), "")</f>
        <v/>
      </c>
      <c r="C59" s="2" t="str">
        <f>IF(A59&lt;&gt;"",VLOOKUP(Alunos!A59,Agrupamentos!A3:C1000,2, FALSE),"")</f>
        <v/>
      </c>
      <c r="D59" s="2" t="str">
        <f>IFERROR(IF(A59&lt;&gt;"",VLOOKUP(Alunos!C59,'TP1'!A3:E1000,5, FALSE),""),"")</f>
        <v/>
      </c>
      <c r="E59" s="2" t="str">
        <f>IF(A59&lt;&gt;"",VLOOKUP(Alunos!A59,Agrupamentos!A3:C1000,3, FALSE),"")</f>
        <v/>
      </c>
      <c r="F59" s="2" t="str">
        <f>IFERROR(IF(A59&lt;&gt;"",VLOOKUP(Alunos!E59,'TP2'!A3:D1000,4, FALSE),""),"")</f>
        <v/>
      </c>
      <c r="G59" s="2" t="str">
        <f>IF(A59&lt;&gt;"", SUMIF(B1:F1,"&lt;&gt;",B59:F59),"")</f>
        <v/>
      </c>
      <c r="H59" s="2" t="str">
        <f>IF(AND(A59&lt;&gt;"",G59&lt;&gt;""),ROUND(G59,0),"")</f>
        <v/>
      </c>
      <c r="I59" s="2" t="str">
        <f>IFERROR(IF(A59&lt;&gt;"",VLOOKUP(Alunos!A59,Recurso!A3:D1000,4, FALSE),""), "")</f>
        <v/>
      </c>
      <c r="J59" s="2" t="str">
        <f>IF(AND(A59&lt;&gt;"",I59&lt;&gt;""), SUMIFS(B59:I59,B1:I1,"&lt;&gt;",B2:I2,"&lt;&gt;Exame",B2:I2,"&lt;&gt;exame",B2:I2,"&lt;&gt;Nota",B2:I2,"&lt;&gt;Total"),"")</f>
        <v/>
      </c>
      <c r="K59" s="2" t="str">
        <f>IF(AND(A59&lt;&gt;"",J59&lt;&gt;""),ROUND(J59,0),"")</f>
        <v/>
      </c>
    </row>
    <row r="60" spans="2:11" x14ac:dyDescent="0.3">
      <c r="B60" s="2" t="str">
        <f>IFERROR(IF(A60&lt;&gt;"",VLOOKUP(Alunos!A60,Exame!A3:D1000,4, FALSE),""), "")</f>
        <v/>
      </c>
      <c r="C60" s="2" t="str">
        <f>IF(A60&lt;&gt;"",VLOOKUP(Alunos!A60,Agrupamentos!A3:C1000,2, FALSE),"")</f>
        <v/>
      </c>
      <c r="D60" s="2" t="str">
        <f>IFERROR(IF(A60&lt;&gt;"",VLOOKUP(Alunos!C60,'TP1'!A3:E1000,5, FALSE),""),"")</f>
        <v/>
      </c>
      <c r="E60" s="2" t="str">
        <f>IF(A60&lt;&gt;"",VLOOKUP(Alunos!A60,Agrupamentos!A3:C1000,3, FALSE),"")</f>
        <v/>
      </c>
      <c r="F60" s="2" t="str">
        <f>IFERROR(IF(A60&lt;&gt;"",VLOOKUP(Alunos!E60,'TP2'!A3:D1000,4, FALSE),""),"")</f>
        <v/>
      </c>
      <c r="G60" s="2" t="str">
        <f>IF(A60&lt;&gt;"", SUMIF(B1:F1,"&lt;&gt;",B60:F60),"")</f>
        <v/>
      </c>
      <c r="H60" s="2" t="str">
        <f>IF(AND(A60&lt;&gt;"",G60&lt;&gt;""),ROUND(G60,0),"")</f>
        <v/>
      </c>
      <c r="I60" s="2" t="str">
        <f>IFERROR(IF(A60&lt;&gt;"",VLOOKUP(Alunos!A60,Recurso!A3:D1000,4, FALSE),""), "")</f>
        <v/>
      </c>
      <c r="J60" s="2" t="str">
        <f>IF(AND(A60&lt;&gt;"",I60&lt;&gt;""), SUMIFS(B60:I60,B1:I1,"&lt;&gt;",B2:I2,"&lt;&gt;Exame",B2:I2,"&lt;&gt;exame",B2:I2,"&lt;&gt;Nota",B2:I2,"&lt;&gt;Total"),"")</f>
        <v/>
      </c>
      <c r="K60" s="2" t="str">
        <f>IF(AND(A60&lt;&gt;"",J60&lt;&gt;""),ROUND(J60,0),"")</f>
        <v/>
      </c>
    </row>
    <row r="61" spans="2:11" x14ac:dyDescent="0.3">
      <c r="B61" s="2" t="str">
        <f>IFERROR(IF(A61&lt;&gt;"",VLOOKUP(Alunos!A61,Exame!A3:D1000,4, FALSE),""), "")</f>
        <v/>
      </c>
      <c r="C61" s="2" t="str">
        <f>IF(A61&lt;&gt;"",VLOOKUP(Alunos!A61,Agrupamentos!A3:C1000,2, FALSE),"")</f>
        <v/>
      </c>
      <c r="D61" s="2" t="str">
        <f>IFERROR(IF(A61&lt;&gt;"",VLOOKUP(Alunos!C61,'TP1'!A3:E1000,5, FALSE),""),"")</f>
        <v/>
      </c>
      <c r="E61" s="2" t="str">
        <f>IF(A61&lt;&gt;"",VLOOKUP(Alunos!A61,Agrupamentos!A3:C1000,3, FALSE),"")</f>
        <v/>
      </c>
      <c r="F61" s="2" t="str">
        <f>IFERROR(IF(A61&lt;&gt;"",VLOOKUP(Alunos!E61,'TP2'!A3:D1000,4, FALSE),""),"")</f>
        <v/>
      </c>
      <c r="G61" s="2" t="str">
        <f>IF(A61&lt;&gt;"", SUMIF(B1:F1,"&lt;&gt;",B61:F61),"")</f>
        <v/>
      </c>
      <c r="H61" s="2" t="str">
        <f>IF(AND(A61&lt;&gt;"",G61&lt;&gt;""),ROUND(G61,0),"")</f>
        <v/>
      </c>
      <c r="I61" s="2" t="str">
        <f>IFERROR(IF(A61&lt;&gt;"",VLOOKUP(Alunos!A61,Recurso!A3:D1000,4, FALSE),""), "")</f>
        <v/>
      </c>
      <c r="J61" s="2" t="str">
        <f>IF(AND(A61&lt;&gt;"",I61&lt;&gt;""), SUMIFS(B61:I61,B1:I1,"&lt;&gt;",B2:I2,"&lt;&gt;Exame",B2:I2,"&lt;&gt;exame",B2:I2,"&lt;&gt;Nota",B2:I2,"&lt;&gt;Total"),"")</f>
        <v/>
      </c>
      <c r="K61" s="2" t="str">
        <f>IF(AND(A61&lt;&gt;"",J61&lt;&gt;""),ROUND(J61,0),"")</f>
        <v/>
      </c>
    </row>
    <row r="62" spans="2:11" x14ac:dyDescent="0.3">
      <c r="B62" s="2" t="str">
        <f>IFERROR(IF(A62&lt;&gt;"",VLOOKUP(Alunos!A62,Exame!A3:D1000,4, FALSE),""), "")</f>
        <v/>
      </c>
      <c r="C62" s="2" t="str">
        <f>IF(A62&lt;&gt;"",VLOOKUP(Alunos!A62,Agrupamentos!A3:C1000,2, FALSE),"")</f>
        <v/>
      </c>
      <c r="D62" s="2" t="str">
        <f>IFERROR(IF(A62&lt;&gt;"",VLOOKUP(Alunos!C62,'TP1'!A3:E1000,5, FALSE),""),"")</f>
        <v/>
      </c>
      <c r="E62" s="2" t="str">
        <f>IF(A62&lt;&gt;"",VLOOKUP(Alunos!A62,Agrupamentos!A3:C1000,3, FALSE),"")</f>
        <v/>
      </c>
      <c r="F62" s="2" t="str">
        <f>IFERROR(IF(A62&lt;&gt;"",VLOOKUP(Alunos!E62,'TP2'!A3:D1000,4, FALSE),""),"")</f>
        <v/>
      </c>
      <c r="G62" s="2" t="str">
        <f>IF(A62&lt;&gt;"", SUMIF(B1:F1,"&lt;&gt;",B62:F62),"")</f>
        <v/>
      </c>
      <c r="H62" s="2" t="str">
        <f>IF(AND(A62&lt;&gt;"",G62&lt;&gt;""),ROUND(G62,0),"")</f>
        <v/>
      </c>
      <c r="I62" s="2" t="str">
        <f>IFERROR(IF(A62&lt;&gt;"",VLOOKUP(Alunos!A62,Recurso!A3:D1000,4, FALSE),""), "")</f>
        <v/>
      </c>
      <c r="J62" s="2" t="str">
        <f>IF(AND(A62&lt;&gt;"",I62&lt;&gt;""), SUMIFS(B62:I62,B1:I1,"&lt;&gt;",B2:I2,"&lt;&gt;Exame",B2:I2,"&lt;&gt;exame",B2:I2,"&lt;&gt;Nota",B2:I2,"&lt;&gt;Total"),"")</f>
        <v/>
      </c>
      <c r="K62" s="2" t="str">
        <f>IF(AND(A62&lt;&gt;"",J62&lt;&gt;""),ROUND(J62,0),"")</f>
        <v/>
      </c>
    </row>
    <row r="63" spans="2:11" x14ac:dyDescent="0.3">
      <c r="B63" s="2" t="str">
        <f>IFERROR(IF(A63&lt;&gt;"",VLOOKUP(Alunos!A63,Exame!A3:D1000,4, FALSE),""), "")</f>
        <v/>
      </c>
      <c r="C63" s="2" t="str">
        <f>IF(A63&lt;&gt;"",VLOOKUP(Alunos!A63,Agrupamentos!A3:C1000,2, FALSE),"")</f>
        <v/>
      </c>
      <c r="D63" s="2" t="str">
        <f>IFERROR(IF(A63&lt;&gt;"",VLOOKUP(Alunos!C63,'TP1'!A3:E1000,5, FALSE),""),"")</f>
        <v/>
      </c>
      <c r="E63" s="2" t="str">
        <f>IF(A63&lt;&gt;"",VLOOKUP(Alunos!A63,Agrupamentos!A3:C1000,3, FALSE),"")</f>
        <v/>
      </c>
      <c r="F63" s="2" t="str">
        <f>IFERROR(IF(A63&lt;&gt;"",VLOOKUP(Alunos!E63,'TP2'!A3:D1000,4, FALSE),""),"")</f>
        <v/>
      </c>
      <c r="G63" s="2" t="str">
        <f>IF(A63&lt;&gt;"", SUMIF(B1:F1,"&lt;&gt;",B63:F63),"")</f>
        <v/>
      </c>
      <c r="H63" s="2" t="str">
        <f>IF(AND(A63&lt;&gt;"",G63&lt;&gt;""),ROUND(G63,0),"")</f>
        <v/>
      </c>
      <c r="I63" s="2" t="str">
        <f>IFERROR(IF(A63&lt;&gt;"",VLOOKUP(Alunos!A63,Recurso!A3:D1000,4, FALSE),""), "")</f>
        <v/>
      </c>
      <c r="J63" s="2" t="str">
        <f>IF(AND(A63&lt;&gt;"",I63&lt;&gt;""), SUMIFS(B63:I63,B1:I1,"&lt;&gt;",B2:I2,"&lt;&gt;Exame",B2:I2,"&lt;&gt;exame",B2:I2,"&lt;&gt;Nota",B2:I2,"&lt;&gt;Total"),"")</f>
        <v/>
      </c>
      <c r="K63" s="2" t="str">
        <f>IF(AND(A63&lt;&gt;"",J63&lt;&gt;""),ROUND(J63,0),"")</f>
        <v/>
      </c>
    </row>
    <row r="64" spans="2:11" x14ac:dyDescent="0.3">
      <c r="B64" s="2" t="str">
        <f>IFERROR(IF(A64&lt;&gt;"",VLOOKUP(Alunos!A64,Exame!A3:D1000,4, FALSE),""), "")</f>
        <v/>
      </c>
      <c r="C64" s="2" t="str">
        <f>IF(A64&lt;&gt;"",VLOOKUP(Alunos!A64,Agrupamentos!A3:C1000,2, FALSE),"")</f>
        <v/>
      </c>
      <c r="D64" s="2" t="str">
        <f>IFERROR(IF(A64&lt;&gt;"",VLOOKUP(Alunos!C64,'TP1'!A3:E1000,5, FALSE),""),"")</f>
        <v/>
      </c>
      <c r="E64" s="2" t="str">
        <f>IF(A64&lt;&gt;"",VLOOKUP(Alunos!A64,Agrupamentos!A3:C1000,3, FALSE),"")</f>
        <v/>
      </c>
      <c r="F64" s="2" t="str">
        <f>IFERROR(IF(A64&lt;&gt;"",VLOOKUP(Alunos!E64,'TP2'!A3:D1000,4, FALSE),""),"")</f>
        <v/>
      </c>
      <c r="G64" s="2" t="str">
        <f>IF(A64&lt;&gt;"", SUMIF(B1:F1,"&lt;&gt;",B64:F64),"")</f>
        <v/>
      </c>
      <c r="H64" s="2" t="str">
        <f>IF(AND(A64&lt;&gt;"",G64&lt;&gt;""),ROUND(G64,0),"")</f>
        <v/>
      </c>
      <c r="I64" s="2" t="str">
        <f>IFERROR(IF(A64&lt;&gt;"",VLOOKUP(Alunos!A64,Recurso!A3:D1000,4, FALSE),""), "")</f>
        <v/>
      </c>
      <c r="J64" s="2" t="str">
        <f>IF(AND(A64&lt;&gt;"",I64&lt;&gt;""), SUMIFS(B64:I64,B1:I1,"&lt;&gt;",B2:I2,"&lt;&gt;Exame",B2:I2,"&lt;&gt;exame",B2:I2,"&lt;&gt;Nota",B2:I2,"&lt;&gt;Total"),"")</f>
        <v/>
      </c>
      <c r="K64" s="2" t="str">
        <f>IF(AND(A64&lt;&gt;"",J64&lt;&gt;""),ROUND(J64,0),"")</f>
        <v/>
      </c>
    </row>
    <row r="65" spans="2:11" x14ac:dyDescent="0.3">
      <c r="B65" s="2" t="str">
        <f>IFERROR(IF(A65&lt;&gt;"",VLOOKUP(Alunos!A65,Exame!A3:D1000,4, FALSE),""), "")</f>
        <v/>
      </c>
      <c r="C65" s="2" t="str">
        <f>IF(A65&lt;&gt;"",VLOOKUP(Alunos!A65,Agrupamentos!A3:C1000,2, FALSE),"")</f>
        <v/>
      </c>
      <c r="D65" s="2" t="str">
        <f>IFERROR(IF(A65&lt;&gt;"",VLOOKUP(Alunos!C65,'TP1'!A3:E1000,5, FALSE),""),"")</f>
        <v/>
      </c>
      <c r="E65" s="2" t="str">
        <f>IF(A65&lt;&gt;"",VLOOKUP(Alunos!A65,Agrupamentos!A3:C1000,3, FALSE),"")</f>
        <v/>
      </c>
      <c r="F65" s="2" t="str">
        <f>IFERROR(IF(A65&lt;&gt;"",VLOOKUP(Alunos!E65,'TP2'!A3:D1000,4, FALSE),""),"")</f>
        <v/>
      </c>
      <c r="G65" s="2" t="str">
        <f>IF(A65&lt;&gt;"", SUMIF(B1:F1,"&lt;&gt;",B65:F65),"")</f>
        <v/>
      </c>
      <c r="H65" s="2" t="str">
        <f>IF(AND(A65&lt;&gt;"",G65&lt;&gt;""),ROUND(G65,0),"")</f>
        <v/>
      </c>
      <c r="I65" s="2" t="str">
        <f>IFERROR(IF(A65&lt;&gt;"",VLOOKUP(Alunos!A65,Recurso!A3:D1000,4, FALSE),""), "")</f>
        <v/>
      </c>
      <c r="J65" s="2" t="str">
        <f>IF(AND(A65&lt;&gt;"",I65&lt;&gt;""), SUMIFS(B65:I65,B1:I1,"&lt;&gt;",B2:I2,"&lt;&gt;Exame",B2:I2,"&lt;&gt;exame",B2:I2,"&lt;&gt;Nota",B2:I2,"&lt;&gt;Total"),"")</f>
        <v/>
      </c>
      <c r="K65" s="2" t="str">
        <f>IF(AND(A65&lt;&gt;"",J65&lt;&gt;""),ROUND(J65,0),"")</f>
        <v/>
      </c>
    </row>
    <row r="66" spans="2:11" x14ac:dyDescent="0.3">
      <c r="B66" s="2" t="str">
        <f>IFERROR(IF(A66&lt;&gt;"",VLOOKUP(Alunos!A66,Exame!A3:D1000,4, FALSE),""), "")</f>
        <v/>
      </c>
      <c r="C66" s="2" t="str">
        <f>IF(A66&lt;&gt;"",VLOOKUP(Alunos!A66,Agrupamentos!A3:C1000,2, FALSE),"")</f>
        <v/>
      </c>
      <c r="D66" s="2" t="str">
        <f>IFERROR(IF(A66&lt;&gt;"",VLOOKUP(Alunos!C66,'TP1'!A3:E1000,5, FALSE),""),"")</f>
        <v/>
      </c>
      <c r="E66" s="2" t="str">
        <f>IF(A66&lt;&gt;"",VLOOKUP(Alunos!A66,Agrupamentos!A3:C1000,3, FALSE),"")</f>
        <v/>
      </c>
      <c r="F66" s="2" t="str">
        <f>IFERROR(IF(A66&lt;&gt;"",VLOOKUP(Alunos!E66,'TP2'!A3:D1000,4, FALSE),""),"")</f>
        <v/>
      </c>
      <c r="G66" s="2" t="str">
        <f>IF(A66&lt;&gt;"", SUMIF(B1:F1,"&lt;&gt;",B66:F66),"")</f>
        <v/>
      </c>
      <c r="H66" s="2" t="str">
        <f>IF(AND(A66&lt;&gt;"",G66&lt;&gt;""),ROUND(G66,0),"")</f>
        <v/>
      </c>
      <c r="I66" s="2" t="str">
        <f>IFERROR(IF(A66&lt;&gt;"",VLOOKUP(Alunos!A66,Recurso!A3:D1000,4, FALSE),""), "")</f>
        <v/>
      </c>
      <c r="J66" s="2" t="str">
        <f>IF(AND(A66&lt;&gt;"",I66&lt;&gt;""), SUMIFS(B66:I66,B1:I1,"&lt;&gt;",B2:I2,"&lt;&gt;Exame",B2:I2,"&lt;&gt;exame",B2:I2,"&lt;&gt;Nota",B2:I2,"&lt;&gt;Total"),"")</f>
        <v/>
      </c>
      <c r="K66" s="2" t="str">
        <f>IF(AND(A66&lt;&gt;"",J66&lt;&gt;""),ROUND(J66,0),"")</f>
        <v/>
      </c>
    </row>
    <row r="67" spans="2:11" x14ac:dyDescent="0.3">
      <c r="B67" s="2" t="str">
        <f>IFERROR(IF(A67&lt;&gt;"",VLOOKUP(Alunos!A67,Exame!A3:D1000,4, FALSE),""), "")</f>
        <v/>
      </c>
      <c r="C67" s="2" t="str">
        <f>IF(A67&lt;&gt;"",VLOOKUP(Alunos!A67,Agrupamentos!A3:C1000,2, FALSE),"")</f>
        <v/>
      </c>
      <c r="D67" s="2" t="str">
        <f>IFERROR(IF(A67&lt;&gt;"",VLOOKUP(Alunos!C67,'TP1'!A3:E1000,5, FALSE),""),"")</f>
        <v/>
      </c>
      <c r="E67" s="2" t="str">
        <f>IF(A67&lt;&gt;"",VLOOKUP(Alunos!A67,Agrupamentos!A3:C1000,3, FALSE),"")</f>
        <v/>
      </c>
      <c r="F67" s="2" t="str">
        <f>IFERROR(IF(A67&lt;&gt;"",VLOOKUP(Alunos!E67,'TP2'!A3:D1000,4, FALSE),""),"")</f>
        <v/>
      </c>
      <c r="G67" s="2" t="str">
        <f>IF(A67&lt;&gt;"", SUMIF(B1:F1,"&lt;&gt;",B67:F67),"")</f>
        <v/>
      </c>
      <c r="H67" s="2" t="str">
        <f>IF(AND(A67&lt;&gt;"",G67&lt;&gt;""),ROUND(G67,0),"")</f>
        <v/>
      </c>
      <c r="I67" s="2" t="str">
        <f>IFERROR(IF(A67&lt;&gt;"",VLOOKUP(Alunos!A67,Recurso!A3:D1000,4, FALSE),""), "")</f>
        <v/>
      </c>
      <c r="J67" s="2" t="str">
        <f>IF(AND(A67&lt;&gt;"",I67&lt;&gt;""), SUMIFS(B67:I67,B1:I1,"&lt;&gt;",B2:I2,"&lt;&gt;Exame",B2:I2,"&lt;&gt;exame",B2:I2,"&lt;&gt;Nota",B2:I2,"&lt;&gt;Total"),"")</f>
        <v/>
      </c>
      <c r="K67" s="2" t="str">
        <f>IF(AND(A67&lt;&gt;"",J67&lt;&gt;""),ROUND(J67,0),"")</f>
        <v/>
      </c>
    </row>
    <row r="68" spans="2:11" x14ac:dyDescent="0.3">
      <c r="B68" s="2" t="str">
        <f>IFERROR(IF(A68&lt;&gt;"",VLOOKUP(Alunos!A68,Exame!A3:D1000,4, FALSE),""), "")</f>
        <v/>
      </c>
      <c r="C68" s="2" t="str">
        <f>IF(A68&lt;&gt;"",VLOOKUP(Alunos!A68,Agrupamentos!A3:C1000,2, FALSE),"")</f>
        <v/>
      </c>
      <c r="D68" s="2" t="str">
        <f>IFERROR(IF(A68&lt;&gt;"",VLOOKUP(Alunos!C68,'TP1'!A3:E1000,5, FALSE),""),"")</f>
        <v/>
      </c>
      <c r="E68" s="2" t="str">
        <f>IF(A68&lt;&gt;"",VLOOKUP(Alunos!A68,Agrupamentos!A3:C1000,3, FALSE),"")</f>
        <v/>
      </c>
      <c r="F68" s="2" t="str">
        <f>IFERROR(IF(A68&lt;&gt;"",VLOOKUP(Alunos!E68,'TP2'!A3:D1000,4, FALSE),""),"")</f>
        <v/>
      </c>
      <c r="G68" s="2" t="str">
        <f>IF(A68&lt;&gt;"", SUMIF(B1:F1,"&lt;&gt;",B68:F68),"")</f>
        <v/>
      </c>
      <c r="H68" s="2" t="str">
        <f>IF(AND(A68&lt;&gt;"",G68&lt;&gt;""),ROUND(G68,0),"")</f>
        <v/>
      </c>
      <c r="I68" s="2" t="str">
        <f>IFERROR(IF(A68&lt;&gt;"",VLOOKUP(Alunos!A68,Recurso!A3:D1000,4, FALSE),""), "")</f>
        <v/>
      </c>
      <c r="J68" s="2" t="str">
        <f>IF(AND(A68&lt;&gt;"",I68&lt;&gt;""), SUMIFS(B68:I68,B1:I1,"&lt;&gt;",B2:I2,"&lt;&gt;Exame",B2:I2,"&lt;&gt;exame",B2:I2,"&lt;&gt;Nota",B2:I2,"&lt;&gt;Total"),"")</f>
        <v/>
      </c>
      <c r="K68" s="2" t="str">
        <f>IF(AND(A68&lt;&gt;"",J68&lt;&gt;""),ROUND(J68,0),"")</f>
        <v/>
      </c>
    </row>
    <row r="69" spans="2:11" x14ac:dyDescent="0.3">
      <c r="B69" s="2" t="str">
        <f>IFERROR(IF(A69&lt;&gt;"",VLOOKUP(Alunos!A69,Exame!A3:D1000,4, FALSE),""), "")</f>
        <v/>
      </c>
      <c r="C69" s="2" t="str">
        <f>IF(A69&lt;&gt;"",VLOOKUP(Alunos!A69,Agrupamentos!A3:C1000,2, FALSE),"")</f>
        <v/>
      </c>
      <c r="D69" s="2" t="str">
        <f>IFERROR(IF(A69&lt;&gt;"",VLOOKUP(Alunos!C69,'TP1'!A3:E1000,5, FALSE),""),"")</f>
        <v/>
      </c>
      <c r="E69" s="2" t="str">
        <f>IF(A69&lt;&gt;"",VLOOKUP(Alunos!A69,Agrupamentos!A3:C1000,3, FALSE),"")</f>
        <v/>
      </c>
      <c r="F69" s="2" t="str">
        <f>IFERROR(IF(A69&lt;&gt;"",VLOOKUP(Alunos!E69,'TP2'!A3:D1000,4, FALSE),""),"")</f>
        <v/>
      </c>
      <c r="G69" s="2" t="str">
        <f>IF(A69&lt;&gt;"", SUMIF(B1:F1,"&lt;&gt;",B69:F69),"")</f>
        <v/>
      </c>
      <c r="H69" s="2" t="str">
        <f>IF(AND(A69&lt;&gt;"",G69&lt;&gt;""),ROUND(G69,0),"")</f>
        <v/>
      </c>
      <c r="I69" s="2" t="str">
        <f>IFERROR(IF(A69&lt;&gt;"",VLOOKUP(Alunos!A69,Recurso!A3:D1000,4, FALSE),""), "")</f>
        <v/>
      </c>
      <c r="J69" s="2" t="str">
        <f>IF(AND(A69&lt;&gt;"",I69&lt;&gt;""), SUMIFS(B69:I69,B1:I1,"&lt;&gt;",B2:I2,"&lt;&gt;Exame",B2:I2,"&lt;&gt;exame",B2:I2,"&lt;&gt;Nota",B2:I2,"&lt;&gt;Total"),"")</f>
        <v/>
      </c>
      <c r="K69" s="2" t="str">
        <f>IF(AND(A69&lt;&gt;"",J69&lt;&gt;""),ROUND(J69,0),"")</f>
        <v/>
      </c>
    </row>
    <row r="70" spans="2:11" x14ac:dyDescent="0.3">
      <c r="B70" s="2" t="str">
        <f>IFERROR(IF(A70&lt;&gt;"",VLOOKUP(Alunos!A70,Exame!A3:D1000,4, FALSE),""), "")</f>
        <v/>
      </c>
      <c r="C70" s="2" t="str">
        <f>IF(A70&lt;&gt;"",VLOOKUP(Alunos!A70,Agrupamentos!A3:C1000,2, FALSE),"")</f>
        <v/>
      </c>
      <c r="D70" s="2" t="str">
        <f>IFERROR(IF(A70&lt;&gt;"",VLOOKUP(Alunos!C70,'TP1'!A3:E1000,5, FALSE),""),"")</f>
        <v/>
      </c>
      <c r="E70" s="2" t="str">
        <f>IF(A70&lt;&gt;"",VLOOKUP(Alunos!A70,Agrupamentos!A3:C1000,3, FALSE),"")</f>
        <v/>
      </c>
      <c r="F70" s="2" t="str">
        <f>IFERROR(IF(A70&lt;&gt;"",VLOOKUP(Alunos!E70,'TP2'!A3:D1000,4, FALSE),""),"")</f>
        <v/>
      </c>
      <c r="G70" s="2" t="str">
        <f>IF(A70&lt;&gt;"", SUMIF(B1:F1,"&lt;&gt;",B70:F70),"")</f>
        <v/>
      </c>
      <c r="H70" s="2" t="str">
        <f>IF(AND(A70&lt;&gt;"",G70&lt;&gt;""),ROUND(G70,0),"")</f>
        <v/>
      </c>
      <c r="I70" s="2" t="str">
        <f>IFERROR(IF(A70&lt;&gt;"",VLOOKUP(Alunos!A70,Recurso!A3:D1000,4, FALSE),""), "")</f>
        <v/>
      </c>
      <c r="J70" s="2" t="str">
        <f>IF(AND(A70&lt;&gt;"",I70&lt;&gt;""), SUMIFS(B70:I70,B1:I1,"&lt;&gt;",B2:I2,"&lt;&gt;Exame",B2:I2,"&lt;&gt;exame",B2:I2,"&lt;&gt;Nota",B2:I2,"&lt;&gt;Total"),"")</f>
        <v/>
      </c>
      <c r="K70" s="2" t="str">
        <f>IF(AND(A70&lt;&gt;"",J70&lt;&gt;""),ROUND(J70,0),"")</f>
        <v/>
      </c>
    </row>
    <row r="71" spans="2:11" x14ac:dyDescent="0.3">
      <c r="B71" s="2" t="str">
        <f>IFERROR(IF(A71&lt;&gt;"",VLOOKUP(Alunos!A71,Exame!A3:D1000,4, FALSE),""), "")</f>
        <v/>
      </c>
      <c r="C71" s="2" t="str">
        <f>IF(A71&lt;&gt;"",VLOOKUP(Alunos!A71,Agrupamentos!A3:C1000,2, FALSE),"")</f>
        <v/>
      </c>
      <c r="D71" s="2" t="str">
        <f>IFERROR(IF(A71&lt;&gt;"",VLOOKUP(Alunos!C71,'TP1'!A3:E1000,5, FALSE),""),"")</f>
        <v/>
      </c>
      <c r="E71" s="2" t="str">
        <f>IF(A71&lt;&gt;"",VLOOKUP(Alunos!A71,Agrupamentos!A3:C1000,3, FALSE),"")</f>
        <v/>
      </c>
      <c r="F71" s="2" t="str">
        <f>IFERROR(IF(A71&lt;&gt;"",VLOOKUP(Alunos!E71,'TP2'!A3:D1000,4, FALSE),""),"")</f>
        <v/>
      </c>
      <c r="G71" s="2" t="str">
        <f>IF(A71&lt;&gt;"", SUMIF(B1:F1,"&lt;&gt;",B71:F71),"")</f>
        <v/>
      </c>
      <c r="H71" s="2" t="str">
        <f>IF(AND(A71&lt;&gt;"",G71&lt;&gt;""),ROUND(G71,0),"")</f>
        <v/>
      </c>
      <c r="I71" s="2" t="str">
        <f>IFERROR(IF(A71&lt;&gt;"",VLOOKUP(Alunos!A71,Recurso!A3:D1000,4, FALSE),""), "")</f>
        <v/>
      </c>
      <c r="J71" s="2" t="str">
        <f>IF(AND(A71&lt;&gt;"",I71&lt;&gt;""), SUMIFS(B71:I71,B1:I1,"&lt;&gt;",B2:I2,"&lt;&gt;Exame",B2:I2,"&lt;&gt;exame",B2:I2,"&lt;&gt;Nota",B2:I2,"&lt;&gt;Total"),"")</f>
        <v/>
      </c>
      <c r="K71" s="2" t="str">
        <f>IF(AND(A71&lt;&gt;"",J71&lt;&gt;""),ROUND(J71,0),"")</f>
        <v/>
      </c>
    </row>
    <row r="72" spans="2:11" x14ac:dyDescent="0.3">
      <c r="B72" s="2" t="str">
        <f>IFERROR(IF(A72&lt;&gt;"",VLOOKUP(Alunos!A72,Exame!A3:D1000,4, FALSE),""), "")</f>
        <v/>
      </c>
      <c r="C72" s="2" t="str">
        <f>IF(A72&lt;&gt;"",VLOOKUP(Alunos!A72,Agrupamentos!A3:C1000,2, FALSE),"")</f>
        <v/>
      </c>
      <c r="D72" s="2" t="str">
        <f>IFERROR(IF(A72&lt;&gt;"",VLOOKUP(Alunos!C72,'TP1'!A3:E1000,5, FALSE),""),"")</f>
        <v/>
      </c>
      <c r="E72" s="2" t="str">
        <f>IF(A72&lt;&gt;"",VLOOKUP(Alunos!A72,Agrupamentos!A3:C1000,3, FALSE),"")</f>
        <v/>
      </c>
      <c r="F72" s="2" t="str">
        <f>IFERROR(IF(A72&lt;&gt;"",VLOOKUP(Alunos!E72,'TP2'!A3:D1000,4, FALSE),""),"")</f>
        <v/>
      </c>
      <c r="G72" s="2" t="str">
        <f>IF(A72&lt;&gt;"", SUMIF(B1:F1,"&lt;&gt;",B72:F72),"")</f>
        <v/>
      </c>
      <c r="H72" s="2" t="str">
        <f>IF(AND(A72&lt;&gt;"",G72&lt;&gt;""),ROUND(G72,0),"")</f>
        <v/>
      </c>
      <c r="I72" s="2" t="str">
        <f>IFERROR(IF(A72&lt;&gt;"",VLOOKUP(Alunos!A72,Recurso!A3:D1000,4, FALSE),""), "")</f>
        <v/>
      </c>
      <c r="J72" s="2" t="str">
        <f>IF(AND(A72&lt;&gt;"",I72&lt;&gt;""), SUMIFS(B72:I72,B1:I1,"&lt;&gt;",B2:I2,"&lt;&gt;Exame",B2:I2,"&lt;&gt;exame",B2:I2,"&lt;&gt;Nota",B2:I2,"&lt;&gt;Total"),"")</f>
        <v/>
      </c>
      <c r="K72" s="2" t="str">
        <f>IF(AND(A72&lt;&gt;"",J72&lt;&gt;""),ROUND(J72,0),"")</f>
        <v/>
      </c>
    </row>
    <row r="73" spans="2:11" x14ac:dyDescent="0.3">
      <c r="B73" s="2" t="str">
        <f>IFERROR(IF(A73&lt;&gt;"",VLOOKUP(Alunos!A73,Exame!A3:D1000,4, FALSE),""), "")</f>
        <v/>
      </c>
      <c r="C73" s="2" t="str">
        <f>IF(A73&lt;&gt;"",VLOOKUP(Alunos!A73,Agrupamentos!A3:C1000,2, FALSE),"")</f>
        <v/>
      </c>
      <c r="D73" s="2" t="str">
        <f>IFERROR(IF(A73&lt;&gt;"",VLOOKUP(Alunos!C73,'TP1'!A3:E1000,5, FALSE),""),"")</f>
        <v/>
      </c>
      <c r="E73" s="2" t="str">
        <f>IF(A73&lt;&gt;"",VLOOKUP(Alunos!A73,Agrupamentos!A3:C1000,3, FALSE),"")</f>
        <v/>
      </c>
      <c r="F73" s="2" t="str">
        <f>IFERROR(IF(A73&lt;&gt;"",VLOOKUP(Alunos!E73,'TP2'!A3:D1000,4, FALSE),""),"")</f>
        <v/>
      </c>
      <c r="G73" s="2" t="str">
        <f>IF(A73&lt;&gt;"", SUMIF(B1:F1,"&lt;&gt;",B73:F73),"")</f>
        <v/>
      </c>
      <c r="H73" s="2" t="str">
        <f>IF(AND(A73&lt;&gt;"",G73&lt;&gt;""),ROUND(G73,0),"")</f>
        <v/>
      </c>
      <c r="I73" s="2" t="str">
        <f>IFERROR(IF(A73&lt;&gt;"",VLOOKUP(Alunos!A73,Recurso!A3:D1000,4, FALSE),""), "")</f>
        <v/>
      </c>
      <c r="J73" s="2" t="str">
        <f>IF(AND(A73&lt;&gt;"",I73&lt;&gt;""), SUMIFS(B73:I73,B1:I1,"&lt;&gt;",B2:I2,"&lt;&gt;Exame",B2:I2,"&lt;&gt;exame",B2:I2,"&lt;&gt;Nota",B2:I2,"&lt;&gt;Total"),"")</f>
        <v/>
      </c>
      <c r="K73" s="2" t="str">
        <f>IF(AND(A73&lt;&gt;"",J73&lt;&gt;""),ROUND(J73,0),"")</f>
        <v/>
      </c>
    </row>
    <row r="74" spans="2:11" x14ac:dyDescent="0.3">
      <c r="B74" s="2" t="str">
        <f>IFERROR(IF(A74&lt;&gt;"",VLOOKUP(Alunos!A74,Exame!A3:D1000,4, FALSE),""), "")</f>
        <v/>
      </c>
      <c r="C74" s="2" t="str">
        <f>IF(A74&lt;&gt;"",VLOOKUP(Alunos!A74,Agrupamentos!A3:C1000,2, FALSE),"")</f>
        <v/>
      </c>
      <c r="D74" s="2" t="str">
        <f>IFERROR(IF(A74&lt;&gt;"",VLOOKUP(Alunos!C74,'TP1'!A3:E1000,5, FALSE),""),"")</f>
        <v/>
      </c>
      <c r="E74" s="2" t="str">
        <f>IF(A74&lt;&gt;"",VLOOKUP(Alunos!A74,Agrupamentos!A3:C1000,3, FALSE),"")</f>
        <v/>
      </c>
      <c r="F74" s="2" t="str">
        <f>IFERROR(IF(A74&lt;&gt;"",VLOOKUP(Alunos!E74,'TP2'!A3:D1000,4, FALSE),""),"")</f>
        <v/>
      </c>
      <c r="G74" s="2" t="str">
        <f>IF(A74&lt;&gt;"", SUMIF(B1:F1,"&lt;&gt;",B74:F74),"")</f>
        <v/>
      </c>
      <c r="H74" s="2" t="str">
        <f>IF(AND(A74&lt;&gt;"",G74&lt;&gt;""),ROUND(G74,0),"")</f>
        <v/>
      </c>
      <c r="I74" s="2" t="str">
        <f>IFERROR(IF(A74&lt;&gt;"",VLOOKUP(Alunos!A74,Recurso!A3:D1000,4, FALSE),""), "")</f>
        <v/>
      </c>
      <c r="J74" s="2" t="str">
        <f>IF(AND(A74&lt;&gt;"",I74&lt;&gt;""), SUMIFS(B74:I74,B1:I1,"&lt;&gt;",B2:I2,"&lt;&gt;Exame",B2:I2,"&lt;&gt;exame",B2:I2,"&lt;&gt;Nota",B2:I2,"&lt;&gt;Total"),"")</f>
        <v/>
      </c>
      <c r="K74" s="2" t="str">
        <f>IF(AND(A74&lt;&gt;"",J74&lt;&gt;""),ROUND(J74,0),"")</f>
        <v/>
      </c>
    </row>
    <row r="75" spans="2:11" x14ac:dyDescent="0.3">
      <c r="B75" s="2" t="str">
        <f>IFERROR(IF(A75&lt;&gt;"",VLOOKUP(Alunos!A75,Exame!A3:D1000,4, FALSE),""), "")</f>
        <v/>
      </c>
      <c r="C75" s="2" t="str">
        <f>IF(A75&lt;&gt;"",VLOOKUP(Alunos!A75,Agrupamentos!A3:C1000,2, FALSE),"")</f>
        <v/>
      </c>
      <c r="D75" s="2" t="str">
        <f>IFERROR(IF(A75&lt;&gt;"",VLOOKUP(Alunos!C75,'TP1'!A3:E1000,5, FALSE),""),"")</f>
        <v/>
      </c>
      <c r="E75" s="2" t="str">
        <f>IF(A75&lt;&gt;"",VLOOKUP(Alunos!A75,Agrupamentos!A3:C1000,3, FALSE),"")</f>
        <v/>
      </c>
      <c r="F75" s="2" t="str">
        <f>IFERROR(IF(A75&lt;&gt;"",VLOOKUP(Alunos!E75,'TP2'!A3:D1000,4, FALSE),""),"")</f>
        <v/>
      </c>
      <c r="G75" s="2" t="str">
        <f>IF(A75&lt;&gt;"", SUMIF(B1:F1,"&lt;&gt;",B75:F75),"")</f>
        <v/>
      </c>
      <c r="H75" s="2" t="str">
        <f>IF(AND(A75&lt;&gt;"",G75&lt;&gt;""),ROUND(G75,0),"")</f>
        <v/>
      </c>
      <c r="I75" s="2" t="str">
        <f>IFERROR(IF(A75&lt;&gt;"",VLOOKUP(Alunos!A75,Recurso!A3:D1000,4, FALSE),""), "")</f>
        <v/>
      </c>
      <c r="J75" s="2" t="str">
        <f>IF(AND(A75&lt;&gt;"",I75&lt;&gt;""), SUMIFS(B75:I75,B1:I1,"&lt;&gt;",B2:I2,"&lt;&gt;Exame",B2:I2,"&lt;&gt;exame",B2:I2,"&lt;&gt;Nota",B2:I2,"&lt;&gt;Total"),"")</f>
        <v/>
      </c>
      <c r="K75" s="2" t="str">
        <f>IF(AND(A75&lt;&gt;"",J75&lt;&gt;""),ROUND(J75,0),"")</f>
        <v/>
      </c>
    </row>
    <row r="76" spans="2:11" x14ac:dyDescent="0.3">
      <c r="B76" s="2" t="str">
        <f>IFERROR(IF(A76&lt;&gt;"",VLOOKUP(Alunos!A76,Exame!A3:D1000,4, FALSE),""), "")</f>
        <v/>
      </c>
      <c r="C76" s="2" t="str">
        <f>IF(A76&lt;&gt;"",VLOOKUP(Alunos!A76,Agrupamentos!A3:C1000,2, FALSE),"")</f>
        <v/>
      </c>
      <c r="D76" s="2" t="str">
        <f>IFERROR(IF(A76&lt;&gt;"",VLOOKUP(Alunos!C76,'TP1'!A3:E1000,5, FALSE),""),"")</f>
        <v/>
      </c>
      <c r="E76" s="2" t="str">
        <f>IF(A76&lt;&gt;"",VLOOKUP(Alunos!A76,Agrupamentos!A3:C1000,3, FALSE),"")</f>
        <v/>
      </c>
      <c r="F76" s="2" t="str">
        <f>IFERROR(IF(A76&lt;&gt;"",VLOOKUP(Alunos!E76,'TP2'!A3:D1000,4, FALSE),""),"")</f>
        <v/>
      </c>
      <c r="G76" s="2" t="str">
        <f>IF(A76&lt;&gt;"", SUMIF(B1:F1,"&lt;&gt;",B76:F76),"")</f>
        <v/>
      </c>
      <c r="H76" s="2" t="str">
        <f>IF(AND(A76&lt;&gt;"",G76&lt;&gt;""),ROUND(G76,0),"")</f>
        <v/>
      </c>
      <c r="I76" s="2" t="str">
        <f>IFERROR(IF(A76&lt;&gt;"",VLOOKUP(Alunos!A76,Recurso!A3:D1000,4, FALSE),""), "")</f>
        <v/>
      </c>
      <c r="J76" s="2" t="str">
        <f>IF(AND(A76&lt;&gt;"",I76&lt;&gt;""), SUMIFS(B76:I76,B1:I1,"&lt;&gt;",B2:I2,"&lt;&gt;Exame",B2:I2,"&lt;&gt;exame",B2:I2,"&lt;&gt;Nota",B2:I2,"&lt;&gt;Total"),"")</f>
        <v/>
      </c>
      <c r="K76" s="2" t="str">
        <f>IF(AND(A76&lt;&gt;"",J76&lt;&gt;""),ROUND(J76,0),"")</f>
        <v/>
      </c>
    </row>
    <row r="77" spans="2:11" x14ac:dyDescent="0.3">
      <c r="B77" s="2" t="str">
        <f>IFERROR(IF(A77&lt;&gt;"",VLOOKUP(Alunos!A77,Exame!A3:D1000,4, FALSE),""), "")</f>
        <v/>
      </c>
      <c r="C77" s="2" t="str">
        <f>IF(A77&lt;&gt;"",VLOOKUP(Alunos!A77,Agrupamentos!A3:C1000,2, FALSE),"")</f>
        <v/>
      </c>
      <c r="D77" s="2" t="str">
        <f>IFERROR(IF(A77&lt;&gt;"",VLOOKUP(Alunos!C77,'TP1'!A3:E1000,5, FALSE),""),"")</f>
        <v/>
      </c>
      <c r="E77" s="2" t="str">
        <f>IF(A77&lt;&gt;"",VLOOKUP(Alunos!A77,Agrupamentos!A3:C1000,3, FALSE),"")</f>
        <v/>
      </c>
      <c r="F77" s="2" t="str">
        <f>IFERROR(IF(A77&lt;&gt;"",VLOOKUP(Alunos!E77,'TP2'!A3:D1000,4, FALSE),""),"")</f>
        <v/>
      </c>
      <c r="G77" s="2" t="str">
        <f>IF(A77&lt;&gt;"", SUMIF(B1:F1,"&lt;&gt;",B77:F77),"")</f>
        <v/>
      </c>
      <c r="H77" s="2" t="str">
        <f>IF(AND(A77&lt;&gt;"",G77&lt;&gt;""),ROUND(G77,0),"")</f>
        <v/>
      </c>
      <c r="I77" s="2" t="str">
        <f>IFERROR(IF(A77&lt;&gt;"",VLOOKUP(Alunos!A77,Recurso!A3:D1000,4, FALSE),""), "")</f>
        <v/>
      </c>
      <c r="J77" s="2" t="str">
        <f>IF(AND(A77&lt;&gt;"",I77&lt;&gt;""), SUMIFS(B77:I77,B1:I1,"&lt;&gt;",B2:I2,"&lt;&gt;Exame",B2:I2,"&lt;&gt;exame",B2:I2,"&lt;&gt;Nota",B2:I2,"&lt;&gt;Total"),"")</f>
        <v/>
      </c>
      <c r="K77" s="2" t="str">
        <f>IF(AND(A77&lt;&gt;"",J77&lt;&gt;""),ROUND(J77,0),"")</f>
        <v/>
      </c>
    </row>
    <row r="78" spans="2:11" x14ac:dyDescent="0.3">
      <c r="B78" s="2" t="str">
        <f>IFERROR(IF(A78&lt;&gt;"",VLOOKUP(Alunos!A78,Exame!A3:D1000,4, FALSE),""), "")</f>
        <v/>
      </c>
      <c r="C78" s="2" t="str">
        <f>IF(A78&lt;&gt;"",VLOOKUP(Alunos!A78,Agrupamentos!A3:C1000,2, FALSE),"")</f>
        <v/>
      </c>
      <c r="D78" s="2" t="str">
        <f>IFERROR(IF(A78&lt;&gt;"",VLOOKUP(Alunos!C78,'TP1'!A3:E1000,5, FALSE),""),"")</f>
        <v/>
      </c>
      <c r="E78" s="2" t="str">
        <f>IF(A78&lt;&gt;"",VLOOKUP(Alunos!A78,Agrupamentos!A3:C1000,3, FALSE),"")</f>
        <v/>
      </c>
      <c r="F78" s="2" t="str">
        <f>IFERROR(IF(A78&lt;&gt;"",VLOOKUP(Alunos!E78,'TP2'!A3:D1000,4, FALSE),""),"")</f>
        <v/>
      </c>
      <c r="G78" s="2" t="str">
        <f>IF(A78&lt;&gt;"", SUMIF(B1:F1,"&lt;&gt;",B78:F78),"")</f>
        <v/>
      </c>
      <c r="H78" s="2" t="str">
        <f>IF(AND(A78&lt;&gt;"",G78&lt;&gt;""),ROUND(G78,0),"")</f>
        <v/>
      </c>
      <c r="I78" s="2" t="str">
        <f>IFERROR(IF(A78&lt;&gt;"",VLOOKUP(Alunos!A78,Recurso!A3:D1000,4, FALSE),""), "")</f>
        <v/>
      </c>
      <c r="J78" s="2" t="str">
        <f>IF(AND(A78&lt;&gt;"",I78&lt;&gt;""), SUMIFS(B78:I78,B1:I1,"&lt;&gt;",B2:I2,"&lt;&gt;Exame",B2:I2,"&lt;&gt;exame",B2:I2,"&lt;&gt;Nota",B2:I2,"&lt;&gt;Total"),"")</f>
        <v/>
      </c>
      <c r="K78" s="2" t="str">
        <f>IF(AND(A78&lt;&gt;"",J78&lt;&gt;""),ROUND(J78,0),"")</f>
        <v/>
      </c>
    </row>
    <row r="79" spans="2:11" x14ac:dyDescent="0.3">
      <c r="B79" s="2" t="str">
        <f>IFERROR(IF(A79&lt;&gt;"",VLOOKUP(Alunos!A79,Exame!A3:D1000,4, FALSE),""), "")</f>
        <v/>
      </c>
      <c r="C79" s="2" t="str">
        <f>IF(A79&lt;&gt;"",VLOOKUP(Alunos!A79,Agrupamentos!A3:C1000,2, FALSE),"")</f>
        <v/>
      </c>
      <c r="D79" s="2" t="str">
        <f>IFERROR(IF(A79&lt;&gt;"",VLOOKUP(Alunos!C79,'TP1'!A3:E1000,5, FALSE),""),"")</f>
        <v/>
      </c>
      <c r="E79" s="2" t="str">
        <f>IF(A79&lt;&gt;"",VLOOKUP(Alunos!A79,Agrupamentos!A3:C1000,3, FALSE),"")</f>
        <v/>
      </c>
      <c r="F79" s="2" t="str">
        <f>IFERROR(IF(A79&lt;&gt;"",VLOOKUP(Alunos!E79,'TP2'!A3:D1000,4, FALSE),""),"")</f>
        <v/>
      </c>
      <c r="G79" s="2" t="str">
        <f>IF(A79&lt;&gt;"", SUMIF(B1:F1,"&lt;&gt;",B79:F79),"")</f>
        <v/>
      </c>
      <c r="H79" s="2" t="str">
        <f>IF(AND(A79&lt;&gt;"",G79&lt;&gt;""),ROUND(G79,0),"")</f>
        <v/>
      </c>
      <c r="I79" s="2" t="str">
        <f>IFERROR(IF(A79&lt;&gt;"",VLOOKUP(Alunos!A79,Recurso!A3:D1000,4, FALSE),""), "")</f>
        <v/>
      </c>
      <c r="J79" s="2" t="str">
        <f>IF(AND(A79&lt;&gt;"",I79&lt;&gt;""), SUMIFS(B79:I79,B1:I1,"&lt;&gt;",B2:I2,"&lt;&gt;Exame",B2:I2,"&lt;&gt;exame",B2:I2,"&lt;&gt;Nota",B2:I2,"&lt;&gt;Total"),"")</f>
        <v/>
      </c>
      <c r="K79" s="2" t="str">
        <f>IF(AND(A79&lt;&gt;"",J79&lt;&gt;""),ROUND(J79,0),"")</f>
        <v/>
      </c>
    </row>
    <row r="80" spans="2:11" x14ac:dyDescent="0.3">
      <c r="B80" s="2" t="str">
        <f>IFERROR(IF(A80&lt;&gt;"",VLOOKUP(Alunos!A80,Exame!A3:D1000,4, FALSE),""), "")</f>
        <v/>
      </c>
      <c r="C80" s="2" t="str">
        <f>IF(A80&lt;&gt;"",VLOOKUP(Alunos!A80,Agrupamentos!A3:C1000,2, FALSE),"")</f>
        <v/>
      </c>
      <c r="D80" s="2" t="str">
        <f>IFERROR(IF(A80&lt;&gt;"",VLOOKUP(Alunos!C80,'TP1'!A3:E1000,5, FALSE),""),"")</f>
        <v/>
      </c>
      <c r="E80" s="2" t="str">
        <f>IF(A80&lt;&gt;"",VLOOKUP(Alunos!A80,Agrupamentos!A3:C1000,3, FALSE),"")</f>
        <v/>
      </c>
      <c r="F80" s="2" t="str">
        <f>IFERROR(IF(A80&lt;&gt;"",VLOOKUP(Alunos!E80,'TP2'!A3:D1000,4, FALSE),""),"")</f>
        <v/>
      </c>
      <c r="G80" s="2" t="str">
        <f>IF(A80&lt;&gt;"", SUMIF(B1:F1,"&lt;&gt;",B80:F80),"")</f>
        <v/>
      </c>
      <c r="H80" s="2" t="str">
        <f>IF(AND(A80&lt;&gt;"",G80&lt;&gt;""),ROUND(G80,0),"")</f>
        <v/>
      </c>
      <c r="I80" s="2" t="str">
        <f>IFERROR(IF(A80&lt;&gt;"",VLOOKUP(Alunos!A80,Recurso!A3:D1000,4, FALSE),""), "")</f>
        <v/>
      </c>
      <c r="J80" s="2" t="str">
        <f>IF(AND(A80&lt;&gt;"",I80&lt;&gt;""), SUMIFS(B80:I80,B1:I1,"&lt;&gt;",B2:I2,"&lt;&gt;Exame",B2:I2,"&lt;&gt;exame",B2:I2,"&lt;&gt;Nota",B2:I2,"&lt;&gt;Total"),"")</f>
        <v/>
      </c>
      <c r="K80" s="2" t="str">
        <f>IF(AND(A80&lt;&gt;"",J80&lt;&gt;""),ROUND(J80,0),"")</f>
        <v/>
      </c>
    </row>
    <row r="81" spans="2:11" x14ac:dyDescent="0.3">
      <c r="B81" s="2" t="str">
        <f>IFERROR(IF(A81&lt;&gt;"",VLOOKUP(Alunos!A81,Exame!A3:D1000,4, FALSE),""), "")</f>
        <v/>
      </c>
      <c r="C81" s="2" t="str">
        <f>IF(A81&lt;&gt;"",VLOOKUP(Alunos!A81,Agrupamentos!A3:C1000,2, FALSE),"")</f>
        <v/>
      </c>
      <c r="D81" s="2" t="str">
        <f>IFERROR(IF(A81&lt;&gt;"",VLOOKUP(Alunos!C81,'TP1'!A3:E1000,5, FALSE),""),"")</f>
        <v/>
      </c>
      <c r="E81" s="2" t="str">
        <f>IF(A81&lt;&gt;"",VLOOKUP(Alunos!A81,Agrupamentos!A3:C1000,3, FALSE),"")</f>
        <v/>
      </c>
      <c r="F81" s="2" t="str">
        <f>IFERROR(IF(A81&lt;&gt;"",VLOOKUP(Alunos!E81,'TP2'!A3:D1000,4, FALSE),""),"")</f>
        <v/>
      </c>
      <c r="G81" s="2" t="str">
        <f>IF(A81&lt;&gt;"", SUMIF(B1:F1,"&lt;&gt;",B81:F81),"")</f>
        <v/>
      </c>
      <c r="H81" s="2" t="str">
        <f>IF(AND(A81&lt;&gt;"",G81&lt;&gt;""),ROUND(G81,0),"")</f>
        <v/>
      </c>
      <c r="I81" s="2" t="str">
        <f>IFERROR(IF(A81&lt;&gt;"",VLOOKUP(Alunos!A81,Recurso!A3:D1000,4, FALSE),""), "")</f>
        <v/>
      </c>
      <c r="J81" s="2" t="str">
        <f>IF(AND(A81&lt;&gt;"",I81&lt;&gt;""), SUMIFS(B81:I81,B1:I1,"&lt;&gt;",B2:I2,"&lt;&gt;Exame",B2:I2,"&lt;&gt;exame",B2:I2,"&lt;&gt;Nota",B2:I2,"&lt;&gt;Total"),"")</f>
        <v/>
      </c>
      <c r="K81" s="2" t="str">
        <f>IF(AND(A81&lt;&gt;"",J81&lt;&gt;""),ROUND(J81,0),"")</f>
        <v/>
      </c>
    </row>
    <row r="82" spans="2:11" x14ac:dyDescent="0.3">
      <c r="B82" s="2" t="str">
        <f>IFERROR(IF(A82&lt;&gt;"",VLOOKUP(Alunos!A82,Exame!A3:D1000,4, FALSE),""), "")</f>
        <v/>
      </c>
      <c r="C82" s="2" t="str">
        <f>IF(A82&lt;&gt;"",VLOOKUP(Alunos!A82,Agrupamentos!A3:C1000,2, FALSE),"")</f>
        <v/>
      </c>
      <c r="D82" s="2" t="str">
        <f>IFERROR(IF(A82&lt;&gt;"",VLOOKUP(Alunos!C82,'TP1'!A3:E1000,5, FALSE),""),"")</f>
        <v/>
      </c>
      <c r="E82" s="2" t="str">
        <f>IF(A82&lt;&gt;"",VLOOKUP(Alunos!A82,Agrupamentos!A3:C1000,3, FALSE),"")</f>
        <v/>
      </c>
      <c r="F82" s="2" t="str">
        <f>IFERROR(IF(A82&lt;&gt;"",VLOOKUP(Alunos!E82,'TP2'!A3:D1000,4, FALSE),""),"")</f>
        <v/>
      </c>
      <c r="G82" s="2" t="str">
        <f>IF(A82&lt;&gt;"", SUMIF(B1:F1,"&lt;&gt;",B82:F82),"")</f>
        <v/>
      </c>
      <c r="H82" s="2" t="str">
        <f>IF(AND(A82&lt;&gt;"",G82&lt;&gt;""),ROUND(G82,0),"")</f>
        <v/>
      </c>
      <c r="I82" s="2" t="str">
        <f>IFERROR(IF(A82&lt;&gt;"",VLOOKUP(Alunos!A82,Recurso!A3:D1000,4, FALSE),""), "")</f>
        <v/>
      </c>
      <c r="J82" s="2" t="str">
        <f>IF(AND(A82&lt;&gt;"",I82&lt;&gt;""), SUMIFS(B82:I82,B1:I1,"&lt;&gt;",B2:I2,"&lt;&gt;Exame",B2:I2,"&lt;&gt;exame",B2:I2,"&lt;&gt;Nota",B2:I2,"&lt;&gt;Total"),"")</f>
        <v/>
      </c>
      <c r="K82" s="2" t="str">
        <f>IF(AND(A82&lt;&gt;"",J82&lt;&gt;""),ROUND(J82,0),"")</f>
        <v/>
      </c>
    </row>
    <row r="83" spans="2:11" x14ac:dyDescent="0.3">
      <c r="B83" s="2" t="str">
        <f>IFERROR(IF(A83&lt;&gt;"",VLOOKUP(Alunos!A83,Exame!A3:D1000,4, FALSE),""), "")</f>
        <v/>
      </c>
      <c r="C83" s="2" t="str">
        <f>IF(A83&lt;&gt;"",VLOOKUP(Alunos!A83,Agrupamentos!A3:C1000,2, FALSE),"")</f>
        <v/>
      </c>
      <c r="D83" s="2" t="str">
        <f>IFERROR(IF(A83&lt;&gt;"",VLOOKUP(Alunos!C83,'TP1'!A3:E1000,5, FALSE),""),"")</f>
        <v/>
      </c>
      <c r="E83" s="2" t="str">
        <f>IF(A83&lt;&gt;"",VLOOKUP(Alunos!A83,Agrupamentos!A3:C1000,3, FALSE),"")</f>
        <v/>
      </c>
      <c r="F83" s="2" t="str">
        <f>IFERROR(IF(A83&lt;&gt;"",VLOOKUP(Alunos!E83,'TP2'!A3:D1000,4, FALSE),""),"")</f>
        <v/>
      </c>
      <c r="G83" s="2" t="str">
        <f>IF(A83&lt;&gt;"", SUMIF(B1:F1,"&lt;&gt;",B83:F83),"")</f>
        <v/>
      </c>
      <c r="H83" s="2" t="str">
        <f>IF(AND(A83&lt;&gt;"",G83&lt;&gt;""),ROUND(G83,0),"")</f>
        <v/>
      </c>
      <c r="I83" s="2" t="str">
        <f>IFERROR(IF(A83&lt;&gt;"",VLOOKUP(Alunos!A83,Recurso!A3:D1000,4, FALSE),""), "")</f>
        <v/>
      </c>
      <c r="J83" s="2" t="str">
        <f>IF(AND(A83&lt;&gt;"",I83&lt;&gt;""), SUMIFS(B83:I83,B1:I1,"&lt;&gt;",B2:I2,"&lt;&gt;Exame",B2:I2,"&lt;&gt;exame",B2:I2,"&lt;&gt;Nota",B2:I2,"&lt;&gt;Total"),"")</f>
        <v/>
      </c>
      <c r="K83" s="2" t="str">
        <f>IF(AND(A83&lt;&gt;"",J83&lt;&gt;""),ROUND(J83,0),"")</f>
        <v/>
      </c>
    </row>
    <row r="84" spans="2:11" x14ac:dyDescent="0.3">
      <c r="B84" s="2" t="str">
        <f>IFERROR(IF(A84&lt;&gt;"",VLOOKUP(Alunos!A84,Exame!A3:D1000,4, FALSE),""), "")</f>
        <v/>
      </c>
      <c r="C84" s="2" t="str">
        <f>IF(A84&lt;&gt;"",VLOOKUP(Alunos!A84,Agrupamentos!A3:C1000,2, FALSE),"")</f>
        <v/>
      </c>
      <c r="D84" s="2" t="str">
        <f>IFERROR(IF(A84&lt;&gt;"",VLOOKUP(Alunos!C84,'TP1'!A3:E1000,5, FALSE),""),"")</f>
        <v/>
      </c>
      <c r="E84" s="2" t="str">
        <f>IF(A84&lt;&gt;"",VLOOKUP(Alunos!A84,Agrupamentos!A3:C1000,3, FALSE),"")</f>
        <v/>
      </c>
      <c r="F84" s="2" t="str">
        <f>IFERROR(IF(A84&lt;&gt;"",VLOOKUP(Alunos!E84,'TP2'!A3:D1000,4, FALSE),""),"")</f>
        <v/>
      </c>
      <c r="G84" s="2" t="str">
        <f>IF(A84&lt;&gt;"", SUMIF(B1:F1,"&lt;&gt;",B84:F84),"")</f>
        <v/>
      </c>
      <c r="H84" s="2" t="str">
        <f>IF(AND(A84&lt;&gt;"",G84&lt;&gt;""),ROUND(G84,0),"")</f>
        <v/>
      </c>
      <c r="I84" s="2" t="str">
        <f>IFERROR(IF(A84&lt;&gt;"",VLOOKUP(Alunos!A84,Recurso!A3:D1000,4, FALSE),""), "")</f>
        <v/>
      </c>
      <c r="J84" s="2" t="str">
        <f>IF(AND(A84&lt;&gt;"",I84&lt;&gt;""), SUMIFS(B84:I84,B1:I1,"&lt;&gt;",B2:I2,"&lt;&gt;Exame",B2:I2,"&lt;&gt;exame",B2:I2,"&lt;&gt;Nota",B2:I2,"&lt;&gt;Total"),"")</f>
        <v/>
      </c>
      <c r="K84" s="2" t="str">
        <f>IF(AND(A84&lt;&gt;"",J84&lt;&gt;""),ROUND(J84,0),"")</f>
        <v/>
      </c>
    </row>
    <row r="85" spans="2:11" x14ac:dyDescent="0.3">
      <c r="B85" s="2" t="str">
        <f>IFERROR(IF(A85&lt;&gt;"",VLOOKUP(Alunos!A85,Exame!A3:D1000,4, FALSE),""), "")</f>
        <v/>
      </c>
      <c r="C85" s="2" t="str">
        <f>IF(A85&lt;&gt;"",VLOOKUP(Alunos!A85,Agrupamentos!A3:C1000,2, FALSE),"")</f>
        <v/>
      </c>
      <c r="D85" s="2" t="str">
        <f>IFERROR(IF(A85&lt;&gt;"",VLOOKUP(Alunos!C85,'TP1'!A3:E1000,5, FALSE),""),"")</f>
        <v/>
      </c>
      <c r="E85" s="2" t="str">
        <f>IF(A85&lt;&gt;"",VLOOKUP(Alunos!A85,Agrupamentos!A3:C1000,3, FALSE),"")</f>
        <v/>
      </c>
      <c r="F85" s="2" t="str">
        <f>IFERROR(IF(A85&lt;&gt;"",VLOOKUP(Alunos!E85,'TP2'!A3:D1000,4, FALSE),""),"")</f>
        <v/>
      </c>
      <c r="G85" s="2" t="str">
        <f>IF(A85&lt;&gt;"", SUMIF(B1:F1,"&lt;&gt;",B85:F85),"")</f>
        <v/>
      </c>
      <c r="H85" s="2" t="str">
        <f>IF(AND(A85&lt;&gt;"",G85&lt;&gt;""),ROUND(G85,0),"")</f>
        <v/>
      </c>
      <c r="I85" s="2" t="str">
        <f>IFERROR(IF(A85&lt;&gt;"",VLOOKUP(Alunos!A85,Recurso!A3:D1000,4, FALSE),""), "")</f>
        <v/>
      </c>
      <c r="J85" s="2" t="str">
        <f>IF(AND(A85&lt;&gt;"",I85&lt;&gt;""), SUMIFS(B85:I85,B1:I1,"&lt;&gt;",B2:I2,"&lt;&gt;Exame",B2:I2,"&lt;&gt;exame",B2:I2,"&lt;&gt;Nota",B2:I2,"&lt;&gt;Total"),"")</f>
        <v/>
      </c>
      <c r="K85" s="2" t="str">
        <f>IF(AND(A85&lt;&gt;"",J85&lt;&gt;""),ROUND(J85,0),"")</f>
        <v/>
      </c>
    </row>
    <row r="86" spans="2:11" x14ac:dyDescent="0.3">
      <c r="B86" s="2" t="str">
        <f>IFERROR(IF(A86&lt;&gt;"",VLOOKUP(Alunos!A86,Exame!A3:D1000,4, FALSE),""), "")</f>
        <v/>
      </c>
      <c r="C86" s="2" t="str">
        <f>IF(A86&lt;&gt;"",VLOOKUP(Alunos!A86,Agrupamentos!A3:C1000,2, FALSE),"")</f>
        <v/>
      </c>
      <c r="D86" s="2" t="str">
        <f>IFERROR(IF(A86&lt;&gt;"",VLOOKUP(Alunos!C86,'TP1'!A3:E1000,5, FALSE),""),"")</f>
        <v/>
      </c>
      <c r="E86" s="2" t="str">
        <f>IF(A86&lt;&gt;"",VLOOKUP(Alunos!A86,Agrupamentos!A3:C1000,3, FALSE),"")</f>
        <v/>
      </c>
      <c r="F86" s="2" t="str">
        <f>IFERROR(IF(A86&lt;&gt;"",VLOOKUP(Alunos!E86,'TP2'!A3:D1000,4, FALSE),""),"")</f>
        <v/>
      </c>
      <c r="G86" s="2" t="str">
        <f>IF(A86&lt;&gt;"", SUMIF(B1:F1,"&lt;&gt;",B86:F86),"")</f>
        <v/>
      </c>
      <c r="H86" s="2" t="str">
        <f>IF(AND(A86&lt;&gt;"",G86&lt;&gt;""),ROUND(G86,0),"")</f>
        <v/>
      </c>
      <c r="I86" s="2" t="str">
        <f>IFERROR(IF(A86&lt;&gt;"",VLOOKUP(Alunos!A86,Recurso!A3:D1000,4, FALSE),""), "")</f>
        <v/>
      </c>
      <c r="J86" s="2" t="str">
        <f>IF(AND(A86&lt;&gt;"",I86&lt;&gt;""), SUMIFS(B86:I86,B1:I1,"&lt;&gt;",B2:I2,"&lt;&gt;Exame",B2:I2,"&lt;&gt;exame",B2:I2,"&lt;&gt;Nota",B2:I2,"&lt;&gt;Total"),"")</f>
        <v/>
      </c>
      <c r="K86" s="2" t="str">
        <f>IF(AND(A86&lt;&gt;"",J86&lt;&gt;""),ROUND(J86,0),"")</f>
        <v/>
      </c>
    </row>
    <row r="87" spans="2:11" x14ac:dyDescent="0.3">
      <c r="B87" s="2" t="str">
        <f>IFERROR(IF(A87&lt;&gt;"",VLOOKUP(Alunos!A87,Exame!A3:D1000,4, FALSE),""), "")</f>
        <v/>
      </c>
      <c r="C87" s="2" t="str">
        <f>IF(A87&lt;&gt;"",VLOOKUP(Alunos!A87,Agrupamentos!A3:C1000,2, FALSE),"")</f>
        <v/>
      </c>
      <c r="D87" s="2" t="str">
        <f>IFERROR(IF(A87&lt;&gt;"",VLOOKUP(Alunos!C87,'TP1'!A3:E1000,5, FALSE),""),"")</f>
        <v/>
      </c>
      <c r="E87" s="2" t="str">
        <f>IF(A87&lt;&gt;"",VLOOKUP(Alunos!A87,Agrupamentos!A3:C1000,3, FALSE),"")</f>
        <v/>
      </c>
      <c r="F87" s="2" t="str">
        <f>IFERROR(IF(A87&lt;&gt;"",VLOOKUP(Alunos!E87,'TP2'!A3:D1000,4, FALSE),""),"")</f>
        <v/>
      </c>
      <c r="G87" s="2" t="str">
        <f>IF(A87&lt;&gt;"", SUMIF(B1:F1,"&lt;&gt;",B87:F87),"")</f>
        <v/>
      </c>
      <c r="H87" s="2" t="str">
        <f>IF(AND(A87&lt;&gt;"",G87&lt;&gt;""),ROUND(G87,0),"")</f>
        <v/>
      </c>
      <c r="I87" s="2" t="str">
        <f>IFERROR(IF(A87&lt;&gt;"",VLOOKUP(Alunos!A87,Recurso!A3:D1000,4, FALSE),""), "")</f>
        <v/>
      </c>
      <c r="J87" s="2" t="str">
        <f>IF(AND(A87&lt;&gt;"",I87&lt;&gt;""), SUMIFS(B87:I87,B1:I1,"&lt;&gt;",B2:I2,"&lt;&gt;Exame",B2:I2,"&lt;&gt;exame",B2:I2,"&lt;&gt;Nota",B2:I2,"&lt;&gt;Total"),"")</f>
        <v/>
      </c>
      <c r="K87" s="2" t="str">
        <f>IF(AND(A87&lt;&gt;"",J87&lt;&gt;""),ROUND(J87,0),"")</f>
        <v/>
      </c>
    </row>
    <row r="88" spans="2:11" x14ac:dyDescent="0.3">
      <c r="B88" s="2" t="str">
        <f>IFERROR(IF(A88&lt;&gt;"",VLOOKUP(Alunos!A88,Exame!A3:D1000,4, FALSE),""), "")</f>
        <v/>
      </c>
      <c r="C88" s="2" t="str">
        <f>IF(A88&lt;&gt;"",VLOOKUP(Alunos!A88,Agrupamentos!A3:C1000,2, FALSE),"")</f>
        <v/>
      </c>
      <c r="D88" s="2" t="str">
        <f>IFERROR(IF(A88&lt;&gt;"",VLOOKUP(Alunos!C88,'TP1'!A3:E1000,5, FALSE),""),"")</f>
        <v/>
      </c>
      <c r="E88" s="2" t="str">
        <f>IF(A88&lt;&gt;"",VLOOKUP(Alunos!A88,Agrupamentos!A3:C1000,3, FALSE),"")</f>
        <v/>
      </c>
      <c r="F88" s="2" t="str">
        <f>IFERROR(IF(A88&lt;&gt;"",VLOOKUP(Alunos!E88,'TP2'!A3:D1000,4, FALSE),""),"")</f>
        <v/>
      </c>
      <c r="G88" s="2" t="str">
        <f>IF(A88&lt;&gt;"", SUMIF(B1:F1,"&lt;&gt;",B88:F88),"")</f>
        <v/>
      </c>
      <c r="H88" s="2" t="str">
        <f>IF(AND(A88&lt;&gt;"",G88&lt;&gt;""),ROUND(G88,0),"")</f>
        <v/>
      </c>
      <c r="I88" s="2" t="str">
        <f>IFERROR(IF(A88&lt;&gt;"",VLOOKUP(Alunos!A88,Recurso!A3:D1000,4, FALSE),""), "")</f>
        <v/>
      </c>
      <c r="J88" s="2" t="str">
        <f>IF(AND(A88&lt;&gt;"",I88&lt;&gt;""), SUMIFS(B88:I88,B1:I1,"&lt;&gt;",B2:I2,"&lt;&gt;Exame",B2:I2,"&lt;&gt;exame",B2:I2,"&lt;&gt;Nota",B2:I2,"&lt;&gt;Total"),"")</f>
        <v/>
      </c>
      <c r="K88" s="2" t="str">
        <f>IF(AND(A88&lt;&gt;"",J88&lt;&gt;""),ROUND(J88,0),"")</f>
        <v/>
      </c>
    </row>
    <row r="89" spans="2:11" x14ac:dyDescent="0.3">
      <c r="B89" s="2" t="str">
        <f>IFERROR(IF(A89&lt;&gt;"",VLOOKUP(Alunos!A89,Exame!A3:D1000,4, FALSE),""), "")</f>
        <v/>
      </c>
      <c r="C89" s="2" t="str">
        <f>IF(A89&lt;&gt;"",VLOOKUP(Alunos!A89,Agrupamentos!A3:C1000,2, FALSE),"")</f>
        <v/>
      </c>
      <c r="D89" s="2" t="str">
        <f>IFERROR(IF(A89&lt;&gt;"",VLOOKUP(Alunos!C89,'TP1'!A3:E1000,5, FALSE),""),"")</f>
        <v/>
      </c>
      <c r="E89" s="2" t="str">
        <f>IF(A89&lt;&gt;"",VLOOKUP(Alunos!A89,Agrupamentos!A3:C1000,3, FALSE),"")</f>
        <v/>
      </c>
      <c r="F89" s="2" t="str">
        <f>IFERROR(IF(A89&lt;&gt;"",VLOOKUP(Alunos!E89,'TP2'!A3:D1000,4, FALSE),""),"")</f>
        <v/>
      </c>
      <c r="G89" s="2" t="str">
        <f>IF(A89&lt;&gt;"", SUMIF(B1:F1,"&lt;&gt;",B89:F89),"")</f>
        <v/>
      </c>
      <c r="H89" s="2" t="str">
        <f>IF(AND(A89&lt;&gt;"",G89&lt;&gt;""),ROUND(G89,0),"")</f>
        <v/>
      </c>
      <c r="I89" s="2" t="str">
        <f>IFERROR(IF(A89&lt;&gt;"",VLOOKUP(Alunos!A89,Recurso!A3:D1000,4, FALSE),""), "")</f>
        <v/>
      </c>
      <c r="J89" s="2" t="str">
        <f>IF(AND(A89&lt;&gt;"",I89&lt;&gt;""), SUMIFS(B89:I89,B1:I1,"&lt;&gt;",B2:I2,"&lt;&gt;Exame",B2:I2,"&lt;&gt;exame",B2:I2,"&lt;&gt;Nota",B2:I2,"&lt;&gt;Total"),"")</f>
        <v/>
      </c>
      <c r="K89" s="2" t="str">
        <f>IF(AND(A89&lt;&gt;"",J89&lt;&gt;""),ROUND(J89,0),"")</f>
        <v/>
      </c>
    </row>
    <row r="90" spans="2:11" x14ac:dyDescent="0.3">
      <c r="B90" s="2" t="str">
        <f>IFERROR(IF(A90&lt;&gt;"",VLOOKUP(Alunos!A90,Exame!A3:D1000,4, FALSE),""), "")</f>
        <v/>
      </c>
      <c r="C90" s="2" t="str">
        <f>IF(A90&lt;&gt;"",VLOOKUP(Alunos!A90,Agrupamentos!A3:C1000,2, FALSE),"")</f>
        <v/>
      </c>
      <c r="D90" s="2" t="str">
        <f>IFERROR(IF(A90&lt;&gt;"",VLOOKUP(Alunos!C90,'TP1'!A3:E1000,5, FALSE),""),"")</f>
        <v/>
      </c>
      <c r="E90" s="2" t="str">
        <f>IF(A90&lt;&gt;"",VLOOKUP(Alunos!A90,Agrupamentos!A3:C1000,3, FALSE),"")</f>
        <v/>
      </c>
      <c r="F90" s="2" t="str">
        <f>IFERROR(IF(A90&lt;&gt;"",VLOOKUP(Alunos!E90,'TP2'!A3:D1000,4, FALSE),""),"")</f>
        <v/>
      </c>
      <c r="G90" s="2" t="str">
        <f>IF(A90&lt;&gt;"", SUMIF(B1:F1,"&lt;&gt;",B90:F90),"")</f>
        <v/>
      </c>
      <c r="H90" s="2" t="str">
        <f>IF(AND(A90&lt;&gt;"",G90&lt;&gt;""),ROUND(G90,0),"")</f>
        <v/>
      </c>
      <c r="I90" s="2" t="str">
        <f>IFERROR(IF(A90&lt;&gt;"",VLOOKUP(Alunos!A90,Recurso!A3:D1000,4, FALSE),""), "")</f>
        <v/>
      </c>
      <c r="J90" s="2" t="str">
        <f>IF(AND(A90&lt;&gt;"",I90&lt;&gt;""), SUMIFS(B90:I90,B1:I1,"&lt;&gt;",B2:I2,"&lt;&gt;Exame",B2:I2,"&lt;&gt;exame",B2:I2,"&lt;&gt;Nota",B2:I2,"&lt;&gt;Total"),"")</f>
        <v/>
      </c>
      <c r="K90" s="2" t="str">
        <f>IF(AND(A90&lt;&gt;"",J90&lt;&gt;""),ROUND(J90,0),"")</f>
        <v/>
      </c>
    </row>
    <row r="91" spans="2:11" x14ac:dyDescent="0.3">
      <c r="B91" s="2" t="str">
        <f>IFERROR(IF(A91&lt;&gt;"",VLOOKUP(Alunos!A91,Exame!A3:D1000,4, FALSE),""), "")</f>
        <v/>
      </c>
      <c r="C91" s="2" t="str">
        <f>IF(A91&lt;&gt;"",VLOOKUP(Alunos!A91,Agrupamentos!A3:C1000,2, FALSE),"")</f>
        <v/>
      </c>
      <c r="D91" s="2" t="str">
        <f>IFERROR(IF(A91&lt;&gt;"",VLOOKUP(Alunos!C91,'TP1'!A3:E1000,5, FALSE),""),"")</f>
        <v/>
      </c>
      <c r="E91" s="2" t="str">
        <f>IF(A91&lt;&gt;"",VLOOKUP(Alunos!A91,Agrupamentos!A3:C1000,3, FALSE),"")</f>
        <v/>
      </c>
      <c r="F91" s="2" t="str">
        <f>IFERROR(IF(A91&lt;&gt;"",VLOOKUP(Alunos!E91,'TP2'!A3:D1000,4, FALSE),""),"")</f>
        <v/>
      </c>
      <c r="G91" s="2" t="str">
        <f>IF(A91&lt;&gt;"", SUMIF(B1:F1,"&lt;&gt;",B91:F91),"")</f>
        <v/>
      </c>
      <c r="H91" s="2" t="str">
        <f>IF(AND(A91&lt;&gt;"",G91&lt;&gt;""),ROUND(G91,0),"")</f>
        <v/>
      </c>
      <c r="I91" s="2" t="str">
        <f>IFERROR(IF(A91&lt;&gt;"",VLOOKUP(Alunos!A91,Recurso!A3:D1000,4, FALSE),""), "")</f>
        <v/>
      </c>
      <c r="J91" s="2" t="str">
        <f>IF(AND(A91&lt;&gt;"",I91&lt;&gt;""), SUMIFS(B91:I91,B1:I1,"&lt;&gt;",B2:I2,"&lt;&gt;Exame",B2:I2,"&lt;&gt;exame",B2:I2,"&lt;&gt;Nota",B2:I2,"&lt;&gt;Total"),"")</f>
        <v/>
      </c>
      <c r="K91" s="2" t="str">
        <f>IF(AND(A91&lt;&gt;"",J91&lt;&gt;""),ROUND(J91,0),"")</f>
        <v/>
      </c>
    </row>
    <row r="92" spans="2:11" x14ac:dyDescent="0.3">
      <c r="B92" s="2" t="str">
        <f>IFERROR(IF(A92&lt;&gt;"",VLOOKUP(Alunos!A92,Exame!A3:D1000,4, FALSE),""), "")</f>
        <v/>
      </c>
      <c r="C92" s="2" t="str">
        <f>IF(A92&lt;&gt;"",VLOOKUP(Alunos!A92,Agrupamentos!A3:C1000,2, FALSE),"")</f>
        <v/>
      </c>
      <c r="D92" s="2" t="str">
        <f>IFERROR(IF(A92&lt;&gt;"",VLOOKUP(Alunos!C92,'TP1'!A3:E1000,5, FALSE),""),"")</f>
        <v/>
      </c>
      <c r="E92" s="2" t="str">
        <f>IF(A92&lt;&gt;"",VLOOKUP(Alunos!A92,Agrupamentos!A3:C1000,3, FALSE),"")</f>
        <v/>
      </c>
      <c r="F92" s="2" t="str">
        <f>IFERROR(IF(A92&lt;&gt;"",VLOOKUP(Alunos!E92,'TP2'!A3:D1000,4, FALSE),""),"")</f>
        <v/>
      </c>
      <c r="G92" s="2" t="str">
        <f>IF(A92&lt;&gt;"", SUMIF(B1:F1,"&lt;&gt;",B92:F92),"")</f>
        <v/>
      </c>
      <c r="H92" s="2" t="str">
        <f>IF(AND(A92&lt;&gt;"",G92&lt;&gt;""),ROUND(G92,0),"")</f>
        <v/>
      </c>
      <c r="I92" s="2" t="str">
        <f>IFERROR(IF(A92&lt;&gt;"",VLOOKUP(Alunos!A92,Recurso!A3:D1000,4, FALSE),""), "")</f>
        <v/>
      </c>
      <c r="J92" s="2" t="str">
        <f>IF(AND(A92&lt;&gt;"",I92&lt;&gt;""), SUMIFS(B92:I92,B1:I1,"&lt;&gt;",B2:I2,"&lt;&gt;Exame",B2:I2,"&lt;&gt;exame",B2:I2,"&lt;&gt;Nota",B2:I2,"&lt;&gt;Total"),"")</f>
        <v/>
      </c>
      <c r="K92" s="2" t="str">
        <f>IF(AND(A92&lt;&gt;"",J92&lt;&gt;""),ROUND(J92,0),"")</f>
        <v/>
      </c>
    </row>
    <row r="93" spans="2:11" x14ac:dyDescent="0.3">
      <c r="B93" s="2" t="str">
        <f>IFERROR(IF(A93&lt;&gt;"",VLOOKUP(Alunos!A93,Exame!A3:D1000,4, FALSE),""), "")</f>
        <v/>
      </c>
      <c r="C93" s="2" t="str">
        <f>IF(A93&lt;&gt;"",VLOOKUP(Alunos!A93,Agrupamentos!A3:C1000,2, FALSE),"")</f>
        <v/>
      </c>
      <c r="D93" s="2" t="str">
        <f>IFERROR(IF(A93&lt;&gt;"",VLOOKUP(Alunos!C93,'TP1'!A3:E1000,5, FALSE),""),"")</f>
        <v/>
      </c>
      <c r="E93" s="2" t="str">
        <f>IF(A93&lt;&gt;"",VLOOKUP(Alunos!A93,Agrupamentos!A3:C1000,3, FALSE),"")</f>
        <v/>
      </c>
      <c r="F93" s="2" t="str">
        <f>IFERROR(IF(A93&lt;&gt;"",VLOOKUP(Alunos!E93,'TP2'!A3:D1000,4, FALSE),""),"")</f>
        <v/>
      </c>
      <c r="G93" s="2" t="str">
        <f>IF(A93&lt;&gt;"", SUMIF(B1:F1,"&lt;&gt;",B93:F93),"")</f>
        <v/>
      </c>
      <c r="H93" s="2" t="str">
        <f>IF(AND(A93&lt;&gt;"",G93&lt;&gt;""),ROUND(G93,0),"")</f>
        <v/>
      </c>
      <c r="I93" s="2" t="str">
        <f>IFERROR(IF(A93&lt;&gt;"",VLOOKUP(Alunos!A93,Recurso!A3:D1000,4, FALSE),""), "")</f>
        <v/>
      </c>
      <c r="J93" s="2" t="str">
        <f>IF(AND(A93&lt;&gt;"",I93&lt;&gt;""), SUMIFS(B93:I93,B1:I1,"&lt;&gt;",B2:I2,"&lt;&gt;Exame",B2:I2,"&lt;&gt;exame",B2:I2,"&lt;&gt;Nota",B2:I2,"&lt;&gt;Total"),"")</f>
        <v/>
      </c>
      <c r="K93" s="2" t="str">
        <f>IF(AND(A93&lt;&gt;"",J93&lt;&gt;""),ROUND(J93,0),"")</f>
        <v/>
      </c>
    </row>
    <row r="94" spans="2:11" x14ac:dyDescent="0.3">
      <c r="B94" s="2" t="str">
        <f>IFERROR(IF(A94&lt;&gt;"",VLOOKUP(Alunos!A94,Exame!A3:D1000,4, FALSE),""), "")</f>
        <v/>
      </c>
      <c r="C94" s="2" t="str">
        <f>IF(A94&lt;&gt;"",VLOOKUP(Alunos!A94,Agrupamentos!A3:C1000,2, FALSE),"")</f>
        <v/>
      </c>
      <c r="D94" s="2" t="str">
        <f>IFERROR(IF(A94&lt;&gt;"",VLOOKUP(Alunos!C94,'TP1'!A3:E1000,5, FALSE),""),"")</f>
        <v/>
      </c>
      <c r="E94" s="2" t="str">
        <f>IF(A94&lt;&gt;"",VLOOKUP(Alunos!A94,Agrupamentos!A3:C1000,3, FALSE),"")</f>
        <v/>
      </c>
      <c r="F94" s="2" t="str">
        <f>IFERROR(IF(A94&lt;&gt;"",VLOOKUP(Alunos!E94,'TP2'!A3:D1000,4, FALSE),""),"")</f>
        <v/>
      </c>
      <c r="G94" s="2" t="str">
        <f>IF(A94&lt;&gt;"", SUMIF(B1:F1,"&lt;&gt;",B94:F94),"")</f>
        <v/>
      </c>
      <c r="H94" s="2" t="str">
        <f>IF(AND(A94&lt;&gt;"",G94&lt;&gt;""),ROUND(G94,0),"")</f>
        <v/>
      </c>
      <c r="I94" s="2" t="str">
        <f>IFERROR(IF(A94&lt;&gt;"",VLOOKUP(Alunos!A94,Recurso!A3:D1000,4, FALSE),""), "")</f>
        <v/>
      </c>
      <c r="J94" s="2" t="str">
        <f>IF(AND(A94&lt;&gt;"",I94&lt;&gt;""), SUMIFS(B94:I94,B1:I1,"&lt;&gt;",B2:I2,"&lt;&gt;Exame",B2:I2,"&lt;&gt;exame",B2:I2,"&lt;&gt;Nota",B2:I2,"&lt;&gt;Total"),"")</f>
        <v/>
      </c>
      <c r="K94" s="2" t="str">
        <f>IF(AND(A94&lt;&gt;"",J94&lt;&gt;""),ROUND(J94,0),"")</f>
        <v/>
      </c>
    </row>
    <row r="95" spans="2:11" x14ac:dyDescent="0.3">
      <c r="B95" s="2" t="str">
        <f>IFERROR(IF(A95&lt;&gt;"",VLOOKUP(Alunos!A95,Exame!A3:D1000,4, FALSE),""), "")</f>
        <v/>
      </c>
      <c r="C95" s="2" t="str">
        <f>IF(A95&lt;&gt;"",VLOOKUP(Alunos!A95,Agrupamentos!A3:C1000,2, FALSE),"")</f>
        <v/>
      </c>
      <c r="D95" s="2" t="str">
        <f>IFERROR(IF(A95&lt;&gt;"",VLOOKUP(Alunos!C95,'TP1'!A3:E1000,5, FALSE),""),"")</f>
        <v/>
      </c>
      <c r="E95" s="2" t="str">
        <f>IF(A95&lt;&gt;"",VLOOKUP(Alunos!A95,Agrupamentos!A3:C1000,3, FALSE),"")</f>
        <v/>
      </c>
      <c r="F95" s="2" t="str">
        <f>IFERROR(IF(A95&lt;&gt;"",VLOOKUP(Alunos!E95,'TP2'!A3:D1000,4, FALSE),""),"")</f>
        <v/>
      </c>
      <c r="G95" s="2" t="str">
        <f>IF(A95&lt;&gt;"", SUMIF(B1:F1,"&lt;&gt;",B95:F95),"")</f>
        <v/>
      </c>
      <c r="H95" s="2" t="str">
        <f>IF(AND(A95&lt;&gt;"",G95&lt;&gt;""),ROUND(G95,0),"")</f>
        <v/>
      </c>
      <c r="I95" s="2" t="str">
        <f>IFERROR(IF(A95&lt;&gt;"",VLOOKUP(Alunos!A95,Recurso!A3:D1000,4, FALSE),""), "")</f>
        <v/>
      </c>
      <c r="J95" s="2" t="str">
        <f>IF(AND(A95&lt;&gt;"",I95&lt;&gt;""), SUMIFS(B95:I95,B1:I1,"&lt;&gt;",B2:I2,"&lt;&gt;Exame",B2:I2,"&lt;&gt;exame",B2:I2,"&lt;&gt;Nota",B2:I2,"&lt;&gt;Total"),"")</f>
        <v/>
      </c>
      <c r="K95" s="2" t="str">
        <f>IF(AND(A95&lt;&gt;"",J95&lt;&gt;""),ROUND(J95,0),"")</f>
        <v/>
      </c>
    </row>
    <row r="96" spans="2:11" x14ac:dyDescent="0.3">
      <c r="B96" s="2" t="str">
        <f>IFERROR(IF(A96&lt;&gt;"",VLOOKUP(Alunos!A96,Exame!A3:D1000,4, FALSE),""), "")</f>
        <v/>
      </c>
      <c r="C96" s="2" t="str">
        <f>IF(A96&lt;&gt;"",VLOOKUP(Alunos!A96,Agrupamentos!A3:C1000,2, FALSE),"")</f>
        <v/>
      </c>
      <c r="D96" s="2" t="str">
        <f>IFERROR(IF(A96&lt;&gt;"",VLOOKUP(Alunos!C96,'TP1'!A3:E1000,5, FALSE),""),"")</f>
        <v/>
      </c>
      <c r="E96" s="2" t="str">
        <f>IF(A96&lt;&gt;"",VLOOKUP(Alunos!A96,Agrupamentos!A3:C1000,3, FALSE),"")</f>
        <v/>
      </c>
      <c r="F96" s="2" t="str">
        <f>IFERROR(IF(A96&lt;&gt;"",VLOOKUP(Alunos!E96,'TP2'!A3:D1000,4, FALSE),""),"")</f>
        <v/>
      </c>
      <c r="G96" s="2" t="str">
        <f>IF(A96&lt;&gt;"", SUMIF(B1:F1,"&lt;&gt;",B96:F96),"")</f>
        <v/>
      </c>
      <c r="H96" s="2" t="str">
        <f>IF(AND(A96&lt;&gt;"",G96&lt;&gt;""),ROUND(G96,0),"")</f>
        <v/>
      </c>
      <c r="I96" s="2" t="str">
        <f>IFERROR(IF(A96&lt;&gt;"",VLOOKUP(Alunos!A96,Recurso!A3:D1000,4, FALSE),""), "")</f>
        <v/>
      </c>
      <c r="J96" s="2" t="str">
        <f>IF(AND(A96&lt;&gt;"",I96&lt;&gt;""), SUMIFS(B96:I96,B1:I1,"&lt;&gt;",B2:I2,"&lt;&gt;Exame",B2:I2,"&lt;&gt;exame",B2:I2,"&lt;&gt;Nota",B2:I2,"&lt;&gt;Total"),"")</f>
        <v/>
      </c>
      <c r="K96" s="2" t="str">
        <f>IF(AND(A96&lt;&gt;"",J96&lt;&gt;""),ROUND(J96,0),"")</f>
        <v/>
      </c>
    </row>
    <row r="97" spans="2:11" x14ac:dyDescent="0.3">
      <c r="B97" s="2" t="str">
        <f>IFERROR(IF(A97&lt;&gt;"",VLOOKUP(Alunos!A97,Exame!A3:D1000,4, FALSE),""), "")</f>
        <v/>
      </c>
      <c r="C97" s="2" t="str">
        <f>IF(A97&lt;&gt;"",VLOOKUP(Alunos!A97,Agrupamentos!A3:C1000,2, FALSE),"")</f>
        <v/>
      </c>
      <c r="D97" s="2" t="str">
        <f>IFERROR(IF(A97&lt;&gt;"",VLOOKUP(Alunos!C97,'TP1'!A3:E1000,5, FALSE),""),"")</f>
        <v/>
      </c>
      <c r="E97" s="2" t="str">
        <f>IF(A97&lt;&gt;"",VLOOKUP(Alunos!A97,Agrupamentos!A3:C1000,3, FALSE),"")</f>
        <v/>
      </c>
      <c r="F97" s="2" t="str">
        <f>IFERROR(IF(A97&lt;&gt;"",VLOOKUP(Alunos!E97,'TP2'!A3:D1000,4, FALSE),""),"")</f>
        <v/>
      </c>
      <c r="G97" s="2" t="str">
        <f>IF(A97&lt;&gt;"", SUMIF(B1:F1,"&lt;&gt;",B97:F97),"")</f>
        <v/>
      </c>
      <c r="H97" s="2" t="str">
        <f>IF(AND(A97&lt;&gt;"",G97&lt;&gt;""),ROUND(G97,0),"")</f>
        <v/>
      </c>
      <c r="I97" s="2" t="str">
        <f>IFERROR(IF(A97&lt;&gt;"",VLOOKUP(Alunos!A97,Recurso!A3:D1000,4, FALSE),""), "")</f>
        <v/>
      </c>
      <c r="J97" s="2" t="str">
        <f>IF(AND(A97&lt;&gt;"",I97&lt;&gt;""), SUMIFS(B97:I97,B1:I1,"&lt;&gt;",B2:I2,"&lt;&gt;Exame",B2:I2,"&lt;&gt;exame",B2:I2,"&lt;&gt;Nota",B2:I2,"&lt;&gt;Total"),"")</f>
        <v/>
      </c>
      <c r="K97" s="2" t="str">
        <f>IF(AND(A97&lt;&gt;"",J97&lt;&gt;""),ROUND(J97,0),"")</f>
        <v/>
      </c>
    </row>
    <row r="98" spans="2:11" x14ac:dyDescent="0.3">
      <c r="B98" s="2" t="str">
        <f>IFERROR(IF(A98&lt;&gt;"",VLOOKUP(Alunos!A98,Exame!A3:D1000,4, FALSE),""), "")</f>
        <v/>
      </c>
      <c r="C98" s="2" t="str">
        <f>IF(A98&lt;&gt;"",VLOOKUP(Alunos!A98,Agrupamentos!A3:C1000,2, FALSE),"")</f>
        <v/>
      </c>
      <c r="D98" s="2" t="str">
        <f>IFERROR(IF(A98&lt;&gt;"",VLOOKUP(Alunos!C98,'TP1'!A3:E1000,5, FALSE),""),"")</f>
        <v/>
      </c>
      <c r="E98" s="2" t="str">
        <f>IF(A98&lt;&gt;"",VLOOKUP(Alunos!A98,Agrupamentos!A3:C1000,3, FALSE),"")</f>
        <v/>
      </c>
      <c r="F98" s="2" t="str">
        <f>IFERROR(IF(A98&lt;&gt;"",VLOOKUP(Alunos!E98,'TP2'!A3:D1000,4, FALSE),""),"")</f>
        <v/>
      </c>
      <c r="G98" s="2" t="str">
        <f>IF(A98&lt;&gt;"", SUMIF(B1:F1,"&lt;&gt;",B98:F98),"")</f>
        <v/>
      </c>
      <c r="H98" s="2" t="str">
        <f>IF(AND(A98&lt;&gt;"",G98&lt;&gt;""),ROUND(G98,0),"")</f>
        <v/>
      </c>
      <c r="I98" s="2" t="str">
        <f>IFERROR(IF(A98&lt;&gt;"",VLOOKUP(Alunos!A98,Recurso!A3:D1000,4, FALSE),""), "")</f>
        <v/>
      </c>
      <c r="J98" s="2" t="str">
        <f>IF(AND(A98&lt;&gt;"",I98&lt;&gt;""), SUMIFS(B98:I98,B1:I1,"&lt;&gt;",B2:I2,"&lt;&gt;Exame",B2:I2,"&lt;&gt;exame",B2:I2,"&lt;&gt;Nota",B2:I2,"&lt;&gt;Total"),"")</f>
        <v/>
      </c>
      <c r="K98" s="2" t="str">
        <f>IF(AND(A98&lt;&gt;"",J98&lt;&gt;""),ROUND(J98,0),"")</f>
        <v/>
      </c>
    </row>
    <row r="99" spans="2:11" x14ac:dyDescent="0.3">
      <c r="B99" s="2" t="str">
        <f>IFERROR(IF(A99&lt;&gt;"",VLOOKUP(Alunos!A99,Exame!A3:D1000,4, FALSE),""), "")</f>
        <v/>
      </c>
      <c r="C99" s="2" t="str">
        <f>IF(A99&lt;&gt;"",VLOOKUP(Alunos!A99,Agrupamentos!A3:C1000,2, FALSE),"")</f>
        <v/>
      </c>
      <c r="D99" s="2" t="str">
        <f>IFERROR(IF(A99&lt;&gt;"",VLOOKUP(Alunos!C99,'TP1'!A3:E1000,5, FALSE),""),"")</f>
        <v/>
      </c>
      <c r="E99" s="2" t="str">
        <f>IF(A99&lt;&gt;"",VLOOKUP(Alunos!A99,Agrupamentos!A3:C1000,3, FALSE),"")</f>
        <v/>
      </c>
      <c r="F99" s="2" t="str">
        <f>IFERROR(IF(A99&lt;&gt;"",VLOOKUP(Alunos!E99,'TP2'!A3:D1000,4, FALSE),""),"")</f>
        <v/>
      </c>
      <c r="G99" s="2" t="str">
        <f>IF(A99&lt;&gt;"", SUMIF(B1:F1,"&lt;&gt;",B99:F99),"")</f>
        <v/>
      </c>
      <c r="H99" s="2" t="str">
        <f>IF(AND(A99&lt;&gt;"",G99&lt;&gt;""),ROUND(G99,0),"")</f>
        <v/>
      </c>
      <c r="I99" s="2" t="str">
        <f>IFERROR(IF(A99&lt;&gt;"",VLOOKUP(Alunos!A99,Recurso!A3:D1000,4, FALSE),""), "")</f>
        <v/>
      </c>
      <c r="J99" s="2" t="str">
        <f>IF(AND(A99&lt;&gt;"",I99&lt;&gt;""), SUMIFS(B99:I99,B1:I1,"&lt;&gt;",B2:I2,"&lt;&gt;Exame",B2:I2,"&lt;&gt;exame",B2:I2,"&lt;&gt;Nota",B2:I2,"&lt;&gt;Total"),"")</f>
        <v/>
      </c>
      <c r="K99" s="2" t="str">
        <f>IF(AND(A99&lt;&gt;"",J99&lt;&gt;""),ROUND(J99,0),"")</f>
        <v/>
      </c>
    </row>
    <row r="100" spans="2:11" x14ac:dyDescent="0.3">
      <c r="B100" s="2" t="str">
        <f>IFERROR(IF(A100&lt;&gt;"",VLOOKUP(Alunos!A100,Exame!A3:D1000,4, FALSE),""), "")</f>
        <v/>
      </c>
      <c r="C100" s="2" t="str">
        <f>IF(A100&lt;&gt;"",VLOOKUP(Alunos!A100,Agrupamentos!A3:C1000,2, FALSE),"")</f>
        <v/>
      </c>
      <c r="D100" s="2" t="str">
        <f>IFERROR(IF(A100&lt;&gt;"",VLOOKUP(Alunos!C100,'TP1'!A3:E1000,5, FALSE),""),"")</f>
        <v/>
      </c>
      <c r="E100" s="2" t="str">
        <f>IF(A100&lt;&gt;"",VLOOKUP(Alunos!A100,Agrupamentos!A3:C1000,3, FALSE),"")</f>
        <v/>
      </c>
      <c r="F100" s="2" t="str">
        <f>IFERROR(IF(A100&lt;&gt;"",VLOOKUP(Alunos!E100,'TP2'!A3:D1000,4, FALSE),""),"")</f>
        <v/>
      </c>
      <c r="G100" s="2" t="str">
        <f>IF(A100&lt;&gt;"", SUMIF(B1:F1,"&lt;&gt;",B100:F100),"")</f>
        <v/>
      </c>
      <c r="H100" s="2" t="str">
        <f>IF(AND(A100&lt;&gt;"",G100&lt;&gt;""),ROUND(G100,0),"")</f>
        <v/>
      </c>
      <c r="I100" s="2" t="str">
        <f>IFERROR(IF(A100&lt;&gt;"",VLOOKUP(Alunos!A100,Recurso!A3:D1000,4, FALSE),""), "")</f>
        <v/>
      </c>
      <c r="J100" s="2" t="str">
        <f>IF(AND(A100&lt;&gt;"",I100&lt;&gt;""), SUMIFS(B100:I100,B1:I1,"&lt;&gt;",B2:I2,"&lt;&gt;Exame",B2:I2,"&lt;&gt;exame",B2:I2,"&lt;&gt;Nota",B2:I2,"&lt;&gt;Total"),"")</f>
        <v/>
      </c>
      <c r="K100" s="2" t="str">
        <f>IF(AND(A100&lt;&gt;"",J100&lt;&gt;""),ROUND(J100,0),"")</f>
        <v/>
      </c>
    </row>
    <row r="101" spans="2:11" x14ac:dyDescent="0.3">
      <c r="B101" s="2" t="str">
        <f>IFERROR(IF(A101&lt;&gt;"",VLOOKUP(Alunos!A101,Exame!A3:D1000,4, FALSE),""), "")</f>
        <v/>
      </c>
      <c r="C101" s="2" t="str">
        <f>IF(A101&lt;&gt;"",VLOOKUP(Alunos!A101,Agrupamentos!A3:C1000,2, FALSE),"")</f>
        <v/>
      </c>
      <c r="D101" s="2" t="str">
        <f>IFERROR(IF(A101&lt;&gt;"",VLOOKUP(Alunos!C101,'TP1'!A3:E1000,5, FALSE),""),"")</f>
        <v/>
      </c>
      <c r="E101" s="2" t="str">
        <f>IF(A101&lt;&gt;"",VLOOKUP(Alunos!A101,Agrupamentos!A3:C1000,3, FALSE),"")</f>
        <v/>
      </c>
      <c r="F101" s="2" t="str">
        <f>IFERROR(IF(A101&lt;&gt;"",VLOOKUP(Alunos!E101,'TP2'!A3:D1000,4, FALSE),""),"")</f>
        <v/>
      </c>
      <c r="G101" s="2" t="str">
        <f>IF(A101&lt;&gt;"", SUMIF(B1:F1,"&lt;&gt;",B101:F101),"")</f>
        <v/>
      </c>
      <c r="H101" s="2" t="str">
        <f>IF(AND(A101&lt;&gt;"",G101&lt;&gt;""),ROUND(G101,0),"")</f>
        <v/>
      </c>
      <c r="I101" s="2" t="str">
        <f>IFERROR(IF(A101&lt;&gt;"",VLOOKUP(Alunos!A101,Recurso!A3:D1000,4, FALSE),""), "")</f>
        <v/>
      </c>
      <c r="J101" s="2" t="str">
        <f>IF(AND(A101&lt;&gt;"",I101&lt;&gt;""), SUMIFS(B101:I101,B1:I1,"&lt;&gt;",B2:I2,"&lt;&gt;Exame",B2:I2,"&lt;&gt;exame",B2:I2,"&lt;&gt;Nota",B2:I2,"&lt;&gt;Total"),"")</f>
        <v/>
      </c>
      <c r="K101" s="2" t="str">
        <f>IF(AND(A101&lt;&gt;"",J101&lt;&gt;""),ROUND(J101,0),"")</f>
        <v/>
      </c>
    </row>
    <row r="102" spans="2:11" x14ac:dyDescent="0.3">
      <c r="B102" s="2" t="str">
        <f>IFERROR(IF(A102&lt;&gt;"",VLOOKUP(Alunos!A102,Exame!A3:D1000,4, FALSE),""), "")</f>
        <v/>
      </c>
      <c r="C102" s="2" t="str">
        <f>IF(A102&lt;&gt;"",VLOOKUP(Alunos!A102,Agrupamentos!A3:C1000,2, FALSE),"")</f>
        <v/>
      </c>
      <c r="D102" s="2" t="str">
        <f>IFERROR(IF(A102&lt;&gt;"",VLOOKUP(Alunos!C102,'TP1'!A3:E1000,5, FALSE),""),"")</f>
        <v/>
      </c>
      <c r="E102" s="2" t="str">
        <f>IF(A102&lt;&gt;"",VLOOKUP(Alunos!A102,Agrupamentos!A3:C1000,3, FALSE),"")</f>
        <v/>
      </c>
      <c r="F102" s="2" t="str">
        <f>IFERROR(IF(A102&lt;&gt;"",VLOOKUP(Alunos!E102,'TP2'!A3:D1000,4, FALSE),""),"")</f>
        <v/>
      </c>
      <c r="G102" s="2" t="str">
        <f>IF(A102&lt;&gt;"", SUMIF(B1:F1,"&lt;&gt;",B102:F102),"")</f>
        <v/>
      </c>
      <c r="H102" s="2" t="str">
        <f>IF(AND(A102&lt;&gt;"",G102&lt;&gt;""),ROUND(G102,0),"")</f>
        <v/>
      </c>
      <c r="I102" s="2" t="str">
        <f>IFERROR(IF(A102&lt;&gt;"",VLOOKUP(Alunos!A102,Recurso!A3:D1000,4, FALSE),""), "")</f>
        <v/>
      </c>
      <c r="J102" s="2" t="str">
        <f>IF(AND(A102&lt;&gt;"",I102&lt;&gt;""), SUMIFS(B102:I102,B1:I1,"&lt;&gt;",B2:I2,"&lt;&gt;Exame",B2:I2,"&lt;&gt;exame",B2:I2,"&lt;&gt;Nota",B2:I2,"&lt;&gt;Total"),"")</f>
        <v/>
      </c>
      <c r="K102" s="2" t="str">
        <f>IF(AND(A102&lt;&gt;"",J102&lt;&gt;""),ROUND(J102,0),"")</f>
        <v/>
      </c>
    </row>
    <row r="103" spans="2:11" x14ac:dyDescent="0.3">
      <c r="B103" s="2" t="str">
        <f>IFERROR(IF(A103&lt;&gt;"",VLOOKUP(Alunos!A103,Exame!A3:D1000,4, FALSE),""), "")</f>
        <v/>
      </c>
      <c r="C103" s="2" t="str">
        <f>IF(A103&lt;&gt;"",VLOOKUP(Alunos!A103,Agrupamentos!A3:C1000,2, FALSE),"")</f>
        <v/>
      </c>
      <c r="D103" s="2" t="str">
        <f>IFERROR(IF(A103&lt;&gt;"",VLOOKUP(Alunos!C103,'TP1'!A3:E1000,5, FALSE),""),"")</f>
        <v/>
      </c>
      <c r="E103" s="2" t="str">
        <f>IF(A103&lt;&gt;"",VLOOKUP(Alunos!A103,Agrupamentos!A3:C1000,3, FALSE),"")</f>
        <v/>
      </c>
      <c r="F103" s="2" t="str">
        <f>IFERROR(IF(A103&lt;&gt;"",VLOOKUP(Alunos!E103,'TP2'!A3:D1000,4, FALSE),""),"")</f>
        <v/>
      </c>
      <c r="G103" s="2" t="str">
        <f>IF(A103&lt;&gt;"", SUMIF(B1:F1,"&lt;&gt;",B103:F103),"")</f>
        <v/>
      </c>
      <c r="H103" s="2" t="str">
        <f>IF(AND(A103&lt;&gt;"",G103&lt;&gt;""),ROUND(G103,0),"")</f>
        <v/>
      </c>
      <c r="I103" s="2" t="str">
        <f>IFERROR(IF(A103&lt;&gt;"",VLOOKUP(Alunos!A103,Recurso!A3:D1000,4, FALSE),""), "")</f>
        <v/>
      </c>
      <c r="J103" s="2" t="str">
        <f>IF(AND(A103&lt;&gt;"",I103&lt;&gt;""), SUMIFS(B103:I103,B1:I1,"&lt;&gt;",B2:I2,"&lt;&gt;Exame",B2:I2,"&lt;&gt;exame",B2:I2,"&lt;&gt;Nota",B2:I2,"&lt;&gt;Total"),"")</f>
        <v/>
      </c>
      <c r="K103" s="2" t="str">
        <f>IF(AND(A103&lt;&gt;"",J103&lt;&gt;""),ROUND(J103,0),"")</f>
        <v/>
      </c>
    </row>
    <row r="104" spans="2:11" x14ac:dyDescent="0.3">
      <c r="B104" s="2" t="str">
        <f>IFERROR(IF(A104&lt;&gt;"",VLOOKUP(Alunos!A104,Exame!A3:D1000,4, FALSE),""), "")</f>
        <v/>
      </c>
      <c r="C104" s="2" t="str">
        <f>IF(A104&lt;&gt;"",VLOOKUP(Alunos!A104,Agrupamentos!A3:C1000,2, FALSE),"")</f>
        <v/>
      </c>
      <c r="D104" s="2" t="str">
        <f>IFERROR(IF(A104&lt;&gt;"",VLOOKUP(Alunos!C104,'TP1'!A3:E1000,5, FALSE),""),"")</f>
        <v/>
      </c>
      <c r="E104" s="2" t="str">
        <f>IF(A104&lt;&gt;"",VLOOKUP(Alunos!A104,Agrupamentos!A3:C1000,3, FALSE),"")</f>
        <v/>
      </c>
      <c r="F104" s="2" t="str">
        <f>IFERROR(IF(A104&lt;&gt;"",VLOOKUP(Alunos!E104,'TP2'!A3:D1000,4, FALSE),""),"")</f>
        <v/>
      </c>
      <c r="G104" s="2" t="str">
        <f>IF(A104&lt;&gt;"", SUMIF(B1:F1,"&lt;&gt;",B104:F104),"")</f>
        <v/>
      </c>
      <c r="H104" s="2" t="str">
        <f>IF(AND(A104&lt;&gt;"",G104&lt;&gt;""),ROUND(G104,0),"")</f>
        <v/>
      </c>
      <c r="I104" s="2" t="str">
        <f>IFERROR(IF(A104&lt;&gt;"",VLOOKUP(Alunos!A104,Recurso!A3:D1000,4, FALSE),""), "")</f>
        <v/>
      </c>
      <c r="J104" s="2" t="str">
        <f>IF(AND(A104&lt;&gt;"",I104&lt;&gt;""), SUMIFS(B104:I104,B1:I1,"&lt;&gt;",B2:I2,"&lt;&gt;Exame",B2:I2,"&lt;&gt;exame",B2:I2,"&lt;&gt;Nota",B2:I2,"&lt;&gt;Total"),"")</f>
        <v/>
      </c>
      <c r="K104" s="2" t="str">
        <f>IF(AND(A104&lt;&gt;"",J104&lt;&gt;""),ROUND(J104,0),"")</f>
        <v/>
      </c>
    </row>
    <row r="105" spans="2:11" x14ac:dyDescent="0.3">
      <c r="B105" s="2" t="str">
        <f>IFERROR(IF(A105&lt;&gt;"",VLOOKUP(Alunos!A105,Exame!A3:D1000,4, FALSE),""), "")</f>
        <v/>
      </c>
      <c r="C105" s="2" t="str">
        <f>IF(A105&lt;&gt;"",VLOOKUP(Alunos!A105,Agrupamentos!A3:C1000,2, FALSE),"")</f>
        <v/>
      </c>
      <c r="D105" s="2" t="str">
        <f>IFERROR(IF(A105&lt;&gt;"",VLOOKUP(Alunos!C105,'TP1'!A3:E1000,5, FALSE),""),"")</f>
        <v/>
      </c>
      <c r="E105" s="2" t="str">
        <f>IF(A105&lt;&gt;"",VLOOKUP(Alunos!A105,Agrupamentos!A3:C1000,3, FALSE),"")</f>
        <v/>
      </c>
      <c r="F105" s="2" t="str">
        <f>IFERROR(IF(A105&lt;&gt;"",VLOOKUP(Alunos!E105,'TP2'!A3:D1000,4, FALSE),""),"")</f>
        <v/>
      </c>
      <c r="G105" s="2" t="str">
        <f>IF(A105&lt;&gt;"", SUMIF(B1:F1,"&lt;&gt;",B105:F105),"")</f>
        <v/>
      </c>
      <c r="H105" s="2" t="str">
        <f>IF(AND(A105&lt;&gt;"",G105&lt;&gt;""),ROUND(G105,0),"")</f>
        <v/>
      </c>
      <c r="I105" s="2" t="str">
        <f>IFERROR(IF(A105&lt;&gt;"",VLOOKUP(Alunos!A105,Recurso!A3:D1000,4, FALSE),""), "")</f>
        <v/>
      </c>
      <c r="J105" s="2" t="str">
        <f>IF(AND(A105&lt;&gt;"",I105&lt;&gt;""), SUMIFS(B105:I105,B1:I1,"&lt;&gt;",B2:I2,"&lt;&gt;Exame",B2:I2,"&lt;&gt;exame",B2:I2,"&lt;&gt;Nota",B2:I2,"&lt;&gt;Total"),"")</f>
        <v/>
      </c>
      <c r="K105" s="2" t="str">
        <f>IF(AND(A105&lt;&gt;"",J105&lt;&gt;""),ROUND(J105,0),"")</f>
        <v/>
      </c>
    </row>
    <row r="106" spans="2:11" x14ac:dyDescent="0.3">
      <c r="B106" s="2" t="str">
        <f>IFERROR(IF(A106&lt;&gt;"",VLOOKUP(Alunos!A106,Exame!A3:D1000,4, FALSE),""), "")</f>
        <v/>
      </c>
      <c r="C106" s="2" t="str">
        <f>IF(A106&lt;&gt;"",VLOOKUP(Alunos!A106,Agrupamentos!A3:C1000,2, FALSE),"")</f>
        <v/>
      </c>
      <c r="D106" s="2" t="str">
        <f>IFERROR(IF(A106&lt;&gt;"",VLOOKUP(Alunos!C106,'TP1'!A3:E1000,5, FALSE),""),"")</f>
        <v/>
      </c>
      <c r="E106" s="2" t="str">
        <f>IF(A106&lt;&gt;"",VLOOKUP(Alunos!A106,Agrupamentos!A3:C1000,3, FALSE),"")</f>
        <v/>
      </c>
      <c r="F106" s="2" t="str">
        <f>IFERROR(IF(A106&lt;&gt;"",VLOOKUP(Alunos!E106,'TP2'!A3:D1000,4, FALSE),""),"")</f>
        <v/>
      </c>
      <c r="G106" s="2" t="str">
        <f>IF(A106&lt;&gt;"", SUMIF(B1:F1,"&lt;&gt;",B106:F106),"")</f>
        <v/>
      </c>
      <c r="H106" s="2" t="str">
        <f>IF(AND(A106&lt;&gt;"",G106&lt;&gt;""),ROUND(G106,0),"")</f>
        <v/>
      </c>
      <c r="I106" s="2" t="str">
        <f>IFERROR(IF(A106&lt;&gt;"",VLOOKUP(Alunos!A106,Recurso!A3:D1000,4, FALSE),""), "")</f>
        <v/>
      </c>
      <c r="J106" s="2" t="str">
        <f>IF(AND(A106&lt;&gt;"",I106&lt;&gt;""), SUMIFS(B106:I106,B1:I1,"&lt;&gt;",B2:I2,"&lt;&gt;Exame",B2:I2,"&lt;&gt;exame",B2:I2,"&lt;&gt;Nota",B2:I2,"&lt;&gt;Total"),"")</f>
        <v/>
      </c>
      <c r="K106" s="2" t="str">
        <f>IF(AND(A106&lt;&gt;"",J106&lt;&gt;""),ROUND(J106,0),"")</f>
        <v/>
      </c>
    </row>
    <row r="107" spans="2:11" x14ac:dyDescent="0.3">
      <c r="B107" s="2" t="str">
        <f>IFERROR(IF(A107&lt;&gt;"",VLOOKUP(Alunos!A107,Exame!A3:D1000,4, FALSE),""), "")</f>
        <v/>
      </c>
      <c r="C107" s="2" t="str">
        <f>IF(A107&lt;&gt;"",VLOOKUP(Alunos!A107,Agrupamentos!A3:C1000,2, FALSE),"")</f>
        <v/>
      </c>
      <c r="D107" s="2" t="str">
        <f>IFERROR(IF(A107&lt;&gt;"",VLOOKUP(Alunos!C107,'TP1'!A3:E1000,5, FALSE),""),"")</f>
        <v/>
      </c>
      <c r="E107" s="2" t="str">
        <f>IF(A107&lt;&gt;"",VLOOKUP(Alunos!A107,Agrupamentos!A3:C1000,3, FALSE),"")</f>
        <v/>
      </c>
      <c r="F107" s="2" t="str">
        <f>IFERROR(IF(A107&lt;&gt;"",VLOOKUP(Alunos!E107,'TP2'!A3:D1000,4, FALSE),""),"")</f>
        <v/>
      </c>
      <c r="G107" s="2" t="str">
        <f>IF(A107&lt;&gt;"", SUMIF(B1:F1,"&lt;&gt;",B107:F107),"")</f>
        <v/>
      </c>
      <c r="H107" s="2" t="str">
        <f>IF(AND(A107&lt;&gt;"",G107&lt;&gt;""),ROUND(G107,0),"")</f>
        <v/>
      </c>
      <c r="I107" s="2" t="str">
        <f>IFERROR(IF(A107&lt;&gt;"",VLOOKUP(Alunos!A107,Recurso!A3:D1000,4, FALSE),""), "")</f>
        <v/>
      </c>
      <c r="J107" s="2" t="str">
        <f>IF(AND(A107&lt;&gt;"",I107&lt;&gt;""), SUMIFS(B107:I107,B1:I1,"&lt;&gt;",B2:I2,"&lt;&gt;Exame",B2:I2,"&lt;&gt;exame",B2:I2,"&lt;&gt;Nota",B2:I2,"&lt;&gt;Total"),"")</f>
        <v/>
      </c>
      <c r="K107" s="2" t="str">
        <f>IF(AND(A107&lt;&gt;"",J107&lt;&gt;""),ROUND(J107,0),"")</f>
        <v/>
      </c>
    </row>
    <row r="108" spans="2:11" x14ac:dyDescent="0.3">
      <c r="B108" s="2" t="str">
        <f>IFERROR(IF(A108&lt;&gt;"",VLOOKUP(Alunos!A108,Exame!A3:D1000,4, FALSE),""), "")</f>
        <v/>
      </c>
      <c r="C108" s="2" t="str">
        <f>IF(A108&lt;&gt;"",VLOOKUP(Alunos!A108,Agrupamentos!A3:C1000,2, FALSE),"")</f>
        <v/>
      </c>
      <c r="D108" s="2" t="str">
        <f>IFERROR(IF(A108&lt;&gt;"",VLOOKUP(Alunos!C108,'TP1'!A3:E1000,5, FALSE),""),"")</f>
        <v/>
      </c>
      <c r="E108" s="2" t="str">
        <f>IF(A108&lt;&gt;"",VLOOKUP(Alunos!A108,Agrupamentos!A3:C1000,3, FALSE),"")</f>
        <v/>
      </c>
      <c r="F108" s="2" t="str">
        <f>IFERROR(IF(A108&lt;&gt;"",VLOOKUP(Alunos!E108,'TP2'!A3:D1000,4, FALSE),""),"")</f>
        <v/>
      </c>
      <c r="G108" s="2" t="str">
        <f>IF(A108&lt;&gt;"", SUMIF(B1:F1,"&lt;&gt;",B108:F108),"")</f>
        <v/>
      </c>
      <c r="H108" s="2" t="str">
        <f>IF(AND(A108&lt;&gt;"",G108&lt;&gt;""),ROUND(G108,0),"")</f>
        <v/>
      </c>
      <c r="I108" s="2" t="str">
        <f>IFERROR(IF(A108&lt;&gt;"",VLOOKUP(Alunos!A108,Recurso!A3:D1000,4, FALSE),""), "")</f>
        <v/>
      </c>
      <c r="J108" s="2" t="str">
        <f>IF(AND(A108&lt;&gt;"",I108&lt;&gt;""), SUMIFS(B108:I108,B1:I1,"&lt;&gt;",B2:I2,"&lt;&gt;Exame",B2:I2,"&lt;&gt;exame",B2:I2,"&lt;&gt;Nota",B2:I2,"&lt;&gt;Total"),"")</f>
        <v/>
      </c>
      <c r="K108" s="2" t="str">
        <f>IF(AND(A108&lt;&gt;"",J108&lt;&gt;""),ROUND(J108,0),"")</f>
        <v/>
      </c>
    </row>
    <row r="109" spans="2:11" x14ac:dyDescent="0.3">
      <c r="B109" s="2" t="str">
        <f>IFERROR(IF(A109&lt;&gt;"",VLOOKUP(Alunos!A109,Exame!A3:D1000,4, FALSE),""), "")</f>
        <v/>
      </c>
      <c r="C109" s="2" t="str">
        <f>IF(A109&lt;&gt;"",VLOOKUP(Alunos!A109,Agrupamentos!A3:C1000,2, FALSE),"")</f>
        <v/>
      </c>
      <c r="D109" s="2" t="str">
        <f>IFERROR(IF(A109&lt;&gt;"",VLOOKUP(Alunos!C109,'TP1'!A3:E1000,5, FALSE),""),"")</f>
        <v/>
      </c>
      <c r="E109" s="2" t="str">
        <f>IF(A109&lt;&gt;"",VLOOKUP(Alunos!A109,Agrupamentos!A3:C1000,3, FALSE),"")</f>
        <v/>
      </c>
      <c r="F109" s="2" t="str">
        <f>IFERROR(IF(A109&lt;&gt;"",VLOOKUP(Alunos!E109,'TP2'!A3:D1000,4, FALSE),""),"")</f>
        <v/>
      </c>
      <c r="G109" s="2" t="str">
        <f>IF(A109&lt;&gt;"", SUMIF(B1:F1,"&lt;&gt;",B109:F109),"")</f>
        <v/>
      </c>
      <c r="H109" s="2" t="str">
        <f>IF(AND(A109&lt;&gt;"",G109&lt;&gt;""),ROUND(G109,0),"")</f>
        <v/>
      </c>
      <c r="I109" s="2" t="str">
        <f>IFERROR(IF(A109&lt;&gt;"",VLOOKUP(Alunos!A109,Recurso!A3:D1000,4, FALSE),""), "")</f>
        <v/>
      </c>
      <c r="J109" s="2" t="str">
        <f>IF(AND(A109&lt;&gt;"",I109&lt;&gt;""), SUMIFS(B109:I109,B1:I1,"&lt;&gt;",B2:I2,"&lt;&gt;Exame",B2:I2,"&lt;&gt;exame",B2:I2,"&lt;&gt;Nota",B2:I2,"&lt;&gt;Total"),"")</f>
        <v/>
      </c>
      <c r="K109" s="2" t="str">
        <f>IF(AND(A109&lt;&gt;"",J109&lt;&gt;""),ROUND(J109,0),"")</f>
        <v/>
      </c>
    </row>
    <row r="110" spans="2:11" x14ac:dyDescent="0.3">
      <c r="B110" s="2" t="str">
        <f>IFERROR(IF(A110&lt;&gt;"",VLOOKUP(Alunos!A110,Exame!A3:D1000,4, FALSE),""), "")</f>
        <v/>
      </c>
      <c r="C110" s="2" t="str">
        <f>IF(A110&lt;&gt;"",VLOOKUP(Alunos!A110,Agrupamentos!A3:C1000,2, FALSE),"")</f>
        <v/>
      </c>
      <c r="D110" s="2" t="str">
        <f>IFERROR(IF(A110&lt;&gt;"",VLOOKUP(Alunos!C110,'TP1'!A3:E1000,5, FALSE),""),"")</f>
        <v/>
      </c>
      <c r="E110" s="2" t="str">
        <f>IF(A110&lt;&gt;"",VLOOKUP(Alunos!A110,Agrupamentos!A3:C1000,3, FALSE),"")</f>
        <v/>
      </c>
      <c r="F110" s="2" t="str">
        <f>IFERROR(IF(A110&lt;&gt;"",VLOOKUP(Alunos!E110,'TP2'!A3:D1000,4, FALSE),""),"")</f>
        <v/>
      </c>
      <c r="G110" s="2" t="str">
        <f>IF(A110&lt;&gt;"", SUMIF(B1:F1,"&lt;&gt;",B110:F110),"")</f>
        <v/>
      </c>
      <c r="H110" s="2" t="str">
        <f>IF(AND(A110&lt;&gt;"",G110&lt;&gt;""),ROUND(G110,0),"")</f>
        <v/>
      </c>
      <c r="I110" s="2" t="str">
        <f>IFERROR(IF(A110&lt;&gt;"",VLOOKUP(Alunos!A110,Recurso!A3:D1000,4, FALSE),""), "")</f>
        <v/>
      </c>
      <c r="J110" s="2" t="str">
        <f>IF(AND(A110&lt;&gt;"",I110&lt;&gt;""), SUMIFS(B110:I110,B1:I1,"&lt;&gt;",B2:I2,"&lt;&gt;Exame",B2:I2,"&lt;&gt;exame",B2:I2,"&lt;&gt;Nota",B2:I2,"&lt;&gt;Total"),"")</f>
        <v/>
      </c>
      <c r="K110" s="2" t="str">
        <f>IF(AND(A110&lt;&gt;"",J110&lt;&gt;""),ROUND(J110,0),"")</f>
        <v/>
      </c>
    </row>
    <row r="111" spans="2:11" x14ac:dyDescent="0.3">
      <c r="B111" s="2" t="str">
        <f>IFERROR(IF(A111&lt;&gt;"",VLOOKUP(Alunos!A111,Exame!A3:D1000,4, FALSE),""), "")</f>
        <v/>
      </c>
      <c r="C111" s="2" t="str">
        <f>IF(A111&lt;&gt;"",VLOOKUP(Alunos!A111,Agrupamentos!A3:C1000,2, FALSE),"")</f>
        <v/>
      </c>
      <c r="D111" s="2" t="str">
        <f>IFERROR(IF(A111&lt;&gt;"",VLOOKUP(Alunos!C111,'TP1'!A3:E1000,5, FALSE),""),"")</f>
        <v/>
      </c>
      <c r="E111" s="2" t="str">
        <f>IF(A111&lt;&gt;"",VLOOKUP(Alunos!A111,Agrupamentos!A3:C1000,3, FALSE),"")</f>
        <v/>
      </c>
      <c r="F111" s="2" t="str">
        <f>IFERROR(IF(A111&lt;&gt;"",VLOOKUP(Alunos!E111,'TP2'!A3:D1000,4, FALSE),""),"")</f>
        <v/>
      </c>
      <c r="G111" s="2" t="str">
        <f>IF(A111&lt;&gt;"", SUMIF(B1:F1,"&lt;&gt;",B111:F111),"")</f>
        <v/>
      </c>
      <c r="H111" s="2" t="str">
        <f>IF(AND(A111&lt;&gt;"",G111&lt;&gt;""),ROUND(G111,0),"")</f>
        <v/>
      </c>
      <c r="I111" s="2" t="str">
        <f>IFERROR(IF(A111&lt;&gt;"",VLOOKUP(Alunos!A111,Recurso!A3:D1000,4, FALSE),""), "")</f>
        <v/>
      </c>
      <c r="J111" s="2" t="str">
        <f>IF(AND(A111&lt;&gt;"",I111&lt;&gt;""), SUMIFS(B111:I111,B1:I1,"&lt;&gt;",B2:I2,"&lt;&gt;Exame",B2:I2,"&lt;&gt;exame",B2:I2,"&lt;&gt;Nota",B2:I2,"&lt;&gt;Total"),"")</f>
        <v/>
      </c>
      <c r="K111" s="2" t="str">
        <f>IF(AND(A111&lt;&gt;"",J111&lt;&gt;""),ROUND(J111,0),"")</f>
        <v/>
      </c>
    </row>
    <row r="112" spans="2:11" x14ac:dyDescent="0.3">
      <c r="B112" s="2" t="str">
        <f>IFERROR(IF(A112&lt;&gt;"",VLOOKUP(Alunos!A112,Exame!A3:D1000,4, FALSE),""), "")</f>
        <v/>
      </c>
      <c r="C112" s="2" t="str">
        <f>IF(A112&lt;&gt;"",VLOOKUP(Alunos!A112,Agrupamentos!A3:C1000,2, FALSE),"")</f>
        <v/>
      </c>
      <c r="D112" s="2" t="str">
        <f>IFERROR(IF(A112&lt;&gt;"",VLOOKUP(Alunos!C112,'TP1'!A3:E1000,5, FALSE),""),"")</f>
        <v/>
      </c>
      <c r="E112" s="2" t="str">
        <f>IF(A112&lt;&gt;"",VLOOKUP(Alunos!A112,Agrupamentos!A3:C1000,3, FALSE),"")</f>
        <v/>
      </c>
      <c r="F112" s="2" t="str">
        <f>IFERROR(IF(A112&lt;&gt;"",VLOOKUP(Alunos!E112,'TP2'!A3:D1000,4, FALSE),""),"")</f>
        <v/>
      </c>
      <c r="G112" s="2" t="str">
        <f>IF(A112&lt;&gt;"", SUMIF(B1:F1,"&lt;&gt;",B112:F112),"")</f>
        <v/>
      </c>
      <c r="H112" s="2" t="str">
        <f>IF(AND(A112&lt;&gt;"",G112&lt;&gt;""),ROUND(G112,0),"")</f>
        <v/>
      </c>
      <c r="I112" s="2" t="str">
        <f>IFERROR(IF(A112&lt;&gt;"",VLOOKUP(Alunos!A112,Recurso!A3:D1000,4, FALSE),""), "")</f>
        <v/>
      </c>
      <c r="J112" s="2" t="str">
        <f>IF(AND(A112&lt;&gt;"",I112&lt;&gt;""), SUMIFS(B112:I112,B1:I1,"&lt;&gt;",B2:I2,"&lt;&gt;Exame",B2:I2,"&lt;&gt;exame",B2:I2,"&lt;&gt;Nota",B2:I2,"&lt;&gt;Total"),"")</f>
        <v/>
      </c>
      <c r="K112" s="2" t="str">
        <f>IF(AND(A112&lt;&gt;"",J112&lt;&gt;""),ROUND(J112,0),"")</f>
        <v/>
      </c>
    </row>
    <row r="113" spans="2:11" x14ac:dyDescent="0.3">
      <c r="B113" s="2" t="str">
        <f>IFERROR(IF(A113&lt;&gt;"",VLOOKUP(Alunos!A113,Exame!A3:D1000,4, FALSE),""), "")</f>
        <v/>
      </c>
      <c r="C113" s="2" t="str">
        <f>IF(A113&lt;&gt;"",VLOOKUP(Alunos!A113,Agrupamentos!A3:C1000,2, FALSE),"")</f>
        <v/>
      </c>
      <c r="D113" s="2" t="str">
        <f>IFERROR(IF(A113&lt;&gt;"",VLOOKUP(Alunos!C113,'TP1'!A3:E1000,5, FALSE),""),"")</f>
        <v/>
      </c>
      <c r="E113" s="2" t="str">
        <f>IF(A113&lt;&gt;"",VLOOKUP(Alunos!A113,Agrupamentos!A3:C1000,3, FALSE),"")</f>
        <v/>
      </c>
      <c r="F113" s="2" t="str">
        <f>IFERROR(IF(A113&lt;&gt;"",VLOOKUP(Alunos!E113,'TP2'!A3:D1000,4, FALSE),""),"")</f>
        <v/>
      </c>
      <c r="G113" s="2" t="str">
        <f>IF(A113&lt;&gt;"", SUMIF(B1:F1,"&lt;&gt;",B113:F113),"")</f>
        <v/>
      </c>
      <c r="H113" s="2" t="str">
        <f>IF(AND(A113&lt;&gt;"",G113&lt;&gt;""),ROUND(G113,0),"")</f>
        <v/>
      </c>
      <c r="I113" s="2" t="str">
        <f>IFERROR(IF(A113&lt;&gt;"",VLOOKUP(Alunos!A113,Recurso!A3:D1000,4, FALSE),""), "")</f>
        <v/>
      </c>
      <c r="J113" s="2" t="str">
        <f>IF(AND(A113&lt;&gt;"",I113&lt;&gt;""), SUMIFS(B113:I113,B1:I1,"&lt;&gt;",B2:I2,"&lt;&gt;Exame",B2:I2,"&lt;&gt;exame",B2:I2,"&lt;&gt;Nota",B2:I2,"&lt;&gt;Total"),"")</f>
        <v/>
      </c>
      <c r="K113" s="2" t="str">
        <f>IF(AND(A113&lt;&gt;"",J113&lt;&gt;""),ROUND(J113,0),"")</f>
        <v/>
      </c>
    </row>
    <row r="114" spans="2:11" x14ac:dyDescent="0.3">
      <c r="B114" s="2" t="str">
        <f>IFERROR(IF(A114&lt;&gt;"",VLOOKUP(Alunos!A114,Exame!A3:D1000,4, FALSE),""), "")</f>
        <v/>
      </c>
      <c r="C114" s="2" t="str">
        <f>IF(A114&lt;&gt;"",VLOOKUP(Alunos!A114,Agrupamentos!A3:C1000,2, FALSE),"")</f>
        <v/>
      </c>
      <c r="D114" s="2" t="str">
        <f>IFERROR(IF(A114&lt;&gt;"",VLOOKUP(Alunos!C114,'TP1'!A3:E1000,5, FALSE),""),"")</f>
        <v/>
      </c>
      <c r="E114" s="2" t="str">
        <f>IF(A114&lt;&gt;"",VLOOKUP(Alunos!A114,Agrupamentos!A3:C1000,3, FALSE),"")</f>
        <v/>
      </c>
      <c r="F114" s="2" t="str">
        <f>IFERROR(IF(A114&lt;&gt;"",VLOOKUP(Alunos!E114,'TP2'!A3:D1000,4, FALSE),""),"")</f>
        <v/>
      </c>
      <c r="G114" s="2" t="str">
        <f>IF(A114&lt;&gt;"", SUMIF(B1:F1,"&lt;&gt;",B114:F114),"")</f>
        <v/>
      </c>
      <c r="H114" s="2" t="str">
        <f>IF(AND(A114&lt;&gt;"",G114&lt;&gt;""),ROUND(G114,0),"")</f>
        <v/>
      </c>
      <c r="I114" s="2" t="str">
        <f>IFERROR(IF(A114&lt;&gt;"",VLOOKUP(Alunos!A114,Recurso!A3:D1000,4, FALSE),""), "")</f>
        <v/>
      </c>
      <c r="J114" s="2" t="str">
        <f>IF(AND(A114&lt;&gt;"",I114&lt;&gt;""), SUMIFS(B114:I114,B1:I1,"&lt;&gt;",B2:I2,"&lt;&gt;Exame",B2:I2,"&lt;&gt;exame",B2:I2,"&lt;&gt;Nota",B2:I2,"&lt;&gt;Total"),"")</f>
        <v/>
      </c>
      <c r="K114" s="2" t="str">
        <f>IF(AND(A114&lt;&gt;"",J114&lt;&gt;""),ROUND(J114,0),"")</f>
        <v/>
      </c>
    </row>
    <row r="115" spans="2:11" x14ac:dyDescent="0.3">
      <c r="B115" s="2" t="str">
        <f>IFERROR(IF(A115&lt;&gt;"",VLOOKUP(Alunos!A115,Exame!A3:D1000,4, FALSE),""), "")</f>
        <v/>
      </c>
      <c r="C115" s="2" t="str">
        <f>IF(A115&lt;&gt;"",VLOOKUP(Alunos!A115,Agrupamentos!A3:C1000,2, FALSE),"")</f>
        <v/>
      </c>
      <c r="D115" s="2" t="str">
        <f>IFERROR(IF(A115&lt;&gt;"",VLOOKUP(Alunos!C115,'TP1'!A3:E1000,5, FALSE),""),"")</f>
        <v/>
      </c>
      <c r="E115" s="2" t="str">
        <f>IF(A115&lt;&gt;"",VLOOKUP(Alunos!A115,Agrupamentos!A3:C1000,3, FALSE),"")</f>
        <v/>
      </c>
      <c r="F115" s="2" t="str">
        <f>IFERROR(IF(A115&lt;&gt;"",VLOOKUP(Alunos!E115,'TP2'!A3:D1000,4, FALSE),""),"")</f>
        <v/>
      </c>
      <c r="G115" s="2" t="str">
        <f>IF(A115&lt;&gt;"", SUMIF(B1:F1,"&lt;&gt;",B115:F115),"")</f>
        <v/>
      </c>
      <c r="H115" s="2" t="str">
        <f>IF(AND(A115&lt;&gt;"",G115&lt;&gt;""),ROUND(G115,0),"")</f>
        <v/>
      </c>
      <c r="I115" s="2" t="str">
        <f>IFERROR(IF(A115&lt;&gt;"",VLOOKUP(Alunos!A115,Recurso!A3:D1000,4, FALSE),""), "")</f>
        <v/>
      </c>
      <c r="J115" s="2" t="str">
        <f>IF(AND(A115&lt;&gt;"",I115&lt;&gt;""), SUMIFS(B115:I115,B1:I1,"&lt;&gt;",B2:I2,"&lt;&gt;Exame",B2:I2,"&lt;&gt;exame",B2:I2,"&lt;&gt;Nota",B2:I2,"&lt;&gt;Total"),"")</f>
        <v/>
      </c>
      <c r="K115" s="2" t="str">
        <f>IF(AND(A115&lt;&gt;"",J115&lt;&gt;""),ROUND(J115,0),"")</f>
        <v/>
      </c>
    </row>
    <row r="116" spans="2:11" x14ac:dyDescent="0.3">
      <c r="B116" s="2" t="str">
        <f>IFERROR(IF(A116&lt;&gt;"",VLOOKUP(Alunos!A116,Exame!A3:D1000,4, FALSE),""), "")</f>
        <v/>
      </c>
      <c r="C116" s="2" t="str">
        <f>IF(A116&lt;&gt;"",VLOOKUP(Alunos!A116,Agrupamentos!A3:C1000,2, FALSE),"")</f>
        <v/>
      </c>
      <c r="D116" s="2" t="str">
        <f>IFERROR(IF(A116&lt;&gt;"",VLOOKUP(Alunos!C116,'TP1'!A3:E1000,5, FALSE),""),"")</f>
        <v/>
      </c>
      <c r="E116" s="2" t="str">
        <f>IF(A116&lt;&gt;"",VLOOKUP(Alunos!A116,Agrupamentos!A3:C1000,3, FALSE),"")</f>
        <v/>
      </c>
      <c r="F116" s="2" t="str">
        <f>IFERROR(IF(A116&lt;&gt;"",VLOOKUP(Alunos!E116,'TP2'!A3:D1000,4, FALSE),""),"")</f>
        <v/>
      </c>
      <c r="G116" s="2" t="str">
        <f>IF(A116&lt;&gt;"", SUMIF(B1:F1,"&lt;&gt;",B116:F116),"")</f>
        <v/>
      </c>
      <c r="H116" s="2" t="str">
        <f>IF(AND(A116&lt;&gt;"",G116&lt;&gt;""),ROUND(G116,0),"")</f>
        <v/>
      </c>
      <c r="I116" s="2" t="str">
        <f>IFERROR(IF(A116&lt;&gt;"",VLOOKUP(Alunos!A116,Recurso!A3:D1000,4, FALSE),""), "")</f>
        <v/>
      </c>
      <c r="J116" s="2" t="str">
        <f>IF(AND(A116&lt;&gt;"",I116&lt;&gt;""), SUMIFS(B116:I116,B1:I1,"&lt;&gt;",B2:I2,"&lt;&gt;Exame",B2:I2,"&lt;&gt;exame",B2:I2,"&lt;&gt;Nota",B2:I2,"&lt;&gt;Total"),"")</f>
        <v/>
      </c>
      <c r="K116" s="2" t="str">
        <f>IF(AND(A116&lt;&gt;"",J116&lt;&gt;""),ROUND(J116,0),"")</f>
        <v/>
      </c>
    </row>
    <row r="117" spans="2:11" x14ac:dyDescent="0.3">
      <c r="B117" s="2" t="str">
        <f>IFERROR(IF(A117&lt;&gt;"",VLOOKUP(Alunos!A117,Exame!A3:D1000,4, FALSE),""), "")</f>
        <v/>
      </c>
      <c r="C117" s="2" t="str">
        <f>IF(A117&lt;&gt;"",VLOOKUP(Alunos!A117,Agrupamentos!A3:C1000,2, FALSE),"")</f>
        <v/>
      </c>
      <c r="D117" s="2" t="str">
        <f>IFERROR(IF(A117&lt;&gt;"",VLOOKUP(Alunos!C117,'TP1'!A3:E1000,5, FALSE),""),"")</f>
        <v/>
      </c>
      <c r="E117" s="2" t="str">
        <f>IF(A117&lt;&gt;"",VLOOKUP(Alunos!A117,Agrupamentos!A3:C1000,3, FALSE),"")</f>
        <v/>
      </c>
      <c r="F117" s="2" t="str">
        <f>IFERROR(IF(A117&lt;&gt;"",VLOOKUP(Alunos!E117,'TP2'!A3:D1000,4, FALSE),""),"")</f>
        <v/>
      </c>
      <c r="G117" s="2" t="str">
        <f>IF(A117&lt;&gt;"", SUMIF(B1:F1,"&lt;&gt;",B117:F117),"")</f>
        <v/>
      </c>
      <c r="H117" s="2" t="str">
        <f>IF(AND(A117&lt;&gt;"",G117&lt;&gt;""),ROUND(G117,0),"")</f>
        <v/>
      </c>
      <c r="I117" s="2" t="str">
        <f>IFERROR(IF(A117&lt;&gt;"",VLOOKUP(Alunos!A117,Recurso!A3:D1000,4, FALSE),""), "")</f>
        <v/>
      </c>
      <c r="J117" s="2" t="str">
        <f>IF(AND(A117&lt;&gt;"",I117&lt;&gt;""), SUMIFS(B117:I117,B1:I1,"&lt;&gt;",B2:I2,"&lt;&gt;Exame",B2:I2,"&lt;&gt;exame",B2:I2,"&lt;&gt;Nota",B2:I2,"&lt;&gt;Total"),"")</f>
        <v/>
      </c>
      <c r="K117" s="2" t="str">
        <f>IF(AND(A117&lt;&gt;"",J117&lt;&gt;""),ROUND(J117,0),"")</f>
        <v/>
      </c>
    </row>
    <row r="118" spans="2:11" x14ac:dyDescent="0.3">
      <c r="B118" s="2" t="str">
        <f>IFERROR(IF(A118&lt;&gt;"",VLOOKUP(Alunos!A118,Exame!A3:D1000,4, FALSE),""), "")</f>
        <v/>
      </c>
      <c r="C118" s="2" t="str">
        <f>IF(A118&lt;&gt;"",VLOOKUP(Alunos!A118,Agrupamentos!A3:C1000,2, FALSE),"")</f>
        <v/>
      </c>
      <c r="D118" s="2" t="str">
        <f>IFERROR(IF(A118&lt;&gt;"",VLOOKUP(Alunos!C118,'TP1'!A3:E1000,5, FALSE),""),"")</f>
        <v/>
      </c>
      <c r="E118" s="2" t="str">
        <f>IF(A118&lt;&gt;"",VLOOKUP(Alunos!A118,Agrupamentos!A3:C1000,3, FALSE),"")</f>
        <v/>
      </c>
      <c r="F118" s="2" t="str">
        <f>IFERROR(IF(A118&lt;&gt;"",VLOOKUP(Alunos!E118,'TP2'!A3:D1000,4, FALSE),""),"")</f>
        <v/>
      </c>
      <c r="G118" s="2" t="str">
        <f>IF(A118&lt;&gt;"", SUMIF(B1:F1,"&lt;&gt;",B118:F118),"")</f>
        <v/>
      </c>
      <c r="H118" s="2" t="str">
        <f>IF(AND(A118&lt;&gt;"",G118&lt;&gt;""),ROUND(G118,0),"")</f>
        <v/>
      </c>
      <c r="I118" s="2" t="str">
        <f>IFERROR(IF(A118&lt;&gt;"",VLOOKUP(Alunos!A118,Recurso!A3:D1000,4, FALSE),""), "")</f>
        <v/>
      </c>
      <c r="J118" s="2" t="str">
        <f>IF(AND(A118&lt;&gt;"",I118&lt;&gt;""), SUMIFS(B118:I118,B1:I1,"&lt;&gt;",B2:I2,"&lt;&gt;Exame",B2:I2,"&lt;&gt;exame",B2:I2,"&lt;&gt;Nota",B2:I2,"&lt;&gt;Total"),"")</f>
        <v/>
      </c>
      <c r="K118" s="2" t="str">
        <f>IF(AND(A118&lt;&gt;"",J118&lt;&gt;""),ROUND(J118,0),"")</f>
        <v/>
      </c>
    </row>
    <row r="119" spans="2:11" x14ac:dyDescent="0.3">
      <c r="B119" s="2" t="str">
        <f>IFERROR(IF(A119&lt;&gt;"",VLOOKUP(Alunos!A119,Exame!A3:D1000,4, FALSE),""), "")</f>
        <v/>
      </c>
      <c r="C119" s="2" t="str">
        <f>IF(A119&lt;&gt;"",VLOOKUP(Alunos!A119,Agrupamentos!A3:C1000,2, FALSE),"")</f>
        <v/>
      </c>
      <c r="D119" s="2" t="str">
        <f>IFERROR(IF(A119&lt;&gt;"",VLOOKUP(Alunos!C119,'TP1'!A3:E1000,5, FALSE),""),"")</f>
        <v/>
      </c>
      <c r="E119" s="2" t="str">
        <f>IF(A119&lt;&gt;"",VLOOKUP(Alunos!A119,Agrupamentos!A3:C1000,3, FALSE),"")</f>
        <v/>
      </c>
      <c r="F119" s="2" t="str">
        <f>IFERROR(IF(A119&lt;&gt;"",VLOOKUP(Alunos!E119,'TP2'!A3:D1000,4, FALSE),""),"")</f>
        <v/>
      </c>
      <c r="G119" s="2" t="str">
        <f>IF(A119&lt;&gt;"", SUMIF(B1:F1,"&lt;&gt;",B119:F119),"")</f>
        <v/>
      </c>
      <c r="H119" s="2" t="str">
        <f>IF(AND(A119&lt;&gt;"",G119&lt;&gt;""),ROUND(G119,0),"")</f>
        <v/>
      </c>
      <c r="I119" s="2" t="str">
        <f>IFERROR(IF(A119&lt;&gt;"",VLOOKUP(Alunos!A119,Recurso!A3:D1000,4, FALSE),""), "")</f>
        <v/>
      </c>
      <c r="J119" s="2" t="str">
        <f>IF(AND(A119&lt;&gt;"",I119&lt;&gt;""), SUMIFS(B119:I119,B1:I1,"&lt;&gt;",B2:I2,"&lt;&gt;Exame",B2:I2,"&lt;&gt;exame",B2:I2,"&lt;&gt;Nota",B2:I2,"&lt;&gt;Total"),"")</f>
        <v/>
      </c>
      <c r="K119" s="2" t="str">
        <f>IF(AND(A119&lt;&gt;"",J119&lt;&gt;""),ROUND(J119,0),"")</f>
        <v/>
      </c>
    </row>
    <row r="120" spans="2:11" x14ac:dyDescent="0.3">
      <c r="B120" s="2" t="str">
        <f>IFERROR(IF(A120&lt;&gt;"",VLOOKUP(Alunos!A120,Exame!A3:D1000,4, FALSE),""), "")</f>
        <v/>
      </c>
      <c r="C120" s="2" t="str">
        <f>IF(A120&lt;&gt;"",VLOOKUP(Alunos!A120,Agrupamentos!A3:C1000,2, FALSE),"")</f>
        <v/>
      </c>
      <c r="D120" s="2" t="str">
        <f>IFERROR(IF(A120&lt;&gt;"",VLOOKUP(Alunos!C120,'TP1'!A3:E1000,5, FALSE),""),"")</f>
        <v/>
      </c>
      <c r="E120" s="2" t="str">
        <f>IF(A120&lt;&gt;"",VLOOKUP(Alunos!A120,Agrupamentos!A3:C1000,3, FALSE),"")</f>
        <v/>
      </c>
      <c r="F120" s="2" t="str">
        <f>IFERROR(IF(A120&lt;&gt;"",VLOOKUP(Alunos!E120,'TP2'!A3:D1000,4, FALSE),""),"")</f>
        <v/>
      </c>
      <c r="G120" s="2" t="str">
        <f>IF(A120&lt;&gt;"", SUMIF(B1:F1,"&lt;&gt;",B120:F120),"")</f>
        <v/>
      </c>
      <c r="H120" s="2" t="str">
        <f>IF(AND(A120&lt;&gt;"",G120&lt;&gt;""),ROUND(G120,0),"")</f>
        <v/>
      </c>
      <c r="I120" s="2" t="str">
        <f>IFERROR(IF(A120&lt;&gt;"",VLOOKUP(Alunos!A120,Recurso!A3:D1000,4, FALSE),""), "")</f>
        <v/>
      </c>
      <c r="J120" s="2" t="str">
        <f>IF(AND(A120&lt;&gt;"",I120&lt;&gt;""), SUMIFS(B120:I120,B1:I1,"&lt;&gt;",B2:I2,"&lt;&gt;Exame",B2:I2,"&lt;&gt;exame",B2:I2,"&lt;&gt;Nota",B2:I2,"&lt;&gt;Total"),"")</f>
        <v/>
      </c>
      <c r="K120" s="2" t="str">
        <f>IF(AND(A120&lt;&gt;"",J120&lt;&gt;""),ROUND(J120,0),"")</f>
        <v/>
      </c>
    </row>
    <row r="121" spans="2:11" x14ac:dyDescent="0.3">
      <c r="B121" s="2" t="str">
        <f>IFERROR(IF(A121&lt;&gt;"",VLOOKUP(Alunos!A121,Exame!A3:D1000,4, FALSE),""), "")</f>
        <v/>
      </c>
      <c r="C121" s="2" t="str">
        <f>IF(A121&lt;&gt;"",VLOOKUP(Alunos!A121,Agrupamentos!A3:C1000,2, FALSE),"")</f>
        <v/>
      </c>
      <c r="D121" s="2" t="str">
        <f>IFERROR(IF(A121&lt;&gt;"",VLOOKUP(Alunos!C121,'TP1'!A3:E1000,5, FALSE),""),"")</f>
        <v/>
      </c>
      <c r="E121" s="2" t="str">
        <f>IF(A121&lt;&gt;"",VLOOKUP(Alunos!A121,Agrupamentos!A3:C1000,3, FALSE),"")</f>
        <v/>
      </c>
      <c r="F121" s="2" t="str">
        <f>IFERROR(IF(A121&lt;&gt;"",VLOOKUP(Alunos!E121,'TP2'!A3:D1000,4, FALSE),""),"")</f>
        <v/>
      </c>
      <c r="G121" s="2" t="str">
        <f>IF(A121&lt;&gt;"", SUMIF(B1:F1,"&lt;&gt;",B121:F121),"")</f>
        <v/>
      </c>
      <c r="H121" s="2" t="str">
        <f>IF(AND(A121&lt;&gt;"",G121&lt;&gt;""),ROUND(G121,0),"")</f>
        <v/>
      </c>
      <c r="I121" s="2" t="str">
        <f>IFERROR(IF(A121&lt;&gt;"",VLOOKUP(Alunos!A121,Recurso!A3:D1000,4, FALSE),""), "")</f>
        <v/>
      </c>
      <c r="J121" s="2" t="str">
        <f>IF(AND(A121&lt;&gt;"",I121&lt;&gt;""), SUMIFS(B121:I121,B1:I1,"&lt;&gt;",B2:I2,"&lt;&gt;Exame",B2:I2,"&lt;&gt;exame",B2:I2,"&lt;&gt;Nota",B2:I2,"&lt;&gt;Total"),"")</f>
        <v/>
      </c>
      <c r="K121" s="2" t="str">
        <f>IF(AND(A121&lt;&gt;"",J121&lt;&gt;""),ROUND(J121,0),"")</f>
        <v/>
      </c>
    </row>
    <row r="122" spans="2:11" x14ac:dyDescent="0.3">
      <c r="B122" s="2" t="str">
        <f>IFERROR(IF(A122&lt;&gt;"",VLOOKUP(Alunos!A122,Exame!A3:D1000,4, FALSE),""), "")</f>
        <v/>
      </c>
      <c r="C122" s="2" t="str">
        <f>IF(A122&lt;&gt;"",VLOOKUP(Alunos!A122,Agrupamentos!A3:C1000,2, FALSE),"")</f>
        <v/>
      </c>
      <c r="D122" s="2" t="str">
        <f>IFERROR(IF(A122&lt;&gt;"",VLOOKUP(Alunos!C122,'TP1'!A3:E1000,5, FALSE),""),"")</f>
        <v/>
      </c>
      <c r="E122" s="2" t="str">
        <f>IF(A122&lt;&gt;"",VLOOKUP(Alunos!A122,Agrupamentos!A3:C1000,3, FALSE),"")</f>
        <v/>
      </c>
      <c r="F122" s="2" t="str">
        <f>IFERROR(IF(A122&lt;&gt;"",VLOOKUP(Alunos!E122,'TP2'!A3:D1000,4, FALSE),""),"")</f>
        <v/>
      </c>
      <c r="G122" s="2" t="str">
        <f>IF(A122&lt;&gt;"", SUMIF(B1:F1,"&lt;&gt;",B122:F122),"")</f>
        <v/>
      </c>
      <c r="H122" s="2" t="str">
        <f>IF(AND(A122&lt;&gt;"",G122&lt;&gt;""),ROUND(G122,0),"")</f>
        <v/>
      </c>
      <c r="I122" s="2" t="str">
        <f>IFERROR(IF(A122&lt;&gt;"",VLOOKUP(Alunos!A122,Recurso!A3:D1000,4, FALSE),""), "")</f>
        <v/>
      </c>
      <c r="J122" s="2" t="str">
        <f>IF(AND(A122&lt;&gt;"",I122&lt;&gt;""), SUMIFS(B122:I122,B1:I1,"&lt;&gt;",B2:I2,"&lt;&gt;Exame",B2:I2,"&lt;&gt;exame",B2:I2,"&lt;&gt;Nota",B2:I2,"&lt;&gt;Total"),"")</f>
        <v/>
      </c>
      <c r="K122" s="2" t="str">
        <f>IF(AND(A122&lt;&gt;"",J122&lt;&gt;""),ROUND(J122,0),"")</f>
        <v/>
      </c>
    </row>
    <row r="123" spans="2:11" x14ac:dyDescent="0.3">
      <c r="B123" s="2" t="str">
        <f>IFERROR(IF(A123&lt;&gt;"",VLOOKUP(Alunos!A123,Exame!A3:D1000,4, FALSE),""), "")</f>
        <v/>
      </c>
      <c r="C123" s="2" t="str">
        <f>IF(A123&lt;&gt;"",VLOOKUP(Alunos!A123,Agrupamentos!A3:C1000,2, FALSE),"")</f>
        <v/>
      </c>
      <c r="D123" s="2" t="str">
        <f>IFERROR(IF(A123&lt;&gt;"",VLOOKUP(Alunos!C123,'TP1'!A3:E1000,5, FALSE),""),"")</f>
        <v/>
      </c>
      <c r="E123" s="2" t="str">
        <f>IF(A123&lt;&gt;"",VLOOKUP(Alunos!A123,Agrupamentos!A3:C1000,3, FALSE),"")</f>
        <v/>
      </c>
      <c r="F123" s="2" t="str">
        <f>IFERROR(IF(A123&lt;&gt;"",VLOOKUP(Alunos!E123,'TP2'!A3:D1000,4, FALSE),""),"")</f>
        <v/>
      </c>
      <c r="G123" s="2" t="str">
        <f>IF(A123&lt;&gt;"", SUMIF(B1:F1,"&lt;&gt;",B123:F123),"")</f>
        <v/>
      </c>
      <c r="H123" s="2" t="str">
        <f>IF(AND(A123&lt;&gt;"",G123&lt;&gt;""),ROUND(G123,0),"")</f>
        <v/>
      </c>
      <c r="I123" s="2" t="str">
        <f>IFERROR(IF(A123&lt;&gt;"",VLOOKUP(Alunos!A123,Recurso!A3:D1000,4, FALSE),""), "")</f>
        <v/>
      </c>
      <c r="J123" s="2" t="str">
        <f>IF(AND(A123&lt;&gt;"",I123&lt;&gt;""), SUMIFS(B123:I123,B1:I1,"&lt;&gt;",B2:I2,"&lt;&gt;Exame",B2:I2,"&lt;&gt;exame",B2:I2,"&lt;&gt;Nota",B2:I2,"&lt;&gt;Total"),"")</f>
        <v/>
      </c>
      <c r="K123" s="2" t="str">
        <f>IF(AND(A123&lt;&gt;"",J123&lt;&gt;""),ROUND(J123,0),"")</f>
        <v/>
      </c>
    </row>
    <row r="124" spans="2:11" x14ac:dyDescent="0.3">
      <c r="B124" s="2" t="str">
        <f>IFERROR(IF(A124&lt;&gt;"",VLOOKUP(Alunos!A124,Exame!A3:D1000,4, FALSE),""), "")</f>
        <v/>
      </c>
      <c r="C124" s="2" t="str">
        <f>IF(A124&lt;&gt;"",VLOOKUP(Alunos!A124,Agrupamentos!A3:C1000,2, FALSE),"")</f>
        <v/>
      </c>
      <c r="D124" s="2" t="str">
        <f>IFERROR(IF(A124&lt;&gt;"",VLOOKUP(Alunos!C124,'TP1'!A3:E1000,5, FALSE),""),"")</f>
        <v/>
      </c>
      <c r="E124" s="2" t="str">
        <f>IF(A124&lt;&gt;"",VLOOKUP(Alunos!A124,Agrupamentos!A3:C1000,3, FALSE),"")</f>
        <v/>
      </c>
      <c r="F124" s="2" t="str">
        <f>IFERROR(IF(A124&lt;&gt;"",VLOOKUP(Alunos!E124,'TP2'!A3:D1000,4, FALSE),""),"")</f>
        <v/>
      </c>
      <c r="G124" s="2" t="str">
        <f>IF(A124&lt;&gt;"", SUMIF(B1:F1,"&lt;&gt;",B124:F124),"")</f>
        <v/>
      </c>
      <c r="H124" s="2" t="str">
        <f>IF(AND(A124&lt;&gt;"",G124&lt;&gt;""),ROUND(G124,0),"")</f>
        <v/>
      </c>
      <c r="I124" s="2" t="str">
        <f>IFERROR(IF(A124&lt;&gt;"",VLOOKUP(Alunos!A124,Recurso!A3:D1000,4, FALSE),""), "")</f>
        <v/>
      </c>
      <c r="J124" s="2" t="str">
        <f>IF(AND(A124&lt;&gt;"",I124&lt;&gt;""), SUMIFS(B124:I124,B1:I1,"&lt;&gt;",B2:I2,"&lt;&gt;Exame",B2:I2,"&lt;&gt;exame",B2:I2,"&lt;&gt;Nota",B2:I2,"&lt;&gt;Total"),"")</f>
        <v/>
      </c>
      <c r="K124" s="2" t="str">
        <f>IF(AND(A124&lt;&gt;"",J124&lt;&gt;""),ROUND(J124,0),"")</f>
        <v/>
      </c>
    </row>
    <row r="125" spans="2:11" x14ac:dyDescent="0.3">
      <c r="B125" s="2" t="str">
        <f>IFERROR(IF(A125&lt;&gt;"",VLOOKUP(Alunos!A125,Exame!A3:D1000,4, FALSE),""), "")</f>
        <v/>
      </c>
      <c r="C125" s="2" t="str">
        <f>IF(A125&lt;&gt;"",VLOOKUP(Alunos!A125,Agrupamentos!A3:C1000,2, FALSE),"")</f>
        <v/>
      </c>
      <c r="D125" s="2" t="str">
        <f>IFERROR(IF(A125&lt;&gt;"",VLOOKUP(Alunos!C125,'TP1'!A3:E1000,5, FALSE),""),"")</f>
        <v/>
      </c>
      <c r="E125" s="2" t="str">
        <f>IF(A125&lt;&gt;"",VLOOKUP(Alunos!A125,Agrupamentos!A3:C1000,3, FALSE),"")</f>
        <v/>
      </c>
      <c r="F125" s="2" t="str">
        <f>IFERROR(IF(A125&lt;&gt;"",VLOOKUP(Alunos!E125,'TP2'!A3:D1000,4, FALSE),""),"")</f>
        <v/>
      </c>
      <c r="G125" s="2" t="str">
        <f>IF(A125&lt;&gt;"", SUMIF(B1:F1,"&lt;&gt;",B125:F125),"")</f>
        <v/>
      </c>
      <c r="H125" s="2" t="str">
        <f>IF(AND(A125&lt;&gt;"",G125&lt;&gt;""),ROUND(G125,0),"")</f>
        <v/>
      </c>
      <c r="I125" s="2" t="str">
        <f>IFERROR(IF(A125&lt;&gt;"",VLOOKUP(Alunos!A125,Recurso!A3:D1000,4, FALSE),""), "")</f>
        <v/>
      </c>
      <c r="J125" s="2" t="str">
        <f>IF(AND(A125&lt;&gt;"",I125&lt;&gt;""), SUMIFS(B125:I125,B1:I1,"&lt;&gt;",B2:I2,"&lt;&gt;Exame",B2:I2,"&lt;&gt;exame",B2:I2,"&lt;&gt;Nota",B2:I2,"&lt;&gt;Total"),"")</f>
        <v/>
      </c>
      <c r="K125" s="2" t="str">
        <f>IF(AND(A125&lt;&gt;"",J125&lt;&gt;""),ROUND(J125,0),"")</f>
        <v/>
      </c>
    </row>
    <row r="126" spans="2:11" x14ac:dyDescent="0.3">
      <c r="B126" s="2" t="str">
        <f>IFERROR(IF(A126&lt;&gt;"",VLOOKUP(Alunos!A126,Exame!A3:D1000,4, FALSE),""), "")</f>
        <v/>
      </c>
      <c r="C126" s="2" t="str">
        <f>IF(A126&lt;&gt;"",VLOOKUP(Alunos!A126,Agrupamentos!A3:C1000,2, FALSE),"")</f>
        <v/>
      </c>
      <c r="D126" s="2" t="str">
        <f>IFERROR(IF(A126&lt;&gt;"",VLOOKUP(Alunos!C126,'TP1'!A3:E1000,5, FALSE),""),"")</f>
        <v/>
      </c>
      <c r="E126" s="2" t="str">
        <f>IF(A126&lt;&gt;"",VLOOKUP(Alunos!A126,Agrupamentos!A3:C1000,3, FALSE),"")</f>
        <v/>
      </c>
      <c r="F126" s="2" t="str">
        <f>IFERROR(IF(A126&lt;&gt;"",VLOOKUP(Alunos!E126,'TP2'!A3:D1000,4, FALSE),""),"")</f>
        <v/>
      </c>
      <c r="G126" s="2" t="str">
        <f>IF(A126&lt;&gt;"", SUMIF(B1:F1,"&lt;&gt;",B126:F126),"")</f>
        <v/>
      </c>
      <c r="H126" s="2" t="str">
        <f>IF(AND(A126&lt;&gt;"",G126&lt;&gt;""),ROUND(G126,0),"")</f>
        <v/>
      </c>
      <c r="I126" s="2" t="str">
        <f>IFERROR(IF(A126&lt;&gt;"",VLOOKUP(Alunos!A126,Recurso!A3:D1000,4, FALSE),""), "")</f>
        <v/>
      </c>
      <c r="J126" s="2" t="str">
        <f>IF(AND(A126&lt;&gt;"",I126&lt;&gt;""), SUMIFS(B126:I126,B1:I1,"&lt;&gt;",B2:I2,"&lt;&gt;Exame",B2:I2,"&lt;&gt;exame",B2:I2,"&lt;&gt;Nota",B2:I2,"&lt;&gt;Total"),"")</f>
        <v/>
      </c>
      <c r="K126" s="2" t="str">
        <f>IF(AND(A126&lt;&gt;"",J126&lt;&gt;""),ROUND(J126,0),"")</f>
        <v/>
      </c>
    </row>
    <row r="127" spans="2:11" x14ac:dyDescent="0.3">
      <c r="B127" s="2" t="str">
        <f>IFERROR(IF(A127&lt;&gt;"",VLOOKUP(Alunos!A127,Exame!A3:D1000,4, FALSE),""), "")</f>
        <v/>
      </c>
      <c r="C127" s="2" t="str">
        <f>IF(A127&lt;&gt;"",VLOOKUP(Alunos!A127,Agrupamentos!A3:C1000,2, FALSE),"")</f>
        <v/>
      </c>
      <c r="D127" s="2" t="str">
        <f>IFERROR(IF(A127&lt;&gt;"",VLOOKUP(Alunos!C127,'TP1'!A3:E1000,5, FALSE),""),"")</f>
        <v/>
      </c>
      <c r="E127" s="2" t="str">
        <f>IF(A127&lt;&gt;"",VLOOKUP(Alunos!A127,Agrupamentos!A3:C1000,3, FALSE),"")</f>
        <v/>
      </c>
      <c r="F127" s="2" t="str">
        <f>IFERROR(IF(A127&lt;&gt;"",VLOOKUP(Alunos!E127,'TP2'!A3:D1000,4, FALSE),""),"")</f>
        <v/>
      </c>
      <c r="G127" s="2" t="str">
        <f>IF(A127&lt;&gt;"", SUMIF(B1:F1,"&lt;&gt;",B127:F127),"")</f>
        <v/>
      </c>
      <c r="H127" s="2" t="str">
        <f>IF(AND(A127&lt;&gt;"",G127&lt;&gt;""),ROUND(G127,0),"")</f>
        <v/>
      </c>
      <c r="I127" s="2" t="str">
        <f>IFERROR(IF(A127&lt;&gt;"",VLOOKUP(Alunos!A127,Recurso!A3:D1000,4, FALSE),""), "")</f>
        <v/>
      </c>
      <c r="J127" s="2" t="str">
        <f>IF(AND(A127&lt;&gt;"",I127&lt;&gt;""), SUMIFS(B127:I127,B1:I1,"&lt;&gt;",B2:I2,"&lt;&gt;Exame",B2:I2,"&lt;&gt;exame",B2:I2,"&lt;&gt;Nota",B2:I2,"&lt;&gt;Total"),"")</f>
        <v/>
      </c>
      <c r="K127" s="2" t="str">
        <f>IF(AND(A127&lt;&gt;"",J127&lt;&gt;""),ROUND(J127,0),"")</f>
        <v/>
      </c>
    </row>
    <row r="128" spans="2:11" x14ac:dyDescent="0.3">
      <c r="B128" s="2" t="str">
        <f>IFERROR(IF(A128&lt;&gt;"",VLOOKUP(Alunos!A128,Exame!A3:D1000,4, FALSE),""), "")</f>
        <v/>
      </c>
      <c r="C128" s="2" t="str">
        <f>IF(A128&lt;&gt;"",VLOOKUP(Alunos!A128,Agrupamentos!A3:C1000,2, FALSE),"")</f>
        <v/>
      </c>
      <c r="D128" s="2" t="str">
        <f>IFERROR(IF(A128&lt;&gt;"",VLOOKUP(Alunos!C128,'TP1'!A3:E1000,5, FALSE),""),"")</f>
        <v/>
      </c>
      <c r="E128" s="2" t="str">
        <f>IF(A128&lt;&gt;"",VLOOKUP(Alunos!A128,Agrupamentos!A3:C1000,3, FALSE),"")</f>
        <v/>
      </c>
      <c r="F128" s="2" t="str">
        <f>IFERROR(IF(A128&lt;&gt;"",VLOOKUP(Alunos!E128,'TP2'!A3:D1000,4, FALSE),""),"")</f>
        <v/>
      </c>
      <c r="G128" s="2" t="str">
        <f>IF(A128&lt;&gt;"", SUMIF(B1:F1,"&lt;&gt;",B128:F128),"")</f>
        <v/>
      </c>
      <c r="H128" s="2" t="str">
        <f>IF(AND(A128&lt;&gt;"",G128&lt;&gt;""),ROUND(G128,0),"")</f>
        <v/>
      </c>
      <c r="I128" s="2" t="str">
        <f>IFERROR(IF(A128&lt;&gt;"",VLOOKUP(Alunos!A128,Recurso!A3:D1000,4, FALSE),""), "")</f>
        <v/>
      </c>
      <c r="J128" s="2" t="str">
        <f>IF(AND(A128&lt;&gt;"",I128&lt;&gt;""), SUMIFS(B128:I128,B1:I1,"&lt;&gt;",B2:I2,"&lt;&gt;Exame",B2:I2,"&lt;&gt;exame",B2:I2,"&lt;&gt;Nota",B2:I2,"&lt;&gt;Total"),"")</f>
        <v/>
      </c>
      <c r="K128" s="2" t="str">
        <f>IF(AND(A128&lt;&gt;"",J128&lt;&gt;""),ROUND(J128,0),"")</f>
        <v/>
      </c>
    </row>
    <row r="129" spans="2:11" x14ac:dyDescent="0.3">
      <c r="B129" s="2" t="str">
        <f>IFERROR(IF(A129&lt;&gt;"",VLOOKUP(Alunos!A129,Exame!A3:D1000,4, FALSE),""), "")</f>
        <v/>
      </c>
      <c r="C129" s="2" t="str">
        <f>IF(A129&lt;&gt;"",VLOOKUP(Alunos!A129,Agrupamentos!A3:C1000,2, FALSE),"")</f>
        <v/>
      </c>
      <c r="D129" s="2" t="str">
        <f>IFERROR(IF(A129&lt;&gt;"",VLOOKUP(Alunos!C129,'TP1'!A3:E1000,5, FALSE),""),"")</f>
        <v/>
      </c>
      <c r="E129" s="2" t="str">
        <f>IF(A129&lt;&gt;"",VLOOKUP(Alunos!A129,Agrupamentos!A3:C1000,3, FALSE),"")</f>
        <v/>
      </c>
      <c r="F129" s="2" t="str">
        <f>IFERROR(IF(A129&lt;&gt;"",VLOOKUP(Alunos!E129,'TP2'!A3:D1000,4, FALSE),""),"")</f>
        <v/>
      </c>
      <c r="G129" s="2" t="str">
        <f>IF(A129&lt;&gt;"", SUMIF(B1:F1,"&lt;&gt;",B129:F129),"")</f>
        <v/>
      </c>
      <c r="H129" s="2" t="str">
        <f>IF(AND(A129&lt;&gt;"",G129&lt;&gt;""),ROUND(G129,0),"")</f>
        <v/>
      </c>
      <c r="I129" s="2" t="str">
        <f>IFERROR(IF(A129&lt;&gt;"",VLOOKUP(Alunos!A129,Recurso!A3:D1000,4, FALSE),""), "")</f>
        <v/>
      </c>
      <c r="J129" s="2" t="str">
        <f>IF(AND(A129&lt;&gt;"",I129&lt;&gt;""), SUMIFS(B129:I129,B1:I1,"&lt;&gt;",B2:I2,"&lt;&gt;Exame",B2:I2,"&lt;&gt;exame",B2:I2,"&lt;&gt;Nota",B2:I2,"&lt;&gt;Total"),"")</f>
        <v/>
      </c>
      <c r="K129" s="2" t="str">
        <f>IF(AND(A129&lt;&gt;"",J129&lt;&gt;""),ROUND(J129,0),"")</f>
        <v/>
      </c>
    </row>
    <row r="130" spans="2:11" x14ac:dyDescent="0.3">
      <c r="B130" s="2" t="str">
        <f>IFERROR(IF(A130&lt;&gt;"",VLOOKUP(Alunos!A130,Exame!A3:D1000,4, FALSE),""), "")</f>
        <v/>
      </c>
      <c r="C130" s="2" t="str">
        <f>IF(A130&lt;&gt;"",VLOOKUP(Alunos!A130,Agrupamentos!A3:C1000,2, FALSE),"")</f>
        <v/>
      </c>
      <c r="D130" s="2" t="str">
        <f>IFERROR(IF(A130&lt;&gt;"",VLOOKUP(Alunos!C130,'TP1'!A3:E1000,5, FALSE),""),"")</f>
        <v/>
      </c>
      <c r="E130" s="2" t="str">
        <f>IF(A130&lt;&gt;"",VLOOKUP(Alunos!A130,Agrupamentos!A3:C1000,3, FALSE),"")</f>
        <v/>
      </c>
      <c r="F130" s="2" t="str">
        <f>IFERROR(IF(A130&lt;&gt;"",VLOOKUP(Alunos!E130,'TP2'!A3:D1000,4, FALSE),""),"")</f>
        <v/>
      </c>
      <c r="G130" s="2" t="str">
        <f>IF(A130&lt;&gt;"", SUMIF(B1:F1,"&lt;&gt;",B130:F130),"")</f>
        <v/>
      </c>
      <c r="H130" s="2" t="str">
        <f>IF(AND(A130&lt;&gt;"",G130&lt;&gt;""),ROUND(G130,0),"")</f>
        <v/>
      </c>
      <c r="I130" s="2" t="str">
        <f>IFERROR(IF(A130&lt;&gt;"",VLOOKUP(Alunos!A130,Recurso!A3:D1000,4, FALSE),""), "")</f>
        <v/>
      </c>
      <c r="J130" s="2" t="str">
        <f>IF(AND(A130&lt;&gt;"",I130&lt;&gt;""), SUMIFS(B130:I130,B1:I1,"&lt;&gt;",B2:I2,"&lt;&gt;Exame",B2:I2,"&lt;&gt;exame",B2:I2,"&lt;&gt;Nota",B2:I2,"&lt;&gt;Total"),"")</f>
        <v/>
      </c>
      <c r="K130" s="2" t="str">
        <f>IF(AND(A130&lt;&gt;"",J130&lt;&gt;""),ROUND(J130,0),"")</f>
        <v/>
      </c>
    </row>
    <row r="131" spans="2:11" x14ac:dyDescent="0.3">
      <c r="B131" s="2" t="str">
        <f>IFERROR(IF(A131&lt;&gt;"",VLOOKUP(Alunos!A131,Exame!A3:D1000,4, FALSE),""), "")</f>
        <v/>
      </c>
      <c r="C131" s="2" t="str">
        <f>IF(A131&lt;&gt;"",VLOOKUP(Alunos!A131,Agrupamentos!A3:C1000,2, FALSE),"")</f>
        <v/>
      </c>
      <c r="D131" s="2" t="str">
        <f>IFERROR(IF(A131&lt;&gt;"",VLOOKUP(Alunos!C131,'TP1'!A3:E1000,5, FALSE),""),"")</f>
        <v/>
      </c>
      <c r="E131" s="2" t="str">
        <f>IF(A131&lt;&gt;"",VLOOKUP(Alunos!A131,Agrupamentos!A3:C1000,3, FALSE),"")</f>
        <v/>
      </c>
      <c r="F131" s="2" t="str">
        <f>IFERROR(IF(A131&lt;&gt;"",VLOOKUP(Alunos!E131,'TP2'!A3:D1000,4, FALSE),""),"")</f>
        <v/>
      </c>
      <c r="G131" s="2" t="str">
        <f>IF(A131&lt;&gt;"", SUMIF(B1:F1,"&lt;&gt;",B131:F131),"")</f>
        <v/>
      </c>
      <c r="H131" s="2" t="str">
        <f>IF(AND(A131&lt;&gt;"",G131&lt;&gt;""),ROUND(G131,0),"")</f>
        <v/>
      </c>
      <c r="I131" s="2" t="str">
        <f>IFERROR(IF(A131&lt;&gt;"",VLOOKUP(Alunos!A131,Recurso!A3:D1000,4, FALSE),""), "")</f>
        <v/>
      </c>
      <c r="J131" s="2" t="str">
        <f>IF(AND(A131&lt;&gt;"",I131&lt;&gt;""), SUMIFS(B131:I131,B1:I1,"&lt;&gt;",B2:I2,"&lt;&gt;Exame",B2:I2,"&lt;&gt;exame",B2:I2,"&lt;&gt;Nota",B2:I2,"&lt;&gt;Total"),"")</f>
        <v/>
      </c>
      <c r="K131" s="2" t="str">
        <f>IF(AND(A131&lt;&gt;"",J131&lt;&gt;""),ROUND(J131,0),"")</f>
        <v/>
      </c>
    </row>
    <row r="132" spans="2:11" x14ac:dyDescent="0.3">
      <c r="B132" s="2" t="str">
        <f>IFERROR(IF(A132&lt;&gt;"",VLOOKUP(Alunos!A132,Exame!A3:D1000,4, FALSE),""), "")</f>
        <v/>
      </c>
      <c r="C132" s="2" t="str">
        <f>IF(A132&lt;&gt;"",VLOOKUP(Alunos!A132,Agrupamentos!A3:C1000,2, FALSE),"")</f>
        <v/>
      </c>
      <c r="D132" s="2" t="str">
        <f>IFERROR(IF(A132&lt;&gt;"",VLOOKUP(Alunos!C132,'TP1'!A3:E1000,5, FALSE),""),"")</f>
        <v/>
      </c>
      <c r="E132" s="2" t="str">
        <f>IF(A132&lt;&gt;"",VLOOKUP(Alunos!A132,Agrupamentos!A3:C1000,3, FALSE),"")</f>
        <v/>
      </c>
      <c r="F132" s="2" t="str">
        <f>IFERROR(IF(A132&lt;&gt;"",VLOOKUP(Alunos!E132,'TP2'!A3:D1000,4, FALSE),""),"")</f>
        <v/>
      </c>
      <c r="G132" s="2" t="str">
        <f>IF(A132&lt;&gt;"", SUMIF(B1:F1,"&lt;&gt;",B132:F132),"")</f>
        <v/>
      </c>
      <c r="H132" s="2" t="str">
        <f>IF(AND(A132&lt;&gt;"",G132&lt;&gt;""),ROUND(G132,0),"")</f>
        <v/>
      </c>
      <c r="I132" s="2" t="str">
        <f>IFERROR(IF(A132&lt;&gt;"",VLOOKUP(Alunos!A132,Recurso!A3:D1000,4, FALSE),""), "")</f>
        <v/>
      </c>
      <c r="J132" s="2" t="str">
        <f>IF(AND(A132&lt;&gt;"",I132&lt;&gt;""), SUMIFS(B132:I132,B1:I1,"&lt;&gt;",B2:I2,"&lt;&gt;Exame",B2:I2,"&lt;&gt;exame",B2:I2,"&lt;&gt;Nota",B2:I2,"&lt;&gt;Total"),"")</f>
        <v/>
      </c>
      <c r="K132" s="2" t="str">
        <f>IF(AND(A132&lt;&gt;"",J132&lt;&gt;""),ROUND(J132,0),"")</f>
        <v/>
      </c>
    </row>
    <row r="133" spans="2:11" x14ac:dyDescent="0.3">
      <c r="B133" s="2" t="str">
        <f>IFERROR(IF(A133&lt;&gt;"",VLOOKUP(Alunos!A133,Exame!A3:D1000,4, FALSE),""), "")</f>
        <v/>
      </c>
      <c r="C133" s="2" t="str">
        <f>IF(A133&lt;&gt;"",VLOOKUP(Alunos!A133,Agrupamentos!A3:C1000,2, FALSE),"")</f>
        <v/>
      </c>
      <c r="D133" s="2" t="str">
        <f>IFERROR(IF(A133&lt;&gt;"",VLOOKUP(Alunos!C133,'TP1'!A3:E1000,5, FALSE),""),"")</f>
        <v/>
      </c>
      <c r="E133" s="2" t="str">
        <f>IF(A133&lt;&gt;"",VLOOKUP(Alunos!A133,Agrupamentos!A3:C1000,3, FALSE),"")</f>
        <v/>
      </c>
      <c r="F133" s="2" t="str">
        <f>IFERROR(IF(A133&lt;&gt;"",VLOOKUP(Alunos!E133,'TP2'!A3:D1000,4, FALSE),""),"")</f>
        <v/>
      </c>
      <c r="G133" s="2" t="str">
        <f>IF(A133&lt;&gt;"", SUMIF(B1:F1,"&lt;&gt;",B133:F133),"")</f>
        <v/>
      </c>
      <c r="H133" s="2" t="str">
        <f>IF(AND(A133&lt;&gt;"",G133&lt;&gt;""),ROUND(G133,0),"")</f>
        <v/>
      </c>
      <c r="I133" s="2" t="str">
        <f>IFERROR(IF(A133&lt;&gt;"",VLOOKUP(Alunos!A133,Recurso!A3:D1000,4, FALSE),""), "")</f>
        <v/>
      </c>
      <c r="J133" s="2" t="str">
        <f>IF(AND(A133&lt;&gt;"",I133&lt;&gt;""), SUMIFS(B133:I133,B1:I1,"&lt;&gt;",B2:I2,"&lt;&gt;Exame",B2:I2,"&lt;&gt;exame",B2:I2,"&lt;&gt;Nota",B2:I2,"&lt;&gt;Total"),"")</f>
        <v/>
      </c>
      <c r="K133" s="2" t="str">
        <f>IF(AND(A133&lt;&gt;"",J133&lt;&gt;""),ROUND(J133,0),"")</f>
        <v/>
      </c>
    </row>
    <row r="134" spans="2:11" x14ac:dyDescent="0.3">
      <c r="B134" s="2" t="str">
        <f>IFERROR(IF(A134&lt;&gt;"",VLOOKUP(Alunos!A134,Exame!A3:D1000,4, FALSE),""), "")</f>
        <v/>
      </c>
      <c r="C134" s="2" t="str">
        <f>IF(A134&lt;&gt;"",VLOOKUP(Alunos!A134,Agrupamentos!A3:C1000,2, FALSE),"")</f>
        <v/>
      </c>
      <c r="D134" s="2" t="str">
        <f>IFERROR(IF(A134&lt;&gt;"",VLOOKUP(Alunos!C134,'TP1'!A3:E1000,5, FALSE),""),"")</f>
        <v/>
      </c>
      <c r="E134" s="2" t="str">
        <f>IF(A134&lt;&gt;"",VLOOKUP(Alunos!A134,Agrupamentos!A3:C1000,3, FALSE),"")</f>
        <v/>
      </c>
      <c r="F134" s="2" t="str">
        <f>IFERROR(IF(A134&lt;&gt;"",VLOOKUP(Alunos!E134,'TP2'!A3:D1000,4, FALSE),""),"")</f>
        <v/>
      </c>
      <c r="G134" s="2" t="str">
        <f>IF(A134&lt;&gt;"", SUMIF(B1:F1,"&lt;&gt;",B134:F134),"")</f>
        <v/>
      </c>
      <c r="H134" s="2" t="str">
        <f>IF(AND(A134&lt;&gt;"",G134&lt;&gt;""),ROUND(G134,0),"")</f>
        <v/>
      </c>
      <c r="I134" s="2" t="str">
        <f>IFERROR(IF(A134&lt;&gt;"",VLOOKUP(Alunos!A134,Recurso!A3:D1000,4, FALSE),""), "")</f>
        <v/>
      </c>
      <c r="J134" s="2" t="str">
        <f>IF(AND(A134&lt;&gt;"",I134&lt;&gt;""), SUMIFS(B134:I134,B1:I1,"&lt;&gt;",B2:I2,"&lt;&gt;Exame",B2:I2,"&lt;&gt;exame",B2:I2,"&lt;&gt;Nota",B2:I2,"&lt;&gt;Total"),"")</f>
        <v/>
      </c>
      <c r="K134" s="2" t="str">
        <f>IF(AND(A134&lt;&gt;"",J134&lt;&gt;""),ROUND(J134,0),"")</f>
        <v/>
      </c>
    </row>
    <row r="135" spans="2:11" x14ac:dyDescent="0.3">
      <c r="B135" s="2" t="str">
        <f>IFERROR(IF(A135&lt;&gt;"",VLOOKUP(Alunos!A135,Exame!A3:D1000,4, FALSE),""), "")</f>
        <v/>
      </c>
      <c r="C135" s="2" t="str">
        <f>IF(A135&lt;&gt;"",VLOOKUP(Alunos!A135,Agrupamentos!A3:C1000,2, FALSE),"")</f>
        <v/>
      </c>
      <c r="D135" s="2" t="str">
        <f>IFERROR(IF(A135&lt;&gt;"",VLOOKUP(Alunos!C135,'TP1'!A3:E1000,5, FALSE),""),"")</f>
        <v/>
      </c>
      <c r="E135" s="2" t="str">
        <f>IF(A135&lt;&gt;"",VLOOKUP(Alunos!A135,Agrupamentos!A3:C1000,3, FALSE),"")</f>
        <v/>
      </c>
      <c r="F135" s="2" t="str">
        <f>IFERROR(IF(A135&lt;&gt;"",VLOOKUP(Alunos!E135,'TP2'!A3:D1000,4, FALSE),""),"")</f>
        <v/>
      </c>
      <c r="G135" s="2" t="str">
        <f>IF(A135&lt;&gt;"", SUMIF(B1:F1,"&lt;&gt;",B135:F135),"")</f>
        <v/>
      </c>
      <c r="H135" s="2" t="str">
        <f>IF(AND(A135&lt;&gt;"",G135&lt;&gt;""),ROUND(G135,0),"")</f>
        <v/>
      </c>
      <c r="I135" s="2" t="str">
        <f>IFERROR(IF(A135&lt;&gt;"",VLOOKUP(Alunos!A135,Recurso!A3:D1000,4, FALSE),""), "")</f>
        <v/>
      </c>
      <c r="J135" s="2" t="str">
        <f>IF(AND(A135&lt;&gt;"",I135&lt;&gt;""), SUMIFS(B135:I135,B1:I1,"&lt;&gt;",B2:I2,"&lt;&gt;Exame",B2:I2,"&lt;&gt;exame",B2:I2,"&lt;&gt;Nota",B2:I2,"&lt;&gt;Total"),"")</f>
        <v/>
      </c>
      <c r="K135" s="2" t="str">
        <f>IF(AND(A135&lt;&gt;"",J135&lt;&gt;""),ROUND(J135,0),"")</f>
        <v/>
      </c>
    </row>
    <row r="136" spans="2:11" x14ac:dyDescent="0.3">
      <c r="B136" s="2" t="str">
        <f>IFERROR(IF(A136&lt;&gt;"",VLOOKUP(Alunos!A136,Exame!A3:D1000,4, FALSE),""), "")</f>
        <v/>
      </c>
      <c r="C136" s="2" t="str">
        <f>IF(A136&lt;&gt;"",VLOOKUP(Alunos!A136,Agrupamentos!A3:C1000,2, FALSE),"")</f>
        <v/>
      </c>
      <c r="D136" s="2" t="str">
        <f>IFERROR(IF(A136&lt;&gt;"",VLOOKUP(Alunos!C136,'TP1'!A3:E1000,5, FALSE),""),"")</f>
        <v/>
      </c>
      <c r="E136" s="2" t="str">
        <f>IF(A136&lt;&gt;"",VLOOKUP(Alunos!A136,Agrupamentos!A3:C1000,3, FALSE),"")</f>
        <v/>
      </c>
      <c r="F136" s="2" t="str">
        <f>IFERROR(IF(A136&lt;&gt;"",VLOOKUP(Alunos!E136,'TP2'!A3:D1000,4, FALSE),""),"")</f>
        <v/>
      </c>
      <c r="G136" s="2" t="str">
        <f>IF(A136&lt;&gt;"", SUMIF(B1:F1,"&lt;&gt;",B136:F136),"")</f>
        <v/>
      </c>
      <c r="H136" s="2" t="str">
        <f>IF(AND(A136&lt;&gt;"",G136&lt;&gt;""),ROUND(G136,0),"")</f>
        <v/>
      </c>
      <c r="I136" s="2" t="str">
        <f>IFERROR(IF(A136&lt;&gt;"",VLOOKUP(Alunos!A136,Recurso!A3:D1000,4, FALSE),""), "")</f>
        <v/>
      </c>
      <c r="J136" s="2" t="str">
        <f>IF(AND(A136&lt;&gt;"",I136&lt;&gt;""), SUMIFS(B136:I136,B1:I1,"&lt;&gt;",B2:I2,"&lt;&gt;Exame",B2:I2,"&lt;&gt;exame",B2:I2,"&lt;&gt;Nota",B2:I2,"&lt;&gt;Total"),"")</f>
        <v/>
      </c>
      <c r="K136" s="2" t="str">
        <f>IF(AND(A136&lt;&gt;"",J136&lt;&gt;""),ROUND(J136,0),"")</f>
        <v/>
      </c>
    </row>
    <row r="137" spans="2:11" x14ac:dyDescent="0.3">
      <c r="B137" s="2" t="str">
        <f>IFERROR(IF(A137&lt;&gt;"",VLOOKUP(Alunos!A137,Exame!A3:D1000,4, FALSE),""), "")</f>
        <v/>
      </c>
      <c r="C137" s="2" t="str">
        <f>IF(A137&lt;&gt;"",VLOOKUP(Alunos!A137,Agrupamentos!A3:C1000,2, FALSE),"")</f>
        <v/>
      </c>
      <c r="D137" s="2" t="str">
        <f>IFERROR(IF(A137&lt;&gt;"",VLOOKUP(Alunos!C137,'TP1'!A3:E1000,5, FALSE),""),"")</f>
        <v/>
      </c>
      <c r="E137" s="2" t="str">
        <f>IF(A137&lt;&gt;"",VLOOKUP(Alunos!A137,Agrupamentos!A3:C1000,3, FALSE),"")</f>
        <v/>
      </c>
      <c r="F137" s="2" t="str">
        <f>IFERROR(IF(A137&lt;&gt;"",VLOOKUP(Alunos!E137,'TP2'!A3:D1000,4, FALSE),""),"")</f>
        <v/>
      </c>
      <c r="G137" s="2" t="str">
        <f>IF(A137&lt;&gt;"", SUMIF(B1:F1,"&lt;&gt;",B137:F137),"")</f>
        <v/>
      </c>
      <c r="H137" s="2" t="str">
        <f>IF(AND(A137&lt;&gt;"",G137&lt;&gt;""),ROUND(G137,0),"")</f>
        <v/>
      </c>
      <c r="I137" s="2" t="str">
        <f>IFERROR(IF(A137&lt;&gt;"",VLOOKUP(Alunos!A137,Recurso!A3:D1000,4, FALSE),""), "")</f>
        <v/>
      </c>
      <c r="J137" s="2" t="str">
        <f>IF(AND(A137&lt;&gt;"",I137&lt;&gt;""), SUMIFS(B137:I137,B1:I1,"&lt;&gt;",B2:I2,"&lt;&gt;Exame",B2:I2,"&lt;&gt;exame",B2:I2,"&lt;&gt;Nota",B2:I2,"&lt;&gt;Total"),"")</f>
        <v/>
      </c>
      <c r="K137" s="2" t="str">
        <f>IF(AND(A137&lt;&gt;"",J137&lt;&gt;""),ROUND(J137,0),"")</f>
        <v/>
      </c>
    </row>
    <row r="138" spans="2:11" x14ac:dyDescent="0.3">
      <c r="B138" s="2" t="str">
        <f>IFERROR(IF(A138&lt;&gt;"",VLOOKUP(Alunos!A138,Exame!A3:D1000,4, FALSE),""), "")</f>
        <v/>
      </c>
      <c r="C138" s="2" t="str">
        <f>IF(A138&lt;&gt;"",VLOOKUP(Alunos!A138,Agrupamentos!A3:C1000,2, FALSE),"")</f>
        <v/>
      </c>
      <c r="D138" s="2" t="str">
        <f>IFERROR(IF(A138&lt;&gt;"",VLOOKUP(Alunos!C138,'TP1'!A3:E1000,5, FALSE),""),"")</f>
        <v/>
      </c>
      <c r="E138" s="2" t="str">
        <f>IF(A138&lt;&gt;"",VLOOKUP(Alunos!A138,Agrupamentos!A3:C1000,3, FALSE),"")</f>
        <v/>
      </c>
      <c r="F138" s="2" t="str">
        <f>IFERROR(IF(A138&lt;&gt;"",VLOOKUP(Alunos!E138,'TP2'!A3:D1000,4, FALSE),""),"")</f>
        <v/>
      </c>
      <c r="G138" s="2" t="str">
        <f>IF(A138&lt;&gt;"", SUMIF(B1:F1,"&lt;&gt;",B138:F138),"")</f>
        <v/>
      </c>
      <c r="H138" s="2" t="str">
        <f>IF(AND(A138&lt;&gt;"",G138&lt;&gt;""),ROUND(G138,0),"")</f>
        <v/>
      </c>
      <c r="I138" s="2" t="str">
        <f>IFERROR(IF(A138&lt;&gt;"",VLOOKUP(Alunos!A138,Recurso!A3:D1000,4, FALSE),""), "")</f>
        <v/>
      </c>
      <c r="J138" s="2" t="str">
        <f>IF(AND(A138&lt;&gt;"",I138&lt;&gt;""), SUMIFS(B138:I138,B1:I1,"&lt;&gt;",B2:I2,"&lt;&gt;Exame",B2:I2,"&lt;&gt;exame",B2:I2,"&lt;&gt;Nota",B2:I2,"&lt;&gt;Total"),"")</f>
        <v/>
      </c>
      <c r="K138" s="2" t="str">
        <f>IF(AND(A138&lt;&gt;"",J138&lt;&gt;""),ROUND(J138,0),"")</f>
        <v/>
      </c>
    </row>
    <row r="139" spans="2:11" x14ac:dyDescent="0.3">
      <c r="B139" s="2" t="str">
        <f>IFERROR(IF(A139&lt;&gt;"",VLOOKUP(Alunos!A139,Exame!A3:D1000,4, FALSE),""), "")</f>
        <v/>
      </c>
      <c r="C139" s="2" t="str">
        <f>IF(A139&lt;&gt;"",VLOOKUP(Alunos!A139,Agrupamentos!A3:C1000,2, FALSE),"")</f>
        <v/>
      </c>
      <c r="D139" s="2" t="str">
        <f>IFERROR(IF(A139&lt;&gt;"",VLOOKUP(Alunos!C139,'TP1'!A3:E1000,5, FALSE),""),"")</f>
        <v/>
      </c>
      <c r="E139" s="2" t="str">
        <f>IF(A139&lt;&gt;"",VLOOKUP(Alunos!A139,Agrupamentos!A3:C1000,3, FALSE),"")</f>
        <v/>
      </c>
      <c r="F139" s="2" t="str">
        <f>IFERROR(IF(A139&lt;&gt;"",VLOOKUP(Alunos!E139,'TP2'!A3:D1000,4, FALSE),""),"")</f>
        <v/>
      </c>
      <c r="G139" s="2" t="str">
        <f>IF(A139&lt;&gt;"", SUMIF(B1:F1,"&lt;&gt;",B139:F139),"")</f>
        <v/>
      </c>
      <c r="H139" s="2" t="str">
        <f>IF(AND(A139&lt;&gt;"",G139&lt;&gt;""),ROUND(G139,0),"")</f>
        <v/>
      </c>
      <c r="I139" s="2" t="str">
        <f>IFERROR(IF(A139&lt;&gt;"",VLOOKUP(Alunos!A139,Recurso!A3:D1000,4, FALSE),""), "")</f>
        <v/>
      </c>
      <c r="J139" s="2" t="str">
        <f>IF(AND(A139&lt;&gt;"",I139&lt;&gt;""), SUMIFS(B139:I139,B1:I1,"&lt;&gt;",B2:I2,"&lt;&gt;Exame",B2:I2,"&lt;&gt;exame",B2:I2,"&lt;&gt;Nota",B2:I2,"&lt;&gt;Total"),"")</f>
        <v/>
      </c>
      <c r="K139" s="2" t="str">
        <f>IF(AND(A139&lt;&gt;"",J139&lt;&gt;""),ROUND(J139,0),"")</f>
        <v/>
      </c>
    </row>
    <row r="140" spans="2:11" x14ac:dyDescent="0.3">
      <c r="B140" s="2" t="str">
        <f>IFERROR(IF(A140&lt;&gt;"",VLOOKUP(Alunos!A140,Exame!A3:D1000,4, FALSE),""), "")</f>
        <v/>
      </c>
      <c r="C140" s="2" t="str">
        <f>IF(A140&lt;&gt;"",VLOOKUP(Alunos!A140,Agrupamentos!A3:C1000,2, FALSE),"")</f>
        <v/>
      </c>
      <c r="D140" s="2" t="str">
        <f>IFERROR(IF(A140&lt;&gt;"",VLOOKUP(Alunos!C140,'TP1'!A3:E1000,5, FALSE),""),"")</f>
        <v/>
      </c>
      <c r="E140" s="2" t="str">
        <f>IF(A140&lt;&gt;"",VLOOKUP(Alunos!A140,Agrupamentos!A3:C1000,3, FALSE),"")</f>
        <v/>
      </c>
      <c r="F140" s="2" t="str">
        <f>IFERROR(IF(A140&lt;&gt;"",VLOOKUP(Alunos!E140,'TP2'!A3:D1000,4, FALSE),""),"")</f>
        <v/>
      </c>
      <c r="G140" s="2" t="str">
        <f>IF(A140&lt;&gt;"", SUMIF(B1:F1,"&lt;&gt;",B140:F140),"")</f>
        <v/>
      </c>
      <c r="H140" s="2" t="str">
        <f>IF(AND(A140&lt;&gt;"",G140&lt;&gt;""),ROUND(G140,0),"")</f>
        <v/>
      </c>
      <c r="I140" s="2" t="str">
        <f>IFERROR(IF(A140&lt;&gt;"",VLOOKUP(Alunos!A140,Recurso!A3:D1000,4, FALSE),""), "")</f>
        <v/>
      </c>
      <c r="J140" s="2" t="str">
        <f>IF(AND(A140&lt;&gt;"",I140&lt;&gt;""), SUMIFS(B140:I140,B1:I1,"&lt;&gt;",B2:I2,"&lt;&gt;Exame",B2:I2,"&lt;&gt;exame",B2:I2,"&lt;&gt;Nota",B2:I2,"&lt;&gt;Total"),"")</f>
        <v/>
      </c>
      <c r="K140" s="2" t="str">
        <f>IF(AND(A140&lt;&gt;"",J140&lt;&gt;""),ROUND(J140,0),"")</f>
        <v/>
      </c>
    </row>
    <row r="141" spans="2:11" x14ac:dyDescent="0.3">
      <c r="B141" s="2" t="str">
        <f>IFERROR(IF(A141&lt;&gt;"",VLOOKUP(Alunos!A141,Exame!A3:D1000,4, FALSE),""), "")</f>
        <v/>
      </c>
      <c r="C141" s="2" t="str">
        <f>IF(A141&lt;&gt;"",VLOOKUP(Alunos!A141,Agrupamentos!A3:C1000,2, FALSE),"")</f>
        <v/>
      </c>
      <c r="D141" s="2" t="str">
        <f>IFERROR(IF(A141&lt;&gt;"",VLOOKUP(Alunos!C141,'TP1'!A3:E1000,5, FALSE),""),"")</f>
        <v/>
      </c>
      <c r="E141" s="2" t="str">
        <f>IF(A141&lt;&gt;"",VLOOKUP(Alunos!A141,Agrupamentos!A3:C1000,3, FALSE),"")</f>
        <v/>
      </c>
      <c r="F141" s="2" t="str">
        <f>IFERROR(IF(A141&lt;&gt;"",VLOOKUP(Alunos!E141,'TP2'!A3:D1000,4, FALSE),""),"")</f>
        <v/>
      </c>
      <c r="G141" s="2" t="str">
        <f>IF(A141&lt;&gt;"", SUMIF(B1:F1,"&lt;&gt;",B141:F141),"")</f>
        <v/>
      </c>
      <c r="H141" s="2" t="str">
        <f>IF(AND(A141&lt;&gt;"",G141&lt;&gt;""),ROUND(G141,0),"")</f>
        <v/>
      </c>
      <c r="I141" s="2" t="str">
        <f>IFERROR(IF(A141&lt;&gt;"",VLOOKUP(Alunos!A141,Recurso!A3:D1000,4, FALSE),""), "")</f>
        <v/>
      </c>
      <c r="J141" s="2" t="str">
        <f>IF(AND(A141&lt;&gt;"",I141&lt;&gt;""), SUMIFS(B141:I141,B1:I1,"&lt;&gt;",B2:I2,"&lt;&gt;Exame",B2:I2,"&lt;&gt;exame",B2:I2,"&lt;&gt;Nota",B2:I2,"&lt;&gt;Total"),"")</f>
        <v/>
      </c>
      <c r="K141" s="2" t="str">
        <f>IF(AND(A141&lt;&gt;"",J141&lt;&gt;""),ROUND(J141,0),"")</f>
        <v/>
      </c>
    </row>
    <row r="142" spans="2:11" x14ac:dyDescent="0.3">
      <c r="B142" s="2" t="str">
        <f>IFERROR(IF(A142&lt;&gt;"",VLOOKUP(Alunos!A142,Exame!A3:D1000,4, FALSE),""), "")</f>
        <v/>
      </c>
      <c r="C142" s="2" t="str">
        <f>IF(A142&lt;&gt;"",VLOOKUP(Alunos!A142,Agrupamentos!A3:C1000,2, FALSE),"")</f>
        <v/>
      </c>
      <c r="D142" s="2" t="str">
        <f>IFERROR(IF(A142&lt;&gt;"",VLOOKUP(Alunos!C142,'TP1'!A3:E1000,5, FALSE),""),"")</f>
        <v/>
      </c>
      <c r="E142" s="2" t="str">
        <f>IF(A142&lt;&gt;"",VLOOKUP(Alunos!A142,Agrupamentos!A3:C1000,3, FALSE),"")</f>
        <v/>
      </c>
      <c r="F142" s="2" t="str">
        <f>IFERROR(IF(A142&lt;&gt;"",VLOOKUP(Alunos!E142,'TP2'!A3:D1000,4, FALSE),""),"")</f>
        <v/>
      </c>
      <c r="G142" s="2" t="str">
        <f>IF(A142&lt;&gt;"", SUMIF(B1:F1,"&lt;&gt;",B142:F142),"")</f>
        <v/>
      </c>
      <c r="H142" s="2" t="str">
        <f>IF(AND(A142&lt;&gt;"",G142&lt;&gt;""),ROUND(G142,0),"")</f>
        <v/>
      </c>
      <c r="I142" s="2" t="str">
        <f>IFERROR(IF(A142&lt;&gt;"",VLOOKUP(Alunos!A142,Recurso!A3:D1000,4, FALSE),""), "")</f>
        <v/>
      </c>
      <c r="J142" s="2" t="str">
        <f>IF(AND(A142&lt;&gt;"",I142&lt;&gt;""), SUMIFS(B142:I142,B1:I1,"&lt;&gt;",B2:I2,"&lt;&gt;Exame",B2:I2,"&lt;&gt;exame",B2:I2,"&lt;&gt;Nota",B2:I2,"&lt;&gt;Total"),"")</f>
        <v/>
      </c>
      <c r="K142" s="2" t="str">
        <f>IF(AND(A142&lt;&gt;"",J142&lt;&gt;""),ROUND(J142,0),"")</f>
        <v/>
      </c>
    </row>
    <row r="143" spans="2:11" x14ac:dyDescent="0.3">
      <c r="B143" s="2" t="str">
        <f>IFERROR(IF(A143&lt;&gt;"",VLOOKUP(Alunos!A143,Exame!A3:D1000,4, FALSE),""), "")</f>
        <v/>
      </c>
      <c r="C143" s="2" t="str">
        <f>IF(A143&lt;&gt;"",VLOOKUP(Alunos!A143,Agrupamentos!A3:C1000,2, FALSE),"")</f>
        <v/>
      </c>
      <c r="D143" s="2" t="str">
        <f>IFERROR(IF(A143&lt;&gt;"",VLOOKUP(Alunos!C143,'TP1'!A3:E1000,5, FALSE),""),"")</f>
        <v/>
      </c>
      <c r="E143" s="2" t="str">
        <f>IF(A143&lt;&gt;"",VLOOKUP(Alunos!A143,Agrupamentos!A3:C1000,3, FALSE),"")</f>
        <v/>
      </c>
      <c r="F143" s="2" t="str">
        <f>IFERROR(IF(A143&lt;&gt;"",VLOOKUP(Alunos!E143,'TP2'!A3:D1000,4, FALSE),""),"")</f>
        <v/>
      </c>
      <c r="G143" s="2" t="str">
        <f>IF(A143&lt;&gt;"", SUMIF(B1:F1,"&lt;&gt;",B143:F143),"")</f>
        <v/>
      </c>
      <c r="H143" s="2" t="str">
        <f>IF(AND(A143&lt;&gt;"",G143&lt;&gt;""),ROUND(G143,0),"")</f>
        <v/>
      </c>
      <c r="I143" s="2" t="str">
        <f>IFERROR(IF(A143&lt;&gt;"",VLOOKUP(Alunos!A143,Recurso!A3:D1000,4, FALSE),""), "")</f>
        <v/>
      </c>
      <c r="J143" s="2" t="str">
        <f>IF(AND(A143&lt;&gt;"",I143&lt;&gt;""), SUMIFS(B143:I143,B1:I1,"&lt;&gt;",B2:I2,"&lt;&gt;Exame",B2:I2,"&lt;&gt;exame",B2:I2,"&lt;&gt;Nota",B2:I2,"&lt;&gt;Total"),"")</f>
        <v/>
      </c>
      <c r="K143" s="2" t="str">
        <f>IF(AND(A143&lt;&gt;"",J143&lt;&gt;""),ROUND(J143,0),"")</f>
        <v/>
      </c>
    </row>
    <row r="144" spans="2:11" x14ac:dyDescent="0.3">
      <c r="B144" s="2" t="str">
        <f>IFERROR(IF(A144&lt;&gt;"",VLOOKUP(Alunos!A144,Exame!A3:D1000,4, FALSE),""), "")</f>
        <v/>
      </c>
      <c r="C144" s="2" t="str">
        <f>IF(A144&lt;&gt;"",VLOOKUP(Alunos!A144,Agrupamentos!A3:C1000,2, FALSE),"")</f>
        <v/>
      </c>
      <c r="D144" s="2" t="str">
        <f>IFERROR(IF(A144&lt;&gt;"",VLOOKUP(Alunos!C144,'TP1'!A3:E1000,5, FALSE),""),"")</f>
        <v/>
      </c>
      <c r="E144" s="2" t="str">
        <f>IF(A144&lt;&gt;"",VLOOKUP(Alunos!A144,Agrupamentos!A3:C1000,3, FALSE),"")</f>
        <v/>
      </c>
      <c r="F144" s="2" t="str">
        <f>IFERROR(IF(A144&lt;&gt;"",VLOOKUP(Alunos!E144,'TP2'!A3:D1000,4, FALSE),""),"")</f>
        <v/>
      </c>
      <c r="G144" s="2" t="str">
        <f>IF(A144&lt;&gt;"", SUMIF(B1:F1,"&lt;&gt;",B144:F144),"")</f>
        <v/>
      </c>
      <c r="H144" s="2" t="str">
        <f>IF(AND(A144&lt;&gt;"",G144&lt;&gt;""),ROUND(G144,0),"")</f>
        <v/>
      </c>
      <c r="I144" s="2" t="str">
        <f>IFERROR(IF(A144&lt;&gt;"",VLOOKUP(Alunos!A144,Recurso!A3:D1000,4, FALSE),""), "")</f>
        <v/>
      </c>
      <c r="J144" s="2" t="str">
        <f>IF(AND(A144&lt;&gt;"",I144&lt;&gt;""), SUMIFS(B144:I144,B1:I1,"&lt;&gt;",B2:I2,"&lt;&gt;Exame",B2:I2,"&lt;&gt;exame",B2:I2,"&lt;&gt;Nota",B2:I2,"&lt;&gt;Total"),"")</f>
        <v/>
      </c>
      <c r="K144" s="2" t="str">
        <f>IF(AND(A144&lt;&gt;"",J144&lt;&gt;""),ROUND(J144,0),"")</f>
        <v/>
      </c>
    </row>
    <row r="145" spans="2:11" x14ac:dyDescent="0.3">
      <c r="B145" s="2" t="str">
        <f>IFERROR(IF(A145&lt;&gt;"",VLOOKUP(Alunos!A145,Exame!A3:D1000,4, FALSE),""), "")</f>
        <v/>
      </c>
      <c r="C145" s="2" t="str">
        <f>IF(A145&lt;&gt;"",VLOOKUP(Alunos!A145,Agrupamentos!A3:C1000,2, FALSE),"")</f>
        <v/>
      </c>
      <c r="D145" s="2" t="str">
        <f>IFERROR(IF(A145&lt;&gt;"",VLOOKUP(Alunos!C145,'TP1'!A3:E1000,5, FALSE),""),"")</f>
        <v/>
      </c>
      <c r="E145" s="2" t="str">
        <f>IF(A145&lt;&gt;"",VLOOKUP(Alunos!A145,Agrupamentos!A3:C1000,3, FALSE),"")</f>
        <v/>
      </c>
      <c r="F145" s="2" t="str">
        <f>IFERROR(IF(A145&lt;&gt;"",VLOOKUP(Alunos!E145,'TP2'!A3:D1000,4, FALSE),""),"")</f>
        <v/>
      </c>
      <c r="G145" s="2" t="str">
        <f>IF(A145&lt;&gt;"", SUMIF(B1:F1,"&lt;&gt;",B145:F145),"")</f>
        <v/>
      </c>
      <c r="H145" s="2" t="str">
        <f>IF(AND(A145&lt;&gt;"",G145&lt;&gt;""),ROUND(G145,0),"")</f>
        <v/>
      </c>
      <c r="I145" s="2" t="str">
        <f>IFERROR(IF(A145&lt;&gt;"",VLOOKUP(Alunos!A145,Recurso!A3:D1000,4, FALSE),""), "")</f>
        <v/>
      </c>
      <c r="J145" s="2" t="str">
        <f>IF(AND(A145&lt;&gt;"",I145&lt;&gt;""), SUMIFS(B145:I145,B1:I1,"&lt;&gt;",B2:I2,"&lt;&gt;Exame",B2:I2,"&lt;&gt;exame",B2:I2,"&lt;&gt;Nota",B2:I2,"&lt;&gt;Total"),"")</f>
        <v/>
      </c>
      <c r="K145" s="2" t="str">
        <f>IF(AND(A145&lt;&gt;"",J145&lt;&gt;""),ROUND(J145,0),"")</f>
        <v/>
      </c>
    </row>
    <row r="146" spans="2:11" x14ac:dyDescent="0.3">
      <c r="B146" s="2" t="str">
        <f>IFERROR(IF(A146&lt;&gt;"",VLOOKUP(Alunos!A146,Exame!A3:D1000,4, FALSE),""), "")</f>
        <v/>
      </c>
      <c r="C146" s="2" t="str">
        <f>IF(A146&lt;&gt;"",VLOOKUP(Alunos!A146,Agrupamentos!A3:C1000,2, FALSE),"")</f>
        <v/>
      </c>
      <c r="D146" s="2" t="str">
        <f>IFERROR(IF(A146&lt;&gt;"",VLOOKUP(Alunos!C146,'TP1'!A3:E1000,5, FALSE),""),"")</f>
        <v/>
      </c>
      <c r="E146" s="2" t="str">
        <f>IF(A146&lt;&gt;"",VLOOKUP(Alunos!A146,Agrupamentos!A3:C1000,3, FALSE),"")</f>
        <v/>
      </c>
      <c r="F146" s="2" t="str">
        <f>IFERROR(IF(A146&lt;&gt;"",VLOOKUP(Alunos!E146,'TP2'!A3:D1000,4, FALSE),""),"")</f>
        <v/>
      </c>
      <c r="G146" s="2" t="str">
        <f>IF(A146&lt;&gt;"", SUMIF(B1:F1,"&lt;&gt;",B146:F146),"")</f>
        <v/>
      </c>
      <c r="H146" s="2" t="str">
        <f>IF(AND(A146&lt;&gt;"",G146&lt;&gt;""),ROUND(G146,0),"")</f>
        <v/>
      </c>
      <c r="I146" s="2" t="str">
        <f>IFERROR(IF(A146&lt;&gt;"",VLOOKUP(Alunos!A146,Recurso!A3:D1000,4, FALSE),""), "")</f>
        <v/>
      </c>
      <c r="J146" s="2" t="str">
        <f>IF(AND(A146&lt;&gt;"",I146&lt;&gt;""), SUMIFS(B146:I146,B1:I1,"&lt;&gt;",B2:I2,"&lt;&gt;Exame",B2:I2,"&lt;&gt;exame",B2:I2,"&lt;&gt;Nota",B2:I2,"&lt;&gt;Total"),"")</f>
        <v/>
      </c>
      <c r="K146" s="2" t="str">
        <f>IF(AND(A146&lt;&gt;"",J146&lt;&gt;""),ROUND(J146,0),"")</f>
        <v/>
      </c>
    </row>
    <row r="147" spans="2:11" x14ac:dyDescent="0.3">
      <c r="B147" s="2" t="str">
        <f>IFERROR(IF(A147&lt;&gt;"",VLOOKUP(Alunos!A147,Exame!A3:D1000,4, FALSE),""), "")</f>
        <v/>
      </c>
      <c r="C147" s="2" t="str">
        <f>IF(A147&lt;&gt;"",VLOOKUP(Alunos!A147,Agrupamentos!A3:C1000,2, FALSE),"")</f>
        <v/>
      </c>
      <c r="D147" s="2" t="str">
        <f>IFERROR(IF(A147&lt;&gt;"",VLOOKUP(Alunos!C147,'TP1'!A3:E1000,5, FALSE),""),"")</f>
        <v/>
      </c>
      <c r="E147" s="2" t="str">
        <f>IF(A147&lt;&gt;"",VLOOKUP(Alunos!A147,Agrupamentos!A3:C1000,3, FALSE),"")</f>
        <v/>
      </c>
      <c r="F147" s="2" t="str">
        <f>IFERROR(IF(A147&lt;&gt;"",VLOOKUP(Alunos!E147,'TP2'!A3:D1000,4, FALSE),""),"")</f>
        <v/>
      </c>
      <c r="G147" s="2" t="str">
        <f>IF(A147&lt;&gt;"", SUMIF(B1:F1,"&lt;&gt;",B147:F147),"")</f>
        <v/>
      </c>
      <c r="H147" s="2" t="str">
        <f>IF(AND(A147&lt;&gt;"",G147&lt;&gt;""),ROUND(G147,0),"")</f>
        <v/>
      </c>
      <c r="I147" s="2" t="str">
        <f>IFERROR(IF(A147&lt;&gt;"",VLOOKUP(Alunos!A147,Recurso!A3:D1000,4, FALSE),""), "")</f>
        <v/>
      </c>
      <c r="J147" s="2" t="str">
        <f>IF(AND(A147&lt;&gt;"",I147&lt;&gt;""), SUMIFS(B147:I147,B1:I1,"&lt;&gt;",B2:I2,"&lt;&gt;Exame",B2:I2,"&lt;&gt;exame",B2:I2,"&lt;&gt;Nota",B2:I2,"&lt;&gt;Total"),"")</f>
        <v/>
      </c>
      <c r="K147" s="2" t="str">
        <f>IF(AND(A147&lt;&gt;"",J147&lt;&gt;""),ROUND(J147,0),"")</f>
        <v/>
      </c>
    </row>
    <row r="148" spans="2:11" x14ac:dyDescent="0.3">
      <c r="B148" s="2" t="str">
        <f>IFERROR(IF(A148&lt;&gt;"",VLOOKUP(Alunos!A148,Exame!A3:D1000,4, FALSE),""), "")</f>
        <v/>
      </c>
      <c r="C148" s="2" t="str">
        <f>IF(A148&lt;&gt;"",VLOOKUP(Alunos!A148,Agrupamentos!A3:C1000,2, FALSE),"")</f>
        <v/>
      </c>
      <c r="D148" s="2" t="str">
        <f>IFERROR(IF(A148&lt;&gt;"",VLOOKUP(Alunos!C148,'TP1'!A3:E1000,5, FALSE),""),"")</f>
        <v/>
      </c>
      <c r="E148" s="2" t="str">
        <f>IF(A148&lt;&gt;"",VLOOKUP(Alunos!A148,Agrupamentos!A3:C1000,3, FALSE),"")</f>
        <v/>
      </c>
      <c r="F148" s="2" t="str">
        <f>IFERROR(IF(A148&lt;&gt;"",VLOOKUP(Alunos!E148,'TP2'!A3:D1000,4, FALSE),""),"")</f>
        <v/>
      </c>
      <c r="G148" s="2" t="str">
        <f>IF(A148&lt;&gt;"", SUMIF(B1:F1,"&lt;&gt;",B148:F148),"")</f>
        <v/>
      </c>
      <c r="H148" s="2" t="str">
        <f>IF(AND(A148&lt;&gt;"",G148&lt;&gt;""),ROUND(G148,0),"")</f>
        <v/>
      </c>
      <c r="I148" s="2" t="str">
        <f>IFERROR(IF(A148&lt;&gt;"",VLOOKUP(Alunos!A148,Recurso!A3:D1000,4, FALSE),""), "")</f>
        <v/>
      </c>
      <c r="J148" s="2" t="str">
        <f>IF(AND(A148&lt;&gt;"",I148&lt;&gt;""), SUMIFS(B148:I148,B1:I1,"&lt;&gt;",B2:I2,"&lt;&gt;Exame",B2:I2,"&lt;&gt;exame",B2:I2,"&lt;&gt;Nota",B2:I2,"&lt;&gt;Total"),"")</f>
        <v/>
      </c>
      <c r="K148" s="2" t="str">
        <f>IF(AND(A148&lt;&gt;"",J148&lt;&gt;""),ROUND(J148,0),"")</f>
        <v/>
      </c>
    </row>
    <row r="149" spans="2:11" x14ac:dyDescent="0.3">
      <c r="B149" s="2" t="str">
        <f>IFERROR(IF(A149&lt;&gt;"",VLOOKUP(Alunos!A149,Exame!A3:D1000,4, FALSE),""), "")</f>
        <v/>
      </c>
      <c r="C149" s="2" t="str">
        <f>IF(A149&lt;&gt;"",VLOOKUP(Alunos!A149,Agrupamentos!A3:C1000,2, FALSE),"")</f>
        <v/>
      </c>
      <c r="D149" s="2" t="str">
        <f>IFERROR(IF(A149&lt;&gt;"",VLOOKUP(Alunos!C149,'TP1'!A3:E1000,5, FALSE),""),"")</f>
        <v/>
      </c>
      <c r="E149" s="2" t="str">
        <f>IF(A149&lt;&gt;"",VLOOKUP(Alunos!A149,Agrupamentos!A3:C1000,3, FALSE),"")</f>
        <v/>
      </c>
      <c r="F149" s="2" t="str">
        <f>IFERROR(IF(A149&lt;&gt;"",VLOOKUP(Alunos!E149,'TP2'!A3:D1000,4, FALSE),""),"")</f>
        <v/>
      </c>
      <c r="G149" s="2" t="str">
        <f>IF(A149&lt;&gt;"", SUMIF(B1:F1,"&lt;&gt;",B149:F149),"")</f>
        <v/>
      </c>
      <c r="H149" s="2" t="str">
        <f>IF(AND(A149&lt;&gt;"",G149&lt;&gt;""),ROUND(G149,0),"")</f>
        <v/>
      </c>
      <c r="I149" s="2" t="str">
        <f>IFERROR(IF(A149&lt;&gt;"",VLOOKUP(Alunos!A149,Recurso!A3:D1000,4, FALSE),""), "")</f>
        <v/>
      </c>
      <c r="J149" s="2" t="str">
        <f>IF(AND(A149&lt;&gt;"",I149&lt;&gt;""), SUMIFS(B149:I149,B1:I1,"&lt;&gt;",B2:I2,"&lt;&gt;Exame",B2:I2,"&lt;&gt;exame",B2:I2,"&lt;&gt;Nota",B2:I2,"&lt;&gt;Total"),"")</f>
        <v/>
      </c>
      <c r="K149" s="2" t="str">
        <f>IF(AND(A149&lt;&gt;"",J149&lt;&gt;""),ROUND(J149,0),"")</f>
        <v/>
      </c>
    </row>
    <row r="150" spans="2:11" x14ac:dyDescent="0.3">
      <c r="B150" s="2" t="str">
        <f>IFERROR(IF(A150&lt;&gt;"",VLOOKUP(Alunos!A150,Exame!A3:D1000,4, FALSE),""), "")</f>
        <v/>
      </c>
      <c r="C150" s="2" t="str">
        <f>IF(A150&lt;&gt;"",VLOOKUP(Alunos!A150,Agrupamentos!A3:C1000,2, FALSE),"")</f>
        <v/>
      </c>
      <c r="D150" s="2" t="str">
        <f>IFERROR(IF(A150&lt;&gt;"",VLOOKUP(Alunos!C150,'TP1'!A3:E1000,5, FALSE),""),"")</f>
        <v/>
      </c>
      <c r="E150" s="2" t="str">
        <f>IF(A150&lt;&gt;"",VLOOKUP(Alunos!A150,Agrupamentos!A3:C1000,3, FALSE),"")</f>
        <v/>
      </c>
      <c r="F150" s="2" t="str">
        <f>IFERROR(IF(A150&lt;&gt;"",VLOOKUP(Alunos!E150,'TP2'!A3:D1000,4, FALSE),""),"")</f>
        <v/>
      </c>
      <c r="G150" s="2" t="str">
        <f>IF(A150&lt;&gt;"", SUMIF(B1:F1,"&lt;&gt;",B150:F150),"")</f>
        <v/>
      </c>
      <c r="H150" s="2" t="str">
        <f>IF(AND(A150&lt;&gt;"",G150&lt;&gt;""),ROUND(G150,0),"")</f>
        <v/>
      </c>
      <c r="I150" s="2" t="str">
        <f>IFERROR(IF(A150&lt;&gt;"",VLOOKUP(Alunos!A150,Recurso!A3:D1000,4, FALSE),""), "")</f>
        <v/>
      </c>
      <c r="J150" s="2" t="str">
        <f>IF(AND(A150&lt;&gt;"",I150&lt;&gt;""), SUMIFS(B150:I150,B1:I1,"&lt;&gt;",B2:I2,"&lt;&gt;Exame",B2:I2,"&lt;&gt;exame",B2:I2,"&lt;&gt;Nota",B2:I2,"&lt;&gt;Total"),"")</f>
        <v/>
      </c>
      <c r="K150" s="2" t="str">
        <f>IF(AND(A150&lt;&gt;"",J150&lt;&gt;""),ROUND(J150,0),"")</f>
        <v/>
      </c>
    </row>
    <row r="151" spans="2:11" x14ac:dyDescent="0.3">
      <c r="B151" s="2" t="str">
        <f>IFERROR(IF(A151&lt;&gt;"",VLOOKUP(Alunos!A151,Exame!A3:D1000,4, FALSE),""), "")</f>
        <v/>
      </c>
      <c r="C151" s="2" t="str">
        <f>IF(A151&lt;&gt;"",VLOOKUP(Alunos!A151,Agrupamentos!A3:C1000,2, FALSE),"")</f>
        <v/>
      </c>
      <c r="D151" s="2" t="str">
        <f>IFERROR(IF(A151&lt;&gt;"",VLOOKUP(Alunos!C151,'TP1'!A3:E1000,5, FALSE),""),"")</f>
        <v/>
      </c>
      <c r="E151" s="2" t="str">
        <f>IF(A151&lt;&gt;"",VLOOKUP(Alunos!A151,Agrupamentos!A3:C1000,3, FALSE),"")</f>
        <v/>
      </c>
      <c r="F151" s="2" t="str">
        <f>IFERROR(IF(A151&lt;&gt;"",VLOOKUP(Alunos!E151,'TP2'!A3:D1000,4, FALSE),""),"")</f>
        <v/>
      </c>
      <c r="G151" s="2" t="str">
        <f>IF(A151&lt;&gt;"", SUMIF(B1:F1,"&lt;&gt;",B151:F151),"")</f>
        <v/>
      </c>
      <c r="H151" s="2" t="str">
        <f>IF(AND(A151&lt;&gt;"",G151&lt;&gt;""),ROUND(G151,0),"")</f>
        <v/>
      </c>
      <c r="I151" s="2" t="str">
        <f>IFERROR(IF(A151&lt;&gt;"",VLOOKUP(Alunos!A151,Recurso!A3:D1000,4, FALSE),""), "")</f>
        <v/>
      </c>
      <c r="J151" s="2" t="str">
        <f>IF(AND(A151&lt;&gt;"",I151&lt;&gt;""), SUMIFS(B151:I151,B1:I1,"&lt;&gt;",B2:I2,"&lt;&gt;Exame",B2:I2,"&lt;&gt;exame",B2:I2,"&lt;&gt;Nota",B2:I2,"&lt;&gt;Total"),"")</f>
        <v/>
      </c>
      <c r="K151" s="2" t="str">
        <f>IF(AND(A151&lt;&gt;"",J151&lt;&gt;""),ROUND(J151,0),"")</f>
        <v/>
      </c>
    </row>
    <row r="152" spans="2:11" x14ac:dyDescent="0.3">
      <c r="B152" s="2" t="str">
        <f>IFERROR(IF(A152&lt;&gt;"",VLOOKUP(Alunos!A152,Exame!A3:D1000,4, FALSE),""), "")</f>
        <v/>
      </c>
      <c r="C152" s="2" t="str">
        <f>IF(A152&lt;&gt;"",VLOOKUP(Alunos!A152,Agrupamentos!A3:C1000,2, FALSE),"")</f>
        <v/>
      </c>
      <c r="D152" s="2" t="str">
        <f>IFERROR(IF(A152&lt;&gt;"",VLOOKUP(Alunos!C152,'TP1'!A3:E1000,5, FALSE),""),"")</f>
        <v/>
      </c>
      <c r="E152" s="2" t="str">
        <f>IF(A152&lt;&gt;"",VLOOKUP(Alunos!A152,Agrupamentos!A3:C1000,3, FALSE),"")</f>
        <v/>
      </c>
      <c r="F152" s="2" t="str">
        <f>IFERROR(IF(A152&lt;&gt;"",VLOOKUP(Alunos!E152,'TP2'!A3:D1000,4, FALSE),""),"")</f>
        <v/>
      </c>
      <c r="G152" s="2" t="str">
        <f>IF(A152&lt;&gt;"", SUMIF(B1:F1,"&lt;&gt;",B152:F152),"")</f>
        <v/>
      </c>
      <c r="H152" s="2" t="str">
        <f>IF(AND(A152&lt;&gt;"",G152&lt;&gt;""),ROUND(G152,0),"")</f>
        <v/>
      </c>
      <c r="I152" s="2" t="str">
        <f>IFERROR(IF(A152&lt;&gt;"",VLOOKUP(Alunos!A152,Recurso!A3:D1000,4, FALSE),""), "")</f>
        <v/>
      </c>
      <c r="J152" s="2" t="str">
        <f>IF(AND(A152&lt;&gt;"",I152&lt;&gt;""), SUMIFS(B152:I152,B1:I1,"&lt;&gt;",B2:I2,"&lt;&gt;Exame",B2:I2,"&lt;&gt;exame",B2:I2,"&lt;&gt;Nota",B2:I2,"&lt;&gt;Total"),"")</f>
        <v/>
      </c>
      <c r="K152" s="2" t="str">
        <f>IF(AND(A152&lt;&gt;"",J152&lt;&gt;""),ROUND(J152,0),"")</f>
        <v/>
      </c>
    </row>
    <row r="153" spans="2:11" x14ac:dyDescent="0.3">
      <c r="B153" s="2" t="str">
        <f>IFERROR(IF(A153&lt;&gt;"",VLOOKUP(Alunos!A153,Exame!A3:D1000,4, FALSE),""), "")</f>
        <v/>
      </c>
      <c r="C153" s="2" t="str">
        <f>IF(A153&lt;&gt;"",VLOOKUP(Alunos!A153,Agrupamentos!A3:C1000,2, FALSE),"")</f>
        <v/>
      </c>
      <c r="D153" s="2" t="str">
        <f>IFERROR(IF(A153&lt;&gt;"",VLOOKUP(Alunos!C153,'TP1'!A3:E1000,5, FALSE),""),"")</f>
        <v/>
      </c>
      <c r="E153" s="2" t="str">
        <f>IF(A153&lt;&gt;"",VLOOKUP(Alunos!A153,Agrupamentos!A3:C1000,3, FALSE),"")</f>
        <v/>
      </c>
      <c r="F153" s="2" t="str">
        <f>IFERROR(IF(A153&lt;&gt;"",VLOOKUP(Alunos!E153,'TP2'!A3:D1000,4, FALSE),""),"")</f>
        <v/>
      </c>
      <c r="G153" s="2" t="str">
        <f>IF(A153&lt;&gt;"", SUMIF(B1:F1,"&lt;&gt;",B153:F153),"")</f>
        <v/>
      </c>
      <c r="H153" s="2" t="str">
        <f>IF(AND(A153&lt;&gt;"",G153&lt;&gt;""),ROUND(G153,0),"")</f>
        <v/>
      </c>
      <c r="I153" s="2" t="str">
        <f>IFERROR(IF(A153&lt;&gt;"",VLOOKUP(Alunos!A153,Recurso!A3:D1000,4, FALSE),""), "")</f>
        <v/>
      </c>
      <c r="J153" s="2" t="str">
        <f>IF(AND(A153&lt;&gt;"",I153&lt;&gt;""), SUMIFS(B153:I153,B1:I1,"&lt;&gt;",B2:I2,"&lt;&gt;Exame",B2:I2,"&lt;&gt;exame",B2:I2,"&lt;&gt;Nota",B2:I2,"&lt;&gt;Total"),"")</f>
        <v/>
      </c>
      <c r="K153" s="2" t="str">
        <f>IF(AND(A153&lt;&gt;"",J153&lt;&gt;""),ROUND(J153,0),"")</f>
        <v/>
      </c>
    </row>
    <row r="154" spans="2:11" x14ac:dyDescent="0.3">
      <c r="B154" s="2" t="str">
        <f>IFERROR(IF(A154&lt;&gt;"",VLOOKUP(Alunos!A154,Exame!A3:D1000,4, FALSE),""), "")</f>
        <v/>
      </c>
      <c r="C154" s="2" t="str">
        <f>IF(A154&lt;&gt;"",VLOOKUP(Alunos!A154,Agrupamentos!A3:C1000,2, FALSE),"")</f>
        <v/>
      </c>
      <c r="D154" s="2" t="str">
        <f>IFERROR(IF(A154&lt;&gt;"",VLOOKUP(Alunos!C154,'TP1'!A3:E1000,5, FALSE),""),"")</f>
        <v/>
      </c>
      <c r="E154" s="2" t="str">
        <f>IF(A154&lt;&gt;"",VLOOKUP(Alunos!A154,Agrupamentos!A3:C1000,3, FALSE),"")</f>
        <v/>
      </c>
      <c r="F154" s="2" t="str">
        <f>IFERROR(IF(A154&lt;&gt;"",VLOOKUP(Alunos!E154,'TP2'!A3:D1000,4, FALSE),""),"")</f>
        <v/>
      </c>
      <c r="G154" s="2" t="str">
        <f>IF(A154&lt;&gt;"", SUMIF(B1:F1,"&lt;&gt;",B154:F154),"")</f>
        <v/>
      </c>
      <c r="H154" s="2" t="str">
        <f>IF(AND(A154&lt;&gt;"",G154&lt;&gt;""),ROUND(G154,0),"")</f>
        <v/>
      </c>
      <c r="I154" s="2" t="str">
        <f>IFERROR(IF(A154&lt;&gt;"",VLOOKUP(Alunos!A154,Recurso!A3:D1000,4, FALSE),""), "")</f>
        <v/>
      </c>
      <c r="J154" s="2" t="str">
        <f>IF(AND(A154&lt;&gt;"",I154&lt;&gt;""), SUMIFS(B154:I154,B1:I1,"&lt;&gt;",B2:I2,"&lt;&gt;Exame",B2:I2,"&lt;&gt;exame",B2:I2,"&lt;&gt;Nota",B2:I2,"&lt;&gt;Total"),"")</f>
        <v/>
      </c>
      <c r="K154" s="2" t="str">
        <f>IF(AND(A154&lt;&gt;"",J154&lt;&gt;""),ROUND(J154,0),"")</f>
        <v/>
      </c>
    </row>
    <row r="155" spans="2:11" x14ac:dyDescent="0.3">
      <c r="B155" s="2" t="str">
        <f>IFERROR(IF(A155&lt;&gt;"",VLOOKUP(Alunos!A155,Exame!A3:D1000,4, FALSE),""), "")</f>
        <v/>
      </c>
      <c r="C155" s="2" t="str">
        <f>IF(A155&lt;&gt;"",VLOOKUP(Alunos!A155,Agrupamentos!A3:C1000,2, FALSE),"")</f>
        <v/>
      </c>
      <c r="D155" s="2" t="str">
        <f>IFERROR(IF(A155&lt;&gt;"",VLOOKUP(Alunos!C155,'TP1'!A3:E1000,5, FALSE),""),"")</f>
        <v/>
      </c>
      <c r="E155" s="2" t="str">
        <f>IF(A155&lt;&gt;"",VLOOKUP(Alunos!A155,Agrupamentos!A3:C1000,3, FALSE),"")</f>
        <v/>
      </c>
      <c r="F155" s="2" t="str">
        <f>IFERROR(IF(A155&lt;&gt;"",VLOOKUP(Alunos!E155,'TP2'!A3:D1000,4, FALSE),""),"")</f>
        <v/>
      </c>
      <c r="G155" s="2" t="str">
        <f>IF(A155&lt;&gt;"", SUMIF(B1:F1,"&lt;&gt;",B155:F155),"")</f>
        <v/>
      </c>
      <c r="H155" s="2" t="str">
        <f>IF(AND(A155&lt;&gt;"",G155&lt;&gt;""),ROUND(G155,0),"")</f>
        <v/>
      </c>
      <c r="I155" s="2" t="str">
        <f>IFERROR(IF(A155&lt;&gt;"",VLOOKUP(Alunos!A155,Recurso!A3:D1000,4, FALSE),""), "")</f>
        <v/>
      </c>
      <c r="J155" s="2" t="str">
        <f>IF(AND(A155&lt;&gt;"",I155&lt;&gt;""), SUMIFS(B155:I155,B1:I1,"&lt;&gt;",B2:I2,"&lt;&gt;Exame",B2:I2,"&lt;&gt;exame",B2:I2,"&lt;&gt;Nota",B2:I2,"&lt;&gt;Total"),"")</f>
        <v/>
      </c>
      <c r="K155" s="2" t="str">
        <f>IF(AND(A155&lt;&gt;"",J155&lt;&gt;""),ROUND(J155,0),"")</f>
        <v/>
      </c>
    </row>
    <row r="156" spans="2:11" x14ac:dyDescent="0.3">
      <c r="B156" s="2" t="str">
        <f>IFERROR(IF(A156&lt;&gt;"",VLOOKUP(Alunos!A156,Exame!A3:D1000,4, FALSE),""), "")</f>
        <v/>
      </c>
      <c r="C156" s="2" t="str">
        <f>IF(A156&lt;&gt;"",VLOOKUP(Alunos!A156,Agrupamentos!A3:C1000,2, FALSE),"")</f>
        <v/>
      </c>
      <c r="D156" s="2" t="str">
        <f>IFERROR(IF(A156&lt;&gt;"",VLOOKUP(Alunos!C156,'TP1'!A3:E1000,5, FALSE),""),"")</f>
        <v/>
      </c>
      <c r="E156" s="2" t="str">
        <f>IF(A156&lt;&gt;"",VLOOKUP(Alunos!A156,Agrupamentos!A3:C1000,3, FALSE),"")</f>
        <v/>
      </c>
      <c r="F156" s="2" t="str">
        <f>IFERROR(IF(A156&lt;&gt;"",VLOOKUP(Alunos!E156,'TP2'!A3:D1000,4, FALSE),""),"")</f>
        <v/>
      </c>
      <c r="G156" s="2" t="str">
        <f>IF(A156&lt;&gt;"", SUMIF(B1:F1,"&lt;&gt;",B156:F156),"")</f>
        <v/>
      </c>
      <c r="H156" s="2" t="str">
        <f>IF(AND(A156&lt;&gt;"",G156&lt;&gt;""),ROUND(G156,0),"")</f>
        <v/>
      </c>
      <c r="I156" s="2" t="str">
        <f>IFERROR(IF(A156&lt;&gt;"",VLOOKUP(Alunos!A156,Recurso!A3:D1000,4, FALSE),""), "")</f>
        <v/>
      </c>
      <c r="J156" s="2" t="str">
        <f>IF(AND(A156&lt;&gt;"",I156&lt;&gt;""), SUMIFS(B156:I156,B1:I1,"&lt;&gt;",B2:I2,"&lt;&gt;Exame",B2:I2,"&lt;&gt;exame",B2:I2,"&lt;&gt;Nota",B2:I2,"&lt;&gt;Total"),"")</f>
        <v/>
      </c>
      <c r="K156" s="2" t="str">
        <f>IF(AND(A156&lt;&gt;"",J156&lt;&gt;""),ROUND(J156,0),"")</f>
        <v/>
      </c>
    </row>
    <row r="157" spans="2:11" x14ac:dyDescent="0.3">
      <c r="B157" s="2" t="str">
        <f>IFERROR(IF(A157&lt;&gt;"",VLOOKUP(Alunos!A157,Exame!A3:D1000,4, FALSE),""), "")</f>
        <v/>
      </c>
      <c r="C157" s="2" t="str">
        <f>IF(A157&lt;&gt;"",VLOOKUP(Alunos!A157,Agrupamentos!A3:C1000,2, FALSE),"")</f>
        <v/>
      </c>
      <c r="D157" s="2" t="str">
        <f>IFERROR(IF(A157&lt;&gt;"",VLOOKUP(Alunos!C157,'TP1'!A3:E1000,5, FALSE),""),"")</f>
        <v/>
      </c>
      <c r="E157" s="2" t="str">
        <f>IF(A157&lt;&gt;"",VLOOKUP(Alunos!A157,Agrupamentos!A3:C1000,3, FALSE),"")</f>
        <v/>
      </c>
      <c r="F157" s="2" t="str">
        <f>IFERROR(IF(A157&lt;&gt;"",VLOOKUP(Alunos!E157,'TP2'!A3:D1000,4, FALSE),""),"")</f>
        <v/>
      </c>
      <c r="G157" s="2" t="str">
        <f>IF(A157&lt;&gt;"", SUMIF(B1:F1,"&lt;&gt;",B157:F157),"")</f>
        <v/>
      </c>
      <c r="H157" s="2" t="str">
        <f>IF(AND(A157&lt;&gt;"",G157&lt;&gt;""),ROUND(G157,0),"")</f>
        <v/>
      </c>
      <c r="I157" s="2" t="str">
        <f>IFERROR(IF(A157&lt;&gt;"",VLOOKUP(Alunos!A157,Recurso!A3:D1000,4, FALSE),""), "")</f>
        <v/>
      </c>
      <c r="J157" s="2" t="str">
        <f>IF(AND(A157&lt;&gt;"",I157&lt;&gt;""), SUMIFS(B157:I157,B1:I1,"&lt;&gt;",B2:I2,"&lt;&gt;Exame",B2:I2,"&lt;&gt;exame",B2:I2,"&lt;&gt;Nota",B2:I2,"&lt;&gt;Total"),"")</f>
        <v/>
      </c>
      <c r="K157" s="2" t="str">
        <f>IF(AND(A157&lt;&gt;"",J157&lt;&gt;""),ROUND(J157,0),"")</f>
        <v/>
      </c>
    </row>
    <row r="158" spans="2:11" x14ac:dyDescent="0.3">
      <c r="B158" s="2" t="str">
        <f>IFERROR(IF(A158&lt;&gt;"",VLOOKUP(Alunos!A158,Exame!A3:D1000,4, FALSE),""), "")</f>
        <v/>
      </c>
      <c r="C158" s="2" t="str">
        <f>IF(A158&lt;&gt;"",VLOOKUP(Alunos!A158,Agrupamentos!A3:C1000,2, FALSE),"")</f>
        <v/>
      </c>
      <c r="D158" s="2" t="str">
        <f>IFERROR(IF(A158&lt;&gt;"",VLOOKUP(Alunos!C158,'TP1'!A3:E1000,5, FALSE),""),"")</f>
        <v/>
      </c>
      <c r="E158" s="2" t="str">
        <f>IF(A158&lt;&gt;"",VLOOKUP(Alunos!A158,Agrupamentos!A3:C1000,3, FALSE),"")</f>
        <v/>
      </c>
      <c r="F158" s="2" t="str">
        <f>IFERROR(IF(A158&lt;&gt;"",VLOOKUP(Alunos!E158,'TP2'!A3:D1000,4, FALSE),""),"")</f>
        <v/>
      </c>
      <c r="G158" s="2" t="str">
        <f>IF(A158&lt;&gt;"", SUMIF(B1:F1,"&lt;&gt;",B158:F158),"")</f>
        <v/>
      </c>
      <c r="H158" s="2" t="str">
        <f>IF(AND(A158&lt;&gt;"",G158&lt;&gt;""),ROUND(G158,0),"")</f>
        <v/>
      </c>
      <c r="I158" s="2" t="str">
        <f>IFERROR(IF(A158&lt;&gt;"",VLOOKUP(Alunos!A158,Recurso!A3:D1000,4, FALSE),""), "")</f>
        <v/>
      </c>
      <c r="J158" s="2" t="str">
        <f>IF(AND(A158&lt;&gt;"",I158&lt;&gt;""), SUMIFS(B158:I158,B1:I1,"&lt;&gt;",B2:I2,"&lt;&gt;Exame",B2:I2,"&lt;&gt;exame",B2:I2,"&lt;&gt;Nota",B2:I2,"&lt;&gt;Total"),"")</f>
        <v/>
      </c>
      <c r="K158" s="2" t="str">
        <f>IF(AND(A158&lt;&gt;"",J158&lt;&gt;""),ROUND(J158,0),"")</f>
        <v/>
      </c>
    </row>
    <row r="159" spans="2:11" x14ac:dyDescent="0.3">
      <c r="B159" s="2" t="str">
        <f>IFERROR(IF(A159&lt;&gt;"",VLOOKUP(Alunos!A159,Exame!A3:D1000,4, FALSE),""), "")</f>
        <v/>
      </c>
      <c r="C159" s="2" t="str">
        <f>IF(A159&lt;&gt;"",VLOOKUP(Alunos!A159,Agrupamentos!A3:C1000,2, FALSE),"")</f>
        <v/>
      </c>
      <c r="D159" s="2" t="str">
        <f>IFERROR(IF(A159&lt;&gt;"",VLOOKUP(Alunos!C159,'TP1'!A3:E1000,5, FALSE),""),"")</f>
        <v/>
      </c>
      <c r="E159" s="2" t="str">
        <f>IF(A159&lt;&gt;"",VLOOKUP(Alunos!A159,Agrupamentos!A3:C1000,3, FALSE),"")</f>
        <v/>
      </c>
      <c r="F159" s="2" t="str">
        <f>IFERROR(IF(A159&lt;&gt;"",VLOOKUP(Alunos!E159,'TP2'!A3:D1000,4, FALSE),""),"")</f>
        <v/>
      </c>
      <c r="G159" s="2" t="str">
        <f>IF(A159&lt;&gt;"", SUMIF(B1:F1,"&lt;&gt;",B159:F159),"")</f>
        <v/>
      </c>
      <c r="H159" s="2" t="str">
        <f>IF(AND(A159&lt;&gt;"",G159&lt;&gt;""),ROUND(G159,0),"")</f>
        <v/>
      </c>
      <c r="I159" s="2" t="str">
        <f>IFERROR(IF(A159&lt;&gt;"",VLOOKUP(Alunos!A159,Recurso!A3:D1000,4, FALSE),""), "")</f>
        <v/>
      </c>
      <c r="J159" s="2" t="str">
        <f>IF(AND(A159&lt;&gt;"",I159&lt;&gt;""), SUMIFS(B159:I159,B1:I1,"&lt;&gt;",B2:I2,"&lt;&gt;Exame",B2:I2,"&lt;&gt;exame",B2:I2,"&lt;&gt;Nota",B2:I2,"&lt;&gt;Total"),"")</f>
        <v/>
      </c>
      <c r="K159" s="2" t="str">
        <f>IF(AND(A159&lt;&gt;"",J159&lt;&gt;""),ROUND(J159,0),"")</f>
        <v/>
      </c>
    </row>
    <row r="160" spans="2:11" x14ac:dyDescent="0.3">
      <c r="B160" s="2" t="str">
        <f>IFERROR(IF(A160&lt;&gt;"",VLOOKUP(Alunos!A160,Exame!A3:D1000,4, FALSE),""), "")</f>
        <v/>
      </c>
      <c r="C160" s="2" t="str">
        <f>IF(A160&lt;&gt;"",VLOOKUP(Alunos!A160,Agrupamentos!A3:C1000,2, FALSE),"")</f>
        <v/>
      </c>
      <c r="D160" s="2" t="str">
        <f>IFERROR(IF(A160&lt;&gt;"",VLOOKUP(Alunos!C160,'TP1'!A3:E1000,5, FALSE),""),"")</f>
        <v/>
      </c>
      <c r="E160" s="2" t="str">
        <f>IF(A160&lt;&gt;"",VLOOKUP(Alunos!A160,Agrupamentos!A3:C1000,3, FALSE),"")</f>
        <v/>
      </c>
      <c r="F160" s="2" t="str">
        <f>IFERROR(IF(A160&lt;&gt;"",VLOOKUP(Alunos!E160,'TP2'!A3:D1000,4, FALSE),""),"")</f>
        <v/>
      </c>
      <c r="G160" s="2" t="str">
        <f>IF(A160&lt;&gt;"", SUMIF(B1:F1,"&lt;&gt;",B160:F160),"")</f>
        <v/>
      </c>
      <c r="H160" s="2" t="str">
        <f>IF(AND(A160&lt;&gt;"",G160&lt;&gt;""),ROUND(G160,0),"")</f>
        <v/>
      </c>
      <c r="I160" s="2" t="str">
        <f>IFERROR(IF(A160&lt;&gt;"",VLOOKUP(Alunos!A160,Recurso!A3:D1000,4, FALSE),""), "")</f>
        <v/>
      </c>
      <c r="J160" s="2" t="str">
        <f>IF(AND(A160&lt;&gt;"",I160&lt;&gt;""), SUMIFS(B160:I160,B1:I1,"&lt;&gt;",B2:I2,"&lt;&gt;Exame",B2:I2,"&lt;&gt;exame",B2:I2,"&lt;&gt;Nota",B2:I2,"&lt;&gt;Total"),"")</f>
        <v/>
      </c>
      <c r="K160" s="2" t="str">
        <f>IF(AND(A160&lt;&gt;"",J160&lt;&gt;""),ROUND(J160,0),"")</f>
        <v/>
      </c>
    </row>
    <row r="161" spans="2:11" x14ac:dyDescent="0.3">
      <c r="B161" s="2" t="str">
        <f>IFERROR(IF(A161&lt;&gt;"",VLOOKUP(Alunos!A161,Exame!A3:D1000,4, FALSE),""), "")</f>
        <v/>
      </c>
      <c r="C161" s="2" t="str">
        <f>IF(A161&lt;&gt;"",VLOOKUP(Alunos!A161,Agrupamentos!A3:C1000,2, FALSE),"")</f>
        <v/>
      </c>
      <c r="D161" s="2" t="str">
        <f>IFERROR(IF(A161&lt;&gt;"",VLOOKUP(Alunos!C161,'TP1'!A3:E1000,5, FALSE),""),"")</f>
        <v/>
      </c>
      <c r="E161" s="2" t="str">
        <f>IF(A161&lt;&gt;"",VLOOKUP(Alunos!A161,Agrupamentos!A3:C1000,3, FALSE),"")</f>
        <v/>
      </c>
      <c r="F161" s="2" t="str">
        <f>IFERROR(IF(A161&lt;&gt;"",VLOOKUP(Alunos!E161,'TP2'!A3:D1000,4, FALSE),""),"")</f>
        <v/>
      </c>
      <c r="G161" s="2" t="str">
        <f>IF(A161&lt;&gt;"", SUMIF(B1:F1,"&lt;&gt;",B161:F161),"")</f>
        <v/>
      </c>
      <c r="H161" s="2" t="str">
        <f>IF(AND(A161&lt;&gt;"",G161&lt;&gt;""),ROUND(G161,0),"")</f>
        <v/>
      </c>
      <c r="I161" s="2" t="str">
        <f>IFERROR(IF(A161&lt;&gt;"",VLOOKUP(Alunos!A161,Recurso!A3:D1000,4, FALSE),""), "")</f>
        <v/>
      </c>
      <c r="J161" s="2" t="str">
        <f>IF(AND(A161&lt;&gt;"",I161&lt;&gt;""), SUMIFS(B161:I161,B1:I1,"&lt;&gt;",B2:I2,"&lt;&gt;Exame",B2:I2,"&lt;&gt;exame",B2:I2,"&lt;&gt;Nota",B2:I2,"&lt;&gt;Total"),"")</f>
        <v/>
      </c>
      <c r="K161" s="2" t="str">
        <f>IF(AND(A161&lt;&gt;"",J161&lt;&gt;""),ROUND(J161,0),"")</f>
        <v/>
      </c>
    </row>
    <row r="162" spans="2:11" x14ac:dyDescent="0.3">
      <c r="B162" s="2" t="str">
        <f>IFERROR(IF(A162&lt;&gt;"",VLOOKUP(Alunos!A162,Exame!A3:D1000,4, FALSE),""), "")</f>
        <v/>
      </c>
      <c r="C162" s="2" t="str">
        <f>IF(A162&lt;&gt;"",VLOOKUP(Alunos!A162,Agrupamentos!A3:C1000,2, FALSE),"")</f>
        <v/>
      </c>
      <c r="D162" s="2" t="str">
        <f>IFERROR(IF(A162&lt;&gt;"",VLOOKUP(Alunos!C162,'TP1'!A3:E1000,5, FALSE),""),"")</f>
        <v/>
      </c>
      <c r="E162" s="2" t="str">
        <f>IF(A162&lt;&gt;"",VLOOKUP(Alunos!A162,Agrupamentos!A3:C1000,3, FALSE),"")</f>
        <v/>
      </c>
      <c r="F162" s="2" t="str">
        <f>IFERROR(IF(A162&lt;&gt;"",VLOOKUP(Alunos!E162,'TP2'!A3:D1000,4, FALSE),""),"")</f>
        <v/>
      </c>
      <c r="G162" s="2" t="str">
        <f>IF(A162&lt;&gt;"", SUMIF(B1:F1,"&lt;&gt;",B162:F162),"")</f>
        <v/>
      </c>
      <c r="H162" s="2" t="str">
        <f>IF(AND(A162&lt;&gt;"",G162&lt;&gt;""),ROUND(G162,0),"")</f>
        <v/>
      </c>
      <c r="I162" s="2" t="str">
        <f>IFERROR(IF(A162&lt;&gt;"",VLOOKUP(Alunos!A162,Recurso!A3:D1000,4, FALSE),""), "")</f>
        <v/>
      </c>
      <c r="J162" s="2" t="str">
        <f>IF(AND(A162&lt;&gt;"",I162&lt;&gt;""), SUMIFS(B162:I162,B1:I1,"&lt;&gt;",B2:I2,"&lt;&gt;Exame",B2:I2,"&lt;&gt;exame",B2:I2,"&lt;&gt;Nota",B2:I2,"&lt;&gt;Total"),"")</f>
        <v/>
      </c>
      <c r="K162" s="2" t="str">
        <f>IF(AND(A162&lt;&gt;"",J162&lt;&gt;""),ROUND(J162,0),"")</f>
        <v/>
      </c>
    </row>
    <row r="163" spans="2:11" x14ac:dyDescent="0.3">
      <c r="B163" s="2" t="str">
        <f>IFERROR(IF(A163&lt;&gt;"",VLOOKUP(Alunos!A163,Exame!A3:D1000,4, FALSE),""), "")</f>
        <v/>
      </c>
      <c r="C163" s="2" t="str">
        <f>IF(A163&lt;&gt;"",VLOOKUP(Alunos!A163,Agrupamentos!A3:C1000,2, FALSE),"")</f>
        <v/>
      </c>
      <c r="D163" s="2" t="str">
        <f>IFERROR(IF(A163&lt;&gt;"",VLOOKUP(Alunos!C163,'TP1'!A3:E1000,5, FALSE),""),"")</f>
        <v/>
      </c>
      <c r="E163" s="2" t="str">
        <f>IF(A163&lt;&gt;"",VLOOKUP(Alunos!A163,Agrupamentos!A3:C1000,3, FALSE),"")</f>
        <v/>
      </c>
      <c r="F163" s="2" t="str">
        <f>IFERROR(IF(A163&lt;&gt;"",VLOOKUP(Alunos!E163,'TP2'!A3:D1000,4, FALSE),""),"")</f>
        <v/>
      </c>
      <c r="G163" s="2" t="str">
        <f>IF(A163&lt;&gt;"", SUMIF(B1:F1,"&lt;&gt;",B163:F163),"")</f>
        <v/>
      </c>
      <c r="H163" s="2" t="str">
        <f>IF(AND(A163&lt;&gt;"",G163&lt;&gt;""),ROUND(G163,0),"")</f>
        <v/>
      </c>
      <c r="I163" s="2" t="str">
        <f>IFERROR(IF(A163&lt;&gt;"",VLOOKUP(Alunos!A163,Recurso!A3:D1000,4, FALSE),""), "")</f>
        <v/>
      </c>
      <c r="J163" s="2" t="str">
        <f>IF(AND(A163&lt;&gt;"",I163&lt;&gt;""), SUMIFS(B163:I163,B1:I1,"&lt;&gt;",B2:I2,"&lt;&gt;Exame",B2:I2,"&lt;&gt;exame",B2:I2,"&lt;&gt;Nota",B2:I2,"&lt;&gt;Total"),"")</f>
        <v/>
      </c>
      <c r="K163" s="2" t="str">
        <f>IF(AND(A163&lt;&gt;"",J163&lt;&gt;""),ROUND(J163,0),"")</f>
        <v/>
      </c>
    </row>
    <row r="164" spans="2:11" x14ac:dyDescent="0.3">
      <c r="B164" s="2" t="str">
        <f>IFERROR(IF(A164&lt;&gt;"",VLOOKUP(Alunos!A164,Exame!A3:D1000,4, FALSE),""), "")</f>
        <v/>
      </c>
      <c r="C164" s="2" t="str">
        <f>IF(A164&lt;&gt;"",VLOOKUP(Alunos!A164,Agrupamentos!A3:C1000,2, FALSE),"")</f>
        <v/>
      </c>
      <c r="D164" s="2" t="str">
        <f>IFERROR(IF(A164&lt;&gt;"",VLOOKUP(Alunos!C164,'TP1'!A3:E1000,5, FALSE),""),"")</f>
        <v/>
      </c>
      <c r="E164" s="2" t="str">
        <f>IF(A164&lt;&gt;"",VLOOKUP(Alunos!A164,Agrupamentos!A3:C1000,3, FALSE),"")</f>
        <v/>
      </c>
      <c r="F164" s="2" t="str">
        <f>IFERROR(IF(A164&lt;&gt;"",VLOOKUP(Alunos!E164,'TP2'!A3:D1000,4, FALSE),""),"")</f>
        <v/>
      </c>
      <c r="G164" s="2" t="str">
        <f>IF(A164&lt;&gt;"", SUMIF(B1:F1,"&lt;&gt;",B164:F164),"")</f>
        <v/>
      </c>
      <c r="H164" s="2" t="str">
        <f>IF(AND(A164&lt;&gt;"",G164&lt;&gt;""),ROUND(G164,0),"")</f>
        <v/>
      </c>
      <c r="I164" s="2" t="str">
        <f>IFERROR(IF(A164&lt;&gt;"",VLOOKUP(Alunos!A164,Recurso!A3:D1000,4, FALSE),""), "")</f>
        <v/>
      </c>
      <c r="J164" s="2" t="str">
        <f>IF(AND(A164&lt;&gt;"",I164&lt;&gt;""), SUMIFS(B164:I164,B1:I1,"&lt;&gt;",B2:I2,"&lt;&gt;Exame",B2:I2,"&lt;&gt;exame",B2:I2,"&lt;&gt;Nota",B2:I2,"&lt;&gt;Total"),"")</f>
        <v/>
      </c>
      <c r="K164" s="2" t="str">
        <f>IF(AND(A164&lt;&gt;"",J164&lt;&gt;""),ROUND(J164,0),"")</f>
        <v/>
      </c>
    </row>
    <row r="165" spans="2:11" x14ac:dyDescent="0.3">
      <c r="B165" s="2" t="str">
        <f>IFERROR(IF(A165&lt;&gt;"",VLOOKUP(Alunos!A165,Exame!A3:D1000,4, FALSE),""), "")</f>
        <v/>
      </c>
      <c r="C165" s="2" t="str">
        <f>IF(A165&lt;&gt;"",VLOOKUP(Alunos!A165,Agrupamentos!A3:C1000,2, FALSE),"")</f>
        <v/>
      </c>
      <c r="D165" s="2" t="str">
        <f>IFERROR(IF(A165&lt;&gt;"",VLOOKUP(Alunos!C165,'TP1'!A3:E1000,5, FALSE),""),"")</f>
        <v/>
      </c>
      <c r="E165" s="2" t="str">
        <f>IF(A165&lt;&gt;"",VLOOKUP(Alunos!A165,Agrupamentos!A3:C1000,3, FALSE),"")</f>
        <v/>
      </c>
      <c r="F165" s="2" t="str">
        <f>IFERROR(IF(A165&lt;&gt;"",VLOOKUP(Alunos!E165,'TP2'!A3:D1000,4, FALSE),""),"")</f>
        <v/>
      </c>
      <c r="G165" s="2" t="str">
        <f>IF(A165&lt;&gt;"", SUMIF(B1:F1,"&lt;&gt;",B165:F165),"")</f>
        <v/>
      </c>
      <c r="H165" s="2" t="str">
        <f>IF(AND(A165&lt;&gt;"",G165&lt;&gt;""),ROUND(G165,0),"")</f>
        <v/>
      </c>
      <c r="I165" s="2" t="str">
        <f>IFERROR(IF(A165&lt;&gt;"",VLOOKUP(Alunos!A165,Recurso!A3:D1000,4, FALSE),""), "")</f>
        <v/>
      </c>
      <c r="J165" s="2" t="str">
        <f>IF(AND(A165&lt;&gt;"",I165&lt;&gt;""), SUMIFS(B165:I165,B1:I1,"&lt;&gt;",B2:I2,"&lt;&gt;Exame",B2:I2,"&lt;&gt;exame",B2:I2,"&lt;&gt;Nota",B2:I2,"&lt;&gt;Total"),"")</f>
        <v/>
      </c>
      <c r="K165" s="2" t="str">
        <f>IF(AND(A165&lt;&gt;"",J165&lt;&gt;""),ROUND(J165,0),"")</f>
        <v/>
      </c>
    </row>
    <row r="166" spans="2:11" x14ac:dyDescent="0.3">
      <c r="B166" s="2" t="str">
        <f>IFERROR(IF(A166&lt;&gt;"",VLOOKUP(Alunos!A166,Exame!A3:D1000,4, FALSE),""), "")</f>
        <v/>
      </c>
      <c r="C166" s="2" t="str">
        <f>IF(A166&lt;&gt;"",VLOOKUP(Alunos!A166,Agrupamentos!A3:C1000,2, FALSE),"")</f>
        <v/>
      </c>
      <c r="D166" s="2" t="str">
        <f>IFERROR(IF(A166&lt;&gt;"",VLOOKUP(Alunos!C166,'TP1'!A3:E1000,5, FALSE),""),"")</f>
        <v/>
      </c>
      <c r="E166" s="2" t="str">
        <f>IF(A166&lt;&gt;"",VLOOKUP(Alunos!A166,Agrupamentos!A3:C1000,3, FALSE),"")</f>
        <v/>
      </c>
      <c r="F166" s="2" t="str">
        <f>IFERROR(IF(A166&lt;&gt;"",VLOOKUP(Alunos!E166,'TP2'!A3:D1000,4, FALSE),""),"")</f>
        <v/>
      </c>
      <c r="G166" s="2" t="str">
        <f>IF(A166&lt;&gt;"", SUMIF(B1:F1,"&lt;&gt;",B166:F166),"")</f>
        <v/>
      </c>
      <c r="H166" s="2" t="str">
        <f>IF(AND(A166&lt;&gt;"",G166&lt;&gt;""),ROUND(G166,0),"")</f>
        <v/>
      </c>
      <c r="I166" s="2" t="str">
        <f>IFERROR(IF(A166&lt;&gt;"",VLOOKUP(Alunos!A166,Recurso!A3:D1000,4, FALSE),""), "")</f>
        <v/>
      </c>
      <c r="J166" s="2" t="str">
        <f>IF(AND(A166&lt;&gt;"",I166&lt;&gt;""), SUMIFS(B166:I166,B1:I1,"&lt;&gt;",B2:I2,"&lt;&gt;Exame",B2:I2,"&lt;&gt;exame",B2:I2,"&lt;&gt;Nota",B2:I2,"&lt;&gt;Total"),"")</f>
        <v/>
      </c>
      <c r="K166" s="2" t="str">
        <f>IF(AND(A166&lt;&gt;"",J166&lt;&gt;""),ROUND(J166,0),"")</f>
        <v/>
      </c>
    </row>
    <row r="167" spans="2:11" x14ac:dyDescent="0.3">
      <c r="B167" s="2" t="str">
        <f>IFERROR(IF(A167&lt;&gt;"",VLOOKUP(Alunos!A167,Exame!A3:D1000,4, FALSE),""), "")</f>
        <v/>
      </c>
      <c r="C167" s="2" t="str">
        <f>IF(A167&lt;&gt;"",VLOOKUP(Alunos!A167,Agrupamentos!A3:C1000,2, FALSE),"")</f>
        <v/>
      </c>
      <c r="D167" s="2" t="str">
        <f>IFERROR(IF(A167&lt;&gt;"",VLOOKUP(Alunos!C167,'TP1'!A3:E1000,5, FALSE),""),"")</f>
        <v/>
      </c>
      <c r="E167" s="2" t="str">
        <f>IF(A167&lt;&gt;"",VLOOKUP(Alunos!A167,Agrupamentos!A3:C1000,3, FALSE),"")</f>
        <v/>
      </c>
      <c r="F167" s="2" t="str">
        <f>IFERROR(IF(A167&lt;&gt;"",VLOOKUP(Alunos!E167,'TP2'!A3:D1000,4, FALSE),""),"")</f>
        <v/>
      </c>
      <c r="G167" s="2" t="str">
        <f>IF(A167&lt;&gt;"", SUMIF(B1:F1,"&lt;&gt;",B167:F167),"")</f>
        <v/>
      </c>
      <c r="H167" s="2" t="str">
        <f>IF(AND(A167&lt;&gt;"",G167&lt;&gt;""),ROUND(G167,0),"")</f>
        <v/>
      </c>
      <c r="I167" s="2" t="str">
        <f>IFERROR(IF(A167&lt;&gt;"",VLOOKUP(Alunos!A167,Recurso!A3:D1000,4, FALSE),""), "")</f>
        <v/>
      </c>
      <c r="J167" s="2" t="str">
        <f>IF(AND(A167&lt;&gt;"",I167&lt;&gt;""), SUMIFS(B167:I167,B1:I1,"&lt;&gt;",B2:I2,"&lt;&gt;Exame",B2:I2,"&lt;&gt;exame",B2:I2,"&lt;&gt;Nota",B2:I2,"&lt;&gt;Total"),"")</f>
        <v/>
      </c>
      <c r="K167" s="2" t="str">
        <f>IF(AND(A167&lt;&gt;"",J167&lt;&gt;""),ROUND(J167,0),"")</f>
        <v/>
      </c>
    </row>
    <row r="168" spans="2:11" x14ac:dyDescent="0.3">
      <c r="B168" s="2" t="str">
        <f>IFERROR(IF(A168&lt;&gt;"",VLOOKUP(Alunos!A168,Exame!A3:D1000,4, FALSE),""), "")</f>
        <v/>
      </c>
      <c r="C168" s="2" t="str">
        <f>IF(A168&lt;&gt;"",VLOOKUP(Alunos!A168,Agrupamentos!A3:C1000,2, FALSE),"")</f>
        <v/>
      </c>
      <c r="D168" s="2" t="str">
        <f>IFERROR(IF(A168&lt;&gt;"",VLOOKUP(Alunos!C168,'TP1'!A3:E1000,5, FALSE),""),"")</f>
        <v/>
      </c>
      <c r="E168" s="2" t="str">
        <f>IF(A168&lt;&gt;"",VLOOKUP(Alunos!A168,Agrupamentos!A3:C1000,3, FALSE),"")</f>
        <v/>
      </c>
      <c r="F168" s="2" t="str">
        <f>IFERROR(IF(A168&lt;&gt;"",VLOOKUP(Alunos!E168,'TP2'!A3:D1000,4, FALSE),""),"")</f>
        <v/>
      </c>
      <c r="G168" s="2" t="str">
        <f>IF(A168&lt;&gt;"", SUMIF(B1:F1,"&lt;&gt;",B168:F168),"")</f>
        <v/>
      </c>
      <c r="H168" s="2" t="str">
        <f>IF(AND(A168&lt;&gt;"",G168&lt;&gt;""),ROUND(G168,0),"")</f>
        <v/>
      </c>
      <c r="I168" s="2" t="str">
        <f>IFERROR(IF(A168&lt;&gt;"",VLOOKUP(Alunos!A168,Recurso!A3:D1000,4, FALSE),""), "")</f>
        <v/>
      </c>
      <c r="J168" s="2" t="str">
        <f>IF(AND(A168&lt;&gt;"",I168&lt;&gt;""), SUMIFS(B168:I168,B1:I1,"&lt;&gt;",B2:I2,"&lt;&gt;Exame",B2:I2,"&lt;&gt;exame",B2:I2,"&lt;&gt;Nota",B2:I2,"&lt;&gt;Total"),"")</f>
        <v/>
      </c>
      <c r="K168" s="2" t="str">
        <f>IF(AND(A168&lt;&gt;"",J168&lt;&gt;""),ROUND(J168,0),"")</f>
        <v/>
      </c>
    </row>
    <row r="169" spans="2:11" x14ac:dyDescent="0.3">
      <c r="B169" s="2" t="str">
        <f>IFERROR(IF(A169&lt;&gt;"",VLOOKUP(Alunos!A169,Exame!A3:D1000,4, FALSE),""), "")</f>
        <v/>
      </c>
      <c r="C169" s="2" t="str">
        <f>IF(A169&lt;&gt;"",VLOOKUP(Alunos!A169,Agrupamentos!A3:C1000,2, FALSE),"")</f>
        <v/>
      </c>
      <c r="D169" s="2" t="str">
        <f>IFERROR(IF(A169&lt;&gt;"",VLOOKUP(Alunos!C169,'TP1'!A3:E1000,5, FALSE),""),"")</f>
        <v/>
      </c>
      <c r="E169" s="2" t="str">
        <f>IF(A169&lt;&gt;"",VLOOKUP(Alunos!A169,Agrupamentos!A3:C1000,3, FALSE),"")</f>
        <v/>
      </c>
      <c r="F169" s="2" t="str">
        <f>IFERROR(IF(A169&lt;&gt;"",VLOOKUP(Alunos!E169,'TP2'!A3:D1000,4, FALSE),""),"")</f>
        <v/>
      </c>
      <c r="G169" s="2" t="str">
        <f>IF(A169&lt;&gt;"", SUMIF(B1:F1,"&lt;&gt;",B169:F169),"")</f>
        <v/>
      </c>
      <c r="H169" s="2" t="str">
        <f>IF(AND(A169&lt;&gt;"",G169&lt;&gt;""),ROUND(G169,0),"")</f>
        <v/>
      </c>
      <c r="I169" s="2" t="str">
        <f>IFERROR(IF(A169&lt;&gt;"",VLOOKUP(Alunos!A169,Recurso!A3:D1000,4, FALSE),""), "")</f>
        <v/>
      </c>
      <c r="J169" s="2" t="str">
        <f>IF(AND(A169&lt;&gt;"",I169&lt;&gt;""), SUMIFS(B169:I169,B1:I1,"&lt;&gt;",B2:I2,"&lt;&gt;Exame",B2:I2,"&lt;&gt;exame",B2:I2,"&lt;&gt;Nota",B2:I2,"&lt;&gt;Total"),"")</f>
        <v/>
      </c>
      <c r="K169" s="2" t="str">
        <f>IF(AND(A169&lt;&gt;"",J169&lt;&gt;""),ROUND(J169,0),"")</f>
        <v/>
      </c>
    </row>
    <row r="170" spans="2:11" x14ac:dyDescent="0.3">
      <c r="B170" s="2" t="str">
        <f>IFERROR(IF(A170&lt;&gt;"",VLOOKUP(Alunos!A170,Exame!A3:D1000,4, FALSE),""), "")</f>
        <v/>
      </c>
      <c r="C170" s="2" t="str">
        <f>IF(A170&lt;&gt;"",VLOOKUP(Alunos!A170,Agrupamentos!A3:C1000,2, FALSE),"")</f>
        <v/>
      </c>
      <c r="D170" s="2" t="str">
        <f>IFERROR(IF(A170&lt;&gt;"",VLOOKUP(Alunos!C170,'TP1'!A3:E1000,5, FALSE),""),"")</f>
        <v/>
      </c>
      <c r="E170" s="2" t="str">
        <f>IF(A170&lt;&gt;"",VLOOKUP(Alunos!A170,Agrupamentos!A3:C1000,3, FALSE),"")</f>
        <v/>
      </c>
      <c r="F170" s="2" t="str">
        <f>IFERROR(IF(A170&lt;&gt;"",VLOOKUP(Alunos!E170,'TP2'!A3:D1000,4, FALSE),""),"")</f>
        <v/>
      </c>
      <c r="G170" s="2" t="str">
        <f>IF(A170&lt;&gt;"", SUMIF(B1:F1,"&lt;&gt;",B170:F170),"")</f>
        <v/>
      </c>
      <c r="H170" s="2" t="str">
        <f>IF(AND(A170&lt;&gt;"",G170&lt;&gt;""),ROUND(G170,0),"")</f>
        <v/>
      </c>
      <c r="I170" s="2" t="str">
        <f>IFERROR(IF(A170&lt;&gt;"",VLOOKUP(Alunos!A170,Recurso!A3:D1000,4, FALSE),""), "")</f>
        <v/>
      </c>
      <c r="J170" s="2" t="str">
        <f>IF(AND(A170&lt;&gt;"",I170&lt;&gt;""), SUMIFS(B170:I170,B1:I1,"&lt;&gt;",B2:I2,"&lt;&gt;Exame",B2:I2,"&lt;&gt;exame",B2:I2,"&lt;&gt;Nota",B2:I2,"&lt;&gt;Total"),"")</f>
        <v/>
      </c>
      <c r="K170" s="2" t="str">
        <f>IF(AND(A170&lt;&gt;"",J170&lt;&gt;""),ROUND(J170,0),"")</f>
        <v/>
      </c>
    </row>
    <row r="171" spans="2:11" x14ac:dyDescent="0.3">
      <c r="B171" s="2" t="str">
        <f>IFERROR(IF(A171&lt;&gt;"",VLOOKUP(Alunos!A171,Exame!A3:D1000,4, FALSE),""), "")</f>
        <v/>
      </c>
      <c r="C171" s="2" t="str">
        <f>IF(A171&lt;&gt;"",VLOOKUP(Alunos!A171,Agrupamentos!A3:C1000,2, FALSE),"")</f>
        <v/>
      </c>
      <c r="D171" s="2" t="str">
        <f>IFERROR(IF(A171&lt;&gt;"",VLOOKUP(Alunos!C171,'TP1'!A3:E1000,5, FALSE),""),"")</f>
        <v/>
      </c>
      <c r="E171" s="2" t="str">
        <f>IF(A171&lt;&gt;"",VLOOKUP(Alunos!A171,Agrupamentos!A3:C1000,3, FALSE),"")</f>
        <v/>
      </c>
      <c r="F171" s="2" t="str">
        <f>IFERROR(IF(A171&lt;&gt;"",VLOOKUP(Alunos!E171,'TP2'!A3:D1000,4, FALSE),""),"")</f>
        <v/>
      </c>
      <c r="G171" s="2" t="str">
        <f>IF(A171&lt;&gt;"", SUMIF(B1:F1,"&lt;&gt;",B171:F171),"")</f>
        <v/>
      </c>
      <c r="H171" s="2" t="str">
        <f>IF(AND(A171&lt;&gt;"",G171&lt;&gt;""),ROUND(G171,0),"")</f>
        <v/>
      </c>
      <c r="I171" s="2" t="str">
        <f>IFERROR(IF(A171&lt;&gt;"",VLOOKUP(Alunos!A171,Recurso!A3:D1000,4, FALSE),""), "")</f>
        <v/>
      </c>
      <c r="J171" s="2" t="str">
        <f>IF(AND(A171&lt;&gt;"",I171&lt;&gt;""), SUMIFS(B171:I171,B1:I1,"&lt;&gt;",B2:I2,"&lt;&gt;Exame",B2:I2,"&lt;&gt;exame",B2:I2,"&lt;&gt;Nota",B2:I2,"&lt;&gt;Total"),"")</f>
        <v/>
      </c>
      <c r="K171" s="2" t="str">
        <f>IF(AND(A171&lt;&gt;"",J171&lt;&gt;""),ROUND(J171,0),"")</f>
        <v/>
      </c>
    </row>
    <row r="172" spans="2:11" x14ac:dyDescent="0.3">
      <c r="B172" s="2" t="str">
        <f>IFERROR(IF(A172&lt;&gt;"",VLOOKUP(Alunos!A172,Exame!A3:D1000,4, FALSE),""), "")</f>
        <v/>
      </c>
      <c r="C172" s="2" t="str">
        <f>IF(A172&lt;&gt;"",VLOOKUP(Alunos!A172,Agrupamentos!A3:C1000,2, FALSE),"")</f>
        <v/>
      </c>
      <c r="D172" s="2" t="str">
        <f>IFERROR(IF(A172&lt;&gt;"",VLOOKUP(Alunos!C172,'TP1'!A3:E1000,5, FALSE),""),"")</f>
        <v/>
      </c>
      <c r="E172" s="2" t="str">
        <f>IF(A172&lt;&gt;"",VLOOKUP(Alunos!A172,Agrupamentos!A3:C1000,3, FALSE),"")</f>
        <v/>
      </c>
      <c r="F172" s="2" t="str">
        <f>IFERROR(IF(A172&lt;&gt;"",VLOOKUP(Alunos!E172,'TP2'!A3:D1000,4, FALSE),""),"")</f>
        <v/>
      </c>
      <c r="G172" s="2" t="str">
        <f>IF(A172&lt;&gt;"", SUMIF(B1:F1,"&lt;&gt;",B172:F172),"")</f>
        <v/>
      </c>
      <c r="H172" s="2" t="str">
        <f>IF(AND(A172&lt;&gt;"",G172&lt;&gt;""),ROUND(G172,0),"")</f>
        <v/>
      </c>
      <c r="I172" s="2" t="str">
        <f>IFERROR(IF(A172&lt;&gt;"",VLOOKUP(Alunos!A172,Recurso!A3:D1000,4, FALSE),""), "")</f>
        <v/>
      </c>
      <c r="J172" s="2" t="str">
        <f>IF(AND(A172&lt;&gt;"",I172&lt;&gt;""), SUMIFS(B172:I172,B1:I1,"&lt;&gt;",B2:I2,"&lt;&gt;Exame",B2:I2,"&lt;&gt;exame",B2:I2,"&lt;&gt;Nota",B2:I2,"&lt;&gt;Total"),"")</f>
        <v/>
      </c>
      <c r="K172" s="2" t="str">
        <f>IF(AND(A172&lt;&gt;"",J172&lt;&gt;""),ROUND(J172,0),"")</f>
        <v/>
      </c>
    </row>
    <row r="173" spans="2:11" x14ac:dyDescent="0.3">
      <c r="B173" s="2" t="str">
        <f>IFERROR(IF(A173&lt;&gt;"",VLOOKUP(Alunos!A173,Exame!A3:D1000,4, FALSE),""), "")</f>
        <v/>
      </c>
      <c r="C173" s="2" t="str">
        <f>IF(A173&lt;&gt;"",VLOOKUP(Alunos!A173,Agrupamentos!A3:C1000,2, FALSE),"")</f>
        <v/>
      </c>
      <c r="D173" s="2" t="str">
        <f>IFERROR(IF(A173&lt;&gt;"",VLOOKUP(Alunos!C173,'TP1'!A3:E1000,5, FALSE),""),"")</f>
        <v/>
      </c>
      <c r="E173" s="2" t="str">
        <f>IF(A173&lt;&gt;"",VLOOKUP(Alunos!A173,Agrupamentos!A3:C1000,3, FALSE),"")</f>
        <v/>
      </c>
      <c r="F173" s="2" t="str">
        <f>IFERROR(IF(A173&lt;&gt;"",VLOOKUP(Alunos!E173,'TP2'!A3:D1000,4, FALSE),""),"")</f>
        <v/>
      </c>
      <c r="G173" s="2" t="str">
        <f>IF(A173&lt;&gt;"", SUMIF(B1:F1,"&lt;&gt;",B173:F173),"")</f>
        <v/>
      </c>
      <c r="H173" s="2" t="str">
        <f>IF(AND(A173&lt;&gt;"",G173&lt;&gt;""),ROUND(G173,0),"")</f>
        <v/>
      </c>
      <c r="I173" s="2" t="str">
        <f>IFERROR(IF(A173&lt;&gt;"",VLOOKUP(Alunos!A173,Recurso!A3:D1000,4, FALSE),""), "")</f>
        <v/>
      </c>
      <c r="J173" s="2" t="str">
        <f>IF(AND(A173&lt;&gt;"",I173&lt;&gt;""), SUMIFS(B173:I173,B1:I1,"&lt;&gt;",B2:I2,"&lt;&gt;Exame",B2:I2,"&lt;&gt;exame",B2:I2,"&lt;&gt;Nota",B2:I2,"&lt;&gt;Total"),"")</f>
        <v/>
      </c>
      <c r="K173" s="2" t="str">
        <f>IF(AND(A173&lt;&gt;"",J173&lt;&gt;""),ROUND(J173,0),"")</f>
        <v/>
      </c>
    </row>
    <row r="174" spans="2:11" x14ac:dyDescent="0.3">
      <c r="B174" s="2" t="str">
        <f>IFERROR(IF(A174&lt;&gt;"",VLOOKUP(Alunos!A174,Exame!A3:D1000,4, FALSE),""), "")</f>
        <v/>
      </c>
      <c r="C174" s="2" t="str">
        <f>IF(A174&lt;&gt;"",VLOOKUP(Alunos!A174,Agrupamentos!A3:C1000,2, FALSE),"")</f>
        <v/>
      </c>
      <c r="D174" s="2" t="str">
        <f>IFERROR(IF(A174&lt;&gt;"",VLOOKUP(Alunos!C174,'TP1'!A3:E1000,5, FALSE),""),"")</f>
        <v/>
      </c>
      <c r="E174" s="2" t="str">
        <f>IF(A174&lt;&gt;"",VLOOKUP(Alunos!A174,Agrupamentos!A3:C1000,3, FALSE),"")</f>
        <v/>
      </c>
      <c r="F174" s="2" t="str">
        <f>IFERROR(IF(A174&lt;&gt;"",VLOOKUP(Alunos!E174,'TP2'!A3:D1000,4, FALSE),""),"")</f>
        <v/>
      </c>
      <c r="G174" s="2" t="str">
        <f>IF(A174&lt;&gt;"", SUMIF(B1:F1,"&lt;&gt;",B174:F174),"")</f>
        <v/>
      </c>
      <c r="H174" s="2" t="str">
        <f>IF(AND(A174&lt;&gt;"",G174&lt;&gt;""),ROUND(G174,0),"")</f>
        <v/>
      </c>
      <c r="I174" s="2" t="str">
        <f>IFERROR(IF(A174&lt;&gt;"",VLOOKUP(Alunos!A174,Recurso!A3:D1000,4, FALSE),""), "")</f>
        <v/>
      </c>
      <c r="J174" s="2" t="str">
        <f>IF(AND(A174&lt;&gt;"",I174&lt;&gt;""), SUMIFS(B174:I174,B1:I1,"&lt;&gt;",B2:I2,"&lt;&gt;Exame",B2:I2,"&lt;&gt;exame",B2:I2,"&lt;&gt;Nota",B2:I2,"&lt;&gt;Total"),"")</f>
        <v/>
      </c>
      <c r="K174" s="2" t="str">
        <f>IF(AND(A174&lt;&gt;"",J174&lt;&gt;""),ROUND(J174,0),"")</f>
        <v/>
      </c>
    </row>
    <row r="175" spans="2:11" x14ac:dyDescent="0.3">
      <c r="B175" s="2" t="str">
        <f>IFERROR(IF(A175&lt;&gt;"",VLOOKUP(Alunos!A175,Exame!A3:D1000,4, FALSE),""), "")</f>
        <v/>
      </c>
      <c r="C175" s="2" t="str">
        <f>IF(A175&lt;&gt;"",VLOOKUP(Alunos!A175,Agrupamentos!A3:C1000,2, FALSE),"")</f>
        <v/>
      </c>
      <c r="D175" s="2" t="str">
        <f>IFERROR(IF(A175&lt;&gt;"",VLOOKUP(Alunos!C175,'TP1'!A3:E1000,5, FALSE),""),"")</f>
        <v/>
      </c>
      <c r="E175" s="2" t="str">
        <f>IF(A175&lt;&gt;"",VLOOKUP(Alunos!A175,Agrupamentos!A3:C1000,3, FALSE),"")</f>
        <v/>
      </c>
      <c r="F175" s="2" t="str">
        <f>IFERROR(IF(A175&lt;&gt;"",VLOOKUP(Alunos!E175,'TP2'!A3:D1000,4, FALSE),""),"")</f>
        <v/>
      </c>
      <c r="G175" s="2" t="str">
        <f>IF(A175&lt;&gt;"", SUMIF(B1:F1,"&lt;&gt;",B175:F175),"")</f>
        <v/>
      </c>
      <c r="H175" s="2" t="str">
        <f>IF(AND(A175&lt;&gt;"",G175&lt;&gt;""),ROUND(G175,0),"")</f>
        <v/>
      </c>
      <c r="I175" s="2" t="str">
        <f>IFERROR(IF(A175&lt;&gt;"",VLOOKUP(Alunos!A175,Recurso!A3:D1000,4, FALSE),""), "")</f>
        <v/>
      </c>
      <c r="J175" s="2" t="str">
        <f>IF(AND(A175&lt;&gt;"",I175&lt;&gt;""), SUMIFS(B175:I175,B1:I1,"&lt;&gt;",B2:I2,"&lt;&gt;Exame",B2:I2,"&lt;&gt;exame",B2:I2,"&lt;&gt;Nota",B2:I2,"&lt;&gt;Total"),"")</f>
        <v/>
      </c>
      <c r="K175" s="2" t="str">
        <f>IF(AND(A175&lt;&gt;"",J175&lt;&gt;""),ROUND(J175,0),"")</f>
        <v/>
      </c>
    </row>
    <row r="176" spans="2:11" x14ac:dyDescent="0.3">
      <c r="B176" s="2" t="str">
        <f>IFERROR(IF(A176&lt;&gt;"",VLOOKUP(Alunos!A176,Exame!A3:D1000,4, FALSE),""), "")</f>
        <v/>
      </c>
      <c r="C176" s="2" t="str">
        <f>IF(A176&lt;&gt;"",VLOOKUP(Alunos!A176,Agrupamentos!A3:C1000,2, FALSE),"")</f>
        <v/>
      </c>
      <c r="D176" s="2" t="str">
        <f>IFERROR(IF(A176&lt;&gt;"",VLOOKUP(Alunos!C176,'TP1'!A3:E1000,5, FALSE),""),"")</f>
        <v/>
      </c>
      <c r="E176" s="2" t="str">
        <f>IF(A176&lt;&gt;"",VLOOKUP(Alunos!A176,Agrupamentos!A3:C1000,3, FALSE),"")</f>
        <v/>
      </c>
      <c r="F176" s="2" t="str">
        <f>IFERROR(IF(A176&lt;&gt;"",VLOOKUP(Alunos!E176,'TP2'!A3:D1000,4, FALSE),""),"")</f>
        <v/>
      </c>
      <c r="G176" s="2" t="str">
        <f>IF(A176&lt;&gt;"", SUMIF(B1:F1,"&lt;&gt;",B176:F176),"")</f>
        <v/>
      </c>
      <c r="H176" s="2" t="str">
        <f>IF(AND(A176&lt;&gt;"",G176&lt;&gt;""),ROUND(G176,0),"")</f>
        <v/>
      </c>
      <c r="I176" s="2" t="str">
        <f>IFERROR(IF(A176&lt;&gt;"",VLOOKUP(Alunos!A176,Recurso!A3:D1000,4, FALSE),""), "")</f>
        <v/>
      </c>
      <c r="J176" s="2" t="str">
        <f>IF(AND(A176&lt;&gt;"",I176&lt;&gt;""), SUMIFS(B176:I176,B1:I1,"&lt;&gt;",B2:I2,"&lt;&gt;Exame",B2:I2,"&lt;&gt;exame",B2:I2,"&lt;&gt;Nota",B2:I2,"&lt;&gt;Total"),"")</f>
        <v/>
      </c>
      <c r="K176" s="2" t="str">
        <f>IF(AND(A176&lt;&gt;"",J176&lt;&gt;""),ROUND(J176,0),"")</f>
        <v/>
      </c>
    </row>
    <row r="177" spans="2:11" x14ac:dyDescent="0.3">
      <c r="B177" s="2" t="str">
        <f>IFERROR(IF(A177&lt;&gt;"",VLOOKUP(Alunos!A177,Exame!A3:D1000,4, FALSE),""), "")</f>
        <v/>
      </c>
      <c r="C177" s="2" t="str">
        <f>IF(A177&lt;&gt;"",VLOOKUP(Alunos!A177,Agrupamentos!A3:C1000,2, FALSE),"")</f>
        <v/>
      </c>
      <c r="D177" s="2" t="str">
        <f>IFERROR(IF(A177&lt;&gt;"",VLOOKUP(Alunos!C177,'TP1'!A3:E1000,5, FALSE),""),"")</f>
        <v/>
      </c>
      <c r="E177" s="2" t="str">
        <f>IF(A177&lt;&gt;"",VLOOKUP(Alunos!A177,Agrupamentos!A3:C1000,3, FALSE),"")</f>
        <v/>
      </c>
      <c r="F177" s="2" t="str">
        <f>IFERROR(IF(A177&lt;&gt;"",VLOOKUP(Alunos!E177,'TP2'!A3:D1000,4, FALSE),""),"")</f>
        <v/>
      </c>
      <c r="G177" s="2" t="str">
        <f>IF(A177&lt;&gt;"", SUMIF(B1:F1,"&lt;&gt;",B177:F177),"")</f>
        <v/>
      </c>
      <c r="H177" s="2" t="str">
        <f>IF(AND(A177&lt;&gt;"",G177&lt;&gt;""),ROUND(G177,0),"")</f>
        <v/>
      </c>
      <c r="I177" s="2" t="str">
        <f>IFERROR(IF(A177&lt;&gt;"",VLOOKUP(Alunos!A177,Recurso!A3:D1000,4, FALSE),""), "")</f>
        <v/>
      </c>
      <c r="J177" s="2" t="str">
        <f>IF(AND(A177&lt;&gt;"",I177&lt;&gt;""), SUMIFS(B177:I177,B1:I1,"&lt;&gt;",B2:I2,"&lt;&gt;Exame",B2:I2,"&lt;&gt;exame",B2:I2,"&lt;&gt;Nota",B2:I2,"&lt;&gt;Total"),"")</f>
        <v/>
      </c>
      <c r="K177" s="2" t="str">
        <f>IF(AND(A177&lt;&gt;"",J177&lt;&gt;""),ROUND(J177,0),"")</f>
        <v/>
      </c>
    </row>
    <row r="178" spans="2:11" x14ac:dyDescent="0.3">
      <c r="B178" s="2" t="str">
        <f>IFERROR(IF(A178&lt;&gt;"",VLOOKUP(Alunos!A178,Exame!A3:D1000,4, FALSE),""), "")</f>
        <v/>
      </c>
      <c r="C178" s="2" t="str">
        <f>IF(A178&lt;&gt;"",VLOOKUP(Alunos!A178,Agrupamentos!A3:C1000,2, FALSE),"")</f>
        <v/>
      </c>
      <c r="D178" s="2" t="str">
        <f>IFERROR(IF(A178&lt;&gt;"",VLOOKUP(Alunos!C178,'TP1'!A3:E1000,5, FALSE),""),"")</f>
        <v/>
      </c>
      <c r="E178" s="2" t="str">
        <f>IF(A178&lt;&gt;"",VLOOKUP(Alunos!A178,Agrupamentos!A3:C1000,3, FALSE),"")</f>
        <v/>
      </c>
      <c r="F178" s="2" t="str">
        <f>IFERROR(IF(A178&lt;&gt;"",VLOOKUP(Alunos!E178,'TP2'!A3:D1000,4, FALSE),""),"")</f>
        <v/>
      </c>
      <c r="G178" s="2" t="str">
        <f>IF(A178&lt;&gt;"", SUMIF(B1:F1,"&lt;&gt;",B178:F178),"")</f>
        <v/>
      </c>
      <c r="H178" s="2" t="str">
        <f>IF(AND(A178&lt;&gt;"",G178&lt;&gt;""),ROUND(G178,0),"")</f>
        <v/>
      </c>
      <c r="I178" s="2" t="str">
        <f>IFERROR(IF(A178&lt;&gt;"",VLOOKUP(Alunos!A178,Recurso!A3:D1000,4, FALSE),""), "")</f>
        <v/>
      </c>
      <c r="J178" s="2" t="str">
        <f>IF(AND(A178&lt;&gt;"",I178&lt;&gt;""), SUMIFS(B178:I178,B1:I1,"&lt;&gt;",B2:I2,"&lt;&gt;Exame",B2:I2,"&lt;&gt;exame",B2:I2,"&lt;&gt;Nota",B2:I2,"&lt;&gt;Total"),"")</f>
        <v/>
      </c>
      <c r="K178" s="2" t="str">
        <f>IF(AND(A178&lt;&gt;"",J178&lt;&gt;""),ROUND(J178,0),"")</f>
        <v/>
      </c>
    </row>
    <row r="179" spans="2:11" x14ac:dyDescent="0.3">
      <c r="B179" s="2" t="str">
        <f>IFERROR(IF(A179&lt;&gt;"",VLOOKUP(Alunos!A179,Exame!A3:D1000,4, FALSE),""), "")</f>
        <v/>
      </c>
      <c r="C179" s="2" t="str">
        <f>IF(A179&lt;&gt;"",VLOOKUP(Alunos!A179,Agrupamentos!A3:C1000,2, FALSE),"")</f>
        <v/>
      </c>
      <c r="D179" s="2" t="str">
        <f>IFERROR(IF(A179&lt;&gt;"",VLOOKUP(Alunos!C179,'TP1'!A3:E1000,5, FALSE),""),"")</f>
        <v/>
      </c>
      <c r="E179" s="2" t="str">
        <f>IF(A179&lt;&gt;"",VLOOKUP(Alunos!A179,Agrupamentos!A3:C1000,3, FALSE),"")</f>
        <v/>
      </c>
      <c r="F179" s="2" t="str">
        <f>IFERROR(IF(A179&lt;&gt;"",VLOOKUP(Alunos!E179,'TP2'!A3:D1000,4, FALSE),""),"")</f>
        <v/>
      </c>
      <c r="G179" s="2" t="str">
        <f>IF(A179&lt;&gt;"", SUMIF(B1:F1,"&lt;&gt;",B179:F179),"")</f>
        <v/>
      </c>
      <c r="H179" s="2" t="str">
        <f>IF(AND(A179&lt;&gt;"",G179&lt;&gt;""),ROUND(G179,0),"")</f>
        <v/>
      </c>
      <c r="I179" s="2" t="str">
        <f>IFERROR(IF(A179&lt;&gt;"",VLOOKUP(Alunos!A179,Recurso!A3:D1000,4, FALSE),""), "")</f>
        <v/>
      </c>
      <c r="J179" s="2" t="str">
        <f>IF(AND(A179&lt;&gt;"",I179&lt;&gt;""), SUMIFS(B179:I179,B1:I1,"&lt;&gt;",B2:I2,"&lt;&gt;Exame",B2:I2,"&lt;&gt;exame",B2:I2,"&lt;&gt;Nota",B2:I2,"&lt;&gt;Total"),"")</f>
        <v/>
      </c>
      <c r="K179" s="2" t="str">
        <f>IF(AND(A179&lt;&gt;"",J179&lt;&gt;""),ROUND(J179,0),"")</f>
        <v/>
      </c>
    </row>
    <row r="180" spans="2:11" x14ac:dyDescent="0.3">
      <c r="B180" s="2" t="str">
        <f>IFERROR(IF(A180&lt;&gt;"",VLOOKUP(Alunos!A180,Exame!A3:D1000,4, FALSE),""), "")</f>
        <v/>
      </c>
      <c r="C180" s="2" t="str">
        <f>IF(A180&lt;&gt;"",VLOOKUP(Alunos!A180,Agrupamentos!A3:C1000,2, FALSE),"")</f>
        <v/>
      </c>
      <c r="D180" s="2" t="str">
        <f>IFERROR(IF(A180&lt;&gt;"",VLOOKUP(Alunos!C180,'TP1'!A3:E1000,5, FALSE),""),"")</f>
        <v/>
      </c>
      <c r="E180" s="2" t="str">
        <f>IF(A180&lt;&gt;"",VLOOKUP(Alunos!A180,Agrupamentos!A3:C1000,3, FALSE),"")</f>
        <v/>
      </c>
      <c r="F180" s="2" t="str">
        <f>IFERROR(IF(A180&lt;&gt;"",VLOOKUP(Alunos!E180,'TP2'!A3:D1000,4, FALSE),""),"")</f>
        <v/>
      </c>
      <c r="G180" s="2" t="str">
        <f>IF(A180&lt;&gt;"", SUMIF(B1:F1,"&lt;&gt;",B180:F180),"")</f>
        <v/>
      </c>
      <c r="H180" s="2" t="str">
        <f>IF(AND(A180&lt;&gt;"",G180&lt;&gt;""),ROUND(G180,0),"")</f>
        <v/>
      </c>
      <c r="I180" s="2" t="str">
        <f>IFERROR(IF(A180&lt;&gt;"",VLOOKUP(Alunos!A180,Recurso!A3:D1000,4, FALSE),""), "")</f>
        <v/>
      </c>
      <c r="J180" s="2" t="str">
        <f>IF(AND(A180&lt;&gt;"",I180&lt;&gt;""), SUMIFS(B180:I180,B1:I1,"&lt;&gt;",B2:I2,"&lt;&gt;Exame",B2:I2,"&lt;&gt;exame",B2:I2,"&lt;&gt;Nota",B2:I2,"&lt;&gt;Total"),"")</f>
        <v/>
      </c>
      <c r="K180" s="2" t="str">
        <f>IF(AND(A180&lt;&gt;"",J180&lt;&gt;""),ROUND(J180,0),"")</f>
        <v/>
      </c>
    </row>
    <row r="181" spans="2:11" x14ac:dyDescent="0.3">
      <c r="B181" s="2" t="str">
        <f>IFERROR(IF(A181&lt;&gt;"",VLOOKUP(Alunos!A181,Exame!A3:D1000,4, FALSE),""), "")</f>
        <v/>
      </c>
      <c r="C181" s="2" t="str">
        <f>IF(A181&lt;&gt;"",VLOOKUP(Alunos!A181,Agrupamentos!A3:C1000,2, FALSE),"")</f>
        <v/>
      </c>
      <c r="D181" s="2" t="str">
        <f>IFERROR(IF(A181&lt;&gt;"",VLOOKUP(Alunos!C181,'TP1'!A3:E1000,5, FALSE),""),"")</f>
        <v/>
      </c>
      <c r="E181" s="2" t="str">
        <f>IF(A181&lt;&gt;"",VLOOKUP(Alunos!A181,Agrupamentos!A3:C1000,3, FALSE),"")</f>
        <v/>
      </c>
      <c r="F181" s="2" t="str">
        <f>IFERROR(IF(A181&lt;&gt;"",VLOOKUP(Alunos!E181,'TP2'!A3:D1000,4, FALSE),""),"")</f>
        <v/>
      </c>
      <c r="G181" s="2" t="str">
        <f>IF(A181&lt;&gt;"", SUMIF(B1:F1,"&lt;&gt;",B181:F181),"")</f>
        <v/>
      </c>
      <c r="H181" s="2" t="str">
        <f>IF(AND(A181&lt;&gt;"",G181&lt;&gt;""),ROUND(G181,0),"")</f>
        <v/>
      </c>
      <c r="I181" s="2" t="str">
        <f>IFERROR(IF(A181&lt;&gt;"",VLOOKUP(Alunos!A181,Recurso!A3:D1000,4, FALSE),""), "")</f>
        <v/>
      </c>
      <c r="J181" s="2" t="str">
        <f>IF(AND(A181&lt;&gt;"",I181&lt;&gt;""), SUMIFS(B181:I181,B1:I1,"&lt;&gt;",B2:I2,"&lt;&gt;Exame",B2:I2,"&lt;&gt;exame",B2:I2,"&lt;&gt;Nota",B2:I2,"&lt;&gt;Total"),"")</f>
        <v/>
      </c>
      <c r="K181" s="2" t="str">
        <f>IF(AND(A181&lt;&gt;"",J181&lt;&gt;""),ROUND(J181,0),"")</f>
        <v/>
      </c>
    </row>
    <row r="182" spans="2:11" x14ac:dyDescent="0.3">
      <c r="B182" s="2" t="str">
        <f>IFERROR(IF(A182&lt;&gt;"",VLOOKUP(Alunos!A182,Exame!A3:D1000,4, FALSE),""), "")</f>
        <v/>
      </c>
      <c r="C182" s="2" t="str">
        <f>IF(A182&lt;&gt;"",VLOOKUP(Alunos!A182,Agrupamentos!A3:C1000,2, FALSE),"")</f>
        <v/>
      </c>
      <c r="D182" s="2" t="str">
        <f>IFERROR(IF(A182&lt;&gt;"",VLOOKUP(Alunos!C182,'TP1'!A3:E1000,5, FALSE),""),"")</f>
        <v/>
      </c>
      <c r="E182" s="2" t="str">
        <f>IF(A182&lt;&gt;"",VLOOKUP(Alunos!A182,Agrupamentos!A3:C1000,3, FALSE),"")</f>
        <v/>
      </c>
      <c r="F182" s="2" t="str">
        <f>IFERROR(IF(A182&lt;&gt;"",VLOOKUP(Alunos!E182,'TP2'!A3:D1000,4, FALSE),""),"")</f>
        <v/>
      </c>
      <c r="G182" s="2" t="str">
        <f>IF(A182&lt;&gt;"", SUMIF(B1:F1,"&lt;&gt;",B182:F182),"")</f>
        <v/>
      </c>
      <c r="H182" s="2" t="str">
        <f>IF(AND(A182&lt;&gt;"",G182&lt;&gt;""),ROUND(G182,0),"")</f>
        <v/>
      </c>
      <c r="I182" s="2" t="str">
        <f>IFERROR(IF(A182&lt;&gt;"",VLOOKUP(Alunos!A182,Recurso!A3:D1000,4, FALSE),""), "")</f>
        <v/>
      </c>
      <c r="J182" s="2" t="str">
        <f>IF(AND(A182&lt;&gt;"",I182&lt;&gt;""), SUMIFS(B182:I182,B1:I1,"&lt;&gt;",B2:I2,"&lt;&gt;Exame",B2:I2,"&lt;&gt;exame",B2:I2,"&lt;&gt;Nota",B2:I2,"&lt;&gt;Total"),"")</f>
        <v/>
      </c>
      <c r="K182" s="2" t="str">
        <f>IF(AND(A182&lt;&gt;"",J182&lt;&gt;""),ROUND(J182,0),"")</f>
        <v/>
      </c>
    </row>
    <row r="183" spans="2:11" x14ac:dyDescent="0.3">
      <c r="B183" s="2" t="str">
        <f>IFERROR(IF(A183&lt;&gt;"",VLOOKUP(Alunos!A183,Exame!A3:D1000,4, FALSE),""), "")</f>
        <v/>
      </c>
      <c r="C183" s="2" t="str">
        <f>IF(A183&lt;&gt;"",VLOOKUP(Alunos!A183,Agrupamentos!A3:C1000,2, FALSE),"")</f>
        <v/>
      </c>
      <c r="D183" s="2" t="str">
        <f>IFERROR(IF(A183&lt;&gt;"",VLOOKUP(Alunos!C183,'TP1'!A3:E1000,5, FALSE),""),"")</f>
        <v/>
      </c>
      <c r="E183" s="2" t="str">
        <f>IF(A183&lt;&gt;"",VLOOKUP(Alunos!A183,Agrupamentos!A3:C1000,3, FALSE),"")</f>
        <v/>
      </c>
      <c r="F183" s="2" t="str">
        <f>IFERROR(IF(A183&lt;&gt;"",VLOOKUP(Alunos!E183,'TP2'!A3:D1000,4, FALSE),""),"")</f>
        <v/>
      </c>
      <c r="G183" s="2" t="str">
        <f>IF(A183&lt;&gt;"", SUMIF(B1:F1,"&lt;&gt;",B183:F183),"")</f>
        <v/>
      </c>
      <c r="H183" s="2" t="str">
        <f>IF(AND(A183&lt;&gt;"",G183&lt;&gt;""),ROUND(G183,0),"")</f>
        <v/>
      </c>
      <c r="I183" s="2" t="str">
        <f>IFERROR(IF(A183&lt;&gt;"",VLOOKUP(Alunos!A183,Recurso!A3:D1000,4, FALSE),""), "")</f>
        <v/>
      </c>
      <c r="J183" s="2" t="str">
        <f>IF(AND(A183&lt;&gt;"",I183&lt;&gt;""), SUMIFS(B183:I183,B1:I1,"&lt;&gt;",B2:I2,"&lt;&gt;Exame",B2:I2,"&lt;&gt;exame",B2:I2,"&lt;&gt;Nota",B2:I2,"&lt;&gt;Total"),"")</f>
        <v/>
      </c>
      <c r="K183" s="2" t="str">
        <f>IF(AND(A183&lt;&gt;"",J183&lt;&gt;""),ROUND(J183,0),"")</f>
        <v/>
      </c>
    </row>
    <row r="184" spans="2:11" x14ac:dyDescent="0.3">
      <c r="B184" s="2" t="str">
        <f>IFERROR(IF(A184&lt;&gt;"",VLOOKUP(Alunos!A184,Exame!A3:D1000,4, FALSE),""), "")</f>
        <v/>
      </c>
      <c r="C184" s="2" t="str">
        <f>IF(A184&lt;&gt;"",VLOOKUP(Alunos!A184,Agrupamentos!A3:C1000,2, FALSE),"")</f>
        <v/>
      </c>
      <c r="D184" s="2" t="str">
        <f>IFERROR(IF(A184&lt;&gt;"",VLOOKUP(Alunos!C184,'TP1'!A3:E1000,5, FALSE),""),"")</f>
        <v/>
      </c>
      <c r="E184" s="2" t="str">
        <f>IF(A184&lt;&gt;"",VLOOKUP(Alunos!A184,Agrupamentos!A3:C1000,3, FALSE),"")</f>
        <v/>
      </c>
      <c r="F184" s="2" t="str">
        <f>IFERROR(IF(A184&lt;&gt;"",VLOOKUP(Alunos!E184,'TP2'!A3:D1000,4, FALSE),""),"")</f>
        <v/>
      </c>
      <c r="G184" s="2" t="str">
        <f>IF(A184&lt;&gt;"", SUMIF(B1:F1,"&lt;&gt;",B184:F184),"")</f>
        <v/>
      </c>
      <c r="H184" s="2" t="str">
        <f>IF(AND(A184&lt;&gt;"",G184&lt;&gt;""),ROUND(G184,0),"")</f>
        <v/>
      </c>
      <c r="I184" s="2" t="str">
        <f>IFERROR(IF(A184&lt;&gt;"",VLOOKUP(Alunos!A184,Recurso!A3:D1000,4, FALSE),""), "")</f>
        <v/>
      </c>
      <c r="J184" s="2" t="str">
        <f>IF(AND(A184&lt;&gt;"",I184&lt;&gt;""), SUMIFS(B184:I184,B1:I1,"&lt;&gt;",B2:I2,"&lt;&gt;Exame",B2:I2,"&lt;&gt;exame",B2:I2,"&lt;&gt;Nota",B2:I2,"&lt;&gt;Total"),"")</f>
        <v/>
      </c>
      <c r="K184" s="2" t="str">
        <f>IF(AND(A184&lt;&gt;"",J184&lt;&gt;""),ROUND(J184,0),"")</f>
        <v/>
      </c>
    </row>
    <row r="185" spans="2:11" x14ac:dyDescent="0.3">
      <c r="B185" s="2" t="str">
        <f>IFERROR(IF(A185&lt;&gt;"",VLOOKUP(Alunos!A185,Exame!A3:D1000,4, FALSE),""), "")</f>
        <v/>
      </c>
      <c r="C185" s="2" t="str">
        <f>IF(A185&lt;&gt;"",VLOOKUP(Alunos!A185,Agrupamentos!A3:C1000,2, FALSE),"")</f>
        <v/>
      </c>
      <c r="D185" s="2" t="str">
        <f>IFERROR(IF(A185&lt;&gt;"",VLOOKUP(Alunos!C185,'TP1'!A3:E1000,5, FALSE),""),"")</f>
        <v/>
      </c>
      <c r="E185" s="2" t="str">
        <f>IF(A185&lt;&gt;"",VLOOKUP(Alunos!A185,Agrupamentos!A3:C1000,3, FALSE),"")</f>
        <v/>
      </c>
      <c r="F185" s="2" t="str">
        <f>IFERROR(IF(A185&lt;&gt;"",VLOOKUP(Alunos!E185,'TP2'!A3:D1000,4, FALSE),""),"")</f>
        <v/>
      </c>
      <c r="G185" s="2" t="str">
        <f>IF(A185&lt;&gt;"", SUMIF(B1:F1,"&lt;&gt;",B185:F185),"")</f>
        <v/>
      </c>
      <c r="H185" s="2" t="str">
        <f>IF(AND(A185&lt;&gt;"",G185&lt;&gt;""),ROUND(G185,0),"")</f>
        <v/>
      </c>
      <c r="I185" s="2" t="str">
        <f>IFERROR(IF(A185&lt;&gt;"",VLOOKUP(Alunos!A185,Recurso!A3:D1000,4, FALSE),""), "")</f>
        <v/>
      </c>
      <c r="J185" s="2" t="str">
        <f>IF(AND(A185&lt;&gt;"",I185&lt;&gt;""), SUMIFS(B185:I185,B1:I1,"&lt;&gt;",B2:I2,"&lt;&gt;Exame",B2:I2,"&lt;&gt;exame",B2:I2,"&lt;&gt;Nota",B2:I2,"&lt;&gt;Total"),"")</f>
        <v/>
      </c>
      <c r="K185" s="2" t="str">
        <f>IF(AND(A185&lt;&gt;"",J185&lt;&gt;""),ROUND(J185,0),"")</f>
        <v/>
      </c>
    </row>
    <row r="186" spans="2:11" x14ac:dyDescent="0.3">
      <c r="B186" s="2" t="str">
        <f>IFERROR(IF(A186&lt;&gt;"",VLOOKUP(Alunos!A186,Exame!A3:D1000,4, FALSE),""), "")</f>
        <v/>
      </c>
      <c r="C186" s="2" t="str">
        <f>IF(A186&lt;&gt;"",VLOOKUP(Alunos!A186,Agrupamentos!A3:C1000,2, FALSE),"")</f>
        <v/>
      </c>
      <c r="D186" s="2" t="str">
        <f>IFERROR(IF(A186&lt;&gt;"",VLOOKUP(Alunos!C186,'TP1'!A3:E1000,5, FALSE),""),"")</f>
        <v/>
      </c>
      <c r="E186" s="2" t="str">
        <f>IF(A186&lt;&gt;"",VLOOKUP(Alunos!A186,Agrupamentos!A3:C1000,3, FALSE),"")</f>
        <v/>
      </c>
      <c r="F186" s="2" t="str">
        <f>IFERROR(IF(A186&lt;&gt;"",VLOOKUP(Alunos!E186,'TP2'!A3:D1000,4, FALSE),""),"")</f>
        <v/>
      </c>
      <c r="G186" s="2" t="str">
        <f>IF(A186&lt;&gt;"", SUMIF(B1:F1,"&lt;&gt;",B186:F186),"")</f>
        <v/>
      </c>
      <c r="H186" s="2" t="str">
        <f>IF(AND(A186&lt;&gt;"",G186&lt;&gt;""),ROUND(G186,0),"")</f>
        <v/>
      </c>
      <c r="I186" s="2" t="str">
        <f>IFERROR(IF(A186&lt;&gt;"",VLOOKUP(Alunos!A186,Recurso!A3:D1000,4, FALSE),""), "")</f>
        <v/>
      </c>
      <c r="J186" s="2" t="str">
        <f>IF(AND(A186&lt;&gt;"",I186&lt;&gt;""), SUMIFS(B186:I186,B1:I1,"&lt;&gt;",B2:I2,"&lt;&gt;Exame",B2:I2,"&lt;&gt;exame",B2:I2,"&lt;&gt;Nota",B2:I2,"&lt;&gt;Total"),"")</f>
        <v/>
      </c>
      <c r="K186" s="2" t="str">
        <f>IF(AND(A186&lt;&gt;"",J186&lt;&gt;""),ROUND(J186,0),"")</f>
        <v/>
      </c>
    </row>
    <row r="187" spans="2:11" x14ac:dyDescent="0.3">
      <c r="B187" s="2" t="str">
        <f>IFERROR(IF(A187&lt;&gt;"",VLOOKUP(Alunos!A187,Exame!A3:D1000,4, FALSE),""), "")</f>
        <v/>
      </c>
      <c r="C187" s="2" t="str">
        <f>IF(A187&lt;&gt;"",VLOOKUP(Alunos!A187,Agrupamentos!A3:C1000,2, FALSE),"")</f>
        <v/>
      </c>
      <c r="D187" s="2" t="str">
        <f>IFERROR(IF(A187&lt;&gt;"",VLOOKUP(Alunos!C187,'TP1'!A3:E1000,5, FALSE),""),"")</f>
        <v/>
      </c>
      <c r="E187" s="2" t="str">
        <f>IF(A187&lt;&gt;"",VLOOKUP(Alunos!A187,Agrupamentos!A3:C1000,3, FALSE),"")</f>
        <v/>
      </c>
      <c r="F187" s="2" t="str">
        <f>IFERROR(IF(A187&lt;&gt;"",VLOOKUP(Alunos!E187,'TP2'!A3:D1000,4, FALSE),""),"")</f>
        <v/>
      </c>
      <c r="G187" s="2" t="str">
        <f>IF(A187&lt;&gt;"", SUMIF(B1:F1,"&lt;&gt;",B187:F187),"")</f>
        <v/>
      </c>
      <c r="H187" s="2" t="str">
        <f>IF(AND(A187&lt;&gt;"",G187&lt;&gt;""),ROUND(G187,0),"")</f>
        <v/>
      </c>
      <c r="I187" s="2" t="str">
        <f>IFERROR(IF(A187&lt;&gt;"",VLOOKUP(Alunos!A187,Recurso!A3:D1000,4, FALSE),""), "")</f>
        <v/>
      </c>
      <c r="J187" s="2" t="str">
        <f>IF(AND(A187&lt;&gt;"",I187&lt;&gt;""), SUMIFS(B187:I187,B1:I1,"&lt;&gt;",B2:I2,"&lt;&gt;Exame",B2:I2,"&lt;&gt;exame",B2:I2,"&lt;&gt;Nota",B2:I2,"&lt;&gt;Total"),"")</f>
        <v/>
      </c>
      <c r="K187" s="2" t="str">
        <f>IF(AND(A187&lt;&gt;"",J187&lt;&gt;""),ROUND(J187,0),"")</f>
        <v/>
      </c>
    </row>
    <row r="188" spans="2:11" x14ac:dyDescent="0.3">
      <c r="B188" s="2" t="str">
        <f>IFERROR(IF(A188&lt;&gt;"",VLOOKUP(Alunos!A188,Exame!A3:D1000,4, FALSE),""), "")</f>
        <v/>
      </c>
      <c r="C188" s="2" t="str">
        <f>IF(A188&lt;&gt;"",VLOOKUP(Alunos!A188,Agrupamentos!A3:C1000,2, FALSE),"")</f>
        <v/>
      </c>
      <c r="D188" s="2" t="str">
        <f>IFERROR(IF(A188&lt;&gt;"",VLOOKUP(Alunos!C188,'TP1'!A3:E1000,5, FALSE),""),"")</f>
        <v/>
      </c>
      <c r="E188" s="2" t="str">
        <f>IF(A188&lt;&gt;"",VLOOKUP(Alunos!A188,Agrupamentos!A3:C1000,3, FALSE),"")</f>
        <v/>
      </c>
      <c r="F188" s="2" t="str">
        <f>IFERROR(IF(A188&lt;&gt;"",VLOOKUP(Alunos!E188,'TP2'!A3:D1000,4, FALSE),""),"")</f>
        <v/>
      </c>
      <c r="G188" s="2" t="str">
        <f>IF(A188&lt;&gt;"", SUMIF(B1:F1,"&lt;&gt;",B188:F188),"")</f>
        <v/>
      </c>
      <c r="H188" s="2" t="str">
        <f>IF(AND(A188&lt;&gt;"",G188&lt;&gt;""),ROUND(G188,0),"")</f>
        <v/>
      </c>
      <c r="I188" s="2" t="str">
        <f>IFERROR(IF(A188&lt;&gt;"",VLOOKUP(Alunos!A188,Recurso!A3:D1000,4, FALSE),""), "")</f>
        <v/>
      </c>
      <c r="J188" s="2" t="str">
        <f>IF(AND(A188&lt;&gt;"",I188&lt;&gt;""), SUMIFS(B188:I188,B1:I1,"&lt;&gt;",B2:I2,"&lt;&gt;Exame",B2:I2,"&lt;&gt;exame",B2:I2,"&lt;&gt;Nota",B2:I2,"&lt;&gt;Total"),"")</f>
        <v/>
      </c>
      <c r="K188" s="2" t="str">
        <f>IF(AND(A188&lt;&gt;"",J188&lt;&gt;""),ROUND(J188,0),"")</f>
        <v/>
      </c>
    </row>
    <row r="189" spans="2:11" x14ac:dyDescent="0.3">
      <c r="B189" s="2" t="str">
        <f>IFERROR(IF(A189&lt;&gt;"",VLOOKUP(Alunos!A189,Exame!A3:D1000,4, FALSE),""), "")</f>
        <v/>
      </c>
      <c r="C189" s="2" t="str">
        <f>IF(A189&lt;&gt;"",VLOOKUP(Alunos!A189,Agrupamentos!A3:C1000,2, FALSE),"")</f>
        <v/>
      </c>
      <c r="D189" s="2" t="str">
        <f>IFERROR(IF(A189&lt;&gt;"",VLOOKUP(Alunos!C189,'TP1'!A3:E1000,5, FALSE),""),"")</f>
        <v/>
      </c>
      <c r="E189" s="2" t="str">
        <f>IF(A189&lt;&gt;"",VLOOKUP(Alunos!A189,Agrupamentos!A3:C1000,3, FALSE),"")</f>
        <v/>
      </c>
      <c r="F189" s="2" t="str">
        <f>IFERROR(IF(A189&lt;&gt;"",VLOOKUP(Alunos!E189,'TP2'!A3:D1000,4, FALSE),""),"")</f>
        <v/>
      </c>
      <c r="G189" s="2" t="str">
        <f>IF(A189&lt;&gt;"", SUMIF(B1:F1,"&lt;&gt;",B189:F189),"")</f>
        <v/>
      </c>
      <c r="H189" s="2" t="str">
        <f>IF(AND(A189&lt;&gt;"",G189&lt;&gt;""),ROUND(G189,0),"")</f>
        <v/>
      </c>
      <c r="I189" s="2" t="str">
        <f>IFERROR(IF(A189&lt;&gt;"",VLOOKUP(Alunos!A189,Recurso!A3:D1000,4, FALSE),""), "")</f>
        <v/>
      </c>
      <c r="J189" s="2" t="str">
        <f>IF(AND(A189&lt;&gt;"",I189&lt;&gt;""), SUMIFS(B189:I189,B1:I1,"&lt;&gt;",B2:I2,"&lt;&gt;Exame",B2:I2,"&lt;&gt;exame",B2:I2,"&lt;&gt;Nota",B2:I2,"&lt;&gt;Total"),"")</f>
        <v/>
      </c>
      <c r="K189" s="2" t="str">
        <f>IF(AND(A189&lt;&gt;"",J189&lt;&gt;""),ROUND(J189,0),"")</f>
        <v/>
      </c>
    </row>
    <row r="190" spans="2:11" x14ac:dyDescent="0.3">
      <c r="B190" s="2" t="str">
        <f>IFERROR(IF(A190&lt;&gt;"",VLOOKUP(Alunos!A190,Exame!A3:D1000,4, FALSE),""), "")</f>
        <v/>
      </c>
      <c r="C190" s="2" t="str">
        <f>IF(A190&lt;&gt;"",VLOOKUP(Alunos!A190,Agrupamentos!A3:C1000,2, FALSE),"")</f>
        <v/>
      </c>
      <c r="D190" s="2" t="str">
        <f>IFERROR(IF(A190&lt;&gt;"",VLOOKUP(Alunos!C190,'TP1'!A3:E1000,5, FALSE),""),"")</f>
        <v/>
      </c>
      <c r="E190" s="2" t="str">
        <f>IF(A190&lt;&gt;"",VLOOKUP(Alunos!A190,Agrupamentos!A3:C1000,3, FALSE),"")</f>
        <v/>
      </c>
      <c r="F190" s="2" t="str">
        <f>IFERROR(IF(A190&lt;&gt;"",VLOOKUP(Alunos!E190,'TP2'!A3:D1000,4, FALSE),""),"")</f>
        <v/>
      </c>
      <c r="G190" s="2" t="str">
        <f>IF(A190&lt;&gt;"", SUMIF(B1:F1,"&lt;&gt;",B190:F190),"")</f>
        <v/>
      </c>
      <c r="H190" s="2" t="str">
        <f>IF(AND(A190&lt;&gt;"",G190&lt;&gt;""),ROUND(G190,0),"")</f>
        <v/>
      </c>
      <c r="I190" s="2" t="str">
        <f>IFERROR(IF(A190&lt;&gt;"",VLOOKUP(Alunos!A190,Recurso!A3:D1000,4, FALSE),""), "")</f>
        <v/>
      </c>
      <c r="J190" s="2" t="str">
        <f>IF(AND(A190&lt;&gt;"",I190&lt;&gt;""), SUMIFS(B190:I190,B1:I1,"&lt;&gt;",B2:I2,"&lt;&gt;Exame",B2:I2,"&lt;&gt;exame",B2:I2,"&lt;&gt;Nota",B2:I2,"&lt;&gt;Total"),"")</f>
        <v/>
      </c>
      <c r="K190" s="2" t="str">
        <f>IF(AND(A190&lt;&gt;"",J190&lt;&gt;""),ROUND(J190,0),"")</f>
        <v/>
      </c>
    </row>
    <row r="191" spans="2:11" x14ac:dyDescent="0.3">
      <c r="B191" s="2" t="str">
        <f>IFERROR(IF(A191&lt;&gt;"",VLOOKUP(Alunos!A191,Exame!A3:D1000,4, FALSE),""), "")</f>
        <v/>
      </c>
      <c r="C191" s="2" t="str">
        <f>IF(A191&lt;&gt;"",VLOOKUP(Alunos!A191,Agrupamentos!A3:C1000,2, FALSE),"")</f>
        <v/>
      </c>
      <c r="D191" s="2" t="str">
        <f>IFERROR(IF(A191&lt;&gt;"",VLOOKUP(Alunos!C191,'TP1'!A3:E1000,5, FALSE),""),"")</f>
        <v/>
      </c>
      <c r="E191" s="2" t="str">
        <f>IF(A191&lt;&gt;"",VLOOKUP(Alunos!A191,Agrupamentos!A3:C1000,3, FALSE),"")</f>
        <v/>
      </c>
      <c r="F191" s="2" t="str">
        <f>IFERROR(IF(A191&lt;&gt;"",VLOOKUP(Alunos!E191,'TP2'!A3:D1000,4, FALSE),""),"")</f>
        <v/>
      </c>
      <c r="G191" s="2" t="str">
        <f>IF(A191&lt;&gt;"", SUMIF(B1:F1,"&lt;&gt;",B191:F191),"")</f>
        <v/>
      </c>
      <c r="H191" s="2" t="str">
        <f>IF(AND(A191&lt;&gt;"",G191&lt;&gt;""),ROUND(G191,0),"")</f>
        <v/>
      </c>
      <c r="I191" s="2" t="str">
        <f>IFERROR(IF(A191&lt;&gt;"",VLOOKUP(Alunos!A191,Recurso!A3:D1000,4, FALSE),""), "")</f>
        <v/>
      </c>
      <c r="J191" s="2" t="str">
        <f>IF(AND(A191&lt;&gt;"",I191&lt;&gt;""), SUMIFS(B191:I191,B1:I1,"&lt;&gt;",B2:I2,"&lt;&gt;Exame",B2:I2,"&lt;&gt;exame",B2:I2,"&lt;&gt;Nota",B2:I2,"&lt;&gt;Total"),"")</f>
        <v/>
      </c>
      <c r="K191" s="2" t="str">
        <f>IF(AND(A191&lt;&gt;"",J191&lt;&gt;""),ROUND(J191,0),"")</f>
        <v/>
      </c>
    </row>
    <row r="192" spans="2:11" x14ac:dyDescent="0.3">
      <c r="B192" s="2" t="str">
        <f>IFERROR(IF(A192&lt;&gt;"",VLOOKUP(Alunos!A192,Exame!A3:D1000,4, FALSE),""), "")</f>
        <v/>
      </c>
      <c r="C192" s="2" t="str">
        <f>IF(A192&lt;&gt;"",VLOOKUP(Alunos!A192,Agrupamentos!A3:C1000,2, FALSE),"")</f>
        <v/>
      </c>
      <c r="D192" s="2" t="str">
        <f>IFERROR(IF(A192&lt;&gt;"",VLOOKUP(Alunos!C192,'TP1'!A3:E1000,5, FALSE),""),"")</f>
        <v/>
      </c>
      <c r="E192" s="2" t="str">
        <f>IF(A192&lt;&gt;"",VLOOKUP(Alunos!A192,Agrupamentos!A3:C1000,3, FALSE),"")</f>
        <v/>
      </c>
      <c r="F192" s="2" t="str">
        <f>IFERROR(IF(A192&lt;&gt;"",VLOOKUP(Alunos!E192,'TP2'!A3:D1000,4, FALSE),""),"")</f>
        <v/>
      </c>
      <c r="G192" s="2" t="str">
        <f>IF(A192&lt;&gt;"", SUMIF(B1:F1,"&lt;&gt;",B192:F192),"")</f>
        <v/>
      </c>
      <c r="H192" s="2" t="str">
        <f>IF(AND(A192&lt;&gt;"",G192&lt;&gt;""),ROUND(G192,0),"")</f>
        <v/>
      </c>
      <c r="I192" s="2" t="str">
        <f>IFERROR(IF(A192&lt;&gt;"",VLOOKUP(Alunos!A192,Recurso!A3:D1000,4, FALSE),""), "")</f>
        <v/>
      </c>
      <c r="J192" s="2" t="str">
        <f>IF(AND(A192&lt;&gt;"",I192&lt;&gt;""), SUMIFS(B192:I192,B1:I1,"&lt;&gt;",B2:I2,"&lt;&gt;Exame",B2:I2,"&lt;&gt;exame",B2:I2,"&lt;&gt;Nota",B2:I2,"&lt;&gt;Total"),"")</f>
        <v/>
      </c>
      <c r="K192" s="2" t="str">
        <f>IF(AND(A192&lt;&gt;"",J192&lt;&gt;""),ROUND(J192,0),"")</f>
        <v/>
      </c>
    </row>
    <row r="193" spans="2:11" x14ac:dyDescent="0.3">
      <c r="B193" s="2" t="str">
        <f>IFERROR(IF(A193&lt;&gt;"",VLOOKUP(Alunos!A193,Exame!A3:D1000,4, FALSE),""), "")</f>
        <v/>
      </c>
      <c r="C193" s="2" t="str">
        <f>IF(A193&lt;&gt;"",VLOOKUP(Alunos!A193,Agrupamentos!A3:C1000,2, FALSE),"")</f>
        <v/>
      </c>
      <c r="D193" s="2" t="str">
        <f>IFERROR(IF(A193&lt;&gt;"",VLOOKUP(Alunos!C193,'TP1'!A3:E1000,5, FALSE),""),"")</f>
        <v/>
      </c>
      <c r="E193" s="2" t="str">
        <f>IF(A193&lt;&gt;"",VLOOKUP(Alunos!A193,Agrupamentos!A3:C1000,3, FALSE),"")</f>
        <v/>
      </c>
      <c r="F193" s="2" t="str">
        <f>IFERROR(IF(A193&lt;&gt;"",VLOOKUP(Alunos!E193,'TP2'!A3:D1000,4, FALSE),""),"")</f>
        <v/>
      </c>
      <c r="G193" s="2" t="str">
        <f>IF(A193&lt;&gt;"", SUMIF(B1:F1,"&lt;&gt;",B193:F193),"")</f>
        <v/>
      </c>
      <c r="H193" s="2" t="str">
        <f>IF(AND(A193&lt;&gt;"",G193&lt;&gt;""),ROUND(G193,0),"")</f>
        <v/>
      </c>
      <c r="I193" s="2" t="str">
        <f>IFERROR(IF(A193&lt;&gt;"",VLOOKUP(Alunos!A193,Recurso!A3:D1000,4, FALSE),""), "")</f>
        <v/>
      </c>
      <c r="J193" s="2" t="str">
        <f>IF(AND(A193&lt;&gt;"",I193&lt;&gt;""), SUMIFS(B193:I193,B1:I1,"&lt;&gt;",B2:I2,"&lt;&gt;Exame",B2:I2,"&lt;&gt;exame",B2:I2,"&lt;&gt;Nota",B2:I2,"&lt;&gt;Total"),"")</f>
        <v/>
      </c>
      <c r="K193" s="2" t="str">
        <f>IF(AND(A193&lt;&gt;"",J193&lt;&gt;""),ROUND(J193,0),"")</f>
        <v/>
      </c>
    </row>
    <row r="194" spans="2:11" x14ac:dyDescent="0.3">
      <c r="B194" s="2" t="str">
        <f>IFERROR(IF(A194&lt;&gt;"",VLOOKUP(Alunos!A194,Exame!A3:D1000,4, FALSE),""), "")</f>
        <v/>
      </c>
      <c r="C194" s="2" t="str">
        <f>IF(A194&lt;&gt;"",VLOOKUP(Alunos!A194,Agrupamentos!A3:C1000,2, FALSE),"")</f>
        <v/>
      </c>
      <c r="D194" s="2" t="str">
        <f>IFERROR(IF(A194&lt;&gt;"",VLOOKUP(Alunos!C194,'TP1'!A3:E1000,5, FALSE),""),"")</f>
        <v/>
      </c>
      <c r="E194" s="2" t="str">
        <f>IF(A194&lt;&gt;"",VLOOKUP(Alunos!A194,Agrupamentos!A3:C1000,3, FALSE),"")</f>
        <v/>
      </c>
      <c r="F194" s="2" t="str">
        <f>IFERROR(IF(A194&lt;&gt;"",VLOOKUP(Alunos!E194,'TP2'!A3:D1000,4, FALSE),""),"")</f>
        <v/>
      </c>
      <c r="G194" s="2" t="str">
        <f>IF(A194&lt;&gt;"", SUMIF(B1:F1,"&lt;&gt;",B194:F194),"")</f>
        <v/>
      </c>
      <c r="H194" s="2" t="str">
        <f>IF(AND(A194&lt;&gt;"",G194&lt;&gt;""),ROUND(G194,0),"")</f>
        <v/>
      </c>
      <c r="I194" s="2" t="str">
        <f>IFERROR(IF(A194&lt;&gt;"",VLOOKUP(Alunos!A194,Recurso!A3:D1000,4, FALSE),""), "")</f>
        <v/>
      </c>
      <c r="J194" s="2" t="str">
        <f>IF(AND(A194&lt;&gt;"",I194&lt;&gt;""), SUMIFS(B194:I194,B1:I1,"&lt;&gt;",B2:I2,"&lt;&gt;Exame",B2:I2,"&lt;&gt;exame",B2:I2,"&lt;&gt;Nota",B2:I2,"&lt;&gt;Total"),"")</f>
        <v/>
      </c>
      <c r="K194" s="2" t="str">
        <f>IF(AND(A194&lt;&gt;"",J194&lt;&gt;""),ROUND(J194,0),"")</f>
        <v/>
      </c>
    </row>
    <row r="195" spans="2:11" x14ac:dyDescent="0.3">
      <c r="B195" s="2" t="str">
        <f>IFERROR(IF(A195&lt;&gt;"",VLOOKUP(Alunos!A195,Exame!A3:D1000,4, FALSE),""), "")</f>
        <v/>
      </c>
      <c r="C195" s="2" t="str">
        <f>IF(A195&lt;&gt;"",VLOOKUP(Alunos!A195,Agrupamentos!A3:C1000,2, FALSE),"")</f>
        <v/>
      </c>
      <c r="D195" s="2" t="str">
        <f>IFERROR(IF(A195&lt;&gt;"",VLOOKUP(Alunos!C195,'TP1'!A3:E1000,5, FALSE),""),"")</f>
        <v/>
      </c>
      <c r="E195" s="2" t="str">
        <f>IF(A195&lt;&gt;"",VLOOKUP(Alunos!A195,Agrupamentos!A3:C1000,3, FALSE),"")</f>
        <v/>
      </c>
      <c r="F195" s="2" t="str">
        <f>IFERROR(IF(A195&lt;&gt;"",VLOOKUP(Alunos!E195,'TP2'!A3:D1000,4, FALSE),""),"")</f>
        <v/>
      </c>
      <c r="G195" s="2" t="str">
        <f>IF(A195&lt;&gt;"", SUMIF(B1:F1,"&lt;&gt;",B195:F195),"")</f>
        <v/>
      </c>
      <c r="H195" s="2" t="str">
        <f>IF(AND(A195&lt;&gt;"",G195&lt;&gt;""),ROUND(G195,0),"")</f>
        <v/>
      </c>
      <c r="I195" s="2" t="str">
        <f>IFERROR(IF(A195&lt;&gt;"",VLOOKUP(Alunos!A195,Recurso!A3:D1000,4, FALSE),""), "")</f>
        <v/>
      </c>
      <c r="J195" s="2" t="str">
        <f>IF(AND(A195&lt;&gt;"",I195&lt;&gt;""), SUMIFS(B195:I195,B1:I1,"&lt;&gt;",B2:I2,"&lt;&gt;Exame",B2:I2,"&lt;&gt;exame",B2:I2,"&lt;&gt;Nota",B2:I2,"&lt;&gt;Total"),"")</f>
        <v/>
      </c>
      <c r="K195" s="2" t="str">
        <f>IF(AND(A195&lt;&gt;"",J195&lt;&gt;""),ROUND(J195,0),"")</f>
        <v/>
      </c>
    </row>
    <row r="196" spans="2:11" x14ac:dyDescent="0.3">
      <c r="B196" s="2" t="str">
        <f>IFERROR(IF(A196&lt;&gt;"",VLOOKUP(Alunos!A196,Exame!A3:D1000,4, FALSE),""), "")</f>
        <v/>
      </c>
      <c r="C196" s="2" t="str">
        <f>IF(A196&lt;&gt;"",VLOOKUP(Alunos!A196,Agrupamentos!A3:C1000,2, FALSE),"")</f>
        <v/>
      </c>
      <c r="D196" s="2" t="str">
        <f>IFERROR(IF(A196&lt;&gt;"",VLOOKUP(Alunos!C196,'TP1'!A3:E1000,5, FALSE),""),"")</f>
        <v/>
      </c>
      <c r="E196" s="2" t="str">
        <f>IF(A196&lt;&gt;"",VLOOKUP(Alunos!A196,Agrupamentos!A3:C1000,3, FALSE),"")</f>
        <v/>
      </c>
      <c r="F196" s="2" t="str">
        <f>IFERROR(IF(A196&lt;&gt;"",VLOOKUP(Alunos!E196,'TP2'!A3:D1000,4, FALSE),""),"")</f>
        <v/>
      </c>
      <c r="G196" s="2" t="str">
        <f>IF(A196&lt;&gt;"", SUMIF(B1:F1,"&lt;&gt;",B196:F196),"")</f>
        <v/>
      </c>
      <c r="H196" s="2" t="str">
        <f>IF(AND(A196&lt;&gt;"",G196&lt;&gt;""),ROUND(G196,0),"")</f>
        <v/>
      </c>
      <c r="I196" s="2" t="str">
        <f>IFERROR(IF(A196&lt;&gt;"",VLOOKUP(Alunos!A196,Recurso!A3:D1000,4, FALSE),""), "")</f>
        <v/>
      </c>
      <c r="J196" s="2" t="str">
        <f>IF(AND(A196&lt;&gt;"",I196&lt;&gt;""), SUMIFS(B196:I196,B1:I1,"&lt;&gt;",B2:I2,"&lt;&gt;Exame",B2:I2,"&lt;&gt;exame",B2:I2,"&lt;&gt;Nota",B2:I2,"&lt;&gt;Total"),"")</f>
        <v/>
      </c>
      <c r="K196" s="2" t="str">
        <f>IF(AND(A196&lt;&gt;"",J196&lt;&gt;""),ROUND(J196,0),"")</f>
        <v/>
      </c>
    </row>
    <row r="197" spans="2:11" x14ac:dyDescent="0.3">
      <c r="B197" s="2" t="str">
        <f>IFERROR(IF(A197&lt;&gt;"",VLOOKUP(Alunos!A197,Exame!A3:D1000,4, FALSE),""), "")</f>
        <v/>
      </c>
      <c r="C197" s="2" t="str">
        <f>IF(A197&lt;&gt;"",VLOOKUP(Alunos!A197,Agrupamentos!A3:C1000,2, FALSE),"")</f>
        <v/>
      </c>
      <c r="D197" s="2" t="str">
        <f>IFERROR(IF(A197&lt;&gt;"",VLOOKUP(Alunos!C197,'TP1'!A3:E1000,5, FALSE),""),"")</f>
        <v/>
      </c>
      <c r="E197" s="2" t="str">
        <f>IF(A197&lt;&gt;"",VLOOKUP(Alunos!A197,Agrupamentos!A3:C1000,3, FALSE),"")</f>
        <v/>
      </c>
      <c r="F197" s="2" t="str">
        <f>IFERROR(IF(A197&lt;&gt;"",VLOOKUP(Alunos!E197,'TP2'!A3:D1000,4, FALSE),""),"")</f>
        <v/>
      </c>
      <c r="G197" s="2" t="str">
        <f>IF(A197&lt;&gt;"", SUMIF(B1:F1,"&lt;&gt;",B197:F197),"")</f>
        <v/>
      </c>
      <c r="H197" s="2" t="str">
        <f>IF(AND(A197&lt;&gt;"",G197&lt;&gt;""),ROUND(G197,0),"")</f>
        <v/>
      </c>
      <c r="I197" s="2" t="str">
        <f>IFERROR(IF(A197&lt;&gt;"",VLOOKUP(Alunos!A197,Recurso!A3:D1000,4, FALSE),""), "")</f>
        <v/>
      </c>
      <c r="J197" s="2" t="str">
        <f>IF(AND(A197&lt;&gt;"",I197&lt;&gt;""), SUMIFS(B197:I197,B1:I1,"&lt;&gt;",B2:I2,"&lt;&gt;Exame",B2:I2,"&lt;&gt;exame",B2:I2,"&lt;&gt;Nota",B2:I2,"&lt;&gt;Total"),"")</f>
        <v/>
      </c>
      <c r="K197" s="2" t="str">
        <f>IF(AND(A197&lt;&gt;"",J197&lt;&gt;""),ROUND(J197,0),"")</f>
        <v/>
      </c>
    </row>
    <row r="198" spans="2:11" x14ac:dyDescent="0.3">
      <c r="B198" s="2" t="str">
        <f>IFERROR(IF(A198&lt;&gt;"",VLOOKUP(Alunos!A198,Exame!A3:D1000,4, FALSE),""), "")</f>
        <v/>
      </c>
      <c r="C198" s="2" t="str">
        <f>IF(A198&lt;&gt;"",VLOOKUP(Alunos!A198,Agrupamentos!A3:C1000,2, FALSE),"")</f>
        <v/>
      </c>
      <c r="D198" s="2" t="str">
        <f>IFERROR(IF(A198&lt;&gt;"",VLOOKUP(Alunos!C198,'TP1'!A3:E1000,5, FALSE),""),"")</f>
        <v/>
      </c>
      <c r="E198" s="2" t="str">
        <f>IF(A198&lt;&gt;"",VLOOKUP(Alunos!A198,Agrupamentos!A3:C1000,3, FALSE),"")</f>
        <v/>
      </c>
      <c r="F198" s="2" t="str">
        <f>IFERROR(IF(A198&lt;&gt;"",VLOOKUP(Alunos!E198,'TP2'!A3:D1000,4, FALSE),""),"")</f>
        <v/>
      </c>
      <c r="G198" s="2" t="str">
        <f>IF(A198&lt;&gt;"", SUMIF(B1:F1,"&lt;&gt;",B198:F198),"")</f>
        <v/>
      </c>
      <c r="H198" s="2" t="str">
        <f>IF(AND(A198&lt;&gt;"",G198&lt;&gt;""),ROUND(G198,0),"")</f>
        <v/>
      </c>
      <c r="I198" s="2" t="str">
        <f>IFERROR(IF(A198&lt;&gt;"",VLOOKUP(Alunos!A198,Recurso!A3:D1000,4, FALSE),""), "")</f>
        <v/>
      </c>
      <c r="J198" s="2" t="str">
        <f>IF(AND(A198&lt;&gt;"",I198&lt;&gt;""), SUMIFS(B198:I198,B1:I1,"&lt;&gt;",B2:I2,"&lt;&gt;Exame",B2:I2,"&lt;&gt;exame",B2:I2,"&lt;&gt;Nota",B2:I2,"&lt;&gt;Total"),"")</f>
        <v/>
      </c>
      <c r="K198" s="2" t="str">
        <f>IF(AND(A198&lt;&gt;"",J198&lt;&gt;""),ROUND(J198,0),"")</f>
        <v/>
      </c>
    </row>
    <row r="199" spans="2:11" x14ac:dyDescent="0.3">
      <c r="B199" s="2" t="str">
        <f>IFERROR(IF(A199&lt;&gt;"",VLOOKUP(Alunos!A199,Exame!A3:D1000,4, FALSE),""), "")</f>
        <v/>
      </c>
      <c r="C199" s="2" t="str">
        <f>IF(A199&lt;&gt;"",VLOOKUP(Alunos!A199,Agrupamentos!A3:C1000,2, FALSE),"")</f>
        <v/>
      </c>
      <c r="D199" s="2" t="str">
        <f>IFERROR(IF(A199&lt;&gt;"",VLOOKUP(Alunos!C199,'TP1'!A3:E1000,5, FALSE),""),"")</f>
        <v/>
      </c>
      <c r="E199" s="2" t="str">
        <f>IF(A199&lt;&gt;"",VLOOKUP(Alunos!A199,Agrupamentos!A3:C1000,3, FALSE),"")</f>
        <v/>
      </c>
      <c r="F199" s="2" t="str">
        <f>IFERROR(IF(A199&lt;&gt;"",VLOOKUP(Alunos!E199,'TP2'!A3:D1000,4, FALSE),""),"")</f>
        <v/>
      </c>
      <c r="G199" s="2" t="str">
        <f>IF(A199&lt;&gt;"", SUMIF(B1:F1,"&lt;&gt;",B199:F199),"")</f>
        <v/>
      </c>
      <c r="H199" s="2" t="str">
        <f>IF(AND(A199&lt;&gt;"",G199&lt;&gt;""),ROUND(G199,0),"")</f>
        <v/>
      </c>
      <c r="I199" s="2" t="str">
        <f>IFERROR(IF(A199&lt;&gt;"",VLOOKUP(Alunos!A199,Recurso!A3:D1000,4, FALSE),""), "")</f>
        <v/>
      </c>
      <c r="J199" s="2" t="str">
        <f>IF(AND(A199&lt;&gt;"",I199&lt;&gt;""), SUMIFS(B199:I199,B1:I1,"&lt;&gt;",B2:I2,"&lt;&gt;Exame",B2:I2,"&lt;&gt;exame",B2:I2,"&lt;&gt;Nota",B2:I2,"&lt;&gt;Total"),"")</f>
        <v/>
      </c>
      <c r="K199" s="2" t="str">
        <f>IF(AND(A199&lt;&gt;"",J199&lt;&gt;""),ROUND(J199,0),"")</f>
        <v/>
      </c>
    </row>
    <row r="200" spans="2:11" x14ac:dyDescent="0.3">
      <c r="B200" s="2" t="str">
        <f>IFERROR(IF(A200&lt;&gt;"",VLOOKUP(Alunos!A200,Exame!A3:D1000,4, FALSE),""), "")</f>
        <v/>
      </c>
      <c r="C200" s="2" t="str">
        <f>IF(A200&lt;&gt;"",VLOOKUP(Alunos!A200,Agrupamentos!A3:C1000,2, FALSE),"")</f>
        <v/>
      </c>
      <c r="D200" s="2" t="str">
        <f>IFERROR(IF(A200&lt;&gt;"",VLOOKUP(Alunos!C200,'TP1'!A3:E1000,5, FALSE),""),"")</f>
        <v/>
      </c>
      <c r="E200" s="2" t="str">
        <f>IF(A200&lt;&gt;"",VLOOKUP(Alunos!A200,Agrupamentos!A3:C1000,3, FALSE),"")</f>
        <v/>
      </c>
      <c r="F200" s="2" t="str">
        <f>IFERROR(IF(A200&lt;&gt;"",VLOOKUP(Alunos!E200,'TP2'!A3:D1000,4, FALSE),""),"")</f>
        <v/>
      </c>
      <c r="G200" s="2" t="str">
        <f>IF(A200&lt;&gt;"", SUMIF(B1:F1,"&lt;&gt;",B200:F200),"")</f>
        <v/>
      </c>
      <c r="H200" s="2" t="str">
        <f>IF(AND(A200&lt;&gt;"",G200&lt;&gt;""),ROUND(G200,0),"")</f>
        <v/>
      </c>
      <c r="I200" s="2" t="str">
        <f>IFERROR(IF(A200&lt;&gt;"",VLOOKUP(Alunos!A200,Recurso!A3:D1000,4, FALSE),""), "")</f>
        <v/>
      </c>
      <c r="J200" s="2" t="str">
        <f>IF(AND(A200&lt;&gt;"",I200&lt;&gt;""), SUMIFS(B200:I200,B1:I1,"&lt;&gt;",B2:I2,"&lt;&gt;Exame",B2:I2,"&lt;&gt;exame",B2:I2,"&lt;&gt;Nota",B2:I2,"&lt;&gt;Total"),"")</f>
        <v/>
      </c>
      <c r="K200" s="2" t="str">
        <f>IF(AND(A200&lt;&gt;"",J200&lt;&gt;""),ROUND(J200,0),"")</f>
        <v/>
      </c>
    </row>
    <row r="201" spans="2:11" x14ac:dyDescent="0.3">
      <c r="B201" s="2" t="str">
        <f>IFERROR(IF(A201&lt;&gt;"",VLOOKUP(Alunos!A201,Exame!A3:D1000,4, FALSE),""), "")</f>
        <v/>
      </c>
      <c r="C201" s="2" t="str">
        <f>IF(A201&lt;&gt;"",VLOOKUP(Alunos!A201,Agrupamentos!A3:C1000,2, FALSE),"")</f>
        <v/>
      </c>
      <c r="D201" s="2" t="str">
        <f>IFERROR(IF(A201&lt;&gt;"",VLOOKUP(Alunos!C201,'TP1'!A3:E1000,5, FALSE),""),"")</f>
        <v/>
      </c>
      <c r="E201" s="2" t="str">
        <f>IF(A201&lt;&gt;"",VLOOKUP(Alunos!A201,Agrupamentos!A3:C1000,3, FALSE),"")</f>
        <v/>
      </c>
      <c r="F201" s="2" t="str">
        <f>IFERROR(IF(A201&lt;&gt;"",VLOOKUP(Alunos!E201,'TP2'!A3:D1000,4, FALSE),""),"")</f>
        <v/>
      </c>
      <c r="G201" s="2" t="str">
        <f>IF(A201&lt;&gt;"", SUMIF(B1:F1,"&lt;&gt;",B201:F201),"")</f>
        <v/>
      </c>
      <c r="H201" s="2" t="str">
        <f>IF(AND(A201&lt;&gt;"",G201&lt;&gt;""),ROUND(G201,0),"")</f>
        <v/>
      </c>
      <c r="I201" s="2" t="str">
        <f>IFERROR(IF(A201&lt;&gt;"",VLOOKUP(Alunos!A201,Recurso!A3:D1000,4, FALSE),""), "")</f>
        <v/>
      </c>
      <c r="J201" s="2" t="str">
        <f>IF(AND(A201&lt;&gt;"",I201&lt;&gt;""), SUMIFS(B201:I201,B1:I1,"&lt;&gt;",B2:I2,"&lt;&gt;Exame",B2:I2,"&lt;&gt;exame",B2:I2,"&lt;&gt;Nota",B2:I2,"&lt;&gt;Total"),"")</f>
        <v/>
      </c>
      <c r="K201" s="2" t="str">
        <f>IF(AND(A201&lt;&gt;"",J201&lt;&gt;""),ROUND(J201,0),"")</f>
        <v/>
      </c>
    </row>
    <row r="202" spans="2:11" x14ac:dyDescent="0.3">
      <c r="B202" s="2" t="str">
        <f>IFERROR(IF(A202&lt;&gt;"",VLOOKUP(Alunos!A202,Exame!A3:D1000,4, FALSE),""), "")</f>
        <v/>
      </c>
      <c r="C202" s="2" t="str">
        <f>IF(A202&lt;&gt;"",VLOOKUP(Alunos!A202,Agrupamentos!A3:C1000,2, FALSE),"")</f>
        <v/>
      </c>
      <c r="D202" s="2" t="str">
        <f>IFERROR(IF(A202&lt;&gt;"",VLOOKUP(Alunos!C202,'TP1'!A3:E1000,5, FALSE),""),"")</f>
        <v/>
      </c>
      <c r="E202" s="2" t="str">
        <f>IF(A202&lt;&gt;"",VLOOKUP(Alunos!A202,Agrupamentos!A3:C1000,3, FALSE),"")</f>
        <v/>
      </c>
      <c r="F202" s="2" t="str">
        <f>IFERROR(IF(A202&lt;&gt;"",VLOOKUP(Alunos!E202,'TP2'!A3:D1000,4, FALSE),""),"")</f>
        <v/>
      </c>
      <c r="G202" s="2" t="str">
        <f>IF(A202&lt;&gt;"", SUMIF(B1:F1,"&lt;&gt;",B202:F202),"")</f>
        <v/>
      </c>
      <c r="H202" s="2" t="str">
        <f>IF(AND(A202&lt;&gt;"",G202&lt;&gt;""),ROUND(G202,0),"")</f>
        <v/>
      </c>
      <c r="I202" s="2" t="str">
        <f>IFERROR(IF(A202&lt;&gt;"",VLOOKUP(Alunos!A202,Recurso!A3:D1000,4, FALSE),""), "")</f>
        <v/>
      </c>
      <c r="J202" s="2" t="str">
        <f>IF(AND(A202&lt;&gt;"",I202&lt;&gt;""), SUMIFS(B202:I202,B1:I1,"&lt;&gt;",B2:I2,"&lt;&gt;Exame",B2:I2,"&lt;&gt;exame",B2:I2,"&lt;&gt;Nota",B2:I2,"&lt;&gt;Total"),"")</f>
        <v/>
      </c>
      <c r="K202" s="2" t="str">
        <f>IF(AND(A202&lt;&gt;"",J202&lt;&gt;""),ROUND(J202,0),"")</f>
        <v/>
      </c>
    </row>
    <row r="203" spans="2:11" x14ac:dyDescent="0.3">
      <c r="B203" s="2" t="str">
        <f>IFERROR(IF(A203&lt;&gt;"",VLOOKUP(Alunos!A203,Exame!A3:D1000,4, FALSE),""), "")</f>
        <v/>
      </c>
      <c r="C203" s="2" t="str">
        <f>IF(A203&lt;&gt;"",VLOOKUP(Alunos!A203,Agrupamentos!A3:C1000,2, FALSE),"")</f>
        <v/>
      </c>
      <c r="D203" s="2" t="str">
        <f>IFERROR(IF(A203&lt;&gt;"",VLOOKUP(Alunos!C203,'TP1'!A3:E1000,5, FALSE),""),"")</f>
        <v/>
      </c>
      <c r="E203" s="2" t="str">
        <f>IF(A203&lt;&gt;"",VLOOKUP(Alunos!A203,Agrupamentos!A3:C1000,3, FALSE),"")</f>
        <v/>
      </c>
      <c r="F203" s="2" t="str">
        <f>IFERROR(IF(A203&lt;&gt;"",VLOOKUP(Alunos!E203,'TP2'!A3:D1000,4, FALSE),""),"")</f>
        <v/>
      </c>
      <c r="G203" s="2" t="str">
        <f>IF(A203&lt;&gt;"", SUMIF(B1:F1,"&lt;&gt;",B203:F203),"")</f>
        <v/>
      </c>
      <c r="H203" s="2" t="str">
        <f>IF(AND(A203&lt;&gt;"",G203&lt;&gt;""),ROUND(G203,0),"")</f>
        <v/>
      </c>
      <c r="I203" s="2" t="str">
        <f>IFERROR(IF(A203&lt;&gt;"",VLOOKUP(Alunos!A203,Recurso!A3:D1000,4, FALSE),""), "")</f>
        <v/>
      </c>
      <c r="J203" s="2" t="str">
        <f>IF(AND(A203&lt;&gt;"",I203&lt;&gt;""), SUMIFS(B203:I203,B1:I1,"&lt;&gt;",B2:I2,"&lt;&gt;Exame",B2:I2,"&lt;&gt;exame",B2:I2,"&lt;&gt;Nota",B2:I2,"&lt;&gt;Total"),"")</f>
        <v/>
      </c>
      <c r="K203" s="2" t="str">
        <f>IF(AND(A203&lt;&gt;"",J203&lt;&gt;""),ROUND(J203,0),"")</f>
        <v/>
      </c>
    </row>
    <row r="204" spans="2:11" x14ac:dyDescent="0.3">
      <c r="B204" s="2" t="str">
        <f>IFERROR(IF(A204&lt;&gt;"",VLOOKUP(Alunos!A204,Exame!A3:D1000,4, FALSE),""), "")</f>
        <v/>
      </c>
      <c r="C204" s="2" t="str">
        <f>IF(A204&lt;&gt;"",VLOOKUP(Alunos!A204,Agrupamentos!A3:C1000,2, FALSE),"")</f>
        <v/>
      </c>
      <c r="D204" s="2" t="str">
        <f>IFERROR(IF(A204&lt;&gt;"",VLOOKUP(Alunos!C204,'TP1'!A3:E1000,5, FALSE),""),"")</f>
        <v/>
      </c>
      <c r="E204" s="2" t="str">
        <f>IF(A204&lt;&gt;"",VLOOKUP(Alunos!A204,Agrupamentos!A3:C1000,3, FALSE),"")</f>
        <v/>
      </c>
      <c r="F204" s="2" t="str">
        <f>IFERROR(IF(A204&lt;&gt;"",VLOOKUP(Alunos!E204,'TP2'!A3:D1000,4, FALSE),""),"")</f>
        <v/>
      </c>
      <c r="G204" s="2" t="str">
        <f>IF(A204&lt;&gt;"", SUMIF(B1:F1,"&lt;&gt;",B204:F204),"")</f>
        <v/>
      </c>
      <c r="H204" s="2" t="str">
        <f>IF(AND(A204&lt;&gt;"",G204&lt;&gt;""),ROUND(G204,0),"")</f>
        <v/>
      </c>
      <c r="I204" s="2" t="str">
        <f>IFERROR(IF(A204&lt;&gt;"",VLOOKUP(Alunos!A204,Recurso!A3:D1000,4, FALSE),""), "")</f>
        <v/>
      </c>
      <c r="J204" s="2" t="str">
        <f>IF(AND(A204&lt;&gt;"",I204&lt;&gt;""), SUMIFS(B204:I204,B1:I1,"&lt;&gt;",B2:I2,"&lt;&gt;Exame",B2:I2,"&lt;&gt;exame",B2:I2,"&lt;&gt;Nota",B2:I2,"&lt;&gt;Total"),"")</f>
        <v/>
      </c>
      <c r="K204" s="2" t="str">
        <f>IF(AND(A204&lt;&gt;"",J204&lt;&gt;""),ROUND(J204,0),"")</f>
        <v/>
      </c>
    </row>
    <row r="205" spans="2:11" x14ac:dyDescent="0.3">
      <c r="B205" s="2" t="str">
        <f>IFERROR(IF(A205&lt;&gt;"",VLOOKUP(Alunos!A205,Exame!A3:D1000,4, FALSE),""), "")</f>
        <v/>
      </c>
      <c r="C205" s="2" t="str">
        <f>IF(A205&lt;&gt;"",VLOOKUP(Alunos!A205,Agrupamentos!A3:C1000,2, FALSE),"")</f>
        <v/>
      </c>
      <c r="D205" s="2" t="str">
        <f>IFERROR(IF(A205&lt;&gt;"",VLOOKUP(Alunos!C205,'TP1'!A3:E1000,5, FALSE),""),"")</f>
        <v/>
      </c>
      <c r="E205" s="2" t="str">
        <f>IF(A205&lt;&gt;"",VLOOKUP(Alunos!A205,Agrupamentos!A3:C1000,3, FALSE),"")</f>
        <v/>
      </c>
      <c r="F205" s="2" t="str">
        <f>IFERROR(IF(A205&lt;&gt;"",VLOOKUP(Alunos!E205,'TP2'!A3:D1000,4, FALSE),""),"")</f>
        <v/>
      </c>
      <c r="G205" s="2" t="str">
        <f>IF(A205&lt;&gt;"", SUMIF(B1:F1,"&lt;&gt;",B205:F205),"")</f>
        <v/>
      </c>
      <c r="H205" s="2" t="str">
        <f>IF(AND(A205&lt;&gt;"",G205&lt;&gt;""),ROUND(G205,0),"")</f>
        <v/>
      </c>
      <c r="I205" s="2" t="str">
        <f>IFERROR(IF(A205&lt;&gt;"",VLOOKUP(Alunos!A205,Recurso!A3:D1000,4, FALSE),""), "")</f>
        <v/>
      </c>
      <c r="J205" s="2" t="str">
        <f>IF(AND(A205&lt;&gt;"",I205&lt;&gt;""), SUMIFS(B205:I205,B1:I1,"&lt;&gt;",B2:I2,"&lt;&gt;Exame",B2:I2,"&lt;&gt;exame",B2:I2,"&lt;&gt;Nota",B2:I2,"&lt;&gt;Total"),"")</f>
        <v/>
      </c>
      <c r="K205" s="2" t="str">
        <f>IF(AND(A205&lt;&gt;"",J205&lt;&gt;""),ROUND(J205,0),"")</f>
        <v/>
      </c>
    </row>
    <row r="206" spans="2:11" x14ac:dyDescent="0.3">
      <c r="B206" s="2" t="str">
        <f>IFERROR(IF(A206&lt;&gt;"",VLOOKUP(Alunos!A206,Exame!A3:D1000,4, FALSE),""), "")</f>
        <v/>
      </c>
      <c r="C206" s="2" t="str">
        <f>IF(A206&lt;&gt;"",VLOOKUP(Alunos!A206,Agrupamentos!A3:C1000,2, FALSE),"")</f>
        <v/>
      </c>
      <c r="D206" s="2" t="str">
        <f>IFERROR(IF(A206&lt;&gt;"",VLOOKUP(Alunos!C206,'TP1'!A3:E1000,5, FALSE),""),"")</f>
        <v/>
      </c>
      <c r="E206" s="2" t="str">
        <f>IF(A206&lt;&gt;"",VLOOKUP(Alunos!A206,Agrupamentos!A3:C1000,3, FALSE),"")</f>
        <v/>
      </c>
      <c r="F206" s="2" t="str">
        <f>IFERROR(IF(A206&lt;&gt;"",VLOOKUP(Alunos!E206,'TP2'!A3:D1000,4, FALSE),""),"")</f>
        <v/>
      </c>
      <c r="G206" s="2" t="str">
        <f>IF(A206&lt;&gt;"", SUMIF(B1:F1,"&lt;&gt;",B206:F206),"")</f>
        <v/>
      </c>
      <c r="H206" s="2" t="str">
        <f>IF(AND(A206&lt;&gt;"",G206&lt;&gt;""),ROUND(G206,0),"")</f>
        <v/>
      </c>
      <c r="I206" s="2" t="str">
        <f>IFERROR(IF(A206&lt;&gt;"",VLOOKUP(Alunos!A206,Recurso!A3:D1000,4, FALSE),""), "")</f>
        <v/>
      </c>
      <c r="J206" s="2" t="str">
        <f>IF(AND(A206&lt;&gt;"",I206&lt;&gt;""), SUMIFS(B206:I206,B1:I1,"&lt;&gt;",B2:I2,"&lt;&gt;Exame",B2:I2,"&lt;&gt;exame",B2:I2,"&lt;&gt;Nota",B2:I2,"&lt;&gt;Total"),"")</f>
        <v/>
      </c>
      <c r="K206" s="2" t="str">
        <f>IF(AND(A206&lt;&gt;"",J206&lt;&gt;""),ROUND(J206,0),"")</f>
        <v/>
      </c>
    </row>
    <row r="207" spans="2:11" x14ac:dyDescent="0.3">
      <c r="B207" s="2" t="str">
        <f>IFERROR(IF(A207&lt;&gt;"",VLOOKUP(Alunos!A207,Exame!A3:D1000,4, FALSE),""), "")</f>
        <v/>
      </c>
      <c r="C207" s="2" t="str">
        <f>IF(A207&lt;&gt;"",VLOOKUP(Alunos!A207,Agrupamentos!A3:C1000,2, FALSE),"")</f>
        <v/>
      </c>
      <c r="D207" s="2" t="str">
        <f>IFERROR(IF(A207&lt;&gt;"",VLOOKUP(Alunos!C207,'TP1'!A3:E1000,5, FALSE),""),"")</f>
        <v/>
      </c>
      <c r="E207" s="2" t="str">
        <f>IF(A207&lt;&gt;"",VLOOKUP(Alunos!A207,Agrupamentos!A3:C1000,3, FALSE),"")</f>
        <v/>
      </c>
      <c r="F207" s="2" t="str">
        <f>IFERROR(IF(A207&lt;&gt;"",VLOOKUP(Alunos!E207,'TP2'!A3:D1000,4, FALSE),""),"")</f>
        <v/>
      </c>
      <c r="G207" s="2" t="str">
        <f>IF(A207&lt;&gt;"", SUMIF(B1:F1,"&lt;&gt;",B207:F207),"")</f>
        <v/>
      </c>
      <c r="H207" s="2" t="str">
        <f>IF(AND(A207&lt;&gt;"",G207&lt;&gt;""),ROUND(G207,0),"")</f>
        <v/>
      </c>
      <c r="I207" s="2" t="str">
        <f>IFERROR(IF(A207&lt;&gt;"",VLOOKUP(Alunos!A207,Recurso!A3:D1000,4, FALSE),""), "")</f>
        <v/>
      </c>
      <c r="J207" s="2" t="str">
        <f>IF(AND(A207&lt;&gt;"",I207&lt;&gt;""), SUMIFS(B207:I207,B1:I1,"&lt;&gt;",B2:I2,"&lt;&gt;Exame",B2:I2,"&lt;&gt;exame",B2:I2,"&lt;&gt;Nota",B2:I2,"&lt;&gt;Total"),"")</f>
        <v/>
      </c>
      <c r="K207" s="2" t="str">
        <f>IF(AND(A207&lt;&gt;"",J207&lt;&gt;""),ROUND(J207,0),"")</f>
        <v/>
      </c>
    </row>
    <row r="208" spans="2:11" x14ac:dyDescent="0.3">
      <c r="B208" s="2" t="str">
        <f>IFERROR(IF(A208&lt;&gt;"",VLOOKUP(Alunos!A208,Exame!A3:D1000,4, FALSE),""), "")</f>
        <v/>
      </c>
      <c r="C208" s="2" t="str">
        <f>IF(A208&lt;&gt;"",VLOOKUP(Alunos!A208,Agrupamentos!A3:C1000,2, FALSE),"")</f>
        <v/>
      </c>
      <c r="D208" s="2" t="str">
        <f>IFERROR(IF(A208&lt;&gt;"",VLOOKUP(Alunos!C208,'TP1'!A3:E1000,5, FALSE),""),"")</f>
        <v/>
      </c>
      <c r="E208" s="2" t="str">
        <f>IF(A208&lt;&gt;"",VLOOKUP(Alunos!A208,Agrupamentos!A3:C1000,3, FALSE),"")</f>
        <v/>
      </c>
      <c r="F208" s="2" t="str">
        <f>IFERROR(IF(A208&lt;&gt;"",VLOOKUP(Alunos!E208,'TP2'!A3:D1000,4, FALSE),""),"")</f>
        <v/>
      </c>
      <c r="G208" s="2" t="str">
        <f>IF(A208&lt;&gt;"", SUMIF(B1:F1,"&lt;&gt;",B208:F208),"")</f>
        <v/>
      </c>
      <c r="H208" s="2" t="str">
        <f>IF(AND(A208&lt;&gt;"",G208&lt;&gt;""),ROUND(G208,0),"")</f>
        <v/>
      </c>
      <c r="I208" s="2" t="str">
        <f>IFERROR(IF(A208&lt;&gt;"",VLOOKUP(Alunos!A208,Recurso!A3:D1000,4, FALSE),""), "")</f>
        <v/>
      </c>
      <c r="J208" s="2" t="str">
        <f>IF(AND(A208&lt;&gt;"",I208&lt;&gt;""), SUMIFS(B208:I208,B1:I1,"&lt;&gt;",B2:I2,"&lt;&gt;Exame",B2:I2,"&lt;&gt;exame",B2:I2,"&lt;&gt;Nota",B2:I2,"&lt;&gt;Total"),"")</f>
        <v/>
      </c>
      <c r="K208" s="2" t="str">
        <f>IF(AND(A208&lt;&gt;"",J208&lt;&gt;""),ROUND(J208,0),"")</f>
        <v/>
      </c>
    </row>
    <row r="209" spans="2:11" x14ac:dyDescent="0.3">
      <c r="B209" s="2" t="str">
        <f>IFERROR(IF(A209&lt;&gt;"",VLOOKUP(Alunos!A209,Exame!A3:D1000,4, FALSE),""), "")</f>
        <v/>
      </c>
      <c r="C209" s="2" t="str">
        <f>IF(A209&lt;&gt;"",VLOOKUP(Alunos!A209,Agrupamentos!A3:C1000,2, FALSE),"")</f>
        <v/>
      </c>
      <c r="D209" s="2" t="str">
        <f>IFERROR(IF(A209&lt;&gt;"",VLOOKUP(Alunos!C209,'TP1'!A3:E1000,5, FALSE),""),"")</f>
        <v/>
      </c>
      <c r="E209" s="2" t="str">
        <f>IF(A209&lt;&gt;"",VLOOKUP(Alunos!A209,Agrupamentos!A3:C1000,3, FALSE),"")</f>
        <v/>
      </c>
      <c r="F209" s="2" t="str">
        <f>IFERROR(IF(A209&lt;&gt;"",VLOOKUP(Alunos!E209,'TP2'!A3:D1000,4, FALSE),""),"")</f>
        <v/>
      </c>
      <c r="G209" s="2" t="str">
        <f>IF(A209&lt;&gt;"", SUMIF(B1:F1,"&lt;&gt;",B209:F209),"")</f>
        <v/>
      </c>
      <c r="H209" s="2" t="str">
        <f>IF(AND(A209&lt;&gt;"",G209&lt;&gt;""),ROUND(G209,0),"")</f>
        <v/>
      </c>
      <c r="I209" s="2" t="str">
        <f>IFERROR(IF(A209&lt;&gt;"",VLOOKUP(Alunos!A209,Recurso!A3:D1000,4, FALSE),""), "")</f>
        <v/>
      </c>
      <c r="J209" s="2" t="str">
        <f>IF(AND(A209&lt;&gt;"",I209&lt;&gt;""), SUMIFS(B209:I209,B1:I1,"&lt;&gt;",B2:I2,"&lt;&gt;Exame",B2:I2,"&lt;&gt;exame",B2:I2,"&lt;&gt;Nota",B2:I2,"&lt;&gt;Total"),"")</f>
        <v/>
      </c>
      <c r="K209" s="2" t="str">
        <f>IF(AND(A209&lt;&gt;"",J209&lt;&gt;""),ROUND(J209,0),"")</f>
        <v/>
      </c>
    </row>
    <row r="210" spans="2:11" x14ac:dyDescent="0.3">
      <c r="B210" s="2" t="str">
        <f>IFERROR(IF(A210&lt;&gt;"",VLOOKUP(Alunos!A210,Exame!A3:D1000,4, FALSE),""), "")</f>
        <v/>
      </c>
      <c r="C210" s="2" t="str">
        <f>IF(A210&lt;&gt;"",VLOOKUP(Alunos!A210,Agrupamentos!A3:C1000,2, FALSE),"")</f>
        <v/>
      </c>
      <c r="D210" s="2" t="str">
        <f>IFERROR(IF(A210&lt;&gt;"",VLOOKUP(Alunos!C210,'TP1'!A3:E1000,5, FALSE),""),"")</f>
        <v/>
      </c>
      <c r="E210" s="2" t="str">
        <f>IF(A210&lt;&gt;"",VLOOKUP(Alunos!A210,Agrupamentos!A3:C1000,3, FALSE),"")</f>
        <v/>
      </c>
      <c r="F210" s="2" t="str">
        <f>IFERROR(IF(A210&lt;&gt;"",VLOOKUP(Alunos!E210,'TP2'!A3:D1000,4, FALSE),""),"")</f>
        <v/>
      </c>
      <c r="G210" s="2" t="str">
        <f>IF(A210&lt;&gt;"", SUMIF(B1:F1,"&lt;&gt;",B210:F210),"")</f>
        <v/>
      </c>
      <c r="H210" s="2" t="str">
        <f>IF(AND(A210&lt;&gt;"",G210&lt;&gt;""),ROUND(G210,0),"")</f>
        <v/>
      </c>
      <c r="I210" s="2" t="str">
        <f>IFERROR(IF(A210&lt;&gt;"",VLOOKUP(Alunos!A210,Recurso!A3:D1000,4, FALSE),""), "")</f>
        <v/>
      </c>
      <c r="J210" s="2" t="str">
        <f>IF(AND(A210&lt;&gt;"",I210&lt;&gt;""), SUMIFS(B210:I210,B1:I1,"&lt;&gt;",B2:I2,"&lt;&gt;Exame",B2:I2,"&lt;&gt;exame",B2:I2,"&lt;&gt;Nota",B2:I2,"&lt;&gt;Total"),"")</f>
        <v/>
      </c>
      <c r="K210" s="2" t="str">
        <f>IF(AND(A210&lt;&gt;"",J210&lt;&gt;""),ROUND(J210,0),"")</f>
        <v/>
      </c>
    </row>
    <row r="211" spans="2:11" x14ac:dyDescent="0.3">
      <c r="B211" s="2" t="str">
        <f>IFERROR(IF(A211&lt;&gt;"",VLOOKUP(Alunos!A211,Exame!A3:D1000,4, FALSE),""), "")</f>
        <v/>
      </c>
      <c r="C211" s="2" t="str">
        <f>IF(A211&lt;&gt;"",VLOOKUP(Alunos!A211,Agrupamentos!A3:C1000,2, FALSE),"")</f>
        <v/>
      </c>
      <c r="D211" s="2" t="str">
        <f>IFERROR(IF(A211&lt;&gt;"",VLOOKUP(Alunos!C211,'TP1'!A3:E1000,5, FALSE),""),"")</f>
        <v/>
      </c>
      <c r="E211" s="2" t="str">
        <f>IF(A211&lt;&gt;"",VLOOKUP(Alunos!A211,Agrupamentos!A3:C1000,3, FALSE),"")</f>
        <v/>
      </c>
      <c r="F211" s="2" t="str">
        <f>IFERROR(IF(A211&lt;&gt;"",VLOOKUP(Alunos!E211,'TP2'!A3:D1000,4, FALSE),""),"")</f>
        <v/>
      </c>
      <c r="G211" s="2" t="str">
        <f>IF(A211&lt;&gt;"", SUMIF(B1:F1,"&lt;&gt;",B211:F211),"")</f>
        <v/>
      </c>
      <c r="H211" s="2" t="str">
        <f>IF(AND(A211&lt;&gt;"",G211&lt;&gt;""),ROUND(G211,0),"")</f>
        <v/>
      </c>
      <c r="I211" s="2" t="str">
        <f>IFERROR(IF(A211&lt;&gt;"",VLOOKUP(Alunos!A211,Recurso!A3:D1000,4, FALSE),""), "")</f>
        <v/>
      </c>
      <c r="J211" s="2" t="str">
        <f>IF(AND(A211&lt;&gt;"",I211&lt;&gt;""), SUMIFS(B211:I211,B1:I1,"&lt;&gt;",B2:I2,"&lt;&gt;Exame",B2:I2,"&lt;&gt;exame",B2:I2,"&lt;&gt;Nota",B2:I2,"&lt;&gt;Total"),"")</f>
        <v/>
      </c>
      <c r="K211" s="2" t="str">
        <f>IF(AND(A211&lt;&gt;"",J211&lt;&gt;""),ROUND(J211,0),"")</f>
        <v/>
      </c>
    </row>
    <row r="212" spans="2:11" x14ac:dyDescent="0.3">
      <c r="B212" s="2" t="str">
        <f>IFERROR(IF(A212&lt;&gt;"",VLOOKUP(Alunos!A212,Exame!A3:D1000,4, FALSE),""), "")</f>
        <v/>
      </c>
      <c r="C212" s="2" t="str">
        <f>IF(A212&lt;&gt;"",VLOOKUP(Alunos!A212,Agrupamentos!A3:C1000,2, FALSE),"")</f>
        <v/>
      </c>
      <c r="D212" s="2" t="str">
        <f>IFERROR(IF(A212&lt;&gt;"",VLOOKUP(Alunos!C212,'TP1'!A3:E1000,5, FALSE),""),"")</f>
        <v/>
      </c>
      <c r="E212" s="2" t="str">
        <f>IF(A212&lt;&gt;"",VLOOKUP(Alunos!A212,Agrupamentos!A3:C1000,3, FALSE),"")</f>
        <v/>
      </c>
      <c r="F212" s="2" t="str">
        <f>IFERROR(IF(A212&lt;&gt;"",VLOOKUP(Alunos!E212,'TP2'!A3:D1000,4, FALSE),""),"")</f>
        <v/>
      </c>
      <c r="G212" s="2" t="str">
        <f>IF(A212&lt;&gt;"", SUMIF(B1:F1,"&lt;&gt;",B212:F212),"")</f>
        <v/>
      </c>
      <c r="H212" s="2" t="str">
        <f>IF(AND(A212&lt;&gt;"",G212&lt;&gt;""),ROUND(G212,0),"")</f>
        <v/>
      </c>
      <c r="I212" s="2" t="str">
        <f>IFERROR(IF(A212&lt;&gt;"",VLOOKUP(Alunos!A212,Recurso!A3:D1000,4, FALSE),""), "")</f>
        <v/>
      </c>
      <c r="J212" s="2" t="str">
        <f>IF(AND(A212&lt;&gt;"",I212&lt;&gt;""), SUMIFS(B212:I212,B1:I1,"&lt;&gt;",B2:I2,"&lt;&gt;Exame",B2:I2,"&lt;&gt;exame",B2:I2,"&lt;&gt;Nota",B2:I2,"&lt;&gt;Total"),"")</f>
        <v/>
      </c>
      <c r="K212" s="2" t="str">
        <f>IF(AND(A212&lt;&gt;"",J212&lt;&gt;""),ROUND(J212,0),"")</f>
        <v/>
      </c>
    </row>
    <row r="213" spans="2:11" x14ac:dyDescent="0.3">
      <c r="B213" s="2" t="str">
        <f>IFERROR(IF(A213&lt;&gt;"",VLOOKUP(Alunos!A213,Exame!A3:D1000,4, FALSE),""), "")</f>
        <v/>
      </c>
      <c r="C213" s="2" t="str">
        <f>IF(A213&lt;&gt;"",VLOOKUP(Alunos!A213,Agrupamentos!A3:C1000,2, FALSE),"")</f>
        <v/>
      </c>
      <c r="D213" s="2" t="str">
        <f>IFERROR(IF(A213&lt;&gt;"",VLOOKUP(Alunos!C213,'TP1'!A3:E1000,5, FALSE),""),"")</f>
        <v/>
      </c>
      <c r="E213" s="2" t="str">
        <f>IF(A213&lt;&gt;"",VLOOKUP(Alunos!A213,Agrupamentos!A3:C1000,3, FALSE),"")</f>
        <v/>
      </c>
      <c r="F213" s="2" t="str">
        <f>IFERROR(IF(A213&lt;&gt;"",VLOOKUP(Alunos!E213,'TP2'!A3:D1000,4, FALSE),""),"")</f>
        <v/>
      </c>
      <c r="G213" s="2" t="str">
        <f>IF(A213&lt;&gt;"", SUMIF(B1:F1,"&lt;&gt;",B213:F213),"")</f>
        <v/>
      </c>
      <c r="H213" s="2" t="str">
        <f>IF(AND(A213&lt;&gt;"",G213&lt;&gt;""),ROUND(G213,0),"")</f>
        <v/>
      </c>
      <c r="I213" s="2" t="str">
        <f>IFERROR(IF(A213&lt;&gt;"",VLOOKUP(Alunos!A213,Recurso!A3:D1000,4, FALSE),""), "")</f>
        <v/>
      </c>
      <c r="J213" s="2" t="str">
        <f>IF(AND(A213&lt;&gt;"",I213&lt;&gt;""), SUMIFS(B213:I213,B1:I1,"&lt;&gt;",B2:I2,"&lt;&gt;Exame",B2:I2,"&lt;&gt;exame",B2:I2,"&lt;&gt;Nota",B2:I2,"&lt;&gt;Total"),"")</f>
        <v/>
      </c>
      <c r="K213" s="2" t="str">
        <f>IF(AND(A213&lt;&gt;"",J213&lt;&gt;""),ROUND(J213,0),"")</f>
        <v/>
      </c>
    </row>
    <row r="214" spans="2:11" x14ac:dyDescent="0.3">
      <c r="B214" s="2" t="str">
        <f>IFERROR(IF(A214&lt;&gt;"",VLOOKUP(Alunos!A214,Exame!A3:D1000,4, FALSE),""), "")</f>
        <v/>
      </c>
      <c r="C214" s="2" t="str">
        <f>IF(A214&lt;&gt;"",VLOOKUP(Alunos!A214,Agrupamentos!A3:C1000,2, FALSE),"")</f>
        <v/>
      </c>
      <c r="D214" s="2" t="str">
        <f>IFERROR(IF(A214&lt;&gt;"",VLOOKUP(Alunos!C214,'TP1'!A3:E1000,5, FALSE),""),"")</f>
        <v/>
      </c>
      <c r="E214" s="2" t="str">
        <f>IF(A214&lt;&gt;"",VLOOKUP(Alunos!A214,Agrupamentos!A3:C1000,3, FALSE),"")</f>
        <v/>
      </c>
      <c r="F214" s="2" t="str">
        <f>IFERROR(IF(A214&lt;&gt;"",VLOOKUP(Alunos!E214,'TP2'!A3:D1000,4, FALSE),""),"")</f>
        <v/>
      </c>
      <c r="G214" s="2" t="str">
        <f>IF(A214&lt;&gt;"", SUMIF(B1:F1,"&lt;&gt;",B214:F214),"")</f>
        <v/>
      </c>
      <c r="H214" s="2" t="str">
        <f>IF(AND(A214&lt;&gt;"",G214&lt;&gt;""),ROUND(G214,0),"")</f>
        <v/>
      </c>
      <c r="I214" s="2" t="str">
        <f>IFERROR(IF(A214&lt;&gt;"",VLOOKUP(Alunos!A214,Recurso!A3:D1000,4, FALSE),""), "")</f>
        <v/>
      </c>
      <c r="J214" s="2" t="str">
        <f>IF(AND(A214&lt;&gt;"",I214&lt;&gt;""), SUMIFS(B214:I214,B1:I1,"&lt;&gt;",B2:I2,"&lt;&gt;Exame",B2:I2,"&lt;&gt;exame",B2:I2,"&lt;&gt;Nota",B2:I2,"&lt;&gt;Total"),"")</f>
        <v/>
      </c>
      <c r="K214" s="2" t="str">
        <f>IF(AND(A214&lt;&gt;"",J214&lt;&gt;""),ROUND(J214,0),"")</f>
        <v/>
      </c>
    </row>
    <row r="215" spans="2:11" x14ac:dyDescent="0.3">
      <c r="B215" s="2" t="str">
        <f>IFERROR(IF(A215&lt;&gt;"",VLOOKUP(Alunos!A215,Exame!A3:D1000,4, FALSE),""), "")</f>
        <v/>
      </c>
      <c r="C215" s="2" t="str">
        <f>IF(A215&lt;&gt;"",VLOOKUP(Alunos!A215,Agrupamentos!A3:C1000,2, FALSE),"")</f>
        <v/>
      </c>
      <c r="D215" s="2" t="str">
        <f>IFERROR(IF(A215&lt;&gt;"",VLOOKUP(Alunos!C215,'TP1'!A3:E1000,5, FALSE),""),"")</f>
        <v/>
      </c>
      <c r="E215" s="2" t="str">
        <f>IF(A215&lt;&gt;"",VLOOKUP(Alunos!A215,Agrupamentos!A3:C1000,3, FALSE),"")</f>
        <v/>
      </c>
      <c r="F215" s="2" t="str">
        <f>IFERROR(IF(A215&lt;&gt;"",VLOOKUP(Alunos!E215,'TP2'!A3:D1000,4, FALSE),""),"")</f>
        <v/>
      </c>
      <c r="G215" s="2" t="str">
        <f>IF(A215&lt;&gt;"", SUMIF(B1:F1,"&lt;&gt;",B215:F215),"")</f>
        <v/>
      </c>
      <c r="H215" s="2" t="str">
        <f>IF(AND(A215&lt;&gt;"",G215&lt;&gt;""),ROUND(G215,0),"")</f>
        <v/>
      </c>
      <c r="I215" s="2" t="str">
        <f>IFERROR(IF(A215&lt;&gt;"",VLOOKUP(Alunos!A215,Recurso!A3:D1000,4, FALSE),""), "")</f>
        <v/>
      </c>
      <c r="J215" s="2" t="str">
        <f>IF(AND(A215&lt;&gt;"",I215&lt;&gt;""), SUMIFS(B215:I215,B1:I1,"&lt;&gt;",B2:I2,"&lt;&gt;Exame",B2:I2,"&lt;&gt;exame",B2:I2,"&lt;&gt;Nota",B2:I2,"&lt;&gt;Total"),"")</f>
        <v/>
      </c>
      <c r="K215" s="2" t="str">
        <f>IF(AND(A215&lt;&gt;"",J215&lt;&gt;""),ROUND(J215,0),"")</f>
        <v/>
      </c>
    </row>
    <row r="216" spans="2:11" x14ac:dyDescent="0.3">
      <c r="B216" s="2" t="str">
        <f>IFERROR(IF(A216&lt;&gt;"",VLOOKUP(Alunos!A216,Exame!A3:D1000,4, FALSE),""), "")</f>
        <v/>
      </c>
      <c r="C216" s="2" t="str">
        <f>IF(A216&lt;&gt;"",VLOOKUP(Alunos!A216,Agrupamentos!A3:C1000,2, FALSE),"")</f>
        <v/>
      </c>
      <c r="D216" s="2" t="str">
        <f>IFERROR(IF(A216&lt;&gt;"",VLOOKUP(Alunos!C216,'TP1'!A3:E1000,5, FALSE),""),"")</f>
        <v/>
      </c>
      <c r="E216" s="2" t="str">
        <f>IF(A216&lt;&gt;"",VLOOKUP(Alunos!A216,Agrupamentos!A3:C1000,3, FALSE),"")</f>
        <v/>
      </c>
      <c r="F216" s="2" t="str">
        <f>IFERROR(IF(A216&lt;&gt;"",VLOOKUP(Alunos!E216,'TP2'!A3:D1000,4, FALSE),""),"")</f>
        <v/>
      </c>
      <c r="G216" s="2" t="str">
        <f>IF(A216&lt;&gt;"", SUMIF(B1:F1,"&lt;&gt;",B216:F216),"")</f>
        <v/>
      </c>
      <c r="H216" s="2" t="str">
        <f>IF(AND(A216&lt;&gt;"",G216&lt;&gt;""),ROUND(G216,0),"")</f>
        <v/>
      </c>
      <c r="I216" s="2" t="str">
        <f>IFERROR(IF(A216&lt;&gt;"",VLOOKUP(Alunos!A216,Recurso!A3:D1000,4, FALSE),""), "")</f>
        <v/>
      </c>
      <c r="J216" s="2" t="str">
        <f>IF(AND(A216&lt;&gt;"",I216&lt;&gt;""), SUMIFS(B216:I216,B1:I1,"&lt;&gt;",B2:I2,"&lt;&gt;Exame",B2:I2,"&lt;&gt;exame",B2:I2,"&lt;&gt;Nota",B2:I2,"&lt;&gt;Total"),"")</f>
        <v/>
      </c>
      <c r="K216" s="2" t="str">
        <f>IF(AND(A216&lt;&gt;"",J216&lt;&gt;""),ROUND(J216,0),"")</f>
        <v/>
      </c>
    </row>
    <row r="217" spans="2:11" x14ac:dyDescent="0.3">
      <c r="B217" s="2" t="str">
        <f>IFERROR(IF(A217&lt;&gt;"",VLOOKUP(Alunos!A217,Exame!A3:D1000,4, FALSE),""), "")</f>
        <v/>
      </c>
      <c r="C217" s="2" t="str">
        <f>IF(A217&lt;&gt;"",VLOOKUP(Alunos!A217,Agrupamentos!A3:C1000,2, FALSE),"")</f>
        <v/>
      </c>
      <c r="D217" s="2" t="str">
        <f>IFERROR(IF(A217&lt;&gt;"",VLOOKUP(Alunos!C217,'TP1'!A3:E1000,5, FALSE),""),"")</f>
        <v/>
      </c>
      <c r="E217" s="2" t="str">
        <f>IF(A217&lt;&gt;"",VLOOKUP(Alunos!A217,Agrupamentos!A3:C1000,3, FALSE),"")</f>
        <v/>
      </c>
      <c r="F217" s="2" t="str">
        <f>IFERROR(IF(A217&lt;&gt;"",VLOOKUP(Alunos!E217,'TP2'!A3:D1000,4, FALSE),""),"")</f>
        <v/>
      </c>
      <c r="G217" s="2" t="str">
        <f>IF(A217&lt;&gt;"", SUMIF(B1:F1,"&lt;&gt;",B217:F217),"")</f>
        <v/>
      </c>
      <c r="H217" s="2" t="str">
        <f>IF(AND(A217&lt;&gt;"",G217&lt;&gt;""),ROUND(G217,0),"")</f>
        <v/>
      </c>
      <c r="I217" s="2" t="str">
        <f>IFERROR(IF(A217&lt;&gt;"",VLOOKUP(Alunos!A217,Recurso!A3:D1000,4, FALSE),""), "")</f>
        <v/>
      </c>
      <c r="J217" s="2" t="str">
        <f>IF(AND(A217&lt;&gt;"",I217&lt;&gt;""), SUMIFS(B217:I217,B1:I1,"&lt;&gt;",B2:I2,"&lt;&gt;Exame",B2:I2,"&lt;&gt;exame",B2:I2,"&lt;&gt;Nota",B2:I2,"&lt;&gt;Total"),"")</f>
        <v/>
      </c>
      <c r="K217" s="2" t="str">
        <f>IF(AND(A217&lt;&gt;"",J217&lt;&gt;""),ROUND(J217,0),"")</f>
        <v/>
      </c>
    </row>
    <row r="218" spans="2:11" x14ac:dyDescent="0.3">
      <c r="B218" s="2" t="str">
        <f>IFERROR(IF(A218&lt;&gt;"",VLOOKUP(Alunos!A218,Exame!A3:D1000,4, FALSE),""), "")</f>
        <v/>
      </c>
      <c r="C218" s="2" t="str">
        <f>IF(A218&lt;&gt;"",VLOOKUP(Alunos!A218,Agrupamentos!A3:C1000,2, FALSE),"")</f>
        <v/>
      </c>
      <c r="D218" s="2" t="str">
        <f>IFERROR(IF(A218&lt;&gt;"",VLOOKUP(Alunos!C218,'TP1'!A3:E1000,5, FALSE),""),"")</f>
        <v/>
      </c>
      <c r="E218" s="2" t="str">
        <f>IF(A218&lt;&gt;"",VLOOKUP(Alunos!A218,Agrupamentos!A3:C1000,3, FALSE),"")</f>
        <v/>
      </c>
      <c r="F218" s="2" t="str">
        <f>IFERROR(IF(A218&lt;&gt;"",VLOOKUP(Alunos!E218,'TP2'!A3:D1000,4, FALSE),""),"")</f>
        <v/>
      </c>
      <c r="G218" s="2" t="str">
        <f>IF(A218&lt;&gt;"", SUMIF(B1:F1,"&lt;&gt;",B218:F218),"")</f>
        <v/>
      </c>
      <c r="H218" s="2" t="str">
        <f>IF(AND(A218&lt;&gt;"",G218&lt;&gt;""),ROUND(G218,0),"")</f>
        <v/>
      </c>
      <c r="I218" s="2" t="str">
        <f>IFERROR(IF(A218&lt;&gt;"",VLOOKUP(Alunos!A218,Recurso!A3:D1000,4, FALSE),""), "")</f>
        <v/>
      </c>
      <c r="J218" s="2" t="str">
        <f>IF(AND(A218&lt;&gt;"",I218&lt;&gt;""), SUMIFS(B218:I218,B1:I1,"&lt;&gt;",B2:I2,"&lt;&gt;Exame",B2:I2,"&lt;&gt;exame",B2:I2,"&lt;&gt;Nota",B2:I2,"&lt;&gt;Total"),"")</f>
        <v/>
      </c>
      <c r="K218" s="2" t="str">
        <f>IF(AND(A218&lt;&gt;"",J218&lt;&gt;""),ROUND(J218,0),"")</f>
        <v/>
      </c>
    </row>
    <row r="219" spans="2:11" x14ac:dyDescent="0.3">
      <c r="B219" s="2" t="str">
        <f>IFERROR(IF(A219&lt;&gt;"",VLOOKUP(Alunos!A219,Exame!A3:D1000,4, FALSE),""), "")</f>
        <v/>
      </c>
      <c r="C219" s="2" t="str">
        <f>IF(A219&lt;&gt;"",VLOOKUP(Alunos!A219,Agrupamentos!A3:C1000,2, FALSE),"")</f>
        <v/>
      </c>
      <c r="D219" s="2" t="str">
        <f>IFERROR(IF(A219&lt;&gt;"",VLOOKUP(Alunos!C219,'TP1'!A3:E1000,5, FALSE),""),"")</f>
        <v/>
      </c>
      <c r="E219" s="2" t="str">
        <f>IF(A219&lt;&gt;"",VLOOKUP(Alunos!A219,Agrupamentos!A3:C1000,3, FALSE),"")</f>
        <v/>
      </c>
      <c r="F219" s="2" t="str">
        <f>IFERROR(IF(A219&lt;&gt;"",VLOOKUP(Alunos!E219,'TP2'!A3:D1000,4, FALSE),""),"")</f>
        <v/>
      </c>
      <c r="G219" s="2" t="str">
        <f>IF(A219&lt;&gt;"", SUMIF(B1:F1,"&lt;&gt;",B219:F219),"")</f>
        <v/>
      </c>
      <c r="H219" s="2" t="str">
        <f>IF(AND(A219&lt;&gt;"",G219&lt;&gt;""),ROUND(G219,0),"")</f>
        <v/>
      </c>
      <c r="I219" s="2" t="str">
        <f>IFERROR(IF(A219&lt;&gt;"",VLOOKUP(Alunos!A219,Recurso!A3:D1000,4, FALSE),""), "")</f>
        <v/>
      </c>
      <c r="J219" s="2" t="str">
        <f>IF(AND(A219&lt;&gt;"",I219&lt;&gt;""), SUMIFS(B219:I219,B1:I1,"&lt;&gt;",B2:I2,"&lt;&gt;Exame",B2:I2,"&lt;&gt;exame",B2:I2,"&lt;&gt;Nota",B2:I2,"&lt;&gt;Total"),"")</f>
        <v/>
      </c>
      <c r="K219" s="2" t="str">
        <f>IF(AND(A219&lt;&gt;"",J219&lt;&gt;""),ROUND(J219,0),"")</f>
        <v/>
      </c>
    </row>
    <row r="220" spans="2:11" x14ac:dyDescent="0.3">
      <c r="B220" s="2" t="str">
        <f>IFERROR(IF(A220&lt;&gt;"",VLOOKUP(Alunos!A220,Exame!A3:D1000,4, FALSE),""), "")</f>
        <v/>
      </c>
      <c r="C220" s="2" t="str">
        <f>IF(A220&lt;&gt;"",VLOOKUP(Alunos!A220,Agrupamentos!A3:C1000,2, FALSE),"")</f>
        <v/>
      </c>
      <c r="D220" s="2" t="str">
        <f>IFERROR(IF(A220&lt;&gt;"",VLOOKUP(Alunos!C220,'TP1'!A3:E1000,5, FALSE),""),"")</f>
        <v/>
      </c>
      <c r="E220" s="2" t="str">
        <f>IF(A220&lt;&gt;"",VLOOKUP(Alunos!A220,Agrupamentos!A3:C1000,3, FALSE),"")</f>
        <v/>
      </c>
      <c r="F220" s="2" t="str">
        <f>IFERROR(IF(A220&lt;&gt;"",VLOOKUP(Alunos!E220,'TP2'!A3:D1000,4, FALSE),""),"")</f>
        <v/>
      </c>
      <c r="G220" s="2" t="str">
        <f>IF(A220&lt;&gt;"", SUMIF(B1:F1,"&lt;&gt;",B220:F220),"")</f>
        <v/>
      </c>
      <c r="H220" s="2" t="str">
        <f>IF(AND(A220&lt;&gt;"",G220&lt;&gt;""),ROUND(G220,0),"")</f>
        <v/>
      </c>
      <c r="I220" s="2" t="str">
        <f>IFERROR(IF(A220&lt;&gt;"",VLOOKUP(Alunos!A220,Recurso!A3:D1000,4, FALSE),""), "")</f>
        <v/>
      </c>
      <c r="J220" s="2" t="str">
        <f>IF(AND(A220&lt;&gt;"",I220&lt;&gt;""), SUMIFS(B220:I220,B1:I1,"&lt;&gt;",B2:I2,"&lt;&gt;Exame",B2:I2,"&lt;&gt;exame",B2:I2,"&lt;&gt;Nota",B2:I2,"&lt;&gt;Total"),"")</f>
        <v/>
      </c>
      <c r="K220" s="2" t="str">
        <f>IF(AND(A220&lt;&gt;"",J220&lt;&gt;""),ROUND(J220,0),"")</f>
        <v/>
      </c>
    </row>
    <row r="221" spans="2:11" x14ac:dyDescent="0.3">
      <c r="B221" s="2" t="str">
        <f>IFERROR(IF(A221&lt;&gt;"",VLOOKUP(Alunos!A221,Exame!A3:D1000,4, FALSE),""), "")</f>
        <v/>
      </c>
      <c r="C221" s="2" t="str">
        <f>IF(A221&lt;&gt;"",VLOOKUP(Alunos!A221,Agrupamentos!A3:C1000,2, FALSE),"")</f>
        <v/>
      </c>
      <c r="D221" s="2" t="str">
        <f>IFERROR(IF(A221&lt;&gt;"",VLOOKUP(Alunos!C221,'TP1'!A3:E1000,5, FALSE),""),"")</f>
        <v/>
      </c>
      <c r="E221" s="2" t="str">
        <f>IF(A221&lt;&gt;"",VLOOKUP(Alunos!A221,Agrupamentos!A3:C1000,3, FALSE),"")</f>
        <v/>
      </c>
      <c r="F221" s="2" t="str">
        <f>IFERROR(IF(A221&lt;&gt;"",VLOOKUP(Alunos!E221,'TP2'!A3:D1000,4, FALSE),""),"")</f>
        <v/>
      </c>
      <c r="G221" s="2" t="str">
        <f>IF(A221&lt;&gt;"", SUMIF(B1:F1,"&lt;&gt;",B221:F221),"")</f>
        <v/>
      </c>
      <c r="H221" s="2" t="str">
        <f>IF(AND(A221&lt;&gt;"",G221&lt;&gt;""),ROUND(G221,0),"")</f>
        <v/>
      </c>
      <c r="I221" s="2" t="str">
        <f>IFERROR(IF(A221&lt;&gt;"",VLOOKUP(Alunos!A221,Recurso!A3:D1000,4, FALSE),""), "")</f>
        <v/>
      </c>
      <c r="J221" s="2" t="str">
        <f>IF(AND(A221&lt;&gt;"",I221&lt;&gt;""), SUMIFS(B221:I221,B1:I1,"&lt;&gt;",B2:I2,"&lt;&gt;Exame",B2:I2,"&lt;&gt;exame",B2:I2,"&lt;&gt;Nota",B2:I2,"&lt;&gt;Total"),"")</f>
        <v/>
      </c>
      <c r="K221" s="2" t="str">
        <f>IF(AND(A221&lt;&gt;"",J221&lt;&gt;""),ROUND(J221,0),"")</f>
        <v/>
      </c>
    </row>
    <row r="222" spans="2:11" x14ac:dyDescent="0.3">
      <c r="B222" s="2" t="str">
        <f>IFERROR(IF(A222&lt;&gt;"",VLOOKUP(Alunos!A222,Exame!A3:D1000,4, FALSE),""), "")</f>
        <v/>
      </c>
      <c r="C222" s="2" t="str">
        <f>IF(A222&lt;&gt;"",VLOOKUP(Alunos!A222,Agrupamentos!A3:C1000,2, FALSE),"")</f>
        <v/>
      </c>
      <c r="D222" s="2" t="str">
        <f>IFERROR(IF(A222&lt;&gt;"",VLOOKUP(Alunos!C222,'TP1'!A3:E1000,5, FALSE),""),"")</f>
        <v/>
      </c>
      <c r="E222" s="2" t="str">
        <f>IF(A222&lt;&gt;"",VLOOKUP(Alunos!A222,Agrupamentos!A3:C1000,3, FALSE),"")</f>
        <v/>
      </c>
      <c r="F222" s="2" t="str">
        <f>IFERROR(IF(A222&lt;&gt;"",VLOOKUP(Alunos!E222,'TP2'!A3:D1000,4, FALSE),""),"")</f>
        <v/>
      </c>
      <c r="G222" s="2" t="str">
        <f>IF(A222&lt;&gt;"", SUMIF(B1:F1,"&lt;&gt;",B222:F222),"")</f>
        <v/>
      </c>
      <c r="H222" s="2" t="str">
        <f>IF(AND(A222&lt;&gt;"",G222&lt;&gt;""),ROUND(G222,0),"")</f>
        <v/>
      </c>
      <c r="I222" s="2" t="str">
        <f>IFERROR(IF(A222&lt;&gt;"",VLOOKUP(Alunos!A222,Recurso!A3:D1000,4, FALSE),""), "")</f>
        <v/>
      </c>
      <c r="J222" s="2" t="str">
        <f>IF(AND(A222&lt;&gt;"",I222&lt;&gt;""), SUMIFS(B222:I222,B1:I1,"&lt;&gt;",B2:I2,"&lt;&gt;Exame",B2:I2,"&lt;&gt;exame",B2:I2,"&lt;&gt;Nota",B2:I2,"&lt;&gt;Total"),"")</f>
        <v/>
      </c>
      <c r="K222" s="2" t="str">
        <f>IF(AND(A222&lt;&gt;"",J222&lt;&gt;""),ROUND(J222,0),"")</f>
        <v/>
      </c>
    </row>
    <row r="223" spans="2:11" x14ac:dyDescent="0.3">
      <c r="B223" s="2" t="str">
        <f>IFERROR(IF(A223&lt;&gt;"",VLOOKUP(Alunos!A223,Exame!A3:D1000,4, FALSE),""), "")</f>
        <v/>
      </c>
      <c r="C223" s="2" t="str">
        <f>IF(A223&lt;&gt;"",VLOOKUP(Alunos!A223,Agrupamentos!A3:C1000,2, FALSE),"")</f>
        <v/>
      </c>
      <c r="D223" s="2" t="str">
        <f>IFERROR(IF(A223&lt;&gt;"",VLOOKUP(Alunos!C223,'TP1'!A3:E1000,5, FALSE),""),"")</f>
        <v/>
      </c>
      <c r="E223" s="2" t="str">
        <f>IF(A223&lt;&gt;"",VLOOKUP(Alunos!A223,Agrupamentos!A3:C1000,3, FALSE),"")</f>
        <v/>
      </c>
      <c r="F223" s="2" t="str">
        <f>IFERROR(IF(A223&lt;&gt;"",VLOOKUP(Alunos!E223,'TP2'!A3:D1000,4, FALSE),""),"")</f>
        <v/>
      </c>
      <c r="G223" s="2" t="str">
        <f>IF(A223&lt;&gt;"", SUMIF(B1:F1,"&lt;&gt;",B223:F223),"")</f>
        <v/>
      </c>
      <c r="H223" s="2" t="str">
        <f>IF(AND(A223&lt;&gt;"",G223&lt;&gt;""),ROUND(G223,0),"")</f>
        <v/>
      </c>
      <c r="I223" s="2" t="str">
        <f>IFERROR(IF(A223&lt;&gt;"",VLOOKUP(Alunos!A223,Recurso!A3:D1000,4, FALSE),""), "")</f>
        <v/>
      </c>
      <c r="J223" s="2" t="str">
        <f>IF(AND(A223&lt;&gt;"",I223&lt;&gt;""), SUMIFS(B223:I223,B1:I1,"&lt;&gt;",B2:I2,"&lt;&gt;Exame",B2:I2,"&lt;&gt;exame",B2:I2,"&lt;&gt;Nota",B2:I2,"&lt;&gt;Total"),"")</f>
        <v/>
      </c>
      <c r="K223" s="2" t="str">
        <f>IF(AND(A223&lt;&gt;"",J223&lt;&gt;""),ROUND(J223,0),"")</f>
        <v/>
      </c>
    </row>
    <row r="224" spans="2:11" x14ac:dyDescent="0.3">
      <c r="B224" s="2" t="str">
        <f>IFERROR(IF(A224&lt;&gt;"",VLOOKUP(Alunos!A224,Exame!A3:D1000,4, FALSE),""), "")</f>
        <v/>
      </c>
      <c r="C224" s="2" t="str">
        <f>IF(A224&lt;&gt;"",VLOOKUP(Alunos!A224,Agrupamentos!A3:C1000,2, FALSE),"")</f>
        <v/>
      </c>
      <c r="D224" s="2" t="str">
        <f>IFERROR(IF(A224&lt;&gt;"",VLOOKUP(Alunos!C224,'TP1'!A3:E1000,5, FALSE),""),"")</f>
        <v/>
      </c>
      <c r="E224" s="2" t="str">
        <f>IF(A224&lt;&gt;"",VLOOKUP(Alunos!A224,Agrupamentos!A3:C1000,3, FALSE),"")</f>
        <v/>
      </c>
      <c r="F224" s="2" t="str">
        <f>IFERROR(IF(A224&lt;&gt;"",VLOOKUP(Alunos!E224,'TP2'!A3:D1000,4, FALSE),""),"")</f>
        <v/>
      </c>
      <c r="G224" s="2" t="str">
        <f>IF(A224&lt;&gt;"", SUMIF(B1:F1,"&lt;&gt;",B224:F224),"")</f>
        <v/>
      </c>
      <c r="H224" s="2" t="str">
        <f>IF(AND(A224&lt;&gt;"",G224&lt;&gt;""),ROUND(G224,0),"")</f>
        <v/>
      </c>
      <c r="I224" s="2" t="str">
        <f>IFERROR(IF(A224&lt;&gt;"",VLOOKUP(Alunos!A224,Recurso!A3:D1000,4, FALSE),""), "")</f>
        <v/>
      </c>
      <c r="J224" s="2" t="str">
        <f>IF(AND(A224&lt;&gt;"",I224&lt;&gt;""), SUMIFS(B224:I224,B1:I1,"&lt;&gt;",B2:I2,"&lt;&gt;Exame",B2:I2,"&lt;&gt;exame",B2:I2,"&lt;&gt;Nota",B2:I2,"&lt;&gt;Total"),"")</f>
        <v/>
      </c>
      <c r="K224" s="2" t="str">
        <f>IF(AND(A224&lt;&gt;"",J224&lt;&gt;""),ROUND(J224,0),"")</f>
        <v/>
      </c>
    </row>
    <row r="225" spans="2:11" x14ac:dyDescent="0.3">
      <c r="B225" s="2" t="str">
        <f>IFERROR(IF(A225&lt;&gt;"",VLOOKUP(Alunos!A225,Exame!A3:D1000,4, FALSE),""), "")</f>
        <v/>
      </c>
      <c r="C225" s="2" t="str">
        <f>IF(A225&lt;&gt;"",VLOOKUP(Alunos!A225,Agrupamentos!A3:C1000,2, FALSE),"")</f>
        <v/>
      </c>
      <c r="D225" s="2" t="str">
        <f>IFERROR(IF(A225&lt;&gt;"",VLOOKUP(Alunos!C225,'TP1'!A3:E1000,5, FALSE),""),"")</f>
        <v/>
      </c>
      <c r="E225" s="2" t="str">
        <f>IF(A225&lt;&gt;"",VLOOKUP(Alunos!A225,Agrupamentos!A3:C1000,3, FALSE),"")</f>
        <v/>
      </c>
      <c r="F225" s="2" t="str">
        <f>IFERROR(IF(A225&lt;&gt;"",VLOOKUP(Alunos!E225,'TP2'!A3:D1000,4, FALSE),""),"")</f>
        <v/>
      </c>
      <c r="G225" s="2" t="str">
        <f>IF(A225&lt;&gt;"", SUMIF(B1:F1,"&lt;&gt;",B225:F225),"")</f>
        <v/>
      </c>
      <c r="H225" s="2" t="str">
        <f>IF(AND(A225&lt;&gt;"",G225&lt;&gt;""),ROUND(G225,0),"")</f>
        <v/>
      </c>
      <c r="I225" s="2" t="str">
        <f>IFERROR(IF(A225&lt;&gt;"",VLOOKUP(Alunos!A225,Recurso!A3:D1000,4, FALSE),""), "")</f>
        <v/>
      </c>
      <c r="J225" s="2" t="str">
        <f>IF(AND(A225&lt;&gt;"",I225&lt;&gt;""), SUMIFS(B225:I225,B1:I1,"&lt;&gt;",B2:I2,"&lt;&gt;Exame",B2:I2,"&lt;&gt;exame",B2:I2,"&lt;&gt;Nota",B2:I2,"&lt;&gt;Total"),"")</f>
        <v/>
      </c>
      <c r="K225" s="2" t="str">
        <f>IF(AND(A225&lt;&gt;"",J225&lt;&gt;""),ROUND(J225,0),"")</f>
        <v/>
      </c>
    </row>
    <row r="226" spans="2:11" x14ac:dyDescent="0.3">
      <c r="B226" s="2" t="str">
        <f>IFERROR(IF(A226&lt;&gt;"",VLOOKUP(Alunos!A226,Exame!A3:D1000,4, FALSE),""), "")</f>
        <v/>
      </c>
      <c r="C226" s="2" t="str">
        <f>IF(A226&lt;&gt;"",VLOOKUP(Alunos!A226,Agrupamentos!A3:C1000,2, FALSE),"")</f>
        <v/>
      </c>
      <c r="D226" s="2" t="str">
        <f>IFERROR(IF(A226&lt;&gt;"",VLOOKUP(Alunos!C226,'TP1'!A3:E1000,5, FALSE),""),"")</f>
        <v/>
      </c>
      <c r="E226" s="2" t="str">
        <f>IF(A226&lt;&gt;"",VLOOKUP(Alunos!A226,Agrupamentos!A3:C1000,3, FALSE),"")</f>
        <v/>
      </c>
      <c r="F226" s="2" t="str">
        <f>IFERROR(IF(A226&lt;&gt;"",VLOOKUP(Alunos!E226,'TP2'!A3:D1000,4, FALSE),""),"")</f>
        <v/>
      </c>
      <c r="G226" s="2" t="str">
        <f>IF(A226&lt;&gt;"", SUMIF(B1:F1,"&lt;&gt;",B226:F226),"")</f>
        <v/>
      </c>
      <c r="H226" s="2" t="str">
        <f>IF(AND(A226&lt;&gt;"",G226&lt;&gt;""),ROUND(G226,0),"")</f>
        <v/>
      </c>
      <c r="I226" s="2" t="str">
        <f>IFERROR(IF(A226&lt;&gt;"",VLOOKUP(Alunos!A226,Recurso!A3:D1000,4, FALSE),""), "")</f>
        <v/>
      </c>
      <c r="J226" s="2" t="str">
        <f>IF(AND(A226&lt;&gt;"",I226&lt;&gt;""), SUMIFS(B226:I226,B1:I1,"&lt;&gt;",B2:I2,"&lt;&gt;Exame",B2:I2,"&lt;&gt;exame",B2:I2,"&lt;&gt;Nota",B2:I2,"&lt;&gt;Total"),"")</f>
        <v/>
      </c>
      <c r="K226" s="2" t="str">
        <f>IF(AND(A226&lt;&gt;"",J226&lt;&gt;""),ROUND(J226,0),"")</f>
        <v/>
      </c>
    </row>
    <row r="227" spans="2:11" x14ac:dyDescent="0.3">
      <c r="B227" s="2" t="str">
        <f>IFERROR(IF(A227&lt;&gt;"",VLOOKUP(Alunos!A227,Exame!A3:D1000,4, FALSE),""), "")</f>
        <v/>
      </c>
      <c r="C227" s="2" t="str">
        <f>IF(A227&lt;&gt;"",VLOOKUP(Alunos!A227,Agrupamentos!A3:C1000,2, FALSE),"")</f>
        <v/>
      </c>
      <c r="D227" s="2" t="str">
        <f>IFERROR(IF(A227&lt;&gt;"",VLOOKUP(Alunos!C227,'TP1'!A3:E1000,5, FALSE),""),"")</f>
        <v/>
      </c>
      <c r="E227" s="2" t="str">
        <f>IF(A227&lt;&gt;"",VLOOKUP(Alunos!A227,Agrupamentos!A3:C1000,3, FALSE),"")</f>
        <v/>
      </c>
      <c r="F227" s="2" t="str">
        <f>IFERROR(IF(A227&lt;&gt;"",VLOOKUP(Alunos!E227,'TP2'!A3:D1000,4, FALSE),""),"")</f>
        <v/>
      </c>
      <c r="G227" s="2" t="str">
        <f>IF(A227&lt;&gt;"", SUMIF(B1:F1,"&lt;&gt;",B227:F227),"")</f>
        <v/>
      </c>
      <c r="H227" s="2" t="str">
        <f>IF(AND(A227&lt;&gt;"",G227&lt;&gt;""),ROUND(G227,0),"")</f>
        <v/>
      </c>
      <c r="I227" s="2" t="str">
        <f>IFERROR(IF(A227&lt;&gt;"",VLOOKUP(Alunos!A227,Recurso!A3:D1000,4, FALSE),""), "")</f>
        <v/>
      </c>
      <c r="J227" s="2" t="str">
        <f>IF(AND(A227&lt;&gt;"",I227&lt;&gt;""), SUMIFS(B227:I227,B1:I1,"&lt;&gt;",B2:I2,"&lt;&gt;Exame",B2:I2,"&lt;&gt;exame",B2:I2,"&lt;&gt;Nota",B2:I2,"&lt;&gt;Total"),"")</f>
        <v/>
      </c>
      <c r="K227" s="2" t="str">
        <f>IF(AND(A227&lt;&gt;"",J227&lt;&gt;""),ROUND(J227,0),"")</f>
        <v/>
      </c>
    </row>
    <row r="228" spans="2:11" x14ac:dyDescent="0.3">
      <c r="B228" s="2" t="str">
        <f>IFERROR(IF(A228&lt;&gt;"",VLOOKUP(Alunos!A228,Exame!A3:D1000,4, FALSE),""), "")</f>
        <v/>
      </c>
      <c r="C228" s="2" t="str">
        <f>IF(A228&lt;&gt;"",VLOOKUP(Alunos!A228,Agrupamentos!A3:C1000,2, FALSE),"")</f>
        <v/>
      </c>
      <c r="D228" s="2" t="str">
        <f>IFERROR(IF(A228&lt;&gt;"",VLOOKUP(Alunos!C228,'TP1'!A3:E1000,5, FALSE),""),"")</f>
        <v/>
      </c>
      <c r="E228" s="2" t="str">
        <f>IF(A228&lt;&gt;"",VLOOKUP(Alunos!A228,Agrupamentos!A3:C1000,3, FALSE),"")</f>
        <v/>
      </c>
      <c r="F228" s="2" t="str">
        <f>IFERROR(IF(A228&lt;&gt;"",VLOOKUP(Alunos!E228,'TP2'!A3:D1000,4, FALSE),""),"")</f>
        <v/>
      </c>
      <c r="G228" s="2" t="str">
        <f>IF(A228&lt;&gt;"", SUMIF(B1:F1,"&lt;&gt;",B228:F228),"")</f>
        <v/>
      </c>
      <c r="H228" s="2" t="str">
        <f>IF(AND(A228&lt;&gt;"",G228&lt;&gt;""),ROUND(G228,0),"")</f>
        <v/>
      </c>
      <c r="I228" s="2" t="str">
        <f>IFERROR(IF(A228&lt;&gt;"",VLOOKUP(Alunos!A228,Recurso!A3:D1000,4, FALSE),""), "")</f>
        <v/>
      </c>
      <c r="J228" s="2" t="str">
        <f>IF(AND(A228&lt;&gt;"",I228&lt;&gt;""), SUMIFS(B228:I228,B1:I1,"&lt;&gt;",B2:I2,"&lt;&gt;Exame",B2:I2,"&lt;&gt;exame",B2:I2,"&lt;&gt;Nota",B2:I2,"&lt;&gt;Total"),"")</f>
        <v/>
      </c>
      <c r="K228" s="2" t="str">
        <f>IF(AND(A228&lt;&gt;"",J228&lt;&gt;""),ROUND(J228,0),"")</f>
        <v/>
      </c>
    </row>
    <row r="229" spans="2:11" x14ac:dyDescent="0.3">
      <c r="B229" s="2" t="str">
        <f>IFERROR(IF(A229&lt;&gt;"",VLOOKUP(Alunos!A229,Exame!A3:D1000,4, FALSE),""), "")</f>
        <v/>
      </c>
      <c r="C229" s="2" t="str">
        <f>IF(A229&lt;&gt;"",VLOOKUP(Alunos!A229,Agrupamentos!A3:C1000,2, FALSE),"")</f>
        <v/>
      </c>
      <c r="D229" s="2" t="str">
        <f>IFERROR(IF(A229&lt;&gt;"",VLOOKUP(Alunos!C229,'TP1'!A3:E1000,5, FALSE),""),"")</f>
        <v/>
      </c>
      <c r="E229" s="2" t="str">
        <f>IF(A229&lt;&gt;"",VLOOKUP(Alunos!A229,Agrupamentos!A3:C1000,3, FALSE),"")</f>
        <v/>
      </c>
      <c r="F229" s="2" t="str">
        <f>IFERROR(IF(A229&lt;&gt;"",VLOOKUP(Alunos!E229,'TP2'!A3:D1000,4, FALSE),""),"")</f>
        <v/>
      </c>
      <c r="G229" s="2" t="str">
        <f>IF(A229&lt;&gt;"", SUMIF(B1:F1,"&lt;&gt;",B229:F229),"")</f>
        <v/>
      </c>
      <c r="H229" s="2" t="str">
        <f>IF(AND(A229&lt;&gt;"",G229&lt;&gt;""),ROUND(G229,0),"")</f>
        <v/>
      </c>
      <c r="I229" s="2" t="str">
        <f>IFERROR(IF(A229&lt;&gt;"",VLOOKUP(Alunos!A229,Recurso!A3:D1000,4, FALSE),""), "")</f>
        <v/>
      </c>
      <c r="J229" s="2" t="str">
        <f>IF(AND(A229&lt;&gt;"",I229&lt;&gt;""), SUMIFS(B229:I229,B1:I1,"&lt;&gt;",B2:I2,"&lt;&gt;Exame",B2:I2,"&lt;&gt;exame",B2:I2,"&lt;&gt;Nota",B2:I2,"&lt;&gt;Total"),"")</f>
        <v/>
      </c>
      <c r="K229" s="2" t="str">
        <f>IF(AND(A229&lt;&gt;"",J229&lt;&gt;""),ROUND(J229,0),"")</f>
        <v/>
      </c>
    </row>
    <row r="230" spans="2:11" x14ac:dyDescent="0.3">
      <c r="B230" s="2" t="str">
        <f>IFERROR(IF(A230&lt;&gt;"",VLOOKUP(Alunos!A230,Exame!A3:D1000,4, FALSE),""), "")</f>
        <v/>
      </c>
      <c r="C230" s="2" t="str">
        <f>IF(A230&lt;&gt;"",VLOOKUP(Alunos!A230,Agrupamentos!A3:C1000,2, FALSE),"")</f>
        <v/>
      </c>
      <c r="D230" s="2" t="str">
        <f>IFERROR(IF(A230&lt;&gt;"",VLOOKUP(Alunos!C230,'TP1'!A3:E1000,5, FALSE),""),"")</f>
        <v/>
      </c>
      <c r="E230" s="2" t="str">
        <f>IF(A230&lt;&gt;"",VLOOKUP(Alunos!A230,Agrupamentos!A3:C1000,3, FALSE),"")</f>
        <v/>
      </c>
      <c r="F230" s="2" t="str">
        <f>IFERROR(IF(A230&lt;&gt;"",VLOOKUP(Alunos!E230,'TP2'!A3:D1000,4, FALSE),""),"")</f>
        <v/>
      </c>
      <c r="G230" s="2" t="str">
        <f>IF(A230&lt;&gt;"", SUMIF(B1:F1,"&lt;&gt;",B230:F230),"")</f>
        <v/>
      </c>
      <c r="H230" s="2" t="str">
        <f>IF(AND(A230&lt;&gt;"",G230&lt;&gt;""),ROUND(G230,0),"")</f>
        <v/>
      </c>
      <c r="I230" s="2" t="str">
        <f>IFERROR(IF(A230&lt;&gt;"",VLOOKUP(Alunos!A230,Recurso!A3:D1000,4, FALSE),""), "")</f>
        <v/>
      </c>
      <c r="J230" s="2" t="str">
        <f>IF(AND(A230&lt;&gt;"",I230&lt;&gt;""), SUMIFS(B230:I230,B1:I1,"&lt;&gt;",B2:I2,"&lt;&gt;Exame",B2:I2,"&lt;&gt;exame",B2:I2,"&lt;&gt;Nota",B2:I2,"&lt;&gt;Total"),"")</f>
        <v/>
      </c>
      <c r="K230" s="2" t="str">
        <f>IF(AND(A230&lt;&gt;"",J230&lt;&gt;""),ROUND(J230,0),"")</f>
        <v/>
      </c>
    </row>
    <row r="231" spans="2:11" x14ac:dyDescent="0.3">
      <c r="B231" s="2" t="str">
        <f>IFERROR(IF(A231&lt;&gt;"",VLOOKUP(Alunos!A231,Exame!A3:D1000,4, FALSE),""), "")</f>
        <v/>
      </c>
      <c r="C231" s="2" t="str">
        <f>IF(A231&lt;&gt;"",VLOOKUP(Alunos!A231,Agrupamentos!A3:C1000,2, FALSE),"")</f>
        <v/>
      </c>
      <c r="D231" s="2" t="str">
        <f>IFERROR(IF(A231&lt;&gt;"",VLOOKUP(Alunos!C231,'TP1'!A3:E1000,5, FALSE),""),"")</f>
        <v/>
      </c>
      <c r="E231" s="2" t="str">
        <f>IF(A231&lt;&gt;"",VLOOKUP(Alunos!A231,Agrupamentos!A3:C1000,3, FALSE),"")</f>
        <v/>
      </c>
      <c r="F231" s="2" t="str">
        <f>IFERROR(IF(A231&lt;&gt;"",VLOOKUP(Alunos!E231,'TP2'!A3:D1000,4, FALSE),""),"")</f>
        <v/>
      </c>
      <c r="G231" s="2" t="str">
        <f>IF(A231&lt;&gt;"", SUMIF(B1:F1,"&lt;&gt;",B231:F231),"")</f>
        <v/>
      </c>
      <c r="H231" s="2" t="str">
        <f>IF(AND(A231&lt;&gt;"",G231&lt;&gt;""),ROUND(G231,0),"")</f>
        <v/>
      </c>
      <c r="I231" s="2" t="str">
        <f>IFERROR(IF(A231&lt;&gt;"",VLOOKUP(Alunos!A231,Recurso!A3:D1000,4, FALSE),""), "")</f>
        <v/>
      </c>
      <c r="J231" s="2" t="str">
        <f>IF(AND(A231&lt;&gt;"",I231&lt;&gt;""), SUMIFS(B231:I231,B1:I1,"&lt;&gt;",B2:I2,"&lt;&gt;Exame",B2:I2,"&lt;&gt;exame",B2:I2,"&lt;&gt;Nota",B2:I2,"&lt;&gt;Total"),"")</f>
        <v/>
      </c>
      <c r="K231" s="2" t="str">
        <f>IF(AND(A231&lt;&gt;"",J231&lt;&gt;""),ROUND(J231,0),"")</f>
        <v/>
      </c>
    </row>
    <row r="232" spans="2:11" x14ac:dyDescent="0.3">
      <c r="B232" s="2" t="str">
        <f>IFERROR(IF(A232&lt;&gt;"",VLOOKUP(Alunos!A232,Exame!A3:D1000,4, FALSE),""), "")</f>
        <v/>
      </c>
      <c r="C232" s="2" t="str">
        <f>IF(A232&lt;&gt;"",VLOOKUP(Alunos!A232,Agrupamentos!A3:C1000,2, FALSE),"")</f>
        <v/>
      </c>
      <c r="D232" s="2" t="str">
        <f>IFERROR(IF(A232&lt;&gt;"",VLOOKUP(Alunos!C232,'TP1'!A3:E1000,5, FALSE),""),"")</f>
        <v/>
      </c>
      <c r="E232" s="2" t="str">
        <f>IF(A232&lt;&gt;"",VLOOKUP(Alunos!A232,Agrupamentos!A3:C1000,3, FALSE),"")</f>
        <v/>
      </c>
      <c r="F232" s="2" t="str">
        <f>IFERROR(IF(A232&lt;&gt;"",VLOOKUP(Alunos!E232,'TP2'!A3:D1000,4, FALSE),""),"")</f>
        <v/>
      </c>
      <c r="G232" s="2" t="str">
        <f>IF(A232&lt;&gt;"", SUMIF(B1:F1,"&lt;&gt;",B232:F232),"")</f>
        <v/>
      </c>
      <c r="H232" s="2" t="str">
        <f>IF(AND(A232&lt;&gt;"",G232&lt;&gt;""),ROUND(G232,0),"")</f>
        <v/>
      </c>
      <c r="I232" s="2" t="str">
        <f>IFERROR(IF(A232&lt;&gt;"",VLOOKUP(Alunos!A232,Recurso!A3:D1000,4, FALSE),""), "")</f>
        <v/>
      </c>
      <c r="J232" s="2" t="str">
        <f>IF(AND(A232&lt;&gt;"",I232&lt;&gt;""), SUMIFS(B232:I232,B1:I1,"&lt;&gt;",B2:I2,"&lt;&gt;Exame",B2:I2,"&lt;&gt;exame",B2:I2,"&lt;&gt;Nota",B2:I2,"&lt;&gt;Total"),"")</f>
        <v/>
      </c>
      <c r="K232" s="2" t="str">
        <f>IF(AND(A232&lt;&gt;"",J232&lt;&gt;""),ROUND(J232,0),"")</f>
        <v/>
      </c>
    </row>
    <row r="233" spans="2:11" x14ac:dyDescent="0.3">
      <c r="B233" s="2" t="str">
        <f>IFERROR(IF(A233&lt;&gt;"",VLOOKUP(Alunos!A233,Exame!A3:D1000,4, FALSE),""), "")</f>
        <v/>
      </c>
      <c r="C233" s="2" t="str">
        <f>IF(A233&lt;&gt;"",VLOOKUP(Alunos!A233,Agrupamentos!A3:C1000,2, FALSE),"")</f>
        <v/>
      </c>
      <c r="D233" s="2" t="str">
        <f>IFERROR(IF(A233&lt;&gt;"",VLOOKUP(Alunos!C233,'TP1'!A3:E1000,5, FALSE),""),"")</f>
        <v/>
      </c>
      <c r="E233" s="2" t="str">
        <f>IF(A233&lt;&gt;"",VLOOKUP(Alunos!A233,Agrupamentos!A3:C1000,3, FALSE),"")</f>
        <v/>
      </c>
      <c r="F233" s="2" t="str">
        <f>IFERROR(IF(A233&lt;&gt;"",VLOOKUP(Alunos!E233,'TP2'!A3:D1000,4, FALSE),""),"")</f>
        <v/>
      </c>
      <c r="G233" s="2" t="str">
        <f>IF(A233&lt;&gt;"", SUMIF(B1:F1,"&lt;&gt;",B233:F233),"")</f>
        <v/>
      </c>
      <c r="H233" s="2" t="str">
        <f>IF(AND(A233&lt;&gt;"",G233&lt;&gt;""),ROUND(G233,0),"")</f>
        <v/>
      </c>
      <c r="I233" s="2" t="str">
        <f>IFERROR(IF(A233&lt;&gt;"",VLOOKUP(Alunos!A233,Recurso!A3:D1000,4, FALSE),""), "")</f>
        <v/>
      </c>
      <c r="J233" s="2" t="str">
        <f>IF(AND(A233&lt;&gt;"",I233&lt;&gt;""), SUMIFS(B233:I233,B1:I1,"&lt;&gt;",B2:I2,"&lt;&gt;Exame",B2:I2,"&lt;&gt;exame",B2:I2,"&lt;&gt;Nota",B2:I2,"&lt;&gt;Total"),"")</f>
        <v/>
      </c>
      <c r="K233" s="2" t="str">
        <f>IF(AND(A233&lt;&gt;"",J233&lt;&gt;""),ROUND(J233,0),"")</f>
        <v/>
      </c>
    </row>
    <row r="234" spans="2:11" x14ac:dyDescent="0.3">
      <c r="B234" s="2" t="str">
        <f>IFERROR(IF(A234&lt;&gt;"",VLOOKUP(Alunos!A234,Exame!A3:D1000,4, FALSE),""), "")</f>
        <v/>
      </c>
      <c r="C234" s="2" t="str">
        <f>IF(A234&lt;&gt;"",VLOOKUP(Alunos!A234,Agrupamentos!A3:C1000,2, FALSE),"")</f>
        <v/>
      </c>
      <c r="D234" s="2" t="str">
        <f>IFERROR(IF(A234&lt;&gt;"",VLOOKUP(Alunos!C234,'TP1'!A3:E1000,5, FALSE),""),"")</f>
        <v/>
      </c>
      <c r="E234" s="2" t="str">
        <f>IF(A234&lt;&gt;"",VLOOKUP(Alunos!A234,Agrupamentos!A3:C1000,3, FALSE),"")</f>
        <v/>
      </c>
      <c r="F234" s="2" t="str">
        <f>IFERROR(IF(A234&lt;&gt;"",VLOOKUP(Alunos!E234,'TP2'!A3:D1000,4, FALSE),""),"")</f>
        <v/>
      </c>
      <c r="G234" s="2" t="str">
        <f>IF(A234&lt;&gt;"", SUMIF(B1:F1,"&lt;&gt;",B234:F234),"")</f>
        <v/>
      </c>
      <c r="H234" s="2" t="str">
        <f>IF(AND(A234&lt;&gt;"",G234&lt;&gt;""),ROUND(G234,0),"")</f>
        <v/>
      </c>
      <c r="I234" s="2" t="str">
        <f>IFERROR(IF(A234&lt;&gt;"",VLOOKUP(Alunos!A234,Recurso!A3:D1000,4, FALSE),""), "")</f>
        <v/>
      </c>
      <c r="J234" s="2" t="str">
        <f>IF(AND(A234&lt;&gt;"",I234&lt;&gt;""), SUMIFS(B234:I234,B1:I1,"&lt;&gt;",B2:I2,"&lt;&gt;Exame",B2:I2,"&lt;&gt;exame",B2:I2,"&lt;&gt;Nota",B2:I2,"&lt;&gt;Total"),"")</f>
        <v/>
      </c>
      <c r="K234" s="2" t="str">
        <f>IF(AND(A234&lt;&gt;"",J234&lt;&gt;""),ROUND(J234,0),"")</f>
        <v/>
      </c>
    </row>
    <row r="235" spans="2:11" x14ac:dyDescent="0.3">
      <c r="B235" s="2" t="str">
        <f>IFERROR(IF(A235&lt;&gt;"",VLOOKUP(Alunos!A235,Exame!A3:D1000,4, FALSE),""), "")</f>
        <v/>
      </c>
      <c r="C235" s="2" t="str">
        <f>IF(A235&lt;&gt;"",VLOOKUP(Alunos!A235,Agrupamentos!A3:C1000,2, FALSE),"")</f>
        <v/>
      </c>
      <c r="D235" s="2" t="str">
        <f>IFERROR(IF(A235&lt;&gt;"",VLOOKUP(Alunos!C235,'TP1'!A3:E1000,5, FALSE),""),"")</f>
        <v/>
      </c>
      <c r="E235" s="2" t="str">
        <f>IF(A235&lt;&gt;"",VLOOKUP(Alunos!A235,Agrupamentos!A3:C1000,3, FALSE),"")</f>
        <v/>
      </c>
      <c r="F235" s="2" t="str">
        <f>IFERROR(IF(A235&lt;&gt;"",VLOOKUP(Alunos!E235,'TP2'!A3:D1000,4, FALSE),""),"")</f>
        <v/>
      </c>
      <c r="G235" s="2" t="str">
        <f>IF(A235&lt;&gt;"", SUMIF(B1:F1,"&lt;&gt;",B235:F235),"")</f>
        <v/>
      </c>
      <c r="H235" s="2" t="str">
        <f>IF(AND(A235&lt;&gt;"",G235&lt;&gt;""),ROUND(G235,0),"")</f>
        <v/>
      </c>
      <c r="I235" s="2" t="str">
        <f>IFERROR(IF(A235&lt;&gt;"",VLOOKUP(Alunos!A235,Recurso!A3:D1000,4, FALSE),""), "")</f>
        <v/>
      </c>
      <c r="J235" s="2" t="str">
        <f>IF(AND(A235&lt;&gt;"",I235&lt;&gt;""), SUMIFS(B235:I235,B1:I1,"&lt;&gt;",B2:I2,"&lt;&gt;Exame",B2:I2,"&lt;&gt;exame",B2:I2,"&lt;&gt;Nota",B2:I2,"&lt;&gt;Total"),"")</f>
        <v/>
      </c>
      <c r="K235" s="2" t="str">
        <f>IF(AND(A235&lt;&gt;"",J235&lt;&gt;""),ROUND(J235,0),"")</f>
        <v/>
      </c>
    </row>
    <row r="236" spans="2:11" x14ac:dyDescent="0.3">
      <c r="B236" s="2" t="str">
        <f>IFERROR(IF(A236&lt;&gt;"",VLOOKUP(Alunos!A236,Exame!A3:D1000,4, FALSE),""), "")</f>
        <v/>
      </c>
      <c r="C236" s="2" t="str">
        <f>IF(A236&lt;&gt;"",VLOOKUP(Alunos!A236,Agrupamentos!A3:C1000,2, FALSE),"")</f>
        <v/>
      </c>
      <c r="D236" s="2" t="str">
        <f>IFERROR(IF(A236&lt;&gt;"",VLOOKUP(Alunos!C236,'TP1'!A3:E1000,5, FALSE),""),"")</f>
        <v/>
      </c>
      <c r="E236" s="2" t="str">
        <f>IF(A236&lt;&gt;"",VLOOKUP(Alunos!A236,Agrupamentos!A3:C1000,3, FALSE),"")</f>
        <v/>
      </c>
      <c r="F236" s="2" t="str">
        <f>IFERROR(IF(A236&lt;&gt;"",VLOOKUP(Alunos!E236,'TP2'!A3:D1000,4, FALSE),""),"")</f>
        <v/>
      </c>
      <c r="G236" s="2" t="str">
        <f>IF(A236&lt;&gt;"", SUMIF(B1:F1,"&lt;&gt;",B236:F236),"")</f>
        <v/>
      </c>
      <c r="H236" s="2" t="str">
        <f>IF(AND(A236&lt;&gt;"",G236&lt;&gt;""),ROUND(G236,0),"")</f>
        <v/>
      </c>
      <c r="I236" s="2" t="str">
        <f>IFERROR(IF(A236&lt;&gt;"",VLOOKUP(Alunos!A236,Recurso!A3:D1000,4, FALSE),""), "")</f>
        <v/>
      </c>
      <c r="J236" s="2" t="str">
        <f>IF(AND(A236&lt;&gt;"",I236&lt;&gt;""), SUMIFS(B236:I236,B1:I1,"&lt;&gt;",B2:I2,"&lt;&gt;Exame",B2:I2,"&lt;&gt;exame",B2:I2,"&lt;&gt;Nota",B2:I2,"&lt;&gt;Total"),"")</f>
        <v/>
      </c>
      <c r="K236" s="2" t="str">
        <f>IF(AND(A236&lt;&gt;"",J236&lt;&gt;""),ROUND(J236,0),"")</f>
        <v/>
      </c>
    </row>
    <row r="237" spans="2:11" x14ac:dyDescent="0.3">
      <c r="B237" s="2" t="str">
        <f>IFERROR(IF(A237&lt;&gt;"",VLOOKUP(Alunos!A237,Exame!A3:D1000,4, FALSE),""), "")</f>
        <v/>
      </c>
      <c r="C237" s="2" t="str">
        <f>IF(A237&lt;&gt;"",VLOOKUP(Alunos!A237,Agrupamentos!A3:C1000,2, FALSE),"")</f>
        <v/>
      </c>
      <c r="D237" s="2" t="str">
        <f>IFERROR(IF(A237&lt;&gt;"",VLOOKUP(Alunos!C237,'TP1'!A3:E1000,5, FALSE),""),"")</f>
        <v/>
      </c>
      <c r="E237" s="2" t="str">
        <f>IF(A237&lt;&gt;"",VLOOKUP(Alunos!A237,Agrupamentos!A3:C1000,3, FALSE),"")</f>
        <v/>
      </c>
      <c r="F237" s="2" t="str">
        <f>IFERROR(IF(A237&lt;&gt;"",VLOOKUP(Alunos!E237,'TP2'!A3:D1000,4, FALSE),""),"")</f>
        <v/>
      </c>
      <c r="G237" s="2" t="str">
        <f>IF(A237&lt;&gt;"", SUMIF(B1:F1,"&lt;&gt;",B237:F237),"")</f>
        <v/>
      </c>
      <c r="H237" s="2" t="str">
        <f>IF(AND(A237&lt;&gt;"",G237&lt;&gt;""),ROUND(G237,0),"")</f>
        <v/>
      </c>
      <c r="I237" s="2" t="str">
        <f>IFERROR(IF(A237&lt;&gt;"",VLOOKUP(Alunos!A237,Recurso!A3:D1000,4, FALSE),""), "")</f>
        <v/>
      </c>
      <c r="J237" s="2" t="str">
        <f>IF(AND(A237&lt;&gt;"",I237&lt;&gt;""), SUMIFS(B237:I237,B1:I1,"&lt;&gt;",B2:I2,"&lt;&gt;Exame",B2:I2,"&lt;&gt;exame",B2:I2,"&lt;&gt;Nota",B2:I2,"&lt;&gt;Total"),"")</f>
        <v/>
      </c>
      <c r="K237" s="2" t="str">
        <f>IF(AND(A237&lt;&gt;"",J237&lt;&gt;""),ROUND(J237,0),"")</f>
        <v/>
      </c>
    </row>
    <row r="238" spans="2:11" x14ac:dyDescent="0.3">
      <c r="B238" s="2" t="str">
        <f>IFERROR(IF(A238&lt;&gt;"",VLOOKUP(Alunos!A238,Exame!A3:D1000,4, FALSE),""), "")</f>
        <v/>
      </c>
      <c r="C238" s="2" t="str">
        <f>IF(A238&lt;&gt;"",VLOOKUP(Alunos!A238,Agrupamentos!A3:C1000,2, FALSE),"")</f>
        <v/>
      </c>
      <c r="D238" s="2" t="str">
        <f>IFERROR(IF(A238&lt;&gt;"",VLOOKUP(Alunos!C238,'TP1'!A3:E1000,5, FALSE),""),"")</f>
        <v/>
      </c>
      <c r="E238" s="2" t="str">
        <f>IF(A238&lt;&gt;"",VLOOKUP(Alunos!A238,Agrupamentos!A3:C1000,3, FALSE),"")</f>
        <v/>
      </c>
      <c r="F238" s="2" t="str">
        <f>IFERROR(IF(A238&lt;&gt;"",VLOOKUP(Alunos!E238,'TP2'!A3:D1000,4, FALSE),""),"")</f>
        <v/>
      </c>
      <c r="G238" s="2" t="str">
        <f>IF(A238&lt;&gt;"", SUMIF(B1:F1,"&lt;&gt;",B238:F238),"")</f>
        <v/>
      </c>
      <c r="H238" s="2" t="str">
        <f>IF(AND(A238&lt;&gt;"",G238&lt;&gt;""),ROUND(G238,0),"")</f>
        <v/>
      </c>
      <c r="I238" s="2" t="str">
        <f>IFERROR(IF(A238&lt;&gt;"",VLOOKUP(Alunos!A238,Recurso!A3:D1000,4, FALSE),""), "")</f>
        <v/>
      </c>
      <c r="J238" s="2" t="str">
        <f>IF(AND(A238&lt;&gt;"",I238&lt;&gt;""), SUMIFS(B238:I238,B1:I1,"&lt;&gt;",B2:I2,"&lt;&gt;Exame",B2:I2,"&lt;&gt;exame",B2:I2,"&lt;&gt;Nota",B2:I2,"&lt;&gt;Total"),"")</f>
        <v/>
      </c>
      <c r="K238" s="2" t="str">
        <f>IF(AND(A238&lt;&gt;"",J238&lt;&gt;""),ROUND(J238,0),"")</f>
        <v/>
      </c>
    </row>
    <row r="239" spans="2:11" x14ac:dyDescent="0.3">
      <c r="B239" s="2" t="str">
        <f>IFERROR(IF(A239&lt;&gt;"",VLOOKUP(Alunos!A239,Exame!A3:D1000,4, FALSE),""), "")</f>
        <v/>
      </c>
      <c r="C239" s="2" t="str">
        <f>IF(A239&lt;&gt;"",VLOOKUP(Alunos!A239,Agrupamentos!A3:C1000,2, FALSE),"")</f>
        <v/>
      </c>
      <c r="D239" s="2" t="str">
        <f>IFERROR(IF(A239&lt;&gt;"",VLOOKUP(Alunos!C239,'TP1'!A3:E1000,5, FALSE),""),"")</f>
        <v/>
      </c>
      <c r="E239" s="2" t="str">
        <f>IF(A239&lt;&gt;"",VLOOKUP(Alunos!A239,Agrupamentos!A3:C1000,3, FALSE),"")</f>
        <v/>
      </c>
      <c r="F239" s="2" t="str">
        <f>IFERROR(IF(A239&lt;&gt;"",VLOOKUP(Alunos!E239,'TP2'!A3:D1000,4, FALSE),""),"")</f>
        <v/>
      </c>
      <c r="G239" s="2" t="str">
        <f>IF(A239&lt;&gt;"", SUMIF(B1:F1,"&lt;&gt;",B239:F239),"")</f>
        <v/>
      </c>
      <c r="H239" s="2" t="str">
        <f>IF(AND(A239&lt;&gt;"",G239&lt;&gt;""),ROUND(G239,0),"")</f>
        <v/>
      </c>
      <c r="I239" s="2" t="str">
        <f>IFERROR(IF(A239&lt;&gt;"",VLOOKUP(Alunos!A239,Recurso!A3:D1000,4, FALSE),""), "")</f>
        <v/>
      </c>
      <c r="J239" s="2" t="str">
        <f>IF(AND(A239&lt;&gt;"",I239&lt;&gt;""), SUMIFS(B239:I239,B1:I1,"&lt;&gt;",B2:I2,"&lt;&gt;Exame",B2:I2,"&lt;&gt;exame",B2:I2,"&lt;&gt;Nota",B2:I2,"&lt;&gt;Total"),"")</f>
        <v/>
      </c>
      <c r="K239" s="2" t="str">
        <f>IF(AND(A239&lt;&gt;"",J239&lt;&gt;""),ROUND(J239,0),"")</f>
        <v/>
      </c>
    </row>
    <row r="240" spans="2:11" x14ac:dyDescent="0.3">
      <c r="B240" s="2" t="str">
        <f>IFERROR(IF(A240&lt;&gt;"",VLOOKUP(Alunos!A240,Exame!A3:D1000,4, FALSE),""), "")</f>
        <v/>
      </c>
      <c r="C240" s="2" t="str">
        <f>IF(A240&lt;&gt;"",VLOOKUP(Alunos!A240,Agrupamentos!A3:C1000,2, FALSE),"")</f>
        <v/>
      </c>
      <c r="D240" s="2" t="str">
        <f>IFERROR(IF(A240&lt;&gt;"",VLOOKUP(Alunos!C240,'TP1'!A3:E1000,5, FALSE),""),"")</f>
        <v/>
      </c>
      <c r="E240" s="2" t="str">
        <f>IF(A240&lt;&gt;"",VLOOKUP(Alunos!A240,Agrupamentos!A3:C1000,3, FALSE),"")</f>
        <v/>
      </c>
      <c r="F240" s="2" t="str">
        <f>IFERROR(IF(A240&lt;&gt;"",VLOOKUP(Alunos!E240,'TP2'!A3:D1000,4, FALSE),""),"")</f>
        <v/>
      </c>
      <c r="G240" s="2" t="str">
        <f>IF(A240&lt;&gt;"", SUMIF(B1:F1,"&lt;&gt;",B240:F240),"")</f>
        <v/>
      </c>
      <c r="H240" s="2" t="str">
        <f>IF(AND(A240&lt;&gt;"",G240&lt;&gt;""),ROUND(G240,0),"")</f>
        <v/>
      </c>
      <c r="I240" s="2" t="str">
        <f>IFERROR(IF(A240&lt;&gt;"",VLOOKUP(Alunos!A240,Recurso!A3:D1000,4, FALSE),""), "")</f>
        <v/>
      </c>
      <c r="J240" s="2" t="str">
        <f>IF(AND(A240&lt;&gt;"",I240&lt;&gt;""), SUMIFS(B240:I240,B1:I1,"&lt;&gt;",B2:I2,"&lt;&gt;Exame",B2:I2,"&lt;&gt;exame",B2:I2,"&lt;&gt;Nota",B2:I2,"&lt;&gt;Total"),"")</f>
        <v/>
      </c>
      <c r="K240" s="2" t="str">
        <f>IF(AND(A240&lt;&gt;"",J240&lt;&gt;""),ROUND(J240,0),"")</f>
        <v/>
      </c>
    </row>
    <row r="241" spans="2:11" x14ac:dyDescent="0.3">
      <c r="B241" s="2" t="str">
        <f>IFERROR(IF(A241&lt;&gt;"",VLOOKUP(Alunos!A241,Exame!A3:D1000,4, FALSE),""), "")</f>
        <v/>
      </c>
      <c r="C241" s="2" t="str">
        <f>IF(A241&lt;&gt;"",VLOOKUP(Alunos!A241,Agrupamentos!A3:C1000,2, FALSE),"")</f>
        <v/>
      </c>
      <c r="D241" s="2" t="str">
        <f>IFERROR(IF(A241&lt;&gt;"",VLOOKUP(Alunos!C241,'TP1'!A3:E1000,5, FALSE),""),"")</f>
        <v/>
      </c>
      <c r="E241" s="2" t="str">
        <f>IF(A241&lt;&gt;"",VLOOKUP(Alunos!A241,Agrupamentos!A3:C1000,3, FALSE),"")</f>
        <v/>
      </c>
      <c r="F241" s="2" t="str">
        <f>IFERROR(IF(A241&lt;&gt;"",VLOOKUP(Alunos!E241,'TP2'!A3:D1000,4, FALSE),""),"")</f>
        <v/>
      </c>
      <c r="G241" s="2" t="str">
        <f>IF(A241&lt;&gt;"", SUMIF(B1:F1,"&lt;&gt;",B241:F241),"")</f>
        <v/>
      </c>
      <c r="H241" s="2" t="str">
        <f>IF(AND(A241&lt;&gt;"",G241&lt;&gt;""),ROUND(G241,0),"")</f>
        <v/>
      </c>
      <c r="I241" s="2" t="str">
        <f>IFERROR(IF(A241&lt;&gt;"",VLOOKUP(Alunos!A241,Recurso!A3:D1000,4, FALSE),""), "")</f>
        <v/>
      </c>
      <c r="J241" s="2" t="str">
        <f>IF(AND(A241&lt;&gt;"",I241&lt;&gt;""), SUMIFS(B241:I241,B1:I1,"&lt;&gt;",B2:I2,"&lt;&gt;Exame",B2:I2,"&lt;&gt;exame",B2:I2,"&lt;&gt;Nota",B2:I2,"&lt;&gt;Total"),"")</f>
        <v/>
      </c>
      <c r="K241" s="2" t="str">
        <f>IF(AND(A241&lt;&gt;"",J241&lt;&gt;""),ROUND(J241,0),"")</f>
        <v/>
      </c>
    </row>
    <row r="242" spans="2:11" x14ac:dyDescent="0.3">
      <c r="B242" s="2" t="str">
        <f>IFERROR(IF(A242&lt;&gt;"",VLOOKUP(Alunos!A242,Exame!A3:D1000,4, FALSE),""), "")</f>
        <v/>
      </c>
      <c r="C242" s="2" t="str">
        <f>IF(A242&lt;&gt;"",VLOOKUP(Alunos!A242,Agrupamentos!A3:C1000,2, FALSE),"")</f>
        <v/>
      </c>
      <c r="D242" s="2" t="str">
        <f>IFERROR(IF(A242&lt;&gt;"",VLOOKUP(Alunos!C242,'TP1'!A3:E1000,5, FALSE),""),"")</f>
        <v/>
      </c>
      <c r="E242" s="2" t="str">
        <f>IF(A242&lt;&gt;"",VLOOKUP(Alunos!A242,Agrupamentos!A3:C1000,3, FALSE),"")</f>
        <v/>
      </c>
      <c r="F242" s="2" t="str">
        <f>IFERROR(IF(A242&lt;&gt;"",VLOOKUP(Alunos!E242,'TP2'!A3:D1000,4, FALSE),""),"")</f>
        <v/>
      </c>
      <c r="G242" s="2" t="str">
        <f>IF(A242&lt;&gt;"", SUMIF(B1:F1,"&lt;&gt;",B242:F242),"")</f>
        <v/>
      </c>
      <c r="H242" s="2" t="str">
        <f>IF(AND(A242&lt;&gt;"",G242&lt;&gt;""),ROUND(G242,0),"")</f>
        <v/>
      </c>
      <c r="I242" s="2" t="str">
        <f>IFERROR(IF(A242&lt;&gt;"",VLOOKUP(Alunos!A242,Recurso!A3:D1000,4, FALSE),""), "")</f>
        <v/>
      </c>
      <c r="J242" s="2" t="str">
        <f>IF(AND(A242&lt;&gt;"",I242&lt;&gt;""), SUMIFS(B242:I242,B1:I1,"&lt;&gt;",B2:I2,"&lt;&gt;Exame",B2:I2,"&lt;&gt;exame",B2:I2,"&lt;&gt;Nota",B2:I2,"&lt;&gt;Total"),"")</f>
        <v/>
      </c>
      <c r="K242" s="2" t="str">
        <f>IF(AND(A242&lt;&gt;"",J242&lt;&gt;""),ROUND(J242,0),"")</f>
        <v/>
      </c>
    </row>
    <row r="243" spans="2:11" x14ac:dyDescent="0.3">
      <c r="B243" s="2" t="str">
        <f>IFERROR(IF(A243&lt;&gt;"",VLOOKUP(Alunos!A243,Exame!A3:D1000,4, FALSE),""), "")</f>
        <v/>
      </c>
      <c r="C243" s="2" t="str">
        <f>IF(A243&lt;&gt;"",VLOOKUP(Alunos!A243,Agrupamentos!A3:C1000,2, FALSE),"")</f>
        <v/>
      </c>
      <c r="D243" s="2" t="str">
        <f>IFERROR(IF(A243&lt;&gt;"",VLOOKUP(Alunos!C243,'TP1'!A3:E1000,5, FALSE),""),"")</f>
        <v/>
      </c>
      <c r="E243" s="2" t="str">
        <f>IF(A243&lt;&gt;"",VLOOKUP(Alunos!A243,Agrupamentos!A3:C1000,3, FALSE),"")</f>
        <v/>
      </c>
      <c r="F243" s="2" t="str">
        <f>IFERROR(IF(A243&lt;&gt;"",VLOOKUP(Alunos!E243,'TP2'!A3:D1000,4, FALSE),""),"")</f>
        <v/>
      </c>
      <c r="G243" s="2" t="str">
        <f>IF(A243&lt;&gt;"", SUMIF(B1:F1,"&lt;&gt;",B243:F243),"")</f>
        <v/>
      </c>
      <c r="H243" s="2" t="str">
        <f>IF(AND(A243&lt;&gt;"",G243&lt;&gt;""),ROUND(G243,0),"")</f>
        <v/>
      </c>
      <c r="I243" s="2" t="str">
        <f>IFERROR(IF(A243&lt;&gt;"",VLOOKUP(Alunos!A243,Recurso!A3:D1000,4, FALSE),""), "")</f>
        <v/>
      </c>
      <c r="J243" s="2" t="str">
        <f>IF(AND(A243&lt;&gt;"",I243&lt;&gt;""), SUMIFS(B243:I243,B1:I1,"&lt;&gt;",B2:I2,"&lt;&gt;Exame",B2:I2,"&lt;&gt;exame",B2:I2,"&lt;&gt;Nota",B2:I2,"&lt;&gt;Total"),"")</f>
        <v/>
      </c>
      <c r="K243" s="2" t="str">
        <f>IF(AND(A243&lt;&gt;"",J243&lt;&gt;""),ROUND(J243,0),"")</f>
        <v/>
      </c>
    </row>
    <row r="244" spans="2:11" x14ac:dyDescent="0.3">
      <c r="B244" s="2" t="str">
        <f>IFERROR(IF(A244&lt;&gt;"",VLOOKUP(Alunos!A244,Exame!A3:D1000,4, FALSE),""), "")</f>
        <v/>
      </c>
      <c r="C244" s="2" t="str">
        <f>IF(A244&lt;&gt;"",VLOOKUP(Alunos!A244,Agrupamentos!A3:C1000,2, FALSE),"")</f>
        <v/>
      </c>
      <c r="D244" s="2" t="str">
        <f>IFERROR(IF(A244&lt;&gt;"",VLOOKUP(Alunos!C244,'TP1'!A3:E1000,5, FALSE),""),"")</f>
        <v/>
      </c>
      <c r="E244" s="2" t="str">
        <f>IF(A244&lt;&gt;"",VLOOKUP(Alunos!A244,Agrupamentos!A3:C1000,3, FALSE),"")</f>
        <v/>
      </c>
      <c r="F244" s="2" t="str">
        <f>IFERROR(IF(A244&lt;&gt;"",VLOOKUP(Alunos!E244,'TP2'!A3:D1000,4, FALSE),""),"")</f>
        <v/>
      </c>
      <c r="G244" s="2" t="str">
        <f>IF(A244&lt;&gt;"", SUMIF(B1:F1,"&lt;&gt;",B244:F244),"")</f>
        <v/>
      </c>
      <c r="H244" s="2" t="str">
        <f>IF(AND(A244&lt;&gt;"",G244&lt;&gt;""),ROUND(G244,0),"")</f>
        <v/>
      </c>
      <c r="I244" s="2" t="str">
        <f>IFERROR(IF(A244&lt;&gt;"",VLOOKUP(Alunos!A244,Recurso!A3:D1000,4, FALSE),""), "")</f>
        <v/>
      </c>
      <c r="J244" s="2" t="str">
        <f>IF(AND(A244&lt;&gt;"",I244&lt;&gt;""), SUMIFS(B244:I244,B1:I1,"&lt;&gt;",B2:I2,"&lt;&gt;Exame",B2:I2,"&lt;&gt;exame",B2:I2,"&lt;&gt;Nota",B2:I2,"&lt;&gt;Total"),"")</f>
        <v/>
      </c>
      <c r="K244" s="2" t="str">
        <f>IF(AND(A244&lt;&gt;"",J244&lt;&gt;""),ROUND(J244,0),"")</f>
        <v/>
      </c>
    </row>
    <row r="245" spans="2:11" x14ac:dyDescent="0.3">
      <c r="B245" s="2" t="str">
        <f>IFERROR(IF(A245&lt;&gt;"",VLOOKUP(Alunos!A245,Exame!A3:D1000,4, FALSE),""), "")</f>
        <v/>
      </c>
      <c r="C245" s="2" t="str">
        <f>IF(A245&lt;&gt;"",VLOOKUP(Alunos!A245,Agrupamentos!A3:C1000,2, FALSE),"")</f>
        <v/>
      </c>
      <c r="D245" s="2" t="str">
        <f>IFERROR(IF(A245&lt;&gt;"",VLOOKUP(Alunos!C245,'TP1'!A3:E1000,5, FALSE),""),"")</f>
        <v/>
      </c>
      <c r="E245" s="2" t="str">
        <f>IF(A245&lt;&gt;"",VLOOKUP(Alunos!A245,Agrupamentos!A3:C1000,3, FALSE),"")</f>
        <v/>
      </c>
      <c r="F245" s="2" t="str">
        <f>IFERROR(IF(A245&lt;&gt;"",VLOOKUP(Alunos!E245,'TP2'!A3:D1000,4, FALSE),""),"")</f>
        <v/>
      </c>
      <c r="G245" s="2" t="str">
        <f>IF(A245&lt;&gt;"", SUMIF(B1:F1,"&lt;&gt;",B245:F245),"")</f>
        <v/>
      </c>
      <c r="H245" s="2" t="str">
        <f>IF(AND(A245&lt;&gt;"",G245&lt;&gt;""),ROUND(G245,0),"")</f>
        <v/>
      </c>
      <c r="I245" s="2" t="str">
        <f>IFERROR(IF(A245&lt;&gt;"",VLOOKUP(Alunos!A245,Recurso!A3:D1000,4, FALSE),""), "")</f>
        <v/>
      </c>
      <c r="J245" s="2" t="str">
        <f>IF(AND(A245&lt;&gt;"",I245&lt;&gt;""), SUMIFS(B245:I245,B1:I1,"&lt;&gt;",B2:I2,"&lt;&gt;Exame",B2:I2,"&lt;&gt;exame",B2:I2,"&lt;&gt;Nota",B2:I2,"&lt;&gt;Total"),"")</f>
        <v/>
      </c>
      <c r="K245" s="2" t="str">
        <f>IF(AND(A245&lt;&gt;"",J245&lt;&gt;""),ROUND(J245,0),"")</f>
        <v/>
      </c>
    </row>
    <row r="246" spans="2:11" x14ac:dyDescent="0.3">
      <c r="B246" s="2" t="str">
        <f>IFERROR(IF(A246&lt;&gt;"",VLOOKUP(Alunos!A246,Exame!A3:D1000,4, FALSE),""), "")</f>
        <v/>
      </c>
      <c r="C246" s="2" t="str">
        <f>IF(A246&lt;&gt;"",VLOOKUP(Alunos!A246,Agrupamentos!A3:C1000,2, FALSE),"")</f>
        <v/>
      </c>
      <c r="D246" s="2" t="str">
        <f>IFERROR(IF(A246&lt;&gt;"",VLOOKUP(Alunos!C246,'TP1'!A3:E1000,5, FALSE),""),"")</f>
        <v/>
      </c>
      <c r="E246" s="2" t="str">
        <f>IF(A246&lt;&gt;"",VLOOKUP(Alunos!A246,Agrupamentos!A3:C1000,3, FALSE),"")</f>
        <v/>
      </c>
      <c r="F246" s="2" t="str">
        <f>IFERROR(IF(A246&lt;&gt;"",VLOOKUP(Alunos!E246,'TP2'!A3:D1000,4, FALSE),""),"")</f>
        <v/>
      </c>
      <c r="G246" s="2" t="str">
        <f>IF(A246&lt;&gt;"", SUMIF(B1:F1,"&lt;&gt;",B246:F246),"")</f>
        <v/>
      </c>
      <c r="H246" s="2" t="str">
        <f>IF(AND(A246&lt;&gt;"",G246&lt;&gt;""),ROUND(G246,0),"")</f>
        <v/>
      </c>
      <c r="I246" s="2" t="str">
        <f>IFERROR(IF(A246&lt;&gt;"",VLOOKUP(Alunos!A246,Recurso!A3:D1000,4, FALSE),""), "")</f>
        <v/>
      </c>
      <c r="J246" s="2" t="str">
        <f>IF(AND(A246&lt;&gt;"",I246&lt;&gt;""), SUMIFS(B246:I246,B1:I1,"&lt;&gt;",B2:I2,"&lt;&gt;Exame",B2:I2,"&lt;&gt;exame",B2:I2,"&lt;&gt;Nota",B2:I2,"&lt;&gt;Total"),"")</f>
        <v/>
      </c>
      <c r="K246" s="2" t="str">
        <f>IF(AND(A246&lt;&gt;"",J246&lt;&gt;""),ROUND(J246,0),"")</f>
        <v/>
      </c>
    </row>
    <row r="247" spans="2:11" x14ac:dyDescent="0.3">
      <c r="B247" s="2" t="str">
        <f>IFERROR(IF(A247&lt;&gt;"",VLOOKUP(Alunos!A247,Exame!A3:D1000,4, FALSE),""), "")</f>
        <v/>
      </c>
      <c r="C247" s="2" t="str">
        <f>IF(A247&lt;&gt;"",VLOOKUP(Alunos!A247,Agrupamentos!A3:C1000,2, FALSE),"")</f>
        <v/>
      </c>
      <c r="D247" s="2" t="str">
        <f>IFERROR(IF(A247&lt;&gt;"",VLOOKUP(Alunos!C247,'TP1'!A3:E1000,5, FALSE),""),"")</f>
        <v/>
      </c>
      <c r="E247" s="2" t="str">
        <f>IF(A247&lt;&gt;"",VLOOKUP(Alunos!A247,Agrupamentos!A3:C1000,3, FALSE),"")</f>
        <v/>
      </c>
      <c r="F247" s="2" t="str">
        <f>IFERROR(IF(A247&lt;&gt;"",VLOOKUP(Alunos!E247,'TP2'!A3:D1000,4, FALSE),""),"")</f>
        <v/>
      </c>
      <c r="G247" s="2" t="str">
        <f>IF(A247&lt;&gt;"", SUMIF(B1:F1,"&lt;&gt;",B247:F247),"")</f>
        <v/>
      </c>
      <c r="H247" s="2" t="str">
        <f>IF(AND(A247&lt;&gt;"",G247&lt;&gt;""),ROUND(G247,0),"")</f>
        <v/>
      </c>
      <c r="I247" s="2" t="str">
        <f>IFERROR(IF(A247&lt;&gt;"",VLOOKUP(Alunos!A247,Recurso!A3:D1000,4, FALSE),""), "")</f>
        <v/>
      </c>
      <c r="J247" s="2" t="str">
        <f>IF(AND(A247&lt;&gt;"",I247&lt;&gt;""), SUMIFS(B247:I247,B1:I1,"&lt;&gt;",B2:I2,"&lt;&gt;Exame",B2:I2,"&lt;&gt;exame",B2:I2,"&lt;&gt;Nota",B2:I2,"&lt;&gt;Total"),"")</f>
        <v/>
      </c>
      <c r="K247" s="2" t="str">
        <f>IF(AND(A247&lt;&gt;"",J247&lt;&gt;""),ROUND(J247,0),"")</f>
        <v/>
      </c>
    </row>
    <row r="248" spans="2:11" x14ac:dyDescent="0.3">
      <c r="B248" s="2" t="str">
        <f>IFERROR(IF(A248&lt;&gt;"",VLOOKUP(Alunos!A248,Exame!A3:D1000,4, FALSE),""), "")</f>
        <v/>
      </c>
      <c r="C248" s="2" t="str">
        <f>IF(A248&lt;&gt;"",VLOOKUP(Alunos!A248,Agrupamentos!A3:C1000,2, FALSE),"")</f>
        <v/>
      </c>
      <c r="D248" s="2" t="str">
        <f>IFERROR(IF(A248&lt;&gt;"",VLOOKUP(Alunos!C248,'TP1'!A3:E1000,5, FALSE),""),"")</f>
        <v/>
      </c>
      <c r="E248" s="2" t="str">
        <f>IF(A248&lt;&gt;"",VLOOKUP(Alunos!A248,Agrupamentos!A3:C1000,3, FALSE),"")</f>
        <v/>
      </c>
      <c r="F248" s="2" t="str">
        <f>IFERROR(IF(A248&lt;&gt;"",VLOOKUP(Alunos!E248,'TP2'!A3:D1000,4, FALSE),""),"")</f>
        <v/>
      </c>
      <c r="G248" s="2" t="str">
        <f>IF(A248&lt;&gt;"", SUMIF(B1:F1,"&lt;&gt;",B248:F248),"")</f>
        <v/>
      </c>
      <c r="H248" s="2" t="str">
        <f>IF(AND(A248&lt;&gt;"",G248&lt;&gt;""),ROUND(G248,0),"")</f>
        <v/>
      </c>
      <c r="I248" s="2" t="str">
        <f>IFERROR(IF(A248&lt;&gt;"",VLOOKUP(Alunos!A248,Recurso!A3:D1000,4, FALSE),""), "")</f>
        <v/>
      </c>
      <c r="J248" s="2" t="str">
        <f>IF(AND(A248&lt;&gt;"",I248&lt;&gt;""), SUMIFS(B248:I248,B1:I1,"&lt;&gt;",B2:I2,"&lt;&gt;Exame",B2:I2,"&lt;&gt;exame",B2:I2,"&lt;&gt;Nota",B2:I2,"&lt;&gt;Total"),"")</f>
        <v/>
      </c>
      <c r="K248" s="2" t="str">
        <f>IF(AND(A248&lt;&gt;"",J248&lt;&gt;""),ROUND(J248,0),"")</f>
        <v/>
      </c>
    </row>
    <row r="249" spans="2:11" x14ac:dyDescent="0.3">
      <c r="B249" s="2" t="str">
        <f>IFERROR(IF(A249&lt;&gt;"",VLOOKUP(Alunos!A249,Exame!A3:D1000,4, FALSE),""), "")</f>
        <v/>
      </c>
      <c r="C249" s="2" t="str">
        <f>IF(A249&lt;&gt;"",VLOOKUP(Alunos!A249,Agrupamentos!A3:C1000,2, FALSE),"")</f>
        <v/>
      </c>
      <c r="D249" s="2" t="str">
        <f>IFERROR(IF(A249&lt;&gt;"",VLOOKUP(Alunos!C249,'TP1'!A3:E1000,5, FALSE),""),"")</f>
        <v/>
      </c>
      <c r="E249" s="2" t="str">
        <f>IF(A249&lt;&gt;"",VLOOKUP(Alunos!A249,Agrupamentos!A3:C1000,3, FALSE),"")</f>
        <v/>
      </c>
      <c r="F249" s="2" t="str">
        <f>IFERROR(IF(A249&lt;&gt;"",VLOOKUP(Alunos!E249,'TP2'!A3:D1000,4, FALSE),""),"")</f>
        <v/>
      </c>
      <c r="G249" s="2" t="str">
        <f>IF(A249&lt;&gt;"", SUMIF(B1:F1,"&lt;&gt;",B249:F249),"")</f>
        <v/>
      </c>
      <c r="H249" s="2" t="str">
        <f>IF(AND(A249&lt;&gt;"",G249&lt;&gt;""),ROUND(G249,0),"")</f>
        <v/>
      </c>
      <c r="I249" s="2" t="str">
        <f>IFERROR(IF(A249&lt;&gt;"",VLOOKUP(Alunos!A249,Recurso!A3:D1000,4, FALSE),""), "")</f>
        <v/>
      </c>
      <c r="J249" s="2" t="str">
        <f>IF(AND(A249&lt;&gt;"",I249&lt;&gt;""), SUMIFS(B249:I249,B1:I1,"&lt;&gt;",B2:I2,"&lt;&gt;Exame",B2:I2,"&lt;&gt;exame",B2:I2,"&lt;&gt;Nota",B2:I2,"&lt;&gt;Total"),"")</f>
        <v/>
      </c>
      <c r="K249" s="2" t="str">
        <f>IF(AND(A249&lt;&gt;"",J249&lt;&gt;""),ROUND(J249,0),"")</f>
        <v/>
      </c>
    </row>
    <row r="250" spans="2:11" x14ac:dyDescent="0.3">
      <c r="B250" s="2" t="str">
        <f>IFERROR(IF(A250&lt;&gt;"",VLOOKUP(Alunos!A250,Exame!A3:D1000,4, FALSE),""), "")</f>
        <v/>
      </c>
      <c r="C250" s="2" t="str">
        <f>IF(A250&lt;&gt;"",VLOOKUP(Alunos!A250,Agrupamentos!A3:C1000,2, FALSE),"")</f>
        <v/>
      </c>
      <c r="D250" s="2" t="str">
        <f>IFERROR(IF(A250&lt;&gt;"",VLOOKUP(Alunos!C250,'TP1'!A3:E1000,5, FALSE),""),"")</f>
        <v/>
      </c>
      <c r="E250" s="2" t="str">
        <f>IF(A250&lt;&gt;"",VLOOKUP(Alunos!A250,Agrupamentos!A3:C1000,3, FALSE),"")</f>
        <v/>
      </c>
      <c r="F250" s="2" t="str">
        <f>IFERROR(IF(A250&lt;&gt;"",VLOOKUP(Alunos!E250,'TP2'!A3:D1000,4, FALSE),""),"")</f>
        <v/>
      </c>
      <c r="G250" s="2" t="str">
        <f>IF(A250&lt;&gt;"", SUMIF(B1:F1,"&lt;&gt;",B250:F250),"")</f>
        <v/>
      </c>
      <c r="H250" s="2" t="str">
        <f>IF(AND(A250&lt;&gt;"",G250&lt;&gt;""),ROUND(G250,0),"")</f>
        <v/>
      </c>
      <c r="I250" s="2" t="str">
        <f>IFERROR(IF(A250&lt;&gt;"",VLOOKUP(Alunos!A250,Recurso!A3:D1000,4, FALSE),""), "")</f>
        <v/>
      </c>
      <c r="J250" s="2" t="str">
        <f>IF(AND(A250&lt;&gt;"",I250&lt;&gt;""), SUMIFS(B250:I250,B1:I1,"&lt;&gt;",B2:I2,"&lt;&gt;Exame",B2:I2,"&lt;&gt;exame",B2:I2,"&lt;&gt;Nota",B2:I2,"&lt;&gt;Total"),"")</f>
        <v/>
      </c>
      <c r="K250" s="2" t="str">
        <f>IF(AND(A250&lt;&gt;"",J250&lt;&gt;""),ROUND(J250,0),"")</f>
        <v/>
      </c>
    </row>
    <row r="251" spans="2:11" x14ac:dyDescent="0.3">
      <c r="B251" s="2" t="str">
        <f>IFERROR(IF(A251&lt;&gt;"",VLOOKUP(Alunos!A251,Exame!A3:D1000,4, FALSE),""), "")</f>
        <v/>
      </c>
      <c r="C251" s="2" t="str">
        <f>IF(A251&lt;&gt;"",VLOOKUP(Alunos!A251,Agrupamentos!A3:C1000,2, FALSE),"")</f>
        <v/>
      </c>
      <c r="D251" s="2" t="str">
        <f>IFERROR(IF(A251&lt;&gt;"",VLOOKUP(Alunos!C251,'TP1'!A3:E1000,5, FALSE),""),"")</f>
        <v/>
      </c>
      <c r="E251" s="2" t="str">
        <f>IF(A251&lt;&gt;"",VLOOKUP(Alunos!A251,Agrupamentos!A3:C1000,3, FALSE),"")</f>
        <v/>
      </c>
      <c r="F251" s="2" t="str">
        <f>IFERROR(IF(A251&lt;&gt;"",VLOOKUP(Alunos!E251,'TP2'!A3:D1000,4, FALSE),""),"")</f>
        <v/>
      </c>
      <c r="G251" s="2" t="str">
        <f>IF(A251&lt;&gt;"", SUMIF(B1:F1,"&lt;&gt;",B251:F251),"")</f>
        <v/>
      </c>
      <c r="H251" s="2" t="str">
        <f>IF(AND(A251&lt;&gt;"",G251&lt;&gt;""),ROUND(G251,0),"")</f>
        <v/>
      </c>
      <c r="I251" s="2" t="str">
        <f>IFERROR(IF(A251&lt;&gt;"",VLOOKUP(Alunos!A251,Recurso!A3:D1000,4, FALSE),""), "")</f>
        <v/>
      </c>
      <c r="J251" s="2" t="str">
        <f>IF(AND(A251&lt;&gt;"",I251&lt;&gt;""), SUMIFS(B251:I251,B1:I1,"&lt;&gt;",B2:I2,"&lt;&gt;Exame",B2:I2,"&lt;&gt;exame",B2:I2,"&lt;&gt;Nota",B2:I2,"&lt;&gt;Total"),"")</f>
        <v/>
      </c>
      <c r="K251" s="2" t="str">
        <f>IF(AND(A251&lt;&gt;"",J251&lt;&gt;""),ROUND(J251,0),"")</f>
        <v/>
      </c>
    </row>
    <row r="252" spans="2:11" x14ac:dyDescent="0.3">
      <c r="B252" s="2" t="str">
        <f>IFERROR(IF(A252&lt;&gt;"",VLOOKUP(Alunos!A252,Exame!A3:D1000,4, FALSE),""), "")</f>
        <v/>
      </c>
      <c r="C252" s="2" t="str">
        <f>IF(A252&lt;&gt;"",VLOOKUP(Alunos!A252,Agrupamentos!A3:C1000,2, FALSE),"")</f>
        <v/>
      </c>
      <c r="D252" s="2" t="str">
        <f>IFERROR(IF(A252&lt;&gt;"",VLOOKUP(Alunos!C252,'TP1'!A3:E1000,5, FALSE),""),"")</f>
        <v/>
      </c>
      <c r="E252" s="2" t="str">
        <f>IF(A252&lt;&gt;"",VLOOKUP(Alunos!A252,Agrupamentos!A3:C1000,3, FALSE),"")</f>
        <v/>
      </c>
      <c r="F252" s="2" t="str">
        <f>IFERROR(IF(A252&lt;&gt;"",VLOOKUP(Alunos!E252,'TP2'!A3:D1000,4, FALSE),""),"")</f>
        <v/>
      </c>
      <c r="G252" s="2" t="str">
        <f>IF(A252&lt;&gt;"", SUMIF(B1:F1,"&lt;&gt;",B252:F252),"")</f>
        <v/>
      </c>
      <c r="H252" s="2" t="str">
        <f>IF(AND(A252&lt;&gt;"",G252&lt;&gt;""),ROUND(G252,0),"")</f>
        <v/>
      </c>
      <c r="I252" s="2" t="str">
        <f>IFERROR(IF(A252&lt;&gt;"",VLOOKUP(Alunos!A252,Recurso!A3:D1000,4, FALSE),""), "")</f>
        <v/>
      </c>
      <c r="J252" s="2" t="str">
        <f>IF(AND(A252&lt;&gt;"",I252&lt;&gt;""), SUMIFS(B252:I252,B1:I1,"&lt;&gt;",B2:I2,"&lt;&gt;Exame",B2:I2,"&lt;&gt;exame",B2:I2,"&lt;&gt;Nota",B2:I2,"&lt;&gt;Total"),"")</f>
        <v/>
      </c>
      <c r="K252" s="2" t="str">
        <f>IF(AND(A252&lt;&gt;"",J252&lt;&gt;""),ROUND(J252,0),"")</f>
        <v/>
      </c>
    </row>
    <row r="253" spans="2:11" x14ac:dyDescent="0.3">
      <c r="B253" s="2" t="str">
        <f>IFERROR(IF(A253&lt;&gt;"",VLOOKUP(Alunos!A253,Exame!A3:D1000,4, FALSE),""), "")</f>
        <v/>
      </c>
      <c r="C253" s="2" t="str">
        <f>IF(A253&lt;&gt;"",VLOOKUP(Alunos!A253,Agrupamentos!A3:C1000,2, FALSE),"")</f>
        <v/>
      </c>
      <c r="D253" s="2" t="str">
        <f>IFERROR(IF(A253&lt;&gt;"",VLOOKUP(Alunos!C253,'TP1'!A3:E1000,5, FALSE),""),"")</f>
        <v/>
      </c>
      <c r="E253" s="2" t="str">
        <f>IF(A253&lt;&gt;"",VLOOKUP(Alunos!A253,Agrupamentos!A3:C1000,3, FALSE),"")</f>
        <v/>
      </c>
      <c r="F253" s="2" t="str">
        <f>IFERROR(IF(A253&lt;&gt;"",VLOOKUP(Alunos!E253,'TP2'!A3:D1000,4, FALSE),""),"")</f>
        <v/>
      </c>
      <c r="G253" s="2" t="str">
        <f>IF(A253&lt;&gt;"", SUMIF(B1:F1,"&lt;&gt;",B253:F253),"")</f>
        <v/>
      </c>
      <c r="H253" s="2" t="str">
        <f>IF(AND(A253&lt;&gt;"",G253&lt;&gt;""),ROUND(G253,0),"")</f>
        <v/>
      </c>
      <c r="I253" s="2" t="str">
        <f>IFERROR(IF(A253&lt;&gt;"",VLOOKUP(Alunos!A253,Recurso!A3:D1000,4, FALSE),""), "")</f>
        <v/>
      </c>
      <c r="J253" s="2" t="str">
        <f>IF(AND(A253&lt;&gt;"",I253&lt;&gt;""), SUMIFS(B253:I253,B1:I1,"&lt;&gt;",B2:I2,"&lt;&gt;Exame",B2:I2,"&lt;&gt;exame",B2:I2,"&lt;&gt;Nota",B2:I2,"&lt;&gt;Total"),"")</f>
        <v/>
      </c>
      <c r="K253" s="2" t="str">
        <f>IF(AND(A253&lt;&gt;"",J253&lt;&gt;""),ROUND(J253,0),"")</f>
        <v/>
      </c>
    </row>
    <row r="254" spans="2:11" x14ac:dyDescent="0.3">
      <c r="B254" s="2" t="str">
        <f>IFERROR(IF(A254&lt;&gt;"",VLOOKUP(Alunos!A254,Exame!A3:D1000,4, FALSE),""), "")</f>
        <v/>
      </c>
      <c r="C254" s="2" t="str">
        <f>IF(A254&lt;&gt;"",VLOOKUP(Alunos!A254,Agrupamentos!A3:C1000,2, FALSE),"")</f>
        <v/>
      </c>
      <c r="D254" s="2" t="str">
        <f>IFERROR(IF(A254&lt;&gt;"",VLOOKUP(Alunos!C254,'TP1'!A3:E1000,5, FALSE),""),"")</f>
        <v/>
      </c>
      <c r="E254" s="2" t="str">
        <f>IF(A254&lt;&gt;"",VLOOKUP(Alunos!A254,Agrupamentos!A3:C1000,3, FALSE),"")</f>
        <v/>
      </c>
      <c r="F254" s="2" t="str">
        <f>IFERROR(IF(A254&lt;&gt;"",VLOOKUP(Alunos!E254,'TP2'!A3:D1000,4, FALSE),""),"")</f>
        <v/>
      </c>
      <c r="G254" s="2" t="str">
        <f>IF(A254&lt;&gt;"", SUMIF(B1:F1,"&lt;&gt;",B254:F254),"")</f>
        <v/>
      </c>
      <c r="H254" s="2" t="str">
        <f>IF(AND(A254&lt;&gt;"",G254&lt;&gt;""),ROUND(G254,0),"")</f>
        <v/>
      </c>
      <c r="I254" s="2" t="str">
        <f>IFERROR(IF(A254&lt;&gt;"",VLOOKUP(Alunos!A254,Recurso!A3:D1000,4, FALSE),""), "")</f>
        <v/>
      </c>
      <c r="J254" s="2" t="str">
        <f>IF(AND(A254&lt;&gt;"",I254&lt;&gt;""), SUMIFS(B254:I254,B1:I1,"&lt;&gt;",B2:I2,"&lt;&gt;Exame",B2:I2,"&lt;&gt;exame",B2:I2,"&lt;&gt;Nota",B2:I2,"&lt;&gt;Total"),"")</f>
        <v/>
      </c>
      <c r="K254" s="2" t="str">
        <f>IF(AND(A254&lt;&gt;"",J254&lt;&gt;""),ROUND(J254,0),"")</f>
        <v/>
      </c>
    </row>
    <row r="255" spans="2:11" x14ac:dyDescent="0.3">
      <c r="B255" s="2" t="str">
        <f>IFERROR(IF(A255&lt;&gt;"",VLOOKUP(Alunos!A255,Exame!A3:D1000,4, FALSE),""), "")</f>
        <v/>
      </c>
      <c r="C255" s="2" t="str">
        <f>IF(A255&lt;&gt;"",VLOOKUP(Alunos!A255,Agrupamentos!A3:C1000,2, FALSE),"")</f>
        <v/>
      </c>
      <c r="D255" s="2" t="str">
        <f>IFERROR(IF(A255&lt;&gt;"",VLOOKUP(Alunos!C255,'TP1'!A3:E1000,5, FALSE),""),"")</f>
        <v/>
      </c>
      <c r="E255" s="2" t="str">
        <f>IF(A255&lt;&gt;"",VLOOKUP(Alunos!A255,Agrupamentos!A3:C1000,3, FALSE),"")</f>
        <v/>
      </c>
      <c r="F255" s="2" t="str">
        <f>IFERROR(IF(A255&lt;&gt;"",VLOOKUP(Alunos!E255,'TP2'!A3:D1000,4, FALSE),""),"")</f>
        <v/>
      </c>
      <c r="G255" s="2" t="str">
        <f>IF(A255&lt;&gt;"", SUMIF(B1:F1,"&lt;&gt;",B255:F255),"")</f>
        <v/>
      </c>
      <c r="H255" s="2" t="str">
        <f>IF(AND(A255&lt;&gt;"",G255&lt;&gt;""),ROUND(G255,0),"")</f>
        <v/>
      </c>
      <c r="I255" s="2" t="str">
        <f>IFERROR(IF(A255&lt;&gt;"",VLOOKUP(Alunos!A255,Recurso!A3:D1000,4, FALSE),""), "")</f>
        <v/>
      </c>
      <c r="J255" s="2" t="str">
        <f>IF(AND(A255&lt;&gt;"",I255&lt;&gt;""), SUMIFS(B255:I255,B1:I1,"&lt;&gt;",B2:I2,"&lt;&gt;Exame",B2:I2,"&lt;&gt;exame",B2:I2,"&lt;&gt;Nota",B2:I2,"&lt;&gt;Total"),"")</f>
        <v/>
      </c>
      <c r="K255" s="2" t="str">
        <f>IF(AND(A255&lt;&gt;"",J255&lt;&gt;""),ROUND(J255,0),"")</f>
        <v/>
      </c>
    </row>
    <row r="256" spans="2:11" x14ac:dyDescent="0.3">
      <c r="B256" s="2" t="str">
        <f>IFERROR(IF(A256&lt;&gt;"",VLOOKUP(Alunos!A256,Exame!A3:D1000,4, FALSE),""), "")</f>
        <v/>
      </c>
      <c r="C256" s="2" t="str">
        <f>IF(A256&lt;&gt;"",VLOOKUP(Alunos!A256,Agrupamentos!A3:C1000,2, FALSE),"")</f>
        <v/>
      </c>
      <c r="D256" s="2" t="str">
        <f>IFERROR(IF(A256&lt;&gt;"",VLOOKUP(Alunos!C256,'TP1'!A3:E1000,5, FALSE),""),"")</f>
        <v/>
      </c>
      <c r="E256" s="2" t="str">
        <f>IF(A256&lt;&gt;"",VLOOKUP(Alunos!A256,Agrupamentos!A3:C1000,3, FALSE),"")</f>
        <v/>
      </c>
      <c r="F256" s="2" t="str">
        <f>IFERROR(IF(A256&lt;&gt;"",VLOOKUP(Alunos!E256,'TP2'!A3:D1000,4, FALSE),""),"")</f>
        <v/>
      </c>
      <c r="G256" s="2" t="str">
        <f>IF(A256&lt;&gt;"", SUMIF(B1:F1,"&lt;&gt;",B256:F256),"")</f>
        <v/>
      </c>
      <c r="H256" s="2" t="str">
        <f>IF(AND(A256&lt;&gt;"",G256&lt;&gt;""),ROUND(G256,0),"")</f>
        <v/>
      </c>
      <c r="I256" s="2" t="str">
        <f>IFERROR(IF(A256&lt;&gt;"",VLOOKUP(Alunos!A256,Recurso!A3:D1000,4, FALSE),""), "")</f>
        <v/>
      </c>
      <c r="J256" s="2" t="str">
        <f>IF(AND(A256&lt;&gt;"",I256&lt;&gt;""), SUMIFS(B256:I256,B1:I1,"&lt;&gt;",B2:I2,"&lt;&gt;Exame",B2:I2,"&lt;&gt;exame",B2:I2,"&lt;&gt;Nota",B2:I2,"&lt;&gt;Total"),"")</f>
        <v/>
      </c>
      <c r="K256" s="2" t="str">
        <f>IF(AND(A256&lt;&gt;"",J256&lt;&gt;""),ROUND(J256,0),"")</f>
        <v/>
      </c>
    </row>
    <row r="257" spans="2:11" x14ac:dyDescent="0.3">
      <c r="B257" s="2" t="str">
        <f>IFERROR(IF(A257&lt;&gt;"",VLOOKUP(Alunos!A257,Exame!A3:D1000,4, FALSE),""), "")</f>
        <v/>
      </c>
      <c r="C257" s="2" t="str">
        <f>IF(A257&lt;&gt;"",VLOOKUP(Alunos!A257,Agrupamentos!A3:C1000,2, FALSE),"")</f>
        <v/>
      </c>
      <c r="D257" s="2" t="str">
        <f>IFERROR(IF(A257&lt;&gt;"",VLOOKUP(Alunos!C257,'TP1'!A3:E1000,5, FALSE),""),"")</f>
        <v/>
      </c>
      <c r="E257" s="2" t="str">
        <f>IF(A257&lt;&gt;"",VLOOKUP(Alunos!A257,Agrupamentos!A3:C1000,3, FALSE),"")</f>
        <v/>
      </c>
      <c r="F257" s="2" t="str">
        <f>IFERROR(IF(A257&lt;&gt;"",VLOOKUP(Alunos!E257,'TP2'!A3:D1000,4, FALSE),""),"")</f>
        <v/>
      </c>
      <c r="G257" s="2" t="str">
        <f>IF(A257&lt;&gt;"", SUMIF(B1:F1,"&lt;&gt;",B257:F257),"")</f>
        <v/>
      </c>
      <c r="H257" s="2" t="str">
        <f>IF(AND(A257&lt;&gt;"",G257&lt;&gt;""),ROUND(G257,0),"")</f>
        <v/>
      </c>
      <c r="I257" s="2" t="str">
        <f>IFERROR(IF(A257&lt;&gt;"",VLOOKUP(Alunos!A257,Recurso!A3:D1000,4, FALSE),""), "")</f>
        <v/>
      </c>
      <c r="J257" s="2" t="str">
        <f>IF(AND(A257&lt;&gt;"",I257&lt;&gt;""), SUMIFS(B257:I257,B1:I1,"&lt;&gt;",B2:I2,"&lt;&gt;Exame",B2:I2,"&lt;&gt;exame",B2:I2,"&lt;&gt;Nota",B2:I2,"&lt;&gt;Total"),"")</f>
        <v/>
      </c>
      <c r="K257" s="2" t="str">
        <f>IF(AND(A257&lt;&gt;"",J257&lt;&gt;""),ROUND(J257,0),"")</f>
        <v/>
      </c>
    </row>
    <row r="258" spans="2:11" x14ac:dyDescent="0.3">
      <c r="B258" s="2" t="str">
        <f>IFERROR(IF(A258&lt;&gt;"",VLOOKUP(Alunos!A258,Exame!A3:D1000,4, FALSE),""), "")</f>
        <v/>
      </c>
      <c r="C258" s="2" t="str">
        <f>IF(A258&lt;&gt;"",VLOOKUP(Alunos!A258,Agrupamentos!A3:C1000,2, FALSE),"")</f>
        <v/>
      </c>
      <c r="D258" s="2" t="str">
        <f>IFERROR(IF(A258&lt;&gt;"",VLOOKUP(Alunos!C258,'TP1'!A3:E1000,5, FALSE),""),"")</f>
        <v/>
      </c>
      <c r="E258" s="2" t="str">
        <f>IF(A258&lt;&gt;"",VLOOKUP(Alunos!A258,Agrupamentos!A3:C1000,3, FALSE),"")</f>
        <v/>
      </c>
      <c r="F258" s="2" t="str">
        <f>IFERROR(IF(A258&lt;&gt;"",VLOOKUP(Alunos!E258,'TP2'!A3:D1000,4, FALSE),""),"")</f>
        <v/>
      </c>
      <c r="G258" s="2" t="str">
        <f>IF(A258&lt;&gt;"", SUMIF(B1:F1,"&lt;&gt;",B258:F258),"")</f>
        <v/>
      </c>
      <c r="H258" s="2" t="str">
        <f>IF(AND(A258&lt;&gt;"",G258&lt;&gt;""),ROUND(G258,0),"")</f>
        <v/>
      </c>
      <c r="I258" s="2" t="str">
        <f>IFERROR(IF(A258&lt;&gt;"",VLOOKUP(Alunos!A258,Recurso!A3:D1000,4, FALSE),""), "")</f>
        <v/>
      </c>
      <c r="J258" s="2" t="str">
        <f>IF(AND(A258&lt;&gt;"",I258&lt;&gt;""), SUMIFS(B258:I258,B1:I1,"&lt;&gt;",B2:I2,"&lt;&gt;Exame",B2:I2,"&lt;&gt;exame",B2:I2,"&lt;&gt;Nota",B2:I2,"&lt;&gt;Total"),"")</f>
        <v/>
      </c>
      <c r="K258" s="2" t="str">
        <f>IF(AND(A258&lt;&gt;"",J258&lt;&gt;""),ROUND(J258,0),"")</f>
        <v/>
      </c>
    </row>
    <row r="259" spans="2:11" x14ac:dyDescent="0.3">
      <c r="B259" s="2" t="str">
        <f>IFERROR(IF(A259&lt;&gt;"",VLOOKUP(Alunos!A259,Exame!A3:D1000,4, FALSE),""), "")</f>
        <v/>
      </c>
      <c r="C259" s="2" t="str">
        <f>IF(A259&lt;&gt;"",VLOOKUP(Alunos!A259,Agrupamentos!A3:C1000,2, FALSE),"")</f>
        <v/>
      </c>
      <c r="D259" s="2" t="str">
        <f>IFERROR(IF(A259&lt;&gt;"",VLOOKUP(Alunos!C259,'TP1'!A3:E1000,5, FALSE),""),"")</f>
        <v/>
      </c>
      <c r="E259" s="2" t="str">
        <f>IF(A259&lt;&gt;"",VLOOKUP(Alunos!A259,Agrupamentos!A3:C1000,3, FALSE),"")</f>
        <v/>
      </c>
      <c r="F259" s="2" t="str">
        <f>IFERROR(IF(A259&lt;&gt;"",VLOOKUP(Alunos!E259,'TP2'!A3:D1000,4, FALSE),""),"")</f>
        <v/>
      </c>
      <c r="G259" s="2" t="str">
        <f>IF(A259&lt;&gt;"", SUMIF(B1:F1,"&lt;&gt;",B259:F259),"")</f>
        <v/>
      </c>
      <c r="H259" s="2" t="str">
        <f>IF(AND(A259&lt;&gt;"",G259&lt;&gt;""),ROUND(G259,0),"")</f>
        <v/>
      </c>
      <c r="I259" s="2" t="str">
        <f>IFERROR(IF(A259&lt;&gt;"",VLOOKUP(Alunos!A259,Recurso!A3:D1000,4, FALSE),""), "")</f>
        <v/>
      </c>
      <c r="J259" s="2" t="str">
        <f>IF(AND(A259&lt;&gt;"",I259&lt;&gt;""), SUMIFS(B259:I259,B1:I1,"&lt;&gt;",B2:I2,"&lt;&gt;Exame",B2:I2,"&lt;&gt;exame",B2:I2,"&lt;&gt;Nota",B2:I2,"&lt;&gt;Total"),"")</f>
        <v/>
      </c>
      <c r="K259" s="2" t="str">
        <f>IF(AND(A259&lt;&gt;"",J259&lt;&gt;""),ROUND(J259,0),"")</f>
        <v/>
      </c>
    </row>
    <row r="260" spans="2:11" x14ac:dyDescent="0.3">
      <c r="B260" s="2" t="str">
        <f>IFERROR(IF(A260&lt;&gt;"",VLOOKUP(Alunos!A260,Exame!A3:D1000,4, FALSE),""), "")</f>
        <v/>
      </c>
      <c r="C260" s="2" t="str">
        <f>IF(A260&lt;&gt;"",VLOOKUP(Alunos!A260,Agrupamentos!A3:C1000,2, FALSE),"")</f>
        <v/>
      </c>
      <c r="D260" s="2" t="str">
        <f>IFERROR(IF(A260&lt;&gt;"",VLOOKUP(Alunos!C260,'TP1'!A3:E1000,5, FALSE),""),"")</f>
        <v/>
      </c>
      <c r="E260" s="2" t="str">
        <f>IF(A260&lt;&gt;"",VLOOKUP(Alunos!A260,Agrupamentos!A3:C1000,3, FALSE),"")</f>
        <v/>
      </c>
      <c r="F260" s="2" t="str">
        <f>IFERROR(IF(A260&lt;&gt;"",VLOOKUP(Alunos!E260,'TP2'!A3:D1000,4, FALSE),""),"")</f>
        <v/>
      </c>
      <c r="G260" s="2" t="str">
        <f>IF(A260&lt;&gt;"", SUMIF(B1:F1,"&lt;&gt;",B260:F260),"")</f>
        <v/>
      </c>
      <c r="H260" s="2" t="str">
        <f>IF(AND(A260&lt;&gt;"",G260&lt;&gt;""),ROUND(G260,0),"")</f>
        <v/>
      </c>
      <c r="I260" s="2" t="str">
        <f>IFERROR(IF(A260&lt;&gt;"",VLOOKUP(Alunos!A260,Recurso!A3:D1000,4, FALSE),""), "")</f>
        <v/>
      </c>
      <c r="J260" s="2" t="str">
        <f>IF(AND(A260&lt;&gt;"",I260&lt;&gt;""), SUMIFS(B260:I260,B1:I1,"&lt;&gt;",B2:I2,"&lt;&gt;Exame",B2:I2,"&lt;&gt;exame",B2:I2,"&lt;&gt;Nota",B2:I2,"&lt;&gt;Total"),"")</f>
        <v/>
      </c>
      <c r="K260" s="2" t="str">
        <f>IF(AND(A260&lt;&gt;"",J260&lt;&gt;""),ROUND(J260,0),"")</f>
        <v/>
      </c>
    </row>
    <row r="261" spans="2:11" x14ac:dyDescent="0.3">
      <c r="B261" s="2" t="str">
        <f>IFERROR(IF(A261&lt;&gt;"",VLOOKUP(Alunos!A261,Exame!A3:D1000,4, FALSE),""), "")</f>
        <v/>
      </c>
      <c r="C261" s="2" t="str">
        <f>IF(A261&lt;&gt;"",VLOOKUP(Alunos!A261,Agrupamentos!A3:C1000,2, FALSE),"")</f>
        <v/>
      </c>
      <c r="D261" s="2" t="str">
        <f>IFERROR(IF(A261&lt;&gt;"",VLOOKUP(Alunos!C261,'TP1'!A3:E1000,5, FALSE),""),"")</f>
        <v/>
      </c>
      <c r="E261" s="2" t="str">
        <f>IF(A261&lt;&gt;"",VLOOKUP(Alunos!A261,Agrupamentos!A3:C1000,3, FALSE),"")</f>
        <v/>
      </c>
      <c r="F261" s="2" t="str">
        <f>IFERROR(IF(A261&lt;&gt;"",VLOOKUP(Alunos!E261,'TP2'!A3:D1000,4, FALSE),""),"")</f>
        <v/>
      </c>
      <c r="G261" s="2" t="str">
        <f>IF(A261&lt;&gt;"", SUMIF(B1:F1,"&lt;&gt;",B261:F261),"")</f>
        <v/>
      </c>
      <c r="H261" s="2" t="str">
        <f>IF(AND(A261&lt;&gt;"",G261&lt;&gt;""),ROUND(G261,0),"")</f>
        <v/>
      </c>
      <c r="I261" s="2" t="str">
        <f>IFERROR(IF(A261&lt;&gt;"",VLOOKUP(Alunos!A261,Recurso!A3:D1000,4, FALSE),""), "")</f>
        <v/>
      </c>
      <c r="J261" s="2" t="str">
        <f>IF(AND(A261&lt;&gt;"",I261&lt;&gt;""), SUMIFS(B261:I261,B1:I1,"&lt;&gt;",B2:I2,"&lt;&gt;Exame",B2:I2,"&lt;&gt;exame",B2:I2,"&lt;&gt;Nota",B2:I2,"&lt;&gt;Total"),"")</f>
        <v/>
      </c>
      <c r="K261" s="2" t="str">
        <f>IF(AND(A261&lt;&gt;"",J261&lt;&gt;""),ROUND(J261,0),"")</f>
        <v/>
      </c>
    </row>
    <row r="262" spans="2:11" x14ac:dyDescent="0.3">
      <c r="B262" s="2" t="str">
        <f>IFERROR(IF(A262&lt;&gt;"",VLOOKUP(Alunos!A262,Exame!A3:D1000,4, FALSE),""), "")</f>
        <v/>
      </c>
      <c r="C262" s="2" t="str">
        <f>IF(A262&lt;&gt;"",VLOOKUP(Alunos!A262,Agrupamentos!A3:C1000,2, FALSE),"")</f>
        <v/>
      </c>
      <c r="D262" s="2" t="str">
        <f>IFERROR(IF(A262&lt;&gt;"",VLOOKUP(Alunos!C262,'TP1'!A3:E1000,5, FALSE),""),"")</f>
        <v/>
      </c>
      <c r="E262" s="2" t="str">
        <f>IF(A262&lt;&gt;"",VLOOKUP(Alunos!A262,Agrupamentos!A3:C1000,3, FALSE),"")</f>
        <v/>
      </c>
      <c r="F262" s="2" t="str">
        <f>IFERROR(IF(A262&lt;&gt;"",VLOOKUP(Alunos!E262,'TP2'!A3:D1000,4, FALSE),""),"")</f>
        <v/>
      </c>
      <c r="G262" s="2" t="str">
        <f>IF(A262&lt;&gt;"", SUMIF(B1:F1,"&lt;&gt;",B262:F262),"")</f>
        <v/>
      </c>
      <c r="H262" s="2" t="str">
        <f>IF(AND(A262&lt;&gt;"",G262&lt;&gt;""),ROUND(G262,0),"")</f>
        <v/>
      </c>
      <c r="I262" s="2" t="str">
        <f>IFERROR(IF(A262&lt;&gt;"",VLOOKUP(Alunos!A262,Recurso!A3:D1000,4, FALSE),""), "")</f>
        <v/>
      </c>
      <c r="J262" s="2" t="str">
        <f>IF(AND(A262&lt;&gt;"",I262&lt;&gt;""), SUMIFS(B262:I262,B1:I1,"&lt;&gt;",B2:I2,"&lt;&gt;Exame",B2:I2,"&lt;&gt;exame",B2:I2,"&lt;&gt;Nota",B2:I2,"&lt;&gt;Total"),"")</f>
        <v/>
      </c>
      <c r="K262" s="2" t="str">
        <f>IF(AND(A262&lt;&gt;"",J262&lt;&gt;""),ROUND(J262,0),"")</f>
        <v/>
      </c>
    </row>
    <row r="263" spans="2:11" x14ac:dyDescent="0.3">
      <c r="B263" s="2" t="str">
        <f>IFERROR(IF(A263&lt;&gt;"",VLOOKUP(Alunos!A263,Exame!A3:D1000,4, FALSE),""), "")</f>
        <v/>
      </c>
      <c r="C263" s="2" t="str">
        <f>IF(A263&lt;&gt;"",VLOOKUP(Alunos!A263,Agrupamentos!A3:C1000,2, FALSE),"")</f>
        <v/>
      </c>
      <c r="D263" s="2" t="str">
        <f>IFERROR(IF(A263&lt;&gt;"",VLOOKUP(Alunos!C263,'TP1'!A3:E1000,5, FALSE),""),"")</f>
        <v/>
      </c>
      <c r="E263" s="2" t="str">
        <f>IF(A263&lt;&gt;"",VLOOKUP(Alunos!A263,Agrupamentos!A3:C1000,3, FALSE),"")</f>
        <v/>
      </c>
      <c r="F263" s="2" t="str">
        <f>IFERROR(IF(A263&lt;&gt;"",VLOOKUP(Alunos!E263,'TP2'!A3:D1000,4, FALSE),""),"")</f>
        <v/>
      </c>
      <c r="G263" s="2" t="str">
        <f>IF(A263&lt;&gt;"", SUMIF(B1:F1,"&lt;&gt;",B263:F263),"")</f>
        <v/>
      </c>
      <c r="H263" s="2" t="str">
        <f>IF(AND(A263&lt;&gt;"",G263&lt;&gt;""),ROUND(G263,0),"")</f>
        <v/>
      </c>
      <c r="I263" s="2" t="str">
        <f>IFERROR(IF(A263&lt;&gt;"",VLOOKUP(Alunos!A263,Recurso!A3:D1000,4, FALSE),""), "")</f>
        <v/>
      </c>
      <c r="J263" s="2" t="str">
        <f>IF(AND(A263&lt;&gt;"",I263&lt;&gt;""), SUMIFS(B263:I263,B1:I1,"&lt;&gt;",B2:I2,"&lt;&gt;Exame",B2:I2,"&lt;&gt;exame",B2:I2,"&lt;&gt;Nota",B2:I2,"&lt;&gt;Total"),"")</f>
        <v/>
      </c>
      <c r="K263" s="2" t="str">
        <f>IF(AND(A263&lt;&gt;"",J263&lt;&gt;""),ROUND(J263,0),"")</f>
        <v/>
      </c>
    </row>
    <row r="264" spans="2:11" x14ac:dyDescent="0.3">
      <c r="B264" s="2" t="str">
        <f>IFERROR(IF(A264&lt;&gt;"",VLOOKUP(Alunos!A264,Exame!A3:D1000,4, FALSE),""), "")</f>
        <v/>
      </c>
      <c r="C264" s="2" t="str">
        <f>IF(A264&lt;&gt;"",VLOOKUP(Alunos!A264,Agrupamentos!A3:C1000,2, FALSE),"")</f>
        <v/>
      </c>
      <c r="D264" s="2" t="str">
        <f>IFERROR(IF(A264&lt;&gt;"",VLOOKUP(Alunos!C264,'TP1'!A3:E1000,5, FALSE),""),"")</f>
        <v/>
      </c>
      <c r="E264" s="2" t="str">
        <f>IF(A264&lt;&gt;"",VLOOKUP(Alunos!A264,Agrupamentos!A3:C1000,3, FALSE),"")</f>
        <v/>
      </c>
      <c r="F264" s="2" t="str">
        <f>IFERROR(IF(A264&lt;&gt;"",VLOOKUP(Alunos!E264,'TP2'!A3:D1000,4, FALSE),""),"")</f>
        <v/>
      </c>
      <c r="G264" s="2" t="str">
        <f>IF(A264&lt;&gt;"", SUMIF(B1:F1,"&lt;&gt;",B264:F264),"")</f>
        <v/>
      </c>
      <c r="H264" s="2" t="str">
        <f>IF(AND(A264&lt;&gt;"",G264&lt;&gt;""),ROUND(G264,0),"")</f>
        <v/>
      </c>
      <c r="I264" s="2" t="str">
        <f>IFERROR(IF(A264&lt;&gt;"",VLOOKUP(Alunos!A264,Recurso!A3:D1000,4, FALSE),""), "")</f>
        <v/>
      </c>
      <c r="J264" s="2" t="str">
        <f>IF(AND(A264&lt;&gt;"",I264&lt;&gt;""), SUMIFS(B264:I264,B1:I1,"&lt;&gt;",B2:I2,"&lt;&gt;Exame",B2:I2,"&lt;&gt;exame",B2:I2,"&lt;&gt;Nota",B2:I2,"&lt;&gt;Total"),"")</f>
        <v/>
      </c>
      <c r="K264" s="2" t="str">
        <f>IF(AND(A264&lt;&gt;"",J264&lt;&gt;""),ROUND(J264,0),"")</f>
        <v/>
      </c>
    </row>
    <row r="265" spans="2:11" x14ac:dyDescent="0.3">
      <c r="B265" s="2" t="str">
        <f>IFERROR(IF(A265&lt;&gt;"",VLOOKUP(Alunos!A265,Exame!A3:D1000,4, FALSE),""), "")</f>
        <v/>
      </c>
      <c r="C265" s="2" t="str">
        <f>IF(A265&lt;&gt;"",VLOOKUP(Alunos!A265,Agrupamentos!A3:C1000,2, FALSE),"")</f>
        <v/>
      </c>
      <c r="D265" s="2" t="str">
        <f>IFERROR(IF(A265&lt;&gt;"",VLOOKUP(Alunos!C265,'TP1'!A3:E1000,5, FALSE),""),"")</f>
        <v/>
      </c>
      <c r="E265" s="2" t="str">
        <f>IF(A265&lt;&gt;"",VLOOKUP(Alunos!A265,Agrupamentos!A3:C1000,3, FALSE),"")</f>
        <v/>
      </c>
      <c r="F265" s="2" t="str">
        <f>IFERROR(IF(A265&lt;&gt;"",VLOOKUP(Alunos!E265,'TP2'!A3:D1000,4, FALSE),""),"")</f>
        <v/>
      </c>
      <c r="G265" s="2" t="str">
        <f>IF(A265&lt;&gt;"", SUMIF(B1:F1,"&lt;&gt;",B265:F265),"")</f>
        <v/>
      </c>
      <c r="H265" s="2" t="str">
        <f>IF(AND(A265&lt;&gt;"",G265&lt;&gt;""),ROUND(G265,0),"")</f>
        <v/>
      </c>
      <c r="I265" s="2" t="str">
        <f>IFERROR(IF(A265&lt;&gt;"",VLOOKUP(Alunos!A265,Recurso!A3:D1000,4, FALSE),""), "")</f>
        <v/>
      </c>
      <c r="J265" s="2" t="str">
        <f>IF(AND(A265&lt;&gt;"",I265&lt;&gt;""), SUMIFS(B265:I265,B1:I1,"&lt;&gt;",B2:I2,"&lt;&gt;Exame",B2:I2,"&lt;&gt;exame",B2:I2,"&lt;&gt;Nota",B2:I2,"&lt;&gt;Total"),"")</f>
        <v/>
      </c>
      <c r="K265" s="2" t="str">
        <f>IF(AND(A265&lt;&gt;"",J265&lt;&gt;""),ROUND(J265,0),"")</f>
        <v/>
      </c>
    </row>
    <row r="266" spans="2:11" x14ac:dyDescent="0.3">
      <c r="B266" s="2" t="str">
        <f>IFERROR(IF(A266&lt;&gt;"",VLOOKUP(Alunos!A266,Exame!A3:D1000,4, FALSE),""), "")</f>
        <v/>
      </c>
      <c r="C266" s="2" t="str">
        <f>IF(A266&lt;&gt;"",VLOOKUP(Alunos!A266,Agrupamentos!A3:C1000,2, FALSE),"")</f>
        <v/>
      </c>
      <c r="D266" s="2" t="str">
        <f>IFERROR(IF(A266&lt;&gt;"",VLOOKUP(Alunos!C266,'TP1'!A3:E1000,5, FALSE),""),"")</f>
        <v/>
      </c>
      <c r="E266" s="2" t="str">
        <f>IF(A266&lt;&gt;"",VLOOKUP(Alunos!A266,Agrupamentos!A3:C1000,3, FALSE),"")</f>
        <v/>
      </c>
      <c r="F266" s="2" t="str">
        <f>IFERROR(IF(A266&lt;&gt;"",VLOOKUP(Alunos!E266,'TP2'!A3:D1000,4, FALSE),""),"")</f>
        <v/>
      </c>
      <c r="G266" s="2" t="str">
        <f>IF(A266&lt;&gt;"", SUMIF(B1:F1,"&lt;&gt;",B266:F266),"")</f>
        <v/>
      </c>
      <c r="H266" s="2" t="str">
        <f>IF(AND(A266&lt;&gt;"",G266&lt;&gt;""),ROUND(G266,0),"")</f>
        <v/>
      </c>
      <c r="I266" s="2" t="str">
        <f>IFERROR(IF(A266&lt;&gt;"",VLOOKUP(Alunos!A266,Recurso!A3:D1000,4, FALSE),""), "")</f>
        <v/>
      </c>
      <c r="J266" s="2" t="str">
        <f>IF(AND(A266&lt;&gt;"",I266&lt;&gt;""), SUMIFS(B266:I266,B1:I1,"&lt;&gt;",B2:I2,"&lt;&gt;Exame",B2:I2,"&lt;&gt;exame",B2:I2,"&lt;&gt;Nota",B2:I2,"&lt;&gt;Total"),"")</f>
        <v/>
      </c>
      <c r="K266" s="2" t="str">
        <f>IF(AND(A266&lt;&gt;"",J266&lt;&gt;""),ROUND(J266,0),"")</f>
        <v/>
      </c>
    </row>
    <row r="267" spans="2:11" x14ac:dyDescent="0.3">
      <c r="B267" s="2" t="str">
        <f>IFERROR(IF(A267&lt;&gt;"",VLOOKUP(Alunos!A267,Exame!A3:D1000,4, FALSE),""), "")</f>
        <v/>
      </c>
      <c r="C267" s="2" t="str">
        <f>IF(A267&lt;&gt;"",VLOOKUP(Alunos!A267,Agrupamentos!A3:C1000,2, FALSE),"")</f>
        <v/>
      </c>
      <c r="D267" s="2" t="str">
        <f>IFERROR(IF(A267&lt;&gt;"",VLOOKUP(Alunos!C267,'TP1'!A3:E1000,5, FALSE),""),"")</f>
        <v/>
      </c>
      <c r="E267" s="2" t="str">
        <f>IF(A267&lt;&gt;"",VLOOKUP(Alunos!A267,Agrupamentos!A3:C1000,3, FALSE),"")</f>
        <v/>
      </c>
      <c r="F267" s="2" t="str">
        <f>IFERROR(IF(A267&lt;&gt;"",VLOOKUP(Alunos!E267,'TP2'!A3:D1000,4, FALSE),""),"")</f>
        <v/>
      </c>
      <c r="G267" s="2" t="str">
        <f>IF(A267&lt;&gt;"", SUMIF(B1:F1,"&lt;&gt;",B267:F267),"")</f>
        <v/>
      </c>
      <c r="H267" s="2" t="str">
        <f>IF(AND(A267&lt;&gt;"",G267&lt;&gt;""),ROUND(G267,0),"")</f>
        <v/>
      </c>
      <c r="I267" s="2" t="str">
        <f>IFERROR(IF(A267&lt;&gt;"",VLOOKUP(Alunos!A267,Recurso!A3:D1000,4, FALSE),""), "")</f>
        <v/>
      </c>
      <c r="J267" s="2" t="str">
        <f>IF(AND(A267&lt;&gt;"",I267&lt;&gt;""), SUMIFS(B267:I267,B1:I1,"&lt;&gt;",B2:I2,"&lt;&gt;Exame",B2:I2,"&lt;&gt;exame",B2:I2,"&lt;&gt;Nota",B2:I2,"&lt;&gt;Total"),"")</f>
        <v/>
      </c>
      <c r="K267" s="2" t="str">
        <f>IF(AND(A267&lt;&gt;"",J267&lt;&gt;""),ROUND(J267,0),"")</f>
        <v/>
      </c>
    </row>
    <row r="268" spans="2:11" x14ac:dyDescent="0.3">
      <c r="B268" s="2" t="str">
        <f>IFERROR(IF(A268&lt;&gt;"",VLOOKUP(Alunos!A268,Exame!A3:D1000,4, FALSE),""), "")</f>
        <v/>
      </c>
      <c r="C268" s="2" t="str">
        <f>IF(A268&lt;&gt;"",VLOOKUP(Alunos!A268,Agrupamentos!A3:C1000,2, FALSE),"")</f>
        <v/>
      </c>
      <c r="D268" s="2" t="str">
        <f>IFERROR(IF(A268&lt;&gt;"",VLOOKUP(Alunos!C268,'TP1'!A3:E1000,5, FALSE),""),"")</f>
        <v/>
      </c>
      <c r="E268" s="2" t="str">
        <f>IF(A268&lt;&gt;"",VLOOKUP(Alunos!A268,Agrupamentos!A3:C1000,3, FALSE),"")</f>
        <v/>
      </c>
      <c r="F268" s="2" t="str">
        <f>IFERROR(IF(A268&lt;&gt;"",VLOOKUP(Alunos!E268,'TP2'!A3:D1000,4, FALSE),""),"")</f>
        <v/>
      </c>
      <c r="G268" s="2" t="str">
        <f>IF(A268&lt;&gt;"", SUMIF(B1:F1,"&lt;&gt;",B268:F268),"")</f>
        <v/>
      </c>
      <c r="H268" s="2" t="str">
        <f>IF(AND(A268&lt;&gt;"",G268&lt;&gt;""),ROUND(G268,0),"")</f>
        <v/>
      </c>
      <c r="I268" s="2" t="str">
        <f>IFERROR(IF(A268&lt;&gt;"",VLOOKUP(Alunos!A268,Recurso!A3:D1000,4, FALSE),""), "")</f>
        <v/>
      </c>
      <c r="J268" s="2" t="str">
        <f>IF(AND(A268&lt;&gt;"",I268&lt;&gt;""), SUMIFS(B268:I268,B1:I1,"&lt;&gt;",B2:I2,"&lt;&gt;Exame",B2:I2,"&lt;&gt;exame",B2:I2,"&lt;&gt;Nota",B2:I2,"&lt;&gt;Total"),"")</f>
        <v/>
      </c>
      <c r="K268" s="2" t="str">
        <f>IF(AND(A268&lt;&gt;"",J268&lt;&gt;""),ROUND(J268,0),"")</f>
        <v/>
      </c>
    </row>
    <row r="269" spans="2:11" x14ac:dyDescent="0.3">
      <c r="B269" s="2" t="str">
        <f>IFERROR(IF(A269&lt;&gt;"",VLOOKUP(Alunos!A269,Exame!A3:D1000,4, FALSE),""), "")</f>
        <v/>
      </c>
      <c r="C269" s="2" t="str">
        <f>IF(A269&lt;&gt;"",VLOOKUP(Alunos!A269,Agrupamentos!A3:C1000,2, FALSE),"")</f>
        <v/>
      </c>
      <c r="D269" s="2" t="str">
        <f>IFERROR(IF(A269&lt;&gt;"",VLOOKUP(Alunos!C269,'TP1'!A3:E1000,5, FALSE),""),"")</f>
        <v/>
      </c>
      <c r="E269" s="2" t="str">
        <f>IF(A269&lt;&gt;"",VLOOKUP(Alunos!A269,Agrupamentos!A3:C1000,3, FALSE),"")</f>
        <v/>
      </c>
      <c r="F269" s="2" t="str">
        <f>IFERROR(IF(A269&lt;&gt;"",VLOOKUP(Alunos!E269,'TP2'!A3:D1000,4, FALSE),""),"")</f>
        <v/>
      </c>
      <c r="G269" s="2" t="str">
        <f>IF(A269&lt;&gt;"", SUMIF(B1:F1,"&lt;&gt;",B269:F269),"")</f>
        <v/>
      </c>
      <c r="H269" s="2" t="str">
        <f>IF(AND(A269&lt;&gt;"",G269&lt;&gt;""),ROUND(G269,0),"")</f>
        <v/>
      </c>
      <c r="I269" s="2" t="str">
        <f>IFERROR(IF(A269&lt;&gt;"",VLOOKUP(Alunos!A269,Recurso!A3:D1000,4, FALSE),""), "")</f>
        <v/>
      </c>
      <c r="J269" s="2" t="str">
        <f>IF(AND(A269&lt;&gt;"",I269&lt;&gt;""), SUMIFS(B269:I269,B1:I1,"&lt;&gt;",B2:I2,"&lt;&gt;Exame",B2:I2,"&lt;&gt;exame",B2:I2,"&lt;&gt;Nota",B2:I2,"&lt;&gt;Total"),"")</f>
        <v/>
      </c>
      <c r="K269" s="2" t="str">
        <f>IF(AND(A269&lt;&gt;"",J269&lt;&gt;""),ROUND(J269,0),"")</f>
        <v/>
      </c>
    </row>
    <row r="270" spans="2:11" x14ac:dyDescent="0.3">
      <c r="B270" s="2" t="str">
        <f>IFERROR(IF(A270&lt;&gt;"",VLOOKUP(Alunos!A270,Exame!A3:D1000,4, FALSE),""), "")</f>
        <v/>
      </c>
      <c r="C270" s="2" t="str">
        <f>IF(A270&lt;&gt;"",VLOOKUP(Alunos!A270,Agrupamentos!A3:C1000,2, FALSE),"")</f>
        <v/>
      </c>
      <c r="D270" s="2" t="str">
        <f>IFERROR(IF(A270&lt;&gt;"",VLOOKUP(Alunos!C270,'TP1'!A3:E1000,5, FALSE),""),"")</f>
        <v/>
      </c>
      <c r="E270" s="2" t="str">
        <f>IF(A270&lt;&gt;"",VLOOKUP(Alunos!A270,Agrupamentos!A3:C1000,3, FALSE),"")</f>
        <v/>
      </c>
      <c r="F270" s="2" t="str">
        <f>IFERROR(IF(A270&lt;&gt;"",VLOOKUP(Alunos!E270,'TP2'!A3:D1000,4, FALSE),""),"")</f>
        <v/>
      </c>
      <c r="G270" s="2" t="str">
        <f>IF(A270&lt;&gt;"", SUMIF(B1:F1,"&lt;&gt;",B270:F270),"")</f>
        <v/>
      </c>
      <c r="H270" s="2" t="str">
        <f>IF(AND(A270&lt;&gt;"",G270&lt;&gt;""),ROUND(G270,0),"")</f>
        <v/>
      </c>
      <c r="I270" s="2" t="str">
        <f>IFERROR(IF(A270&lt;&gt;"",VLOOKUP(Alunos!A270,Recurso!A3:D1000,4, FALSE),""), "")</f>
        <v/>
      </c>
      <c r="J270" s="2" t="str">
        <f>IF(AND(A270&lt;&gt;"",I270&lt;&gt;""), SUMIFS(B270:I270,B1:I1,"&lt;&gt;",B2:I2,"&lt;&gt;Exame",B2:I2,"&lt;&gt;exame",B2:I2,"&lt;&gt;Nota",B2:I2,"&lt;&gt;Total"),"")</f>
        <v/>
      </c>
      <c r="K270" s="2" t="str">
        <f>IF(AND(A270&lt;&gt;"",J270&lt;&gt;""),ROUND(J270,0),"")</f>
        <v/>
      </c>
    </row>
    <row r="271" spans="2:11" x14ac:dyDescent="0.3">
      <c r="B271" s="2" t="str">
        <f>IFERROR(IF(A271&lt;&gt;"",VLOOKUP(Alunos!A271,Exame!A3:D1000,4, FALSE),""), "")</f>
        <v/>
      </c>
      <c r="C271" s="2" t="str">
        <f>IF(A271&lt;&gt;"",VLOOKUP(Alunos!A271,Agrupamentos!A3:C1000,2, FALSE),"")</f>
        <v/>
      </c>
      <c r="D271" s="2" t="str">
        <f>IFERROR(IF(A271&lt;&gt;"",VLOOKUP(Alunos!C271,'TP1'!A3:E1000,5, FALSE),""),"")</f>
        <v/>
      </c>
      <c r="E271" s="2" t="str">
        <f>IF(A271&lt;&gt;"",VLOOKUP(Alunos!A271,Agrupamentos!A3:C1000,3, FALSE),"")</f>
        <v/>
      </c>
      <c r="F271" s="2" t="str">
        <f>IFERROR(IF(A271&lt;&gt;"",VLOOKUP(Alunos!E271,'TP2'!A3:D1000,4, FALSE),""),"")</f>
        <v/>
      </c>
      <c r="G271" s="2" t="str">
        <f>IF(A271&lt;&gt;"", SUMIF(B1:F1,"&lt;&gt;",B271:F271),"")</f>
        <v/>
      </c>
      <c r="H271" s="2" t="str">
        <f>IF(AND(A271&lt;&gt;"",G271&lt;&gt;""),ROUND(G271,0),"")</f>
        <v/>
      </c>
      <c r="I271" s="2" t="str">
        <f>IFERROR(IF(A271&lt;&gt;"",VLOOKUP(Alunos!A271,Recurso!A3:D1000,4, FALSE),""), "")</f>
        <v/>
      </c>
      <c r="J271" s="2" t="str">
        <f>IF(AND(A271&lt;&gt;"",I271&lt;&gt;""), SUMIFS(B271:I271,B1:I1,"&lt;&gt;",B2:I2,"&lt;&gt;Exame",B2:I2,"&lt;&gt;exame",B2:I2,"&lt;&gt;Nota",B2:I2,"&lt;&gt;Total"),"")</f>
        <v/>
      </c>
      <c r="K271" s="2" t="str">
        <f>IF(AND(A271&lt;&gt;"",J271&lt;&gt;""),ROUND(J271,0),"")</f>
        <v/>
      </c>
    </row>
    <row r="272" spans="2:11" x14ac:dyDescent="0.3">
      <c r="B272" s="2" t="str">
        <f>IFERROR(IF(A272&lt;&gt;"",VLOOKUP(Alunos!A272,Exame!A3:D1000,4, FALSE),""), "")</f>
        <v/>
      </c>
      <c r="C272" s="2" t="str">
        <f>IF(A272&lt;&gt;"",VLOOKUP(Alunos!A272,Agrupamentos!A3:C1000,2, FALSE),"")</f>
        <v/>
      </c>
      <c r="D272" s="2" t="str">
        <f>IFERROR(IF(A272&lt;&gt;"",VLOOKUP(Alunos!C272,'TP1'!A3:E1000,5, FALSE),""),"")</f>
        <v/>
      </c>
      <c r="E272" s="2" t="str">
        <f>IF(A272&lt;&gt;"",VLOOKUP(Alunos!A272,Agrupamentos!A3:C1000,3, FALSE),"")</f>
        <v/>
      </c>
      <c r="F272" s="2" t="str">
        <f>IFERROR(IF(A272&lt;&gt;"",VLOOKUP(Alunos!E272,'TP2'!A3:D1000,4, FALSE),""),"")</f>
        <v/>
      </c>
      <c r="G272" s="2" t="str">
        <f>IF(A272&lt;&gt;"", SUMIF(B1:F1,"&lt;&gt;",B272:F272),"")</f>
        <v/>
      </c>
      <c r="H272" s="2" t="str">
        <f>IF(AND(A272&lt;&gt;"",G272&lt;&gt;""),ROUND(G272,0),"")</f>
        <v/>
      </c>
      <c r="I272" s="2" t="str">
        <f>IFERROR(IF(A272&lt;&gt;"",VLOOKUP(Alunos!A272,Recurso!A3:D1000,4, FALSE),""), "")</f>
        <v/>
      </c>
      <c r="J272" s="2" t="str">
        <f>IF(AND(A272&lt;&gt;"",I272&lt;&gt;""), SUMIFS(B272:I272,B1:I1,"&lt;&gt;",B2:I2,"&lt;&gt;Exame",B2:I2,"&lt;&gt;exame",B2:I2,"&lt;&gt;Nota",B2:I2,"&lt;&gt;Total"),"")</f>
        <v/>
      </c>
      <c r="K272" s="2" t="str">
        <f>IF(AND(A272&lt;&gt;"",J272&lt;&gt;""),ROUND(J272,0),"")</f>
        <v/>
      </c>
    </row>
    <row r="273" spans="2:11" x14ac:dyDescent="0.3">
      <c r="B273" s="2" t="str">
        <f>IFERROR(IF(A273&lt;&gt;"",VLOOKUP(Alunos!A273,Exame!A3:D1000,4, FALSE),""), "")</f>
        <v/>
      </c>
      <c r="C273" s="2" t="str">
        <f>IF(A273&lt;&gt;"",VLOOKUP(Alunos!A273,Agrupamentos!A3:C1000,2, FALSE),"")</f>
        <v/>
      </c>
      <c r="D273" s="2" t="str">
        <f>IFERROR(IF(A273&lt;&gt;"",VLOOKUP(Alunos!C273,'TP1'!A3:E1000,5, FALSE),""),"")</f>
        <v/>
      </c>
      <c r="E273" s="2" t="str">
        <f>IF(A273&lt;&gt;"",VLOOKUP(Alunos!A273,Agrupamentos!A3:C1000,3, FALSE),"")</f>
        <v/>
      </c>
      <c r="F273" s="2" t="str">
        <f>IFERROR(IF(A273&lt;&gt;"",VLOOKUP(Alunos!E273,'TP2'!A3:D1000,4, FALSE),""),"")</f>
        <v/>
      </c>
      <c r="G273" s="2" t="str">
        <f>IF(A273&lt;&gt;"", SUMIF(B1:F1,"&lt;&gt;",B273:F273),"")</f>
        <v/>
      </c>
      <c r="H273" s="2" t="str">
        <f>IF(AND(A273&lt;&gt;"",G273&lt;&gt;""),ROUND(G273,0),"")</f>
        <v/>
      </c>
      <c r="I273" s="2" t="str">
        <f>IFERROR(IF(A273&lt;&gt;"",VLOOKUP(Alunos!A273,Recurso!A3:D1000,4, FALSE),""), "")</f>
        <v/>
      </c>
      <c r="J273" s="2" t="str">
        <f>IF(AND(A273&lt;&gt;"",I273&lt;&gt;""), SUMIFS(B273:I273,B1:I1,"&lt;&gt;",B2:I2,"&lt;&gt;Exame",B2:I2,"&lt;&gt;exame",B2:I2,"&lt;&gt;Nota",B2:I2,"&lt;&gt;Total"),"")</f>
        <v/>
      </c>
      <c r="K273" s="2" t="str">
        <f>IF(AND(A273&lt;&gt;"",J273&lt;&gt;""),ROUND(J273,0),"")</f>
        <v/>
      </c>
    </row>
    <row r="274" spans="2:11" x14ac:dyDescent="0.3">
      <c r="B274" s="2" t="str">
        <f>IFERROR(IF(A274&lt;&gt;"",VLOOKUP(Alunos!A274,Exame!A3:D1000,4, FALSE),""), "")</f>
        <v/>
      </c>
      <c r="C274" s="2" t="str">
        <f>IF(A274&lt;&gt;"",VLOOKUP(Alunos!A274,Agrupamentos!A3:C1000,2, FALSE),"")</f>
        <v/>
      </c>
      <c r="D274" s="2" t="str">
        <f>IFERROR(IF(A274&lt;&gt;"",VLOOKUP(Alunos!C274,'TP1'!A3:E1000,5, FALSE),""),"")</f>
        <v/>
      </c>
      <c r="E274" s="2" t="str">
        <f>IF(A274&lt;&gt;"",VLOOKUP(Alunos!A274,Agrupamentos!A3:C1000,3, FALSE),"")</f>
        <v/>
      </c>
      <c r="F274" s="2" t="str">
        <f>IFERROR(IF(A274&lt;&gt;"",VLOOKUP(Alunos!E274,'TP2'!A3:D1000,4, FALSE),""),"")</f>
        <v/>
      </c>
      <c r="G274" s="2" t="str">
        <f>IF(A274&lt;&gt;"", SUMIF(B1:F1,"&lt;&gt;",B274:F274),"")</f>
        <v/>
      </c>
      <c r="H274" s="2" t="str">
        <f>IF(AND(A274&lt;&gt;"",G274&lt;&gt;""),ROUND(G274,0),"")</f>
        <v/>
      </c>
      <c r="I274" s="2" t="str">
        <f>IFERROR(IF(A274&lt;&gt;"",VLOOKUP(Alunos!A274,Recurso!A3:D1000,4, FALSE),""), "")</f>
        <v/>
      </c>
      <c r="J274" s="2" t="str">
        <f>IF(AND(A274&lt;&gt;"",I274&lt;&gt;""), SUMIFS(B274:I274,B1:I1,"&lt;&gt;",B2:I2,"&lt;&gt;Exame",B2:I2,"&lt;&gt;exame",B2:I2,"&lt;&gt;Nota",B2:I2,"&lt;&gt;Total"),"")</f>
        <v/>
      </c>
      <c r="K274" s="2" t="str">
        <f>IF(AND(A274&lt;&gt;"",J274&lt;&gt;""),ROUND(J274,0),"")</f>
        <v/>
      </c>
    </row>
    <row r="275" spans="2:11" x14ac:dyDescent="0.3">
      <c r="B275" s="2" t="str">
        <f>IFERROR(IF(A275&lt;&gt;"",VLOOKUP(Alunos!A275,Exame!A3:D1000,4, FALSE),""), "")</f>
        <v/>
      </c>
      <c r="C275" s="2" t="str">
        <f>IF(A275&lt;&gt;"",VLOOKUP(Alunos!A275,Agrupamentos!A3:C1000,2, FALSE),"")</f>
        <v/>
      </c>
      <c r="D275" s="2" t="str">
        <f>IFERROR(IF(A275&lt;&gt;"",VLOOKUP(Alunos!C275,'TP1'!A3:E1000,5, FALSE),""),"")</f>
        <v/>
      </c>
      <c r="E275" s="2" t="str">
        <f>IF(A275&lt;&gt;"",VLOOKUP(Alunos!A275,Agrupamentos!A3:C1000,3, FALSE),"")</f>
        <v/>
      </c>
      <c r="F275" s="2" t="str">
        <f>IFERROR(IF(A275&lt;&gt;"",VLOOKUP(Alunos!E275,'TP2'!A3:D1000,4, FALSE),""),"")</f>
        <v/>
      </c>
      <c r="G275" s="2" t="str">
        <f>IF(A275&lt;&gt;"", SUMIF(B1:F1,"&lt;&gt;",B275:F275),"")</f>
        <v/>
      </c>
      <c r="H275" s="2" t="str">
        <f>IF(AND(A275&lt;&gt;"",G275&lt;&gt;""),ROUND(G275,0),"")</f>
        <v/>
      </c>
      <c r="I275" s="2" t="str">
        <f>IFERROR(IF(A275&lt;&gt;"",VLOOKUP(Alunos!A275,Recurso!A3:D1000,4, FALSE),""), "")</f>
        <v/>
      </c>
      <c r="J275" s="2" t="str">
        <f>IF(AND(A275&lt;&gt;"",I275&lt;&gt;""), SUMIFS(B275:I275,B1:I1,"&lt;&gt;",B2:I2,"&lt;&gt;Exame",B2:I2,"&lt;&gt;exame",B2:I2,"&lt;&gt;Nota",B2:I2,"&lt;&gt;Total"),"")</f>
        <v/>
      </c>
      <c r="K275" s="2" t="str">
        <f>IF(AND(A275&lt;&gt;"",J275&lt;&gt;""),ROUND(J275,0),"")</f>
        <v/>
      </c>
    </row>
    <row r="276" spans="2:11" x14ac:dyDescent="0.3">
      <c r="B276" s="2" t="str">
        <f>IFERROR(IF(A276&lt;&gt;"",VLOOKUP(Alunos!A276,Exame!A3:D1000,4, FALSE),""), "")</f>
        <v/>
      </c>
      <c r="C276" s="2" t="str">
        <f>IF(A276&lt;&gt;"",VLOOKUP(Alunos!A276,Agrupamentos!A3:C1000,2, FALSE),"")</f>
        <v/>
      </c>
      <c r="D276" s="2" t="str">
        <f>IFERROR(IF(A276&lt;&gt;"",VLOOKUP(Alunos!C276,'TP1'!A3:E1000,5, FALSE),""),"")</f>
        <v/>
      </c>
      <c r="E276" s="2" t="str">
        <f>IF(A276&lt;&gt;"",VLOOKUP(Alunos!A276,Agrupamentos!A3:C1000,3, FALSE),"")</f>
        <v/>
      </c>
      <c r="F276" s="2" t="str">
        <f>IFERROR(IF(A276&lt;&gt;"",VLOOKUP(Alunos!E276,'TP2'!A3:D1000,4, FALSE),""),"")</f>
        <v/>
      </c>
      <c r="G276" s="2" t="str">
        <f>IF(A276&lt;&gt;"", SUMIF(B1:F1,"&lt;&gt;",B276:F276),"")</f>
        <v/>
      </c>
      <c r="H276" s="2" t="str">
        <f>IF(AND(A276&lt;&gt;"",G276&lt;&gt;""),ROUND(G276,0),"")</f>
        <v/>
      </c>
      <c r="I276" s="2" t="str">
        <f>IFERROR(IF(A276&lt;&gt;"",VLOOKUP(Alunos!A276,Recurso!A3:D1000,4, FALSE),""), "")</f>
        <v/>
      </c>
      <c r="J276" s="2" t="str">
        <f>IF(AND(A276&lt;&gt;"",I276&lt;&gt;""), SUMIFS(B276:I276,B1:I1,"&lt;&gt;",B2:I2,"&lt;&gt;Exame",B2:I2,"&lt;&gt;exame",B2:I2,"&lt;&gt;Nota",B2:I2,"&lt;&gt;Total"),"")</f>
        <v/>
      </c>
      <c r="K276" s="2" t="str">
        <f>IF(AND(A276&lt;&gt;"",J276&lt;&gt;""),ROUND(J276,0),"")</f>
        <v/>
      </c>
    </row>
    <row r="277" spans="2:11" x14ac:dyDescent="0.3">
      <c r="B277" s="2" t="str">
        <f>IFERROR(IF(A277&lt;&gt;"",VLOOKUP(Alunos!A277,Exame!A3:D1000,4, FALSE),""), "")</f>
        <v/>
      </c>
      <c r="C277" s="2" t="str">
        <f>IF(A277&lt;&gt;"",VLOOKUP(Alunos!A277,Agrupamentos!A3:C1000,2, FALSE),"")</f>
        <v/>
      </c>
      <c r="D277" s="2" t="str">
        <f>IFERROR(IF(A277&lt;&gt;"",VLOOKUP(Alunos!C277,'TP1'!A3:E1000,5, FALSE),""),"")</f>
        <v/>
      </c>
      <c r="E277" s="2" t="str">
        <f>IF(A277&lt;&gt;"",VLOOKUP(Alunos!A277,Agrupamentos!A3:C1000,3, FALSE),"")</f>
        <v/>
      </c>
      <c r="F277" s="2" t="str">
        <f>IFERROR(IF(A277&lt;&gt;"",VLOOKUP(Alunos!E277,'TP2'!A3:D1000,4, FALSE),""),"")</f>
        <v/>
      </c>
      <c r="G277" s="2" t="str">
        <f>IF(A277&lt;&gt;"", SUMIF(B1:F1,"&lt;&gt;",B277:F277),"")</f>
        <v/>
      </c>
      <c r="H277" s="2" t="str">
        <f>IF(AND(A277&lt;&gt;"",G277&lt;&gt;""),ROUND(G277,0),"")</f>
        <v/>
      </c>
      <c r="I277" s="2" t="str">
        <f>IFERROR(IF(A277&lt;&gt;"",VLOOKUP(Alunos!A277,Recurso!A3:D1000,4, FALSE),""), "")</f>
        <v/>
      </c>
      <c r="J277" s="2" t="str">
        <f>IF(AND(A277&lt;&gt;"",I277&lt;&gt;""), SUMIFS(B277:I277,B1:I1,"&lt;&gt;",B2:I2,"&lt;&gt;Exame",B2:I2,"&lt;&gt;exame",B2:I2,"&lt;&gt;Nota",B2:I2,"&lt;&gt;Total"),"")</f>
        <v/>
      </c>
      <c r="K277" s="2" t="str">
        <f>IF(AND(A277&lt;&gt;"",J277&lt;&gt;""),ROUND(J277,0),"")</f>
        <v/>
      </c>
    </row>
    <row r="278" spans="2:11" x14ac:dyDescent="0.3">
      <c r="B278" s="2" t="str">
        <f>IFERROR(IF(A278&lt;&gt;"",VLOOKUP(Alunos!A278,Exame!A3:D1000,4, FALSE),""), "")</f>
        <v/>
      </c>
      <c r="C278" s="2" t="str">
        <f>IF(A278&lt;&gt;"",VLOOKUP(Alunos!A278,Agrupamentos!A3:C1000,2, FALSE),"")</f>
        <v/>
      </c>
      <c r="D278" s="2" t="str">
        <f>IFERROR(IF(A278&lt;&gt;"",VLOOKUP(Alunos!C278,'TP1'!A3:E1000,5, FALSE),""),"")</f>
        <v/>
      </c>
      <c r="E278" s="2" t="str">
        <f>IF(A278&lt;&gt;"",VLOOKUP(Alunos!A278,Agrupamentos!A3:C1000,3, FALSE),"")</f>
        <v/>
      </c>
      <c r="F278" s="2" t="str">
        <f>IFERROR(IF(A278&lt;&gt;"",VLOOKUP(Alunos!E278,'TP2'!A3:D1000,4, FALSE),""),"")</f>
        <v/>
      </c>
      <c r="G278" s="2" t="str">
        <f>IF(A278&lt;&gt;"", SUMIF(B1:F1,"&lt;&gt;",B278:F278),"")</f>
        <v/>
      </c>
      <c r="H278" s="2" t="str">
        <f>IF(AND(A278&lt;&gt;"",G278&lt;&gt;""),ROUND(G278,0),"")</f>
        <v/>
      </c>
      <c r="I278" s="2" t="str">
        <f>IFERROR(IF(A278&lt;&gt;"",VLOOKUP(Alunos!A278,Recurso!A3:D1000,4, FALSE),""), "")</f>
        <v/>
      </c>
      <c r="J278" s="2" t="str">
        <f>IF(AND(A278&lt;&gt;"",I278&lt;&gt;""), SUMIFS(B278:I278,B1:I1,"&lt;&gt;",B2:I2,"&lt;&gt;Exame",B2:I2,"&lt;&gt;exame",B2:I2,"&lt;&gt;Nota",B2:I2,"&lt;&gt;Total"),"")</f>
        <v/>
      </c>
      <c r="K278" s="2" t="str">
        <f>IF(AND(A278&lt;&gt;"",J278&lt;&gt;""),ROUND(J278,0),"")</f>
        <v/>
      </c>
    </row>
    <row r="279" spans="2:11" x14ac:dyDescent="0.3">
      <c r="B279" s="2" t="str">
        <f>IFERROR(IF(A279&lt;&gt;"",VLOOKUP(Alunos!A279,Exame!A3:D1000,4, FALSE),""), "")</f>
        <v/>
      </c>
      <c r="C279" s="2" t="str">
        <f>IF(A279&lt;&gt;"",VLOOKUP(Alunos!A279,Agrupamentos!A3:C1000,2, FALSE),"")</f>
        <v/>
      </c>
      <c r="D279" s="2" t="str">
        <f>IFERROR(IF(A279&lt;&gt;"",VLOOKUP(Alunos!C279,'TP1'!A3:E1000,5, FALSE),""),"")</f>
        <v/>
      </c>
      <c r="E279" s="2" t="str">
        <f>IF(A279&lt;&gt;"",VLOOKUP(Alunos!A279,Agrupamentos!A3:C1000,3, FALSE),"")</f>
        <v/>
      </c>
      <c r="F279" s="2" t="str">
        <f>IFERROR(IF(A279&lt;&gt;"",VLOOKUP(Alunos!E279,'TP2'!A3:D1000,4, FALSE),""),"")</f>
        <v/>
      </c>
      <c r="G279" s="2" t="str">
        <f>IF(A279&lt;&gt;"", SUMIF(B1:F1,"&lt;&gt;",B279:F279),"")</f>
        <v/>
      </c>
      <c r="H279" s="2" t="str">
        <f>IF(AND(A279&lt;&gt;"",G279&lt;&gt;""),ROUND(G279,0),"")</f>
        <v/>
      </c>
      <c r="I279" s="2" t="str">
        <f>IFERROR(IF(A279&lt;&gt;"",VLOOKUP(Alunos!A279,Recurso!A3:D1000,4, FALSE),""), "")</f>
        <v/>
      </c>
      <c r="J279" s="2" t="str">
        <f>IF(AND(A279&lt;&gt;"",I279&lt;&gt;""), SUMIFS(B279:I279,B1:I1,"&lt;&gt;",B2:I2,"&lt;&gt;Exame",B2:I2,"&lt;&gt;exame",B2:I2,"&lt;&gt;Nota",B2:I2,"&lt;&gt;Total"),"")</f>
        <v/>
      </c>
      <c r="K279" s="2" t="str">
        <f>IF(AND(A279&lt;&gt;"",J279&lt;&gt;""),ROUND(J279,0),"")</f>
        <v/>
      </c>
    </row>
    <row r="280" spans="2:11" x14ac:dyDescent="0.3">
      <c r="B280" s="2" t="str">
        <f>IFERROR(IF(A280&lt;&gt;"",VLOOKUP(Alunos!A280,Exame!A3:D1000,4, FALSE),""), "")</f>
        <v/>
      </c>
      <c r="C280" s="2" t="str">
        <f>IF(A280&lt;&gt;"",VLOOKUP(Alunos!A280,Agrupamentos!A3:C1000,2, FALSE),"")</f>
        <v/>
      </c>
      <c r="D280" s="2" t="str">
        <f>IFERROR(IF(A280&lt;&gt;"",VLOOKUP(Alunos!C280,'TP1'!A3:E1000,5, FALSE),""),"")</f>
        <v/>
      </c>
      <c r="E280" s="2" t="str">
        <f>IF(A280&lt;&gt;"",VLOOKUP(Alunos!A280,Agrupamentos!A3:C1000,3, FALSE),"")</f>
        <v/>
      </c>
      <c r="F280" s="2" t="str">
        <f>IFERROR(IF(A280&lt;&gt;"",VLOOKUP(Alunos!E280,'TP2'!A3:D1000,4, FALSE),""),"")</f>
        <v/>
      </c>
      <c r="G280" s="2" t="str">
        <f>IF(A280&lt;&gt;"", SUMIF(B1:F1,"&lt;&gt;",B280:F280),"")</f>
        <v/>
      </c>
      <c r="H280" s="2" t="str">
        <f>IF(AND(A280&lt;&gt;"",G280&lt;&gt;""),ROUND(G280,0),"")</f>
        <v/>
      </c>
      <c r="I280" s="2" t="str">
        <f>IFERROR(IF(A280&lt;&gt;"",VLOOKUP(Alunos!A280,Recurso!A3:D1000,4, FALSE),""), "")</f>
        <v/>
      </c>
      <c r="J280" s="2" t="str">
        <f>IF(AND(A280&lt;&gt;"",I280&lt;&gt;""), SUMIFS(B280:I280,B1:I1,"&lt;&gt;",B2:I2,"&lt;&gt;Exame",B2:I2,"&lt;&gt;exame",B2:I2,"&lt;&gt;Nota",B2:I2,"&lt;&gt;Total"),"")</f>
        <v/>
      </c>
      <c r="K280" s="2" t="str">
        <f>IF(AND(A280&lt;&gt;"",J280&lt;&gt;""),ROUND(J280,0),"")</f>
        <v/>
      </c>
    </row>
    <row r="281" spans="2:11" x14ac:dyDescent="0.3">
      <c r="B281" s="2" t="str">
        <f>IFERROR(IF(A281&lt;&gt;"",VLOOKUP(Alunos!A281,Exame!A3:D1000,4, FALSE),""), "")</f>
        <v/>
      </c>
      <c r="C281" s="2" t="str">
        <f>IF(A281&lt;&gt;"",VLOOKUP(Alunos!A281,Agrupamentos!A3:C1000,2, FALSE),"")</f>
        <v/>
      </c>
      <c r="D281" s="2" t="str">
        <f>IFERROR(IF(A281&lt;&gt;"",VLOOKUP(Alunos!C281,'TP1'!A3:E1000,5, FALSE),""),"")</f>
        <v/>
      </c>
      <c r="E281" s="2" t="str">
        <f>IF(A281&lt;&gt;"",VLOOKUP(Alunos!A281,Agrupamentos!A3:C1000,3, FALSE),"")</f>
        <v/>
      </c>
      <c r="F281" s="2" t="str">
        <f>IFERROR(IF(A281&lt;&gt;"",VLOOKUP(Alunos!E281,'TP2'!A3:D1000,4, FALSE),""),"")</f>
        <v/>
      </c>
      <c r="G281" s="2" t="str">
        <f>IF(A281&lt;&gt;"", SUMIF(B1:F1,"&lt;&gt;",B281:F281),"")</f>
        <v/>
      </c>
      <c r="H281" s="2" t="str">
        <f>IF(AND(A281&lt;&gt;"",G281&lt;&gt;""),ROUND(G281,0),"")</f>
        <v/>
      </c>
      <c r="I281" s="2" t="str">
        <f>IFERROR(IF(A281&lt;&gt;"",VLOOKUP(Alunos!A281,Recurso!A3:D1000,4, FALSE),""), "")</f>
        <v/>
      </c>
      <c r="J281" s="2" t="str">
        <f>IF(AND(A281&lt;&gt;"",I281&lt;&gt;""), SUMIFS(B281:I281,B1:I1,"&lt;&gt;",B2:I2,"&lt;&gt;Exame",B2:I2,"&lt;&gt;exame",B2:I2,"&lt;&gt;Nota",B2:I2,"&lt;&gt;Total"),"")</f>
        <v/>
      </c>
      <c r="K281" s="2" t="str">
        <f>IF(AND(A281&lt;&gt;"",J281&lt;&gt;""),ROUND(J281,0),"")</f>
        <v/>
      </c>
    </row>
    <row r="282" spans="2:11" x14ac:dyDescent="0.3">
      <c r="B282" s="2" t="str">
        <f>IFERROR(IF(A282&lt;&gt;"",VLOOKUP(Alunos!A282,Exame!A3:D1000,4, FALSE),""), "")</f>
        <v/>
      </c>
      <c r="C282" s="2" t="str">
        <f>IF(A282&lt;&gt;"",VLOOKUP(Alunos!A282,Agrupamentos!A3:C1000,2, FALSE),"")</f>
        <v/>
      </c>
      <c r="D282" s="2" t="str">
        <f>IFERROR(IF(A282&lt;&gt;"",VLOOKUP(Alunos!C282,'TP1'!A3:E1000,5, FALSE),""),"")</f>
        <v/>
      </c>
      <c r="E282" s="2" t="str">
        <f>IF(A282&lt;&gt;"",VLOOKUP(Alunos!A282,Agrupamentos!A3:C1000,3, FALSE),"")</f>
        <v/>
      </c>
      <c r="F282" s="2" t="str">
        <f>IFERROR(IF(A282&lt;&gt;"",VLOOKUP(Alunos!E282,'TP2'!A3:D1000,4, FALSE),""),"")</f>
        <v/>
      </c>
      <c r="G282" s="2" t="str">
        <f>IF(A282&lt;&gt;"", SUMIF(B1:F1,"&lt;&gt;",B282:F282),"")</f>
        <v/>
      </c>
      <c r="H282" s="2" t="str">
        <f>IF(AND(A282&lt;&gt;"",G282&lt;&gt;""),ROUND(G282,0),"")</f>
        <v/>
      </c>
      <c r="I282" s="2" t="str">
        <f>IFERROR(IF(A282&lt;&gt;"",VLOOKUP(Alunos!A282,Recurso!A3:D1000,4, FALSE),""), "")</f>
        <v/>
      </c>
      <c r="J282" s="2" t="str">
        <f>IF(AND(A282&lt;&gt;"",I282&lt;&gt;""), SUMIFS(B282:I282,B1:I1,"&lt;&gt;",B2:I2,"&lt;&gt;Exame",B2:I2,"&lt;&gt;exame",B2:I2,"&lt;&gt;Nota",B2:I2,"&lt;&gt;Total"),"")</f>
        <v/>
      </c>
      <c r="K282" s="2" t="str">
        <f>IF(AND(A282&lt;&gt;"",J282&lt;&gt;""),ROUND(J282,0),"")</f>
        <v/>
      </c>
    </row>
    <row r="283" spans="2:11" x14ac:dyDescent="0.3">
      <c r="B283" s="2" t="str">
        <f>IFERROR(IF(A283&lt;&gt;"",VLOOKUP(Alunos!A283,Exame!A3:D1000,4, FALSE),""), "")</f>
        <v/>
      </c>
      <c r="C283" s="2" t="str">
        <f>IF(A283&lt;&gt;"",VLOOKUP(Alunos!A283,Agrupamentos!A3:C1000,2, FALSE),"")</f>
        <v/>
      </c>
      <c r="D283" s="2" t="str">
        <f>IFERROR(IF(A283&lt;&gt;"",VLOOKUP(Alunos!C283,'TP1'!A3:E1000,5, FALSE),""),"")</f>
        <v/>
      </c>
      <c r="E283" s="2" t="str">
        <f>IF(A283&lt;&gt;"",VLOOKUP(Alunos!A283,Agrupamentos!A3:C1000,3, FALSE),"")</f>
        <v/>
      </c>
      <c r="F283" s="2" t="str">
        <f>IFERROR(IF(A283&lt;&gt;"",VLOOKUP(Alunos!E283,'TP2'!A3:D1000,4, FALSE),""),"")</f>
        <v/>
      </c>
      <c r="G283" s="2" t="str">
        <f>IF(A283&lt;&gt;"", SUMIF(B1:F1,"&lt;&gt;",B283:F283),"")</f>
        <v/>
      </c>
      <c r="H283" s="2" t="str">
        <f>IF(AND(A283&lt;&gt;"",G283&lt;&gt;""),ROUND(G283,0),"")</f>
        <v/>
      </c>
      <c r="I283" s="2" t="str">
        <f>IFERROR(IF(A283&lt;&gt;"",VLOOKUP(Alunos!A283,Recurso!A3:D1000,4, FALSE),""), "")</f>
        <v/>
      </c>
      <c r="J283" s="2" t="str">
        <f>IF(AND(A283&lt;&gt;"",I283&lt;&gt;""), SUMIFS(B283:I283,B1:I1,"&lt;&gt;",B2:I2,"&lt;&gt;Exame",B2:I2,"&lt;&gt;exame",B2:I2,"&lt;&gt;Nota",B2:I2,"&lt;&gt;Total"),"")</f>
        <v/>
      </c>
      <c r="K283" s="2" t="str">
        <f>IF(AND(A283&lt;&gt;"",J283&lt;&gt;""),ROUND(J283,0),"")</f>
        <v/>
      </c>
    </row>
    <row r="284" spans="2:11" x14ac:dyDescent="0.3">
      <c r="B284" s="2" t="str">
        <f>IFERROR(IF(A284&lt;&gt;"",VLOOKUP(Alunos!A284,Exame!A3:D1000,4, FALSE),""), "")</f>
        <v/>
      </c>
      <c r="C284" s="2" t="str">
        <f>IF(A284&lt;&gt;"",VLOOKUP(Alunos!A284,Agrupamentos!A3:C1000,2, FALSE),"")</f>
        <v/>
      </c>
      <c r="D284" s="2" t="str">
        <f>IFERROR(IF(A284&lt;&gt;"",VLOOKUP(Alunos!C284,'TP1'!A3:E1000,5, FALSE),""),"")</f>
        <v/>
      </c>
      <c r="E284" s="2" t="str">
        <f>IF(A284&lt;&gt;"",VLOOKUP(Alunos!A284,Agrupamentos!A3:C1000,3, FALSE),"")</f>
        <v/>
      </c>
      <c r="F284" s="2" t="str">
        <f>IFERROR(IF(A284&lt;&gt;"",VLOOKUP(Alunos!E284,'TP2'!A3:D1000,4, FALSE),""),"")</f>
        <v/>
      </c>
      <c r="G284" s="2" t="str">
        <f>IF(A284&lt;&gt;"", SUMIF(B1:F1,"&lt;&gt;",B284:F284),"")</f>
        <v/>
      </c>
      <c r="H284" s="2" t="str">
        <f>IF(AND(A284&lt;&gt;"",G284&lt;&gt;""),ROUND(G284,0),"")</f>
        <v/>
      </c>
      <c r="I284" s="2" t="str">
        <f>IFERROR(IF(A284&lt;&gt;"",VLOOKUP(Alunos!A284,Recurso!A3:D1000,4, FALSE),""), "")</f>
        <v/>
      </c>
      <c r="J284" s="2" t="str">
        <f>IF(AND(A284&lt;&gt;"",I284&lt;&gt;""), SUMIFS(B284:I284,B1:I1,"&lt;&gt;",B2:I2,"&lt;&gt;Exame",B2:I2,"&lt;&gt;exame",B2:I2,"&lt;&gt;Nota",B2:I2,"&lt;&gt;Total"),"")</f>
        <v/>
      </c>
      <c r="K284" s="2" t="str">
        <f>IF(AND(A284&lt;&gt;"",J284&lt;&gt;""),ROUND(J284,0),"")</f>
        <v/>
      </c>
    </row>
    <row r="285" spans="2:11" x14ac:dyDescent="0.3">
      <c r="B285" s="2" t="str">
        <f>IFERROR(IF(A285&lt;&gt;"",VLOOKUP(Alunos!A285,Exame!A3:D1000,4, FALSE),""), "")</f>
        <v/>
      </c>
      <c r="C285" s="2" t="str">
        <f>IF(A285&lt;&gt;"",VLOOKUP(Alunos!A285,Agrupamentos!A3:C1000,2, FALSE),"")</f>
        <v/>
      </c>
      <c r="D285" s="2" t="str">
        <f>IFERROR(IF(A285&lt;&gt;"",VLOOKUP(Alunos!C285,'TP1'!A3:E1000,5, FALSE),""),"")</f>
        <v/>
      </c>
      <c r="E285" s="2" t="str">
        <f>IF(A285&lt;&gt;"",VLOOKUP(Alunos!A285,Agrupamentos!A3:C1000,3, FALSE),"")</f>
        <v/>
      </c>
      <c r="F285" s="2" t="str">
        <f>IFERROR(IF(A285&lt;&gt;"",VLOOKUP(Alunos!E285,'TP2'!A3:D1000,4, FALSE),""),"")</f>
        <v/>
      </c>
      <c r="G285" s="2" t="str">
        <f>IF(A285&lt;&gt;"", SUMIF(B1:F1,"&lt;&gt;",B285:F285),"")</f>
        <v/>
      </c>
      <c r="H285" s="2" t="str">
        <f>IF(AND(A285&lt;&gt;"",G285&lt;&gt;""),ROUND(G285,0),"")</f>
        <v/>
      </c>
      <c r="I285" s="2" t="str">
        <f>IFERROR(IF(A285&lt;&gt;"",VLOOKUP(Alunos!A285,Recurso!A3:D1000,4, FALSE),""), "")</f>
        <v/>
      </c>
      <c r="J285" s="2" t="str">
        <f>IF(AND(A285&lt;&gt;"",I285&lt;&gt;""), SUMIFS(B285:I285,B1:I1,"&lt;&gt;",B2:I2,"&lt;&gt;Exame",B2:I2,"&lt;&gt;exame",B2:I2,"&lt;&gt;Nota",B2:I2,"&lt;&gt;Total"),"")</f>
        <v/>
      </c>
      <c r="K285" s="2" t="str">
        <f>IF(AND(A285&lt;&gt;"",J285&lt;&gt;""),ROUND(J285,0),"")</f>
        <v/>
      </c>
    </row>
    <row r="286" spans="2:11" x14ac:dyDescent="0.3">
      <c r="B286" s="2" t="str">
        <f>IFERROR(IF(A286&lt;&gt;"",VLOOKUP(Alunos!A286,Exame!A3:D1000,4, FALSE),""), "")</f>
        <v/>
      </c>
      <c r="C286" s="2" t="str">
        <f>IF(A286&lt;&gt;"",VLOOKUP(Alunos!A286,Agrupamentos!A3:C1000,2, FALSE),"")</f>
        <v/>
      </c>
      <c r="D286" s="2" t="str">
        <f>IFERROR(IF(A286&lt;&gt;"",VLOOKUP(Alunos!C286,'TP1'!A3:E1000,5, FALSE),""),"")</f>
        <v/>
      </c>
      <c r="E286" s="2" t="str">
        <f>IF(A286&lt;&gt;"",VLOOKUP(Alunos!A286,Agrupamentos!A3:C1000,3, FALSE),"")</f>
        <v/>
      </c>
      <c r="F286" s="2" t="str">
        <f>IFERROR(IF(A286&lt;&gt;"",VLOOKUP(Alunos!E286,'TP2'!A3:D1000,4, FALSE),""),"")</f>
        <v/>
      </c>
      <c r="G286" s="2" t="str">
        <f>IF(A286&lt;&gt;"", SUMIF(B1:F1,"&lt;&gt;",B286:F286),"")</f>
        <v/>
      </c>
      <c r="H286" s="2" t="str">
        <f>IF(AND(A286&lt;&gt;"",G286&lt;&gt;""),ROUND(G286,0),"")</f>
        <v/>
      </c>
      <c r="I286" s="2" t="str">
        <f>IFERROR(IF(A286&lt;&gt;"",VLOOKUP(Alunos!A286,Recurso!A3:D1000,4, FALSE),""), "")</f>
        <v/>
      </c>
      <c r="J286" s="2" t="str">
        <f>IF(AND(A286&lt;&gt;"",I286&lt;&gt;""), SUMIFS(B286:I286,B1:I1,"&lt;&gt;",B2:I2,"&lt;&gt;Exame",B2:I2,"&lt;&gt;exame",B2:I2,"&lt;&gt;Nota",B2:I2,"&lt;&gt;Total"),"")</f>
        <v/>
      </c>
      <c r="K286" s="2" t="str">
        <f>IF(AND(A286&lt;&gt;"",J286&lt;&gt;""),ROUND(J286,0),"")</f>
        <v/>
      </c>
    </row>
    <row r="287" spans="2:11" x14ac:dyDescent="0.3">
      <c r="B287" s="2" t="str">
        <f>IFERROR(IF(A287&lt;&gt;"",VLOOKUP(Alunos!A287,Exame!A3:D1000,4, FALSE),""), "")</f>
        <v/>
      </c>
      <c r="C287" s="2" t="str">
        <f>IF(A287&lt;&gt;"",VLOOKUP(Alunos!A287,Agrupamentos!A3:C1000,2, FALSE),"")</f>
        <v/>
      </c>
      <c r="D287" s="2" t="str">
        <f>IFERROR(IF(A287&lt;&gt;"",VLOOKUP(Alunos!C287,'TP1'!A3:E1000,5, FALSE),""),"")</f>
        <v/>
      </c>
      <c r="E287" s="2" t="str">
        <f>IF(A287&lt;&gt;"",VLOOKUP(Alunos!A287,Agrupamentos!A3:C1000,3, FALSE),"")</f>
        <v/>
      </c>
      <c r="F287" s="2" t="str">
        <f>IFERROR(IF(A287&lt;&gt;"",VLOOKUP(Alunos!E287,'TP2'!A3:D1000,4, FALSE),""),"")</f>
        <v/>
      </c>
      <c r="G287" s="2" t="str">
        <f>IF(A287&lt;&gt;"", SUMIF(B1:F1,"&lt;&gt;",B287:F287),"")</f>
        <v/>
      </c>
      <c r="H287" s="2" t="str">
        <f>IF(AND(A287&lt;&gt;"",G287&lt;&gt;""),ROUND(G287,0),"")</f>
        <v/>
      </c>
      <c r="I287" s="2" t="str">
        <f>IFERROR(IF(A287&lt;&gt;"",VLOOKUP(Alunos!A287,Recurso!A3:D1000,4, FALSE),""), "")</f>
        <v/>
      </c>
      <c r="J287" s="2" t="str">
        <f>IF(AND(A287&lt;&gt;"",I287&lt;&gt;""), SUMIFS(B287:I287,B1:I1,"&lt;&gt;",B2:I2,"&lt;&gt;Exame",B2:I2,"&lt;&gt;exame",B2:I2,"&lt;&gt;Nota",B2:I2,"&lt;&gt;Total"),"")</f>
        <v/>
      </c>
      <c r="K287" s="2" t="str">
        <f>IF(AND(A287&lt;&gt;"",J287&lt;&gt;""),ROUND(J287,0),"")</f>
        <v/>
      </c>
    </row>
    <row r="288" spans="2:11" x14ac:dyDescent="0.3">
      <c r="B288" s="2" t="str">
        <f>IFERROR(IF(A288&lt;&gt;"",VLOOKUP(Alunos!A288,Exame!A3:D1000,4, FALSE),""), "")</f>
        <v/>
      </c>
      <c r="C288" s="2" t="str">
        <f>IF(A288&lt;&gt;"",VLOOKUP(Alunos!A288,Agrupamentos!A3:C1000,2, FALSE),"")</f>
        <v/>
      </c>
      <c r="D288" s="2" t="str">
        <f>IFERROR(IF(A288&lt;&gt;"",VLOOKUP(Alunos!C288,'TP1'!A3:E1000,5, FALSE),""),"")</f>
        <v/>
      </c>
      <c r="E288" s="2" t="str">
        <f>IF(A288&lt;&gt;"",VLOOKUP(Alunos!A288,Agrupamentos!A3:C1000,3, FALSE),"")</f>
        <v/>
      </c>
      <c r="F288" s="2" t="str">
        <f>IFERROR(IF(A288&lt;&gt;"",VLOOKUP(Alunos!E288,'TP2'!A3:D1000,4, FALSE),""),"")</f>
        <v/>
      </c>
      <c r="G288" s="2" t="str">
        <f>IF(A288&lt;&gt;"", SUMIF(B1:F1,"&lt;&gt;",B288:F288),"")</f>
        <v/>
      </c>
      <c r="H288" s="2" t="str">
        <f>IF(AND(A288&lt;&gt;"",G288&lt;&gt;""),ROUND(G288,0),"")</f>
        <v/>
      </c>
      <c r="I288" s="2" t="str">
        <f>IFERROR(IF(A288&lt;&gt;"",VLOOKUP(Alunos!A288,Recurso!A3:D1000,4, FALSE),""), "")</f>
        <v/>
      </c>
      <c r="J288" s="2" t="str">
        <f>IF(AND(A288&lt;&gt;"",I288&lt;&gt;""), SUMIFS(B288:I288,B1:I1,"&lt;&gt;",B2:I2,"&lt;&gt;Exame",B2:I2,"&lt;&gt;exame",B2:I2,"&lt;&gt;Nota",B2:I2,"&lt;&gt;Total"),"")</f>
        <v/>
      </c>
      <c r="K288" s="2" t="str">
        <f>IF(AND(A288&lt;&gt;"",J288&lt;&gt;""),ROUND(J288,0),"")</f>
        <v/>
      </c>
    </row>
    <row r="289" spans="2:11" x14ac:dyDescent="0.3">
      <c r="B289" s="2" t="str">
        <f>IFERROR(IF(A289&lt;&gt;"",VLOOKUP(Alunos!A289,Exame!A3:D1000,4, FALSE),""), "")</f>
        <v/>
      </c>
      <c r="C289" s="2" t="str">
        <f>IF(A289&lt;&gt;"",VLOOKUP(Alunos!A289,Agrupamentos!A3:C1000,2, FALSE),"")</f>
        <v/>
      </c>
      <c r="D289" s="2" t="str">
        <f>IFERROR(IF(A289&lt;&gt;"",VLOOKUP(Alunos!C289,'TP1'!A3:E1000,5, FALSE),""),"")</f>
        <v/>
      </c>
      <c r="E289" s="2" t="str">
        <f>IF(A289&lt;&gt;"",VLOOKUP(Alunos!A289,Agrupamentos!A3:C1000,3, FALSE),"")</f>
        <v/>
      </c>
      <c r="F289" s="2" t="str">
        <f>IFERROR(IF(A289&lt;&gt;"",VLOOKUP(Alunos!E289,'TP2'!A3:D1000,4, FALSE),""),"")</f>
        <v/>
      </c>
      <c r="G289" s="2" t="str">
        <f>IF(A289&lt;&gt;"", SUMIF(B1:F1,"&lt;&gt;",B289:F289),"")</f>
        <v/>
      </c>
      <c r="H289" s="2" t="str">
        <f>IF(AND(A289&lt;&gt;"",G289&lt;&gt;""),ROUND(G289,0),"")</f>
        <v/>
      </c>
      <c r="I289" s="2" t="str">
        <f>IFERROR(IF(A289&lt;&gt;"",VLOOKUP(Alunos!A289,Recurso!A3:D1000,4, FALSE),""), "")</f>
        <v/>
      </c>
      <c r="J289" s="2" t="str">
        <f>IF(AND(A289&lt;&gt;"",I289&lt;&gt;""), SUMIFS(B289:I289,B1:I1,"&lt;&gt;",B2:I2,"&lt;&gt;Exame",B2:I2,"&lt;&gt;exame",B2:I2,"&lt;&gt;Nota",B2:I2,"&lt;&gt;Total"),"")</f>
        <v/>
      </c>
      <c r="K289" s="2" t="str">
        <f>IF(AND(A289&lt;&gt;"",J289&lt;&gt;""),ROUND(J289,0),"")</f>
        <v/>
      </c>
    </row>
    <row r="290" spans="2:11" x14ac:dyDescent="0.3">
      <c r="B290" s="2" t="str">
        <f>IFERROR(IF(A290&lt;&gt;"",VLOOKUP(Alunos!A290,Exame!A3:D1000,4, FALSE),""), "")</f>
        <v/>
      </c>
      <c r="C290" s="2" t="str">
        <f>IF(A290&lt;&gt;"",VLOOKUP(Alunos!A290,Agrupamentos!A3:C1000,2, FALSE),"")</f>
        <v/>
      </c>
      <c r="D290" s="2" t="str">
        <f>IFERROR(IF(A290&lt;&gt;"",VLOOKUP(Alunos!C290,'TP1'!A3:E1000,5, FALSE),""),"")</f>
        <v/>
      </c>
      <c r="E290" s="2" t="str">
        <f>IF(A290&lt;&gt;"",VLOOKUP(Alunos!A290,Agrupamentos!A3:C1000,3, FALSE),"")</f>
        <v/>
      </c>
      <c r="F290" s="2" t="str">
        <f>IFERROR(IF(A290&lt;&gt;"",VLOOKUP(Alunos!E290,'TP2'!A3:D1000,4, FALSE),""),"")</f>
        <v/>
      </c>
      <c r="G290" s="2" t="str">
        <f>IF(A290&lt;&gt;"", SUMIF(B1:F1,"&lt;&gt;",B290:F290),"")</f>
        <v/>
      </c>
      <c r="H290" s="2" t="str">
        <f>IF(AND(A290&lt;&gt;"",G290&lt;&gt;""),ROUND(G290,0),"")</f>
        <v/>
      </c>
      <c r="I290" s="2" t="str">
        <f>IFERROR(IF(A290&lt;&gt;"",VLOOKUP(Alunos!A290,Recurso!A3:D1000,4, FALSE),""), "")</f>
        <v/>
      </c>
      <c r="J290" s="2" t="str">
        <f>IF(AND(A290&lt;&gt;"",I290&lt;&gt;""), SUMIFS(B290:I290,B1:I1,"&lt;&gt;",B2:I2,"&lt;&gt;Exame",B2:I2,"&lt;&gt;exame",B2:I2,"&lt;&gt;Nota",B2:I2,"&lt;&gt;Total"),"")</f>
        <v/>
      </c>
      <c r="K290" s="2" t="str">
        <f>IF(AND(A290&lt;&gt;"",J290&lt;&gt;""),ROUND(J290,0),"")</f>
        <v/>
      </c>
    </row>
    <row r="291" spans="2:11" x14ac:dyDescent="0.3">
      <c r="B291" s="2" t="str">
        <f>IFERROR(IF(A291&lt;&gt;"",VLOOKUP(Alunos!A291,Exame!A3:D1000,4, FALSE),""), "")</f>
        <v/>
      </c>
      <c r="C291" s="2" t="str">
        <f>IF(A291&lt;&gt;"",VLOOKUP(Alunos!A291,Agrupamentos!A3:C1000,2, FALSE),"")</f>
        <v/>
      </c>
      <c r="D291" s="2" t="str">
        <f>IFERROR(IF(A291&lt;&gt;"",VLOOKUP(Alunos!C291,'TP1'!A3:E1000,5, FALSE),""),"")</f>
        <v/>
      </c>
      <c r="E291" s="2" t="str">
        <f>IF(A291&lt;&gt;"",VLOOKUP(Alunos!A291,Agrupamentos!A3:C1000,3, FALSE),"")</f>
        <v/>
      </c>
      <c r="F291" s="2" t="str">
        <f>IFERROR(IF(A291&lt;&gt;"",VLOOKUP(Alunos!E291,'TP2'!A3:D1000,4, FALSE),""),"")</f>
        <v/>
      </c>
      <c r="G291" s="2" t="str">
        <f>IF(A291&lt;&gt;"", SUMIF(B1:F1,"&lt;&gt;",B291:F291),"")</f>
        <v/>
      </c>
      <c r="H291" s="2" t="str">
        <f>IF(AND(A291&lt;&gt;"",G291&lt;&gt;""),ROUND(G291,0),"")</f>
        <v/>
      </c>
      <c r="I291" s="2" t="str">
        <f>IFERROR(IF(A291&lt;&gt;"",VLOOKUP(Alunos!A291,Recurso!A3:D1000,4, FALSE),""), "")</f>
        <v/>
      </c>
      <c r="J291" s="2" t="str">
        <f>IF(AND(A291&lt;&gt;"",I291&lt;&gt;""), SUMIFS(B291:I291,B1:I1,"&lt;&gt;",B2:I2,"&lt;&gt;Exame",B2:I2,"&lt;&gt;exame",B2:I2,"&lt;&gt;Nota",B2:I2,"&lt;&gt;Total"),"")</f>
        <v/>
      </c>
      <c r="K291" s="2" t="str">
        <f>IF(AND(A291&lt;&gt;"",J291&lt;&gt;""),ROUND(J291,0),"")</f>
        <v/>
      </c>
    </row>
    <row r="292" spans="2:11" x14ac:dyDescent="0.3">
      <c r="B292" s="2" t="str">
        <f>IFERROR(IF(A292&lt;&gt;"",VLOOKUP(Alunos!A292,Exame!A3:D1000,4, FALSE),""), "")</f>
        <v/>
      </c>
      <c r="C292" s="2" t="str">
        <f>IF(A292&lt;&gt;"",VLOOKUP(Alunos!A292,Agrupamentos!A3:C1000,2, FALSE),"")</f>
        <v/>
      </c>
      <c r="D292" s="2" t="str">
        <f>IFERROR(IF(A292&lt;&gt;"",VLOOKUP(Alunos!C292,'TP1'!A3:E1000,5, FALSE),""),"")</f>
        <v/>
      </c>
      <c r="E292" s="2" t="str">
        <f>IF(A292&lt;&gt;"",VLOOKUP(Alunos!A292,Agrupamentos!A3:C1000,3, FALSE),"")</f>
        <v/>
      </c>
      <c r="F292" s="2" t="str">
        <f>IFERROR(IF(A292&lt;&gt;"",VLOOKUP(Alunos!E292,'TP2'!A3:D1000,4, FALSE),""),"")</f>
        <v/>
      </c>
      <c r="G292" s="2" t="str">
        <f>IF(A292&lt;&gt;"", SUMIF(B1:F1,"&lt;&gt;",B292:F292),"")</f>
        <v/>
      </c>
      <c r="H292" s="2" t="str">
        <f>IF(AND(A292&lt;&gt;"",G292&lt;&gt;""),ROUND(G292,0),"")</f>
        <v/>
      </c>
      <c r="I292" s="2" t="str">
        <f>IFERROR(IF(A292&lt;&gt;"",VLOOKUP(Alunos!A292,Recurso!A3:D1000,4, FALSE),""), "")</f>
        <v/>
      </c>
      <c r="J292" s="2" t="str">
        <f>IF(AND(A292&lt;&gt;"",I292&lt;&gt;""), SUMIFS(B292:I292,B1:I1,"&lt;&gt;",B2:I2,"&lt;&gt;Exame",B2:I2,"&lt;&gt;exame",B2:I2,"&lt;&gt;Nota",B2:I2,"&lt;&gt;Total"),"")</f>
        <v/>
      </c>
      <c r="K292" s="2" t="str">
        <f>IF(AND(A292&lt;&gt;"",J292&lt;&gt;""),ROUND(J292,0),"")</f>
        <v/>
      </c>
    </row>
    <row r="293" spans="2:11" x14ac:dyDescent="0.3">
      <c r="B293" s="2" t="str">
        <f>IFERROR(IF(A293&lt;&gt;"",VLOOKUP(Alunos!A293,Exame!A3:D1000,4, FALSE),""), "")</f>
        <v/>
      </c>
      <c r="C293" s="2" t="str">
        <f>IF(A293&lt;&gt;"",VLOOKUP(Alunos!A293,Agrupamentos!A3:C1000,2, FALSE),"")</f>
        <v/>
      </c>
      <c r="D293" s="2" t="str">
        <f>IFERROR(IF(A293&lt;&gt;"",VLOOKUP(Alunos!C293,'TP1'!A3:E1000,5, FALSE),""),"")</f>
        <v/>
      </c>
      <c r="E293" s="2" t="str">
        <f>IF(A293&lt;&gt;"",VLOOKUP(Alunos!A293,Agrupamentos!A3:C1000,3, FALSE),"")</f>
        <v/>
      </c>
      <c r="F293" s="2" t="str">
        <f>IFERROR(IF(A293&lt;&gt;"",VLOOKUP(Alunos!E293,'TP2'!A3:D1000,4, FALSE),""),"")</f>
        <v/>
      </c>
      <c r="G293" s="2" t="str">
        <f>IF(A293&lt;&gt;"", SUMIF(B1:F1,"&lt;&gt;",B293:F293),"")</f>
        <v/>
      </c>
      <c r="H293" s="2" t="str">
        <f>IF(AND(A293&lt;&gt;"",G293&lt;&gt;""),ROUND(G293,0),"")</f>
        <v/>
      </c>
      <c r="I293" s="2" t="str">
        <f>IFERROR(IF(A293&lt;&gt;"",VLOOKUP(Alunos!A293,Recurso!A3:D1000,4, FALSE),""), "")</f>
        <v/>
      </c>
      <c r="J293" s="2" t="str">
        <f>IF(AND(A293&lt;&gt;"",I293&lt;&gt;""), SUMIFS(B293:I293,B1:I1,"&lt;&gt;",B2:I2,"&lt;&gt;Exame",B2:I2,"&lt;&gt;exame",B2:I2,"&lt;&gt;Nota",B2:I2,"&lt;&gt;Total"),"")</f>
        <v/>
      </c>
      <c r="K293" s="2" t="str">
        <f>IF(AND(A293&lt;&gt;"",J293&lt;&gt;""),ROUND(J293,0),"")</f>
        <v/>
      </c>
    </row>
    <row r="294" spans="2:11" x14ac:dyDescent="0.3">
      <c r="B294" s="2" t="str">
        <f>IFERROR(IF(A294&lt;&gt;"",VLOOKUP(Alunos!A294,Exame!A3:D1000,4, FALSE),""), "")</f>
        <v/>
      </c>
      <c r="C294" s="2" t="str">
        <f>IF(A294&lt;&gt;"",VLOOKUP(Alunos!A294,Agrupamentos!A3:C1000,2, FALSE),"")</f>
        <v/>
      </c>
      <c r="D294" s="2" t="str">
        <f>IFERROR(IF(A294&lt;&gt;"",VLOOKUP(Alunos!C294,'TP1'!A3:E1000,5, FALSE),""),"")</f>
        <v/>
      </c>
      <c r="E294" s="2" t="str">
        <f>IF(A294&lt;&gt;"",VLOOKUP(Alunos!A294,Agrupamentos!A3:C1000,3, FALSE),"")</f>
        <v/>
      </c>
      <c r="F294" s="2" t="str">
        <f>IFERROR(IF(A294&lt;&gt;"",VLOOKUP(Alunos!E294,'TP2'!A3:D1000,4, FALSE),""),"")</f>
        <v/>
      </c>
      <c r="G294" s="2" t="str">
        <f>IF(A294&lt;&gt;"", SUMIF(B1:F1,"&lt;&gt;",B294:F294),"")</f>
        <v/>
      </c>
      <c r="H294" s="2" t="str">
        <f>IF(AND(A294&lt;&gt;"",G294&lt;&gt;""),ROUND(G294,0),"")</f>
        <v/>
      </c>
      <c r="I294" s="2" t="str">
        <f>IFERROR(IF(A294&lt;&gt;"",VLOOKUP(Alunos!A294,Recurso!A3:D1000,4, FALSE),""), "")</f>
        <v/>
      </c>
      <c r="J294" s="2" t="str">
        <f>IF(AND(A294&lt;&gt;"",I294&lt;&gt;""), SUMIFS(B294:I294,B1:I1,"&lt;&gt;",B2:I2,"&lt;&gt;Exame",B2:I2,"&lt;&gt;exame",B2:I2,"&lt;&gt;Nota",B2:I2,"&lt;&gt;Total"),"")</f>
        <v/>
      </c>
      <c r="K294" s="2" t="str">
        <f>IF(AND(A294&lt;&gt;"",J294&lt;&gt;""),ROUND(J294,0),"")</f>
        <v/>
      </c>
    </row>
    <row r="295" spans="2:11" x14ac:dyDescent="0.3">
      <c r="B295" s="2" t="str">
        <f>IFERROR(IF(A295&lt;&gt;"",VLOOKUP(Alunos!A295,Exame!A3:D1000,4, FALSE),""), "")</f>
        <v/>
      </c>
      <c r="C295" s="2" t="str">
        <f>IF(A295&lt;&gt;"",VLOOKUP(Alunos!A295,Agrupamentos!A3:C1000,2, FALSE),"")</f>
        <v/>
      </c>
      <c r="D295" s="2" t="str">
        <f>IFERROR(IF(A295&lt;&gt;"",VLOOKUP(Alunos!C295,'TP1'!A3:E1000,5, FALSE),""),"")</f>
        <v/>
      </c>
      <c r="E295" s="2" t="str">
        <f>IF(A295&lt;&gt;"",VLOOKUP(Alunos!A295,Agrupamentos!A3:C1000,3, FALSE),"")</f>
        <v/>
      </c>
      <c r="F295" s="2" t="str">
        <f>IFERROR(IF(A295&lt;&gt;"",VLOOKUP(Alunos!E295,'TP2'!A3:D1000,4, FALSE),""),"")</f>
        <v/>
      </c>
      <c r="G295" s="2" t="str">
        <f>IF(A295&lt;&gt;"", SUMIF(B1:F1,"&lt;&gt;",B295:F295),"")</f>
        <v/>
      </c>
      <c r="H295" s="2" t="str">
        <f>IF(AND(A295&lt;&gt;"",G295&lt;&gt;""),ROUND(G295,0),"")</f>
        <v/>
      </c>
      <c r="I295" s="2" t="str">
        <f>IFERROR(IF(A295&lt;&gt;"",VLOOKUP(Alunos!A295,Recurso!A3:D1000,4, FALSE),""), "")</f>
        <v/>
      </c>
      <c r="J295" s="2" t="str">
        <f>IF(AND(A295&lt;&gt;"",I295&lt;&gt;""), SUMIFS(B295:I295,B1:I1,"&lt;&gt;",B2:I2,"&lt;&gt;Exame",B2:I2,"&lt;&gt;exame",B2:I2,"&lt;&gt;Nota",B2:I2,"&lt;&gt;Total"),"")</f>
        <v/>
      </c>
      <c r="K295" s="2" t="str">
        <f>IF(AND(A295&lt;&gt;"",J295&lt;&gt;""),ROUND(J295,0),"")</f>
        <v/>
      </c>
    </row>
    <row r="296" spans="2:11" x14ac:dyDescent="0.3">
      <c r="B296" s="2" t="str">
        <f>IFERROR(IF(A296&lt;&gt;"",VLOOKUP(Alunos!A296,Exame!A3:D1000,4, FALSE),""), "")</f>
        <v/>
      </c>
      <c r="C296" s="2" t="str">
        <f>IF(A296&lt;&gt;"",VLOOKUP(Alunos!A296,Agrupamentos!A3:C1000,2, FALSE),"")</f>
        <v/>
      </c>
      <c r="D296" s="2" t="str">
        <f>IFERROR(IF(A296&lt;&gt;"",VLOOKUP(Alunos!C296,'TP1'!A3:E1000,5, FALSE),""),"")</f>
        <v/>
      </c>
      <c r="E296" s="2" t="str">
        <f>IF(A296&lt;&gt;"",VLOOKUP(Alunos!A296,Agrupamentos!A3:C1000,3, FALSE),"")</f>
        <v/>
      </c>
      <c r="F296" s="2" t="str">
        <f>IFERROR(IF(A296&lt;&gt;"",VLOOKUP(Alunos!E296,'TP2'!A3:D1000,4, FALSE),""),"")</f>
        <v/>
      </c>
      <c r="G296" s="2" t="str">
        <f>IF(A296&lt;&gt;"", SUMIF(B1:F1,"&lt;&gt;",B296:F296),"")</f>
        <v/>
      </c>
      <c r="H296" s="2" t="str">
        <f>IF(AND(A296&lt;&gt;"",G296&lt;&gt;""),ROUND(G296,0),"")</f>
        <v/>
      </c>
      <c r="I296" s="2" t="str">
        <f>IFERROR(IF(A296&lt;&gt;"",VLOOKUP(Alunos!A296,Recurso!A3:D1000,4, FALSE),""), "")</f>
        <v/>
      </c>
      <c r="J296" s="2" t="str">
        <f>IF(AND(A296&lt;&gt;"",I296&lt;&gt;""), SUMIFS(B296:I296,B1:I1,"&lt;&gt;",B2:I2,"&lt;&gt;Exame",B2:I2,"&lt;&gt;exame",B2:I2,"&lt;&gt;Nota",B2:I2,"&lt;&gt;Total"),"")</f>
        <v/>
      </c>
      <c r="K296" s="2" t="str">
        <f>IF(AND(A296&lt;&gt;"",J296&lt;&gt;""),ROUND(J296,0),"")</f>
        <v/>
      </c>
    </row>
    <row r="297" spans="2:11" x14ac:dyDescent="0.3">
      <c r="B297" s="2" t="str">
        <f>IFERROR(IF(A297&lt;&gt;"",VLOOKUP(Alunos!A297,Exame!A3:D1000,4, FALSE),""), "")</f>
        <v/>
      </c>
      <c r="C297" s="2" t="str">
        <f>IF(A297&lt;&gt;"",VLOOKUP(Alunos!A297,Agrupamentos!A3:C1000,2, FALSE),"")</f>
        <v/>
      </c>
      <c r="D297" s="2" t="str">
        <f>IFERROR(IF(A297&lt;&gt;"",VLOOKUP(Alunos!C297,'TP1'!A3:E1000,5, FALSE),""),"")</f>
        <v/>
      </c>
      <c r="E297" s="2" t="str">
        <f>IF(A297&lt;&gt;"",VLOOKUP(Alunos!A297,Agrupamentos!A3:C1000,3, FALSE),"")</f>
        <v/>
      </c>
      <c r="F297" s="2" t="str">
        <f>IFERROR(IF(A297&lt;&gt;"",VLOOKUP(Alunos!E297,'TP2'!A3:D1000,4, FALSE),""),"")</f>
        <v/>
      </c>
      <c r="G297" s="2" t="str">
        <f>IF(A297&lt;&gt;"", SUMIF(B1:F1,"&lt;&gt;",B297:F297),"")</f>
        <v/>
      </c>
      <c r="H297" s="2" t="str">
        <f>IF(AND(A297&lt;&gt;"",G297&lt;&gt;""),ROUND(G297,0),"")</f>
        <v/>
      </c>
      <c r="I297" s="2" t="str">
        <f>IFERROR(IF(A297&lt;&gt;"",VLOOKUP(Alunos!A297,Recurso!A3:D1000,4, FALSE),""), "")</f>
        <v/>
      </c>
      <c r="J297" s="2" t="str">
        <f>IF(AND(A297&lt;&gt;"",I297&lt;&gt;""), SUMIFS(B297:I297,B1:I1,"&lt;&gt;",B2:I2,"&lt;&gt;Exame",B2:I2,"&lt;&gt;exame",B2:I2,"&lt;&gt;Nota",B2:I2,"&lt;&gt;Total"),"")</f>
        <v/>
      </c>
      <c r="K297" s="2" t="str">
        <f>IF(AND(A297&lt;&gt;"",J297&lt;&gt;""),ROUND(J297,0),"")</f>
        <v/>
      </c>
    </row>
    <row r="298" spans="2:11" x14ac:dyDescent="0.3">
      <c r="B298" s="2" t="str">
        <f>IFERROR(IF(A298&lt;&gt;"",VLOOKUP(Alunos!A298,Exame!A3:D1000,4, FALSE),""), "")</f>
        <v/>
      </c>
      <c r="C298" s="2" t="str">
        <f>IF(A298&lt;&gt;"",VLOOKUP(Alunos!A298,Agrupamentos!A3:C1000,2, FALSE),"")</f>
        <v/>
      </c>
      <c r="D298" s="2" t="str">
        <f>IFERROR(IF(A298&lt;&gt;"",VLOOKUP(Alunos!C298,'TP1'!A3:E1000,5, FALSE),""),"")</f>
        <v/>
      </c>
      <c r="E298" s="2" t="str">
        <f>IF(A298&lt;&gt;"",VLOOKUP(Alunos!A298,Agrupamentos!A3:C1000,3, FALSE),"")</f>
        <v/>
      </c>
      <c r="F298" s="2" t="str">
        <f>IFERROR(IF(A298&lt;&gt;"",VLOOKUP(Alunos!E298,'TP2'!A3:D1000,4, FALSE),""),"")</f>
        <v/>
      </c>
      <c r="G298" s="2" t="str">
        <f>IF(A298&lt;&gt;"", SUMIF(B1:F1,"&lt;&gt;",B298:F298),"")</f>
        <v/>
      </c>
      <c r="H298" s="2" t="str">
        <f>IF(AND(A298&lt;&gt;"",G298&lt;&gt;""),ROUND(G298,0),"")</f>
        <v/>
      </c>
      <c r="I298" s="2" t="str">
        <f>IFERROR(IF(A298&lt;&gt;"",VLOOKUP(Alunos!A298,Recurso!A3:D1000,4, FALSE),""), "")</f>
        <v/>
      </c>
      <c r="J298" s="2" t="str">
        <f>IF(AND(A298&lt;&gt;"",I298&lt;&gt;""), SUMIFS(B298:I298,B1:I1,"&lt;&gt;",B2:I2,"&lt;&gt;Exame",B2:I2,"&lt;&gt;exame",B2:I2,"&lt;&gt;Nota",B2:I2,"&lt;&gt;Total"),"")</f>
        <v/>
      </c>
      <c r="K298" s="2" t="str">
        <f>IF(AND(A298&lt;&gt;"",J298&lt;&gt;""),ROUND(J298,0),"")</f>
        <v/>
      </c>
    </row>
    <row r="299" spans="2:11" x14ac:dyDescent="0.3">
      <c r="B299" s="2" t="str">
        <f>IFERROR(IF(A299&lt;&gt;"",VLOOKUP(Alunos!A299,Exame!A3:D1000,4, FALSE),""), "")</f>
        <v/>
      </c>
      <c r="C299" s="2" t="str">
        <f>IF(A299&lt;&gt;"",VLOOKUP(Alunos!A299,Agrupamentos!A3:C1000,2, FALSE),"")</f>
        <v/>
      </c>
      <c r="D299" s="2" t="str">
        <f>IFERROR(IF(A299&lt;&gt;"",VLOOKUP(Alunos!C299,'TP1'!A3:E1000,5, FALSE),""),"")</f>
        <v/>
      </c>
      <c r="E299" s="2" t="str">
        <f>IF(A299&lt;&gt;"",VLOOKUP(Alunos!A299,Agrupamentos!A3:C1000,3, FALSE),"")</f>
        <v/>
      </c>
      <c r="F299" s="2" t="str">
        <f>IFERROR(IF(A299&lt;&gt;"",VLOOKUP(Alunos!E299,'TP2'!A3:D1000,4, FALSE),""),"")</f>
        <v/>
      </c>
      <c r="G299" s="2" t="str">
        <f>IF(A299&lt;&gt;"", SUMIF(B1:F1,"&lt;&gt;",B299:F299),"")</f>
        <v/>
      </c>
      <c r="H299" s="2" t="str">
        <f>IF(AND(A299&lt;&gt;"",G299&lt;&gt;""),ROUND(G299,0),"")</f>
        <v/>
      </c>
      <c r="I299" s="2" t="str">
        <f>IFERROR(IF(A299&lt;&gt;"",VLOOKUP(Alunos!A299,Recurso!A3:D1000,4, FALSE),""), "")</f>
        <v/>
      </c>
      <c r="J299" s="2" t="str">
        <f>IF(AND(A299&lt;&gt;"",I299&lt;&gt;""), SUMIFS(B299:I299,B1:I1,"&lt;&gt;",B2:I2,"&lt;&gt;Exame",B2:I2,"&lt;&gt;exame",B2:I2,"&lt;&gt;Nota",B2:I2,"&lt;&gt;Total"),"")</f>
        <v/>
      </c>
      <c r="K299" s="2" t="str">
        <f>IF(AND(A299&lt;&gt;"",J299&lt;&gt;""),ROUND(J299,0),"")</f>
        <v/>
      </c>
    </row>
    <row r="300" spans="2:11" x14ac:dyDescent="0.3">
      <c r="B300" s="2" t="str">
        <f>IFERROR(IF(A300&lt;&gt;"",VLOOKUP(Alunos!A300,Exame!A3:D1000,4, FALSE),""), "")</f>
        <v/>
      </c>
      <c r="C300" s="2" t="str">
        <f>IF(A300&lt;&gt;"",VLOOKUP(Alunos!A300,Agrupamentos!A3:C1000,2, FALSE),"")</f>
        <v/>
      </c>
      <c r="D300" s="2" t="str">
        <f>IFERROR(IF(A300&lt;&gt;"",VLOOKUP(Alunos!C300,'TP1'!A3:E1000,5, FALSE),""),"")</f>
        <v/>
      </c>
      <c r="E300" s="2" t="str">
        <f>IF(A300&lt;&gt;"",VLOOKUP(Alunos!A300,Agrupamentos!A3:C1000,3, FALSE),"")</f>
        <v/>
      </c>
      <c r="F300" s="2" t="str">
        <f>IFERROR(IF(A300&lt;&gt;"",VLOOKUP(Alunos!E300,'TP2'!A3:D1000,4, FALSE),""),"")</f>
        <v/>
      </c>
      <c r="G300" s="2" t="str">
        <f>IF(A300&lt;&gt;"", SUMIF(B1:F1,"&lt;&gt;",B300:F300),"")</f>
        <v/>
      </c>
      <c r="H300" s="2" t="str">
        <f>IF(AND(A300&lt;&gt;"",G300&lt;&gt;""),ROUND(G300,0),"")</f>
        <v/>
      </c>
      <c r="I300" s="2" t="str">
        <f>IFERROR(IF(A300&lt;&gt;"",VLOOKUP(Alunos!A300,Recurso!A3:D1000,4, FALSE),""), "")</f>
        <v/>
      </c>
      <c r="J300" s="2" t="str">
        <f>IF(AND(A300&lt;&gt;"",I300&lt;&gt;""), SUMIFS(B300:I300,B1:I1,"&lt;&gt;",B2:I2,"&lt;&gt;Exame",B2:I2,"&lt;&gt;exame",B2:I2,"&lt;&gt;Nota",B2:I2,"&lt;&gt;Total"),"")</f>
        <v/>
      </c>
      <c r="K300" s="2" t="str">
        <f>IF(AND(A300&lt;&gt;"",J300&lt;&gt;""),ROUND(J300,0),"")</f>
        <v/>
      </c>
    </row>
    <row r="301" spans="2:11" x14ac:dyDescent="0.3">
      <c r="B301" s="2" t="str">
        <f>IFERROR(IF(A301&lt;&gt;"",VLOOKUP(Alunos!A301,Exame!A3:D1000,4, FALSE),""), "")</f>
        <v/>
      </c>
      <c r="C301" s="2" t="str">
        <f>IF(A301&lt;&gt;"",VLOOKUP(Alunos!A301,Agrupamentos!A3:C1000,2, FALSE),"")</f>
        <v/>
      </c>
      <c r="D301" s="2" t="str">
        <f>IFERROR(IF(A301&lt;&gt;"",VLOOKUP(Alunos!C301,'TP1'!A3:E1000,5, FALSE),""),"")</f>
        <v/>
      </c>
      <c r="E301" s="2" t="str">
        <f>IF(A301&lt;&gt;"",VLOOKUP(Alunos!A301,Agrupamentos!A3:C1000,3, FALSE),"")</f>
        <v/>
      </c>
      <c r="F301" s="2" t="str">
        <f>IFERROR(IF(A301&lt;&gt;"",VLOOKUP(Alunos!E301,'TP2'!A3:D1000,4, FALSE),""),"")</f>
        <v/>
      </c>
      <c r="G301" s="2" t="str">
        <f>IF(A301&lt;&gt;"", SUMIF(B1:F1,"&lt;&gt;",B301:F301),"")</f>
        <v/>
      </c>
      <c r="H301" s="2" t="str">
        <f>IF(AND(A301&lt;&gt;"",G301&lt;&gt;""),ROUND(G301,0),"")</f>
        <v/>
      </c>
      <c r="I301" s="2" t="str">
        <f>IFERROR(IF(A301&lt;&gt;"",VLOOKUP(Alunos!A301,Recurso!A3:D1000,4, FALSE),""), "")</f>
        <v/>
      </c>
      <c r="J301" s="2" t="str">
        <f>IF(AND(A301&lt;&gt;"",I301&lt;&gt;""), SUMIFS(B301:I301,B1:I1,"&lt;&gt;",B2:I2,"&lt;&gt;Exame",B2:I2,"&lt;&gt;exame",B2:I2,"&lt;&gt;Nota",B2:I2,"&lt;&gt;Total"),"")</f>
        <v/>
      </c>
      <c r="K301" s="2" t="str">
        <f>IF(AND(A301&lt;&gt;"",J301&lt;&gt;""),ROUND(J301,0),"")</f>
        <v/>
      </c>
    </row>
    <row r="302" spans="2:11" x14ac:dyDescent="0.3">
      <c r="B302" s="2" t="str">
        <f>IFERROR(IF(A302&lt;&gt;"",VLOOKUP(Alunos!A302,Exame!A3:D1000,4, FALSE),""), "")</f>
        <v/>
      </c>
      <c r="C302" s="2" t="str">
        <f>IF(A302&lt;&gt;"",VLOOKUP(Alunos!A302,Agrupamentos!A3:C1000,2, FALSE),"")</f>
        <v/>
      </c>
      <c r="D302" s="2" t="str">
        <f>IFERROR(IF(A302&lt;&gt;"",VLOOKUP(Alunos!C302,'TP1'!A3:E1000,5, FALSE),""),"")</f>
        <v/>
      </c>
      <c r="E302" s="2" t="str">
        <f>IF(A302&lt;&gt;"",VLOOKUP(Alunos!A302,Agrupamentos!A3:C1000,3, FALSE),"")</f>
        <v/>
      </c>
      <c r="F302" s="2" t="str">
        <f>IFERROR(IF(A302&lt;&gt;"",VLOOKUP(Alunos!E302,'TP2'!A3:D1000,4, FALSE),""),"")</f>
        <v/>
      </c>
      <c r="G302" s="2" t="str">
        <f>IF(A302&lt;&gt;"", SUMIF(B1:F1,"&lt;&gt;",B302:F302),"")</f>
        <v/>
      </c>
      <c r="H302" s="2" t="str">
        <f>IF(AND(A302&lt;&gt;"",G302&lt;&gt;""),ROUND(G302,0),"")</f>
        <v/>
      </c>
      <c r="I302" s="2" t="str">
        <f>IFERROR(IF(A302&lt;&gt;"",VLOOKUP(Alunos!A302,Recurso!A3:D1000,4, FALSE),""), "")</f>
        <v/>
      </c>
      <c r="J302" s="2" t="str">
        <f>IF(AND(A302&lt;&gt;"",I302&lt;&gt;""), SUMIFS(B302:I302,B1:I1,"&lt;&gt;",B2:I2,"&lt;&gt;Exame",B2:I2,"&lt;&gt;exame",B2:I2,"&lt;&gt;Nota",B2:I2,"&lt;&gt;Total"),"")</f>
        <v/>
      </c>
      <c r="K302" s="2" t="str">
        <f>IF(AND(A302&lt;&gt;"",J302&lt;&gt;""),ROUND(J302,0),"")</f>
        <v/>
      </c>
    </row>
    <row r="303" spans="2:11" x14ac:dyDescent="0.3">
      <c r="B303" s="2" t="str">
        <f>IFERROR(IF(A303&lt;&gt;"",VLOOKUP(Alunos!A303,Exame!A3:D1000,4, FALSE),""), "")</f>
        <v/>
      </c>
      <c r="C303" s="2" t="str">
        <f>IF(A303&lt;&gt;"",VLOOKUP(Alunos!A303,Agrupamentos!A3:C1000,2, FALSE),"")</f>
        <v/>
      </c>
      <c r="D303" s="2" t="str">
        <f>IFERROR(IF(A303&lt;&gt;"",VLOOKUP(Alunos!C303,'TP1'!A3:E1000,5, FALSE),""),"")</f>
        <v/>
      </c>
      <c r="E303" s="2" t="str">
        <f>IF(A303&lt;&gt;"",VLOOKUP(Alunos!A303,Agrupamentos!A3:C1000,3, FALSE),"")</f>
        <v/>
      </c>
      <c r="F303" s="2" t="str">
        <f>IFERROR(IF(A303&lt;&gt;"",VLOOKUP(Alunos!E303,'TP2'!A3:D1000,4, FALSE),""),"")</f>
        <v/>
      </c>
      <c r="G303" s="2" t="str">
        <f>IF(A303&lt;&gt;"", SUMIF(B1:F1,"&lt;&gt;",B303:F303),"")</f>
        <v/>
      </c>
      <c r="H303" s="2" t="str">
        <f>IF(AND(A303&lt;&gt;"",G303&lt;&gt;""),ROUND(G303,0),"")</f>
        <v/>
      </c>
      <c r="I303" s="2" t="str">
        <f>IFERROR(IF(A303&lt;&gt;"",VLOOKUP(Alunos!A303,Recurso!A3:D1000,4, FALSE),""), "")</f>
        <v/>
      </c>
      <c r="J303" s="2" t="str">
        <f>IF(AND(A303&lt;&gt;"",I303&lt;&gt;""), SUMIFS(B303:I303,B1:I1,"&lt;&gt;",B2:I2,"&lt;&gt;Exame",B2:I2,"&lt;&gt;exame",B2:I2,"&lt;&gt;Nota",B2:I2,"&lt;&gt;Total"),"")</f>
        <v/>
      </c>
      <c r="K303" s="2" t="str">
        <f>IF(AND(A303&lt;&gt;"",J303&lt;&gt;""),ROUND(J303,0),"")</f>
        <v/>
      </c>
    </row>
    <row r="304" spans="2:11" x14ac:dyDescent="0.3">
      <c r="B304" s="2" t="str">
        <f>IFERROR(IF(A304&lt;&gt;"",VLOOKUP(Alunos!A304,Exame!A3:D1000,4, FALSE),""), "")</f>
        <v/>
      </c>
      <c r="C304" s="2" t="str">
        <f>IF(A304&lt;&gt;"",VLOOKUP(Alunos!A304,Agrupamentos!A3:C1000,2, FALSE),"")</f>
        <v/>
      </c>
      <c r="D304" s="2" t="str">
        <f>IFERROR(IF(A304&lt;&gt;"",VLOOKUP(Alunos!C304,'TP1'!A3:E1000,5, FALSE),""),"")</f>
        <v/>
      </c>
      <c r="E304" s="2" t="str">
        <f>IF(A304&lt;&gt;"",VLOOKUP(Alunos!A304,Agrupamentos!A3:C1000,3, FALSE),"")</f>
        <v/>
      </c>
      <c r="F304" s="2" t="str">
        <f>IFERROR(IF(A304&lt;&gt;"",VLOOKUP(Alunos!E304,'TP2'!A3:D1000,4, FALSE),""),"")</f>
        <v/>
      </c>
      <c r="G304" s="2" t="str">
        <f>IF(A304&lt;&gt;"", SUMIF(B1:F1,"&lt;&gt;",B304:F304),"")</f>
        <v/>
      </c>
      <c r="H304" s="2" t="str">
        <f>IF(AND(A304&lt;&gt;"",G304&lt;&gt;""),ROUND(G304,0),"")</f>
        <v/>
      </c>
      <c r="I304" s="2" t="str">
        <f>IFERROR(IF(A304&lt;&gt;"",VLOOKUP(Alunos!A304,Recurso!A3:D1000,4, FALSE),""), "")</f>
        <v/>
      </c>
      <c r="J304" s="2" t="str">
        <f>IF(AND(A304&lt;&gt;"",I304&lt;&gt;""), SUMIFS(B304:I304,B1:I1,"&lt;&gt;",B2:I2,"&lt;&gt;Exame",B2:I2,"&lt;&gt;exame",B2:I2,"&lt;&gt;Nota",B2:I2,"&lt;&gt;Total"),"")</f>
        <v/>
      </c>
      <c r="K304" s="2" t="str">
        <f>IF(AND(A304&lt;&gt;"",J304&lt;&gt;""),ROUND(J304,0),"")</f>
        <v/>
      </c>
    </row>
    <row r="305" spans="2:11" x14ac:dyDescent="0.3">
      <c r="B305" s="2" t="str">
        <f>IFERROR(IF(A305&lt;&gt;"",VLOOKUP(Alunos!A305,Exame!A3:D1000,4, FALSE),""), "")</f>
        <v/>
      </c>
      <c r="C305" s="2" t="str">
        <f>IF(A305&lt;&gt;"",VLOOKUP(Alunos!A305,Agrupamentos!A3:C1000,2, FALSE),"")</f>
        <v/>
      </c>
      <c r="D305" s="2" t="str">
        <f>IFERROR(IF(A305&lt;&gt;"",VLOOKUP(Alunos!C305,'TP1'!A3:E1000,5, FALSE),""),"")</f>
        <v/>
      </c>
      <c r="E305" s="2" t="str">
        <f>IF(A305&lt;&gt;"",VLOOKUP(Alunos!A305,Agrupamentos!A3:C1000,3, FALSE),"")</f>
        <v/>
      </c>
      <c r="F305" s="2" t="str">
        <f>IFERROR(IF(A305&lt;&gt;"",VLOOKUP(Alunos!E305,'TP2'!A3:D1000,4, FALSE),""),"")</f>
        <v/>
      </c>
      <c r="G305" s="2" t="str">
        <f>IF(A305&lt;&gt;"", SUMIF(B1:F1,"&lt;&gt;",B305:F305),"")</f>
        <v/>
      </c>
      <c r="H305" s="2" t="str">
        <f>IF(AND(A305&lt;&gt;"",G305&lt;&gt;""),ROUND(G305,0),"")</f>
        <v/>
      </c>
      <c r="I305" s="2" t="str">
        <f>IFERROR(IF(A305&lt;&gt;"",VLOOKUP(Alunos!A305,Recurso!A3:D1000,4, FALSE),""), "")</f>
        <v/>
      </c>
      <c r="J305" s="2" t="str">
        <f>IF(AND(A305&lt;&gt;"",I305&lt;&gt;""), SUMIFS(B305:I305,B1:I1,"&lt;&gt;",B2:I2,"&lt;&gt;Exame",B2:I2,"&lt;&gt;exame",B2:I2,"&lt;&gt;Nota",B2:I2,"&lt;&gt;Total"),"")</f>
        <v/>
      </c>
      <c r="K305" s="2" t="str">
        <f>IF(AND(A305&lt;&gt;"",J305&lt;&gt;""),ROUND(J305,0),"")</f>
        <v/>
      </c>
    </row>
    <row r="306" spans="2:11" x14ac:dyDescent="0.3">
      <c r="B306" s="2" t="str">
        <f>IFERROR(IF(A306&lt;&gt;"",VLOOKUP(Alunos!A306,Exame!A3:D1000,4, FALSE),""), "")</f>
        <v/>
      </c>
      <c r="C306" s="2" t="str">
        <f>IF(A306&lt;&gt;"",VLOOKUP(Alunos!A306,Agrupamentos!A3:C1000,2, FALSE),"")</f>
        <v/>
      </c>
      <c r="D306" s="2" t="str">
        <f>IFERROR(IF(A306&lt;&gt;"",VLOOKUP(Alunos!C306,'TP1'!A3:E1000,5, FALSE),""),"")</f>
        <v/>
      </c>
      <c r="E306" s="2" t="str">
        <f>IF(A306&lt;&gt;"",VLOOKUP(Alunos!A306,Agrupamentos!A3:C1000,3, FALSE),"")</f>
        <v/>
      </c>
      <c r="F306" s="2" t="str">
        <f>IFERROR(IF(A306&lt;&gt;"",VLOOKUP(Alunos!E306,'TP2'!A3:D1000,4, FALSE),""),"")</f>
        <v/>
      </c>
      <c r="G306" s="2" t="str">
        <f>IF(A306&lt;&gt;"", SUMIF(B1:F1,"&lt;&gt;",B306:F306),"")</f>
        <v/>
      </c>
      <c r="H306" s="2" t="str">
        <f>IF(AND(A306&lt;&gt;"",G306&lt;&gt;""),ROUND(G306,0),"")</f>
        <v/>
      </c>
      <c r="I306" s="2" t="str">
        <f>IFERROR(IF(A306&lt;&gt;"",VLOOKUP(Alunos!A306,Recurso!A3:D1000,4, FALSE),""), "")</f>
        <v/>
      </c>
      <c r="J306" s="2" t="str">
        <f>IF(AND(A306&lt;&gt;"",I306&lt;&gt;""), SUMIFS(B306:I306,B1:I1,"&lt;&gt;",B2:I2,"&lt;&gt;Exame",B2:I2,"&lt;&gt;exame",B2:I2,"&lt;&gt;Nota",B2:I2,"&lt;&gt;Total"),"")</f>
        <v/>
      </c>
      <c r="K306" s="2" t="str">
        <f>IF(AND(A306&lt;&gt;"",J306&lt;&gt;""),ROUND(J306,0),"")</f>
        <v/>
      </c>
    </row>
    <row r="307" spans="2:11" x14ac:dyDescent="0.3">
      <c r="B307" s="2" t="str">
        <f>IFERROR(IF(A307&lt;&gt;"",VLOOKUP(Alunos!A307,Exame!A3:D1000,4, FALSE),""), "")</f>
        <v/>
      </c>
      <c r="C307" s="2" t="str">
        <f>IF(A307&lt;&gt;"",VLOOKUP(Alunos!A307,Agrupamentos!A3:C1000,2, FALSE),"")</f>
        <v/>
      </c>
      <c r="D307" s="2" t="str">
        <f>IFERROR(IF(A307&lt;&gt;"",VLOOKUP(Alunos!C307,'TP1'!A3:E1000,5, FALSE),""),"")</f>
        <v/>
      </c>
      <c r="E307" s="2" t="str">
        <f>IF(A307&lt;&gt;"",VLOOKUP(Alunos!A307,Agrupamentos!A3:C1000,3, FALSE),"")</f>
        <v/>
      </c>
      <c r="F307" s="2" t="str">
        <f>IFERROR(IF(A307&lt;&gt;"",VLOOKUP(Alunos!E307,'TP2'!A3:D1000,4, FALSE),""),"")</f>
        <v/>
      </c>
      <c r="G307" s="2" t="str">
        <f>IF(A307&lt;&gt;"", SUMIF(B1:F1,"&lt;&gt;",B307:F307),"")</f>
        <v/>
      </c>
      <c r="H307" s="2" t="str">
        <f>IF(AND(A307&lt;&gt;"",G307&lt;&gt;""),ROUND(G307,0),"")</f>
        <v/>
      </c>
      <c r="I307" s="2" t="str">
        <f>IFERROR(IF(A307&lt;&gt;"",VLOOKUP(Alunos!A307,Recurso!A3:D1000,4, FALSE),""), "")</f>
        <v/>
      </c>
      <c r="J307" s="2" t="str">
        <f>IF(AND(A307&lt;&gt;"",I307&lt;&gt;""), SUMIFS(B307:I307,B1:I1,"&lt;&gt;",B2:I2,"&lt;&gt;Exame",B2:I2,"&lt;&gt;exame",B2:I2,"&lt;&gt;Nota",B2:I2,"&lt;&gt;Total"),"")</f>
        <v/>
      </c>
      <c r="K307" s="2" t="str">
        <f>IF(AND(A307&lt;&gt;"",J307&lt;&gt;""),ROUND(J307,0),"")</f>
        <v/>
      </c>
    </row>
    <row r="308" spans="2:11" x14ac:dyDescent="0.3">
      <c r="B308" s="2" t="str">
        <f>IFERROR(IF(A308&lt;&gt;"",VLOOKUP(Alunos!A308,Exame!A3:D1000,4, FALSE),""), "")</f>
        <v/>
      </c>
      <c r="C308" s="2" t="str">
        <f>IF(A308&lt;&gt;"",VLOOKUP(Alunos!A308,Agrupamentos!A3:C1000,2, FALSE),"")</f>
        <v/>
      </c>
      <c r="D308" s="2" t="str">
        <f>IFERROR(IF(A308&lt;&gt;"",VLOOKUP(Alunos!C308,'TP1'!A3:E1000,5, FALSE),""),"")</f>
        <v/>
      </c>
      <c r="E308" s="2" t="str">
        <f>IF(A308&lt;&gt;"",VLOOKUP(Alunos!A308,Agrupamentos!A3:C1000,3, FALSE),"")</f>
        <v/>
      </c>
      <c r="F308" s="2" t="str">
        <f>IFERROR(IF(A308&lt;&gt;"",VLOOKUP(Alunos!E308,'TP2'!A3:D1000,4, FALSE),""),"")</f>
        <v/>
      </c>
      <c r="G308" s="2" t="str">
        <f>IF(A308&lt;&gt;"", SUMIF(B1:F1,"&lt;&gt;",B308:F308),"")</f>
        <v/>
      </c>
      <c r="H308" s="2" t="str">
        <f>IF(AND(A308&lt;&gt;"",G308&lt;&gt;""),ROUND(G308,0),"")</f>
        <v/>
      </c>
      <c r="I308" s="2" t="str">
        <f>IFERROR(IF(A308&lt;&gt;"",VLOOKUP(Alunos!A308,Recurso!A3:D1000,4, FALSE),""), "")</f>
        <v/>
      </c>
      <c r="J308" s="2" t="str">
        <f>IF(AND(A308&lt;&gt;"",I308&lt;&gt;""), SUMIFS(B308:I308,B1:I1,"&lt;&gt;",B2:I2,"&lt;&gt;Exame",B2:I2,"&lt;&gt;exame",B2:I2,"&lt;&gt;Nota",B2:I2,"&lt;&gt;Total"),"")</f>
        <v/>
      </c>
      <c r="K308" s="2" t="str">
        <f>IF(AND(A308&lt;&gt;"",J308&lt;&gt;""),ROUND(J308,0),"")</f>
        <v/>
      </c>
    </row>
    <row r="309" spans="2:11" x14ac:dyDescent="0.3">
      <c r="B309" s="2" t="str">
        <f>IFERROR(IF(A309&lt;&gt;"",VLOOKUP(Alunos!A309,Exame!A3:D1000,4, FALSE),""), "")</f>
        <v/>
      </c>
      <c r="C309" s="2" t="str">
        <f>IF(A309&lt;&gt;"",VLOOKUP(Alunos!A309,Agrupamentos!A3:C1000,2, FALSE),"")</f>
        <v/>
      </c>
      <c r="D309" s="2" t="str">
        <f>IFERROR(IF(A309&lt;&gt;"",VLOOKUP(Alunos!C309,'TP1'!A3:E1000,5, FALSE),""),"")</f>
        <v/>
      </c>
      <c r="E309" s="2" t="str">
        <f>IF(A309&lt;&gt;"",VLOOKUP(Alunos!A309,Agrupamentos!A3:C1000,3, FALSE),"")</f>
        <v/>
      </c>
      <c r="F309" s="2" t="str">
        <f>IFERROR(IF(A309&lt;&gt;"",VLOOKUP(Alunos!E309,'TP2'!A3:D1000,4, FALSE),""),"")</f>
        <v/>
      </c>
      <c r="G309" s="2" t="str">
        <f>IF(A309&lt;&gt;"", SUMIF(B1:F1,"&lt;&gt;",B309:F309),"")</f>
        <v/>
      </c>
      <c r="H309" s="2" t="str">
        <f>IF(AND(A309&lt;&gt;"",G309&lt;&gt;""),ROUND(G309,0),"")</f>
        <v/>
      </c>
      <c r="I309" s="2" t="str">
        <f>IFERROR(IF(A309&lt;&gt;"",VLOOKUP(Alunos!A309,Recurso!A3:D1000,4, FALSE),""), "")</f>
        <v/>
      </c>
      <c r="J309" s="2" t="str">
        <f>IF(AND(A309&lt;&gt;"",I309&lt;&gt;""), SUMIFS(B309:I309,B1:I1,"&lt;&gt;",B2:I2,"&lt;&gt;Exame",B2:I2,"&lt;&gt;exame",B2:I2,"&lt;&gt;Nota",B2:I2,"&lt;&gt;Total"),"")</f>
        <v/>
      </c>
      <c r="K309" s="2" t="str">
        <f>IF(AND(A309&lt;&gt;"",J309&lt;&gt;""),ROUND(J309,0),"")</f>
        <v/>
      </c>
    </row>
    <row r="310" spans="2:11" x14ac:dyDescent="0.3">
      <c r="B310" s="2" t="str">
        <f>IFERROR(IF(A310&lt;&gt;"",VLOOKUP(Alunos!A310,Exame!A3:D1000,4, FALSE),""), "")</f>
        <v/>
      </c>
      <c r="C310" s="2" t="str">
        <f>IF(A310&lt;&gt;"",VLOOKUP(Alunos!A310,Agrupamentos!A3:C1000,2, FALSE),"")</f>
        <v/>
      </c>
      <c r="D310" s="2" t="str">
        <f>IFERROR(IF(A310&lt;&gt;"",VLOOKUP(Alunos!C310,'TP1'!A3:E1000,5, FALSE),""),"")</f>
        <v/>
      </c>
      <c r="E310" s="2" t="str">
        <f>IF(A310&lt;&gt;"",VLOOKUP(Alunos!A310,Agrupamentos!A3:C1000,3, FALSE),"")</f>
        <v/>
      </c>
      <c r="F310" s="2" t="str">
        <f>IFERROR(IF(A310&lt;&gt;"",VLOOKUP(Alunos!E310,'TP2'!A3:D1000,4, FALSE),""),"")</f>
        <v/>
      </c>
      <c r="G310" s="2" t="str">
        <f>IF(A310&lt;&gt;"", SUMIF(B1:F1,"&lt;&gt;",B310:F310),"")</f>
        <v/>
      </c>
      <c r="H310" s="2" t="str">
        <f>IF(AND(A310&lt;&gt;"",G310&lt;&gt;""),ROUND(G310,0),"")</f>
        <v/>
      </c>
      <c r="I310" s="2" t="str">
        <f>IFERROR(IF(A310&lt;&gt;"",VLOOKUP(Alunos!A310,Recurso!A3:D1000,4, FALSE),""), "")</f>
        <v/>
      </c>
      <c r="J310" s="2" t="str">
        <f>IF(AND(A310&lt;&gt;"",I310&lt;&gt;""), SUMIFS(B310:I310,B1:I1,"&lt;&gt;",B2:I2,"&lt;&gt;Exame",B2:I2,"&lt;&gt;exame",B2:I2,"&lt;&gt;Nota",B2:I2,"&lt;&gt;Total"),"")</f>
        <v/>
      </c>
      <c r="K310" s="2" t="str">
        <f>IF(AND(A310&lt;&gt;"",J310&lt;&gt;""),ROUND(J310,0),"")</f>
        <v/>
      </c>
    </row>
    <row r="311" spans="2:11" x14ac:dyDescent="0.3">
      <c r="B311" s="2" t="str">
        <f>IFERROR(IF(A311&lt;&gt;"",VLOOKUP(Alunos!A311,Exame!A3:D1000,4, FALSE),""), "")</f>
        <v/>
      </c>
      <c r="C311" s="2" t="str">
        <f>IF(A311&lt;&gt;"",VLOOKUP(Alunos!A311,Agrupamentos!A3:C1000,2, FALSE),"")</f>
        <v/>
      </c>
      <c r="D311" s="2" t="str">
        <f>IFERROR(IF(A311&lt;&gt;"",VLOOKUP(Alunos!C311,'TP1'!A3:E1000,5, FALSE),""),"")</f>
        <v/>
      </c>
      <c r="E311" s="2" t="str">
        <f>IF(A311&lt;&gt;"",VLOOKUP(Alunos!A311,Agrupamentos!A3:C1000,3, FALSE),"")</f>
        <v/>
      </c>
      <c r="F311" s="2" t="str">
        <f>IFERROR(IF(A311&lt;&gt;"",VLOOKUP(Alunos!E311,'TP2'!A3:D1000,4, FALSE),""),"")</f>
        <v/>
      </c>
      <c r="G311" s="2" t="str">
        <f>IF(A311&lt;&gt;"", SUMIF(B1:F1,"&lt;&gt;",B311:F311),"")</f>
        <v/>
      </c>
      <c r="H311" s="2" t="str">
        <f>IF(AND(A311&lt;&gt;"",G311&lt;&gt;""),ROUND(G311,0),"")</f>
        <v/>
      </c>
      <c r="I311" s="2" t="str">
        <f>IFERROR(IF(A311&lt;&gt;"",VLOOKUP(Alunos!A311,Recurso!A3:D1000,4, FALSE),""), "")</f>
        <v/>
      </c>
      <c r="J311" s="2" t="str">
        <f>IF(AND(A311&lt;&gt;"",I311&lt;&gt;""), SUMIFS(B311:I311,B1:I1,"&lt;&gt;",B2:I2,"&lt;&gt;Exame",B2:I2,"&lt;&gt;exame",B2:I2,"&lt;&gt;Nota",B2:I2,"&lt;&gt;Total"),"")</f>
        <v/>
      </c>
      <c r="K311" s="2" t="str">
        <f>IF(AND(A311&lt;&gt;"",J311&lt;&gt;""),ROUND(J311,0),"")</f>
        <v/>
      </c>
    </row>
    <row r="312" spans="2:11" x14ac:dyDescent="0.3">
      <c r="B312" s="2" t="str">
        <f>IFERROR(IF(A312&lt;&gt;"",VLOOKUP(Alunos!A312,Exame!A3:D1000,4, FALSE),""), "")</f>
        <v/>
      </c>
      <c r="C312" s="2" t="str">
        <f>IF(A312&lt;&gt;"",VLOOKUP(Alunos!A312,Agrupamentos!A3:C1000,2, FALSE),"")</f>
        <v/>
      </c>
      <c r="D312" s="2" t="str">
        <f>IFERROR(IF(A312&lt;&gt;"",VLOOKUP(Alunos!C312,'TP1'!A3:E1000,5, FALSE),""),"")</f>
        <v/>
      </c>
      <c r="E312" s="2" t="str">
        <f>IF(A312&lt;&gt;"",VLOOKUP(Alunos!A312,Agrupamentos!A3:C1000,3, FALSE),"")</f>
        <v/>
      </c>
      <c r="F312" s="2" t="str">
        <f>IFERROR(IF(A312&lt;&gt;"",VLOOKUP(Alunos!E312,'TP2'!A3:D1000,4, FALSE),""),"")</f>
        <v/>
      </c>
      <c r="G312" s="2" t="str">
        <f>IF(A312&lt;&gt;"", SUMIF(B1:F1,"&lt;&gt;",B312:F312),"")</f>
        <v/>
      </c>
      <c r="H312" s="2" t="str">
        <f>IF(AND(A312&lt;&gt;"",G312&lt;&gt;""),ROUND(G312,0),"")</f>
        <v/>
      </c>
      <c r="I312" s="2" t="str">
        <f>IFERROR(IF(A312&lt;&gt;"",VLOOKUP(Alunos!A312,Recurso!A3:D1000,4, FALSE),""), "")</f>
        <v/>
      </c>
      <c r="J312" s="2" t="str">
        <f>IF(AND(A312&lt;&gt;"",I312&lt;&gt;""), SUMIFS(B312:I312,B1:I1,"&lt;&gt;",B2:I2,"&lt;&gt;Exame",B2:I2,"&lt;&gt;exame",B2:I2,"&lt;&gt;Nota",B2:I2,"&lt;&gt;Total"),"")</f>
        <v/>
      </c>
      <c r="K312" s="2" t="str">
        <f>IF(AND(A312&lt;&gt;"",J312&lt;&gt;""),ROUND(J312,0),"")</f>
        <v/>
      </c>
    </row>
    <row r="313" spans="2:11" x14ac:dyDescent="0.3">
      <c r="B313" s="2" t="str">
        <f>IFERROR(IF(A313&lt;&gt;"",VLOOKUP(Alunos!A313,Exame!A3:D1000,4, FALSE),""), "")</f>
        <v/>
      </c>
      <c r="C313" s="2" t="str">
        <f>IF(A313&lt;&gt;"",VLOOKUP(Alunos!A313,Agrupamentos!A3:C1000,2, FALSE),"")</f>
        <v/>
      </c>
      <c r="D313" s="2" t="str">
        <f>IFERROR(IF(A313&lt;&gt;"",VLOOKUP(Alunos!C313,'TP1'!A3:E1000,5, FALSE),""),"")</f>
        <v/>
      </c>
      <c r="E313" s="2" t="str">
        <f>IF(A313&lt;&gt;"",VLOOKUP(Alunos!A313,Agrupamentos!A3:C1000,3, FALSE),"")</f>
        <v/>
      </c>
      <c r="F313" s="2" t="str">
        <f>IFERROR(IF(A313&lt;&gt;"",VLOOKUP(Alunos!E313,'TP2'!A3:D1000,4, FALSE),""),"")</f>
        <v/>
      </c>
      <c r="G313" s="2" t="str">
        <f>IF(A313&lt;&gt;"", SUMIF(B1:F1,"&lt;&gt;",B313:F313),"")</f>
        <v/>
      </c>
      <c r="H313" s="2" t="str">
        <f>IF(AND(A313&lt;&gt;"",G313&lt;&gt;""),ROUND(G313,0),"")</f>
        <v/>
      </c>
      <c r="I313" s="2" t="str">
        <f>IFERROR(IF(A313&lt;&gt;"",VLOOKUP(Alunos!A313,Recurso!A3:D1000,4, FALSE),""), "")</f>
        <v/>
      </c>
      <c r="J313" s="2" t="str">
        <f>IF(AND(A313&lt;&gt;"",I313&lt;&gt;""), SUMIFS(B313:I313,B1:I1,"&lt;&gt;",B2:I2,"&lt;&gt;Exame",B2:I2,"&lt;&gt;exame",B2:I2,"&lt;&gt;Nota",B2:I2,"&lt;&gt;Total"),"")</f>
        <v/>
      </c>
      <c r="K313" s="2" t="str">
        <f>IF(AND(A313&lt;&gt;"",J313&lt;&gt;""),ROUND(J313,0),"")</f>
        <v/>
      </c>
    </row>
    <row r="314" spans="2:11" x14ac:dyDescent="0.3">
      <c r="B314" s="2" t="str">
        <f>IFERROR(IF(A314&lt;&gt;"",VLOOKUP(Alunos!A314,Exame!A3:D1000,4, FALSE),""), "")</f>
        <v/>
      </c>
      <c r="C314" s="2" t="str">
        <f>IF(A314&lt;&gt;"",VLOOKUP(Alunos!A314,Agrupamentos!A3:C1000,2, FALSE),"")</f>
        <v/>
      </c>
      <c r="D314" s="2" t="str">
        <f>IFERROR(IF(A314&lt;&gt;"",VLOOKUP(Alunos!C314,'TP1'!A3:E1000,5, FALSE),""),"")</f>
        <v/>
      </c>
      <c r="E314" s="2" t="str">
        <f>IF(A314&lt;&gt;"",VLOOKUP(Alunos!A314,Agrupamentos!A3:C1000,3, FALSE),"")</f>
        <v/>
      </c>
      <c r="F314" s="2" t="str">
        <f>IFERROR(IF(A314&lt;&gt;"",VLOOKUP(Alunos!E314,'TP2'!A3:D1000,4, FALSE),""),"")</f>
        <v/>
      </c>
      <c r="G314" s="2" t="str">
        <f>IF(A314&lt;&gt;"", SUMIF(B1:F1,"&lt;&gt;",B314:F314),"")</f>
        <v/>
      </c>
      <c r="H314" s="2" t="str">
        <f>IF(AND(A314&lt;&gt;"",G314&lt;&gt;""),ROUND(G314,0),"")</f>
        <v/>
      </c>
      <c r="I314" s="2" t="str">
        <f>IFERROR(IF(A314&lt;&gt;"",VLOOKUP(Alunos!A314,Recurso!A3:D1000,4, FALSE),""), "")</f>
        <v/>
      </c>
      <c r="J314" s="2" t="str">
        <f>IF(AND(A314&lt;&gt;"",I314&lt;&gt;""), SUMIFS(B314:I314,B1:I1,"&lt;&gt;",B2:I2,"&lt;&gt;Exame",B2:I2,"&lt;&gt;exame",B2:I2,"&lt;&gt;Nota",B2:I2,"&lt;&gt;Total"),"")</f>
        <v/>
      </c>
      <c r="K314" s="2" t="str">
        <f>IF(AND(A314&lt;&gt;"",J314&lt;&gt;""),ROUND(J314,0),"")</f>
        <v/>
      </c>
    </row>
    <row r="315" spans="2:11" x14ac:dyDescent="0.3">
      <c r="B315" s="2" t="str">
        <f>IFERROR(IF(A315&lt;&gt;"",VLOOKUP(Alunos!A315,Exame!A3:D1000,4, FALSE),""), "")</f>
        <v/>
      </c>
      <c r="C315" s="2" t="str">
        <f>IF(A315&lt;&gt;"",VLOOKUP(Alunos!A315,Agrupamentos!A3:C1000,2, FALSE),"")</f>
        <v/>
      </c>
      <c r="D315" s="2" t="str">
        <f>IFERROR(IF(A315&lt;&gt;"",VLOOKUP(Alunos!C315,'TP1'!A3:E1000,5, FALSE),""),"")</f>
        <v/>
      </c>
      <c r="E315" s="2" t="str">
        <f>IF(A315&lt;&gt;"",VLOOKUP(Alunos!A315,Agrupamentos!A3:C1000,3, FALSE),"")</f>
        <v/>
      </c>
      <c r="F315" s="2" t="str">
        <f>IFERROR(IF(A315&lt;&gt;"",VLOOKUP(Alunos!E315,'TP2'!A3:D1000,4, FALSE),""),"")</f>
        <v/>
      </c>
      <c r="G315" s="2" t="str">
        <f>IF(A315&lt;&gt;"", SUMIF(B1:F1,"&lt;&gt;",B315:F315),"")</f>
        <v/>
      </c>
      <c r="H315" s="2" t="str">
        <f>IF(AND(A315&lt;&gt;"",G315&lt;&gt;""),ROUND(G315,0),"")</f>
        <v/>
      </c>
      <c r="I315" s="2" t="str">
        <f>IFERROR(IF(A315&lt;&gt;"",VLOOKUP(Alunos!A315,Recurso!A3:D1000,4, FALSE),""), "")</f>
        <v/>
      </c>
      <c r="J315" s="2" t="str">
        <f>IF(AND(A315&lt;&gt;"",I315&lt;&gt;""), SUMIFS(B315:I315,B1:I1,"&lt;&gt;",B2:I2,"&lt;&gt;Exame",B2:I2,"&lt;&gt;exame",B2:I2,"&lt;&gt;Nota",B2:I2,"&lt;&gt;Total"),"")</f>
        <v/>
      </c>
      <c r="K315" s="2" t="str">
        <f>IF(AND(A315&lt;&gt;"",J315&lt;&gt;""),ROUND(J315,0),"")</f>
        <v/>
      </c>
    </row>
    <row r="316" spans="2:11" x14ac:dyDescent="0.3">
      <c r="B316" s="2" t="str">
        <f>IFERROR(IF(A316&lt;&gt;"",VLOOKUP(Alunos!A316,Exame!A3:D1000,4, FALSE),""), "")</f>
        <v/>
      </c>
      <c r="C316" s="2" t="str">
        <f>IF(A316&lt;&gt;"",VLOOKUP(Alunos!A316,Agrupamentos!A3:C1000,2, FALSE),"")</f>
        <v/>
      </c>
      <c r="D316" s="2" t="str">
        <f>IFERROR(IF(A316&lt;&gt;"",VLOOKUP(Alunos!C316,'TP1'!A3:E1000,5, FALSE),""),"")</f>
        <v/>
      </c>
      <c r="E316" s="2" t="str">
        <f>IF(A316&lt;&gt;"",VLOOKUP(Alunos!A316,Agrupamentos!A3:C1000,3, FALSE),"")</f>
        <v/>
      </c>
      <c r="F316" s="2" t="str">
        <f>IFERROR(IF(A316&lt;&gt;"",VLOOKUP(Alunos!E316,'TP2'!A3:D1000,4, FALSE),""),"")</f>
        <v/>
      </c>
      <c r="G316" s="2" t="str">
        <f>IF(A316&lt;&gt;"", SUMIF(B1:F1,"&lt;&gt;",B316:F316),"")</f>
        <v/>
      </c>
      <c r="H316" s="2" t="str">
        <f>IF(AND(A316&lt;&gt;"",G316&lt;&gt;""),ROUND(G316,0),"")</f>
        <v/>
      </c>
      <c r="I316" s="2" t="str">
        <f>IFERROR(IF(A316&lt;&gt;"",VLOOKUP(Alunos!A316,Recurso!A3:D1000,4, FALSE),""), "")</f>
        <v/>
      </c>
      <c r="J316" s="2" t="str">
        <f>IF(AND(A316&lt;&gt;"",I316&lt;&gt;""), SUMIFS(B316:I316,B1:I1,"&lt;&gt;",B2:I2,"&lt;&gt;Exame",B2:I2,"&lt;&gt;exame",B2:I2,"&lt;&gt;Nota",B2:I2,"&lt;&gt;Total"),"")</f>
        <v/>
      </c>
      <c r="K316" s="2" t="str">
        <f>IF(AND(A316&lt;&gt;"",J316&lt;&gt;""),ROUND(J316,0),"")</f>
        <v/>
      </c>
    </row>
    <row r="317" spans="2:11" x14ac:dyDescent="0.3">
      <c r="B317" s="2" t="str">
        <f>IFERROR(IF(A317&lt;&gt;"",VLOOKUP(Alunos!A317,Exame!A3:D1000,4, FALSE),""), "")</f>
        <v/>
      </c>
      <c r="C317" s="2" t="str">
        <f>IF(A317&lt;&gt;"",VLOOKUP(Alunos!A317,Agrupamentos!A3:C1000,2, FALSE),"")</f>
        <v/>
      </c>
      <c r="D317" s="2" t="str">
        <f>IFERROR(IF(A317&lt;&gt;"",VLOOKUP(Alunos!C317,'TP1'!A3:E1000,5, FALSE),""),"")</f>
        <v/>
      </c>
      <c r="E317" s="2" t="str">
        <f>IF(A317&lt;&gt;"",VLOOKUP(Alunos!A317,Agrupamentos!A3:C1000,3, FALSE),"")</f>
        <v/>
      </c>
      <c r="F317" s="2" t="str">
        <f>IFERROR(IF(A317&lt;&gt;"",VLOOKUP(Alunos!E317,'TP2'!A3:D1000,4, FALSE),""),"")</f>
        <v/>
      </c>
      <c r="G317" s="2" t="str">
        <f>IF(A317&lt;&gt;"", SUMIF(B1:F1,"&lt;&gt;",B317:F317),"")</f>
        <v/>
      </c>
      <c r="H317" s="2" t="str">
        <f>IF(AND(A317&lt;&gt;"",G317&lt;&gt;""),ROUND(G317,0),"")</f>
        <v/>
      </c>
      <c r="I317" s="2" t="str">
        <f>IFERROR(IF(A317&lt;&gt;"",VLOOKUP(Alunos!A317,Recurso!A3:D1000,4, FALSE),""), "")</f>
        <v/>
      </c>
      <c r="J317" s="2" t="str">
        <f>IF(AND(A317&lt;&gt;"",I317&lt;&gt;""), SUMIFS(B317:I317,B1:I1,"&lt;&gt;",B2:I2,"&lt;&gt;Exame",B2:I2,"&lt;&gt;exame",B2:I2,"&lt;&gt;Nota",B2:I2,"&lt;&gt;Total"),"")</f>
        <v/>
      </c>
      <c r="K317" s="2" t="str">
        <f>IF(AND(A317&lt;&gt;"",J317&lt;&gt;""),ROUND(J317,0),"")</f>
        <v/>
      </c>
    </row>
    <row r="318" spans="2:11" x14ac:dyDescent="0.3">
      <c r="B318" s="2" t="str">
        <f>IFERROR(IF(A318&lt;&gt;"",VLOOKUP(Alunos!A318,Exame!A3:D1000,4, FALSE),""), "")</f>
        <v/>
      </c>
      <c r="C318" s="2" t="str">
        <f>IF(A318&lt;&gt;"",VLOOKUP(Alunos!A318,Agrupamentos!A3:C1000,2, FALSE),"")</f>
        <v/>
      </c>
      <c r="D318" s="2" t="str">
        <f>IFERROR(IF(A318&lt;&gt;"",VLOOKUP(Alunos!C318,'TP1'!A3:E1000,5, FALSE),""),"")</f>
        <v/>
      </c>
      <c r="E318" s="2" t="str">
        <f>IF(A318&lt;&gt;"",VLOOKUP(Alunos!A318,Agrupamentos!A3:C1000,3, FALSE),"")</f>
        <v/>
      </c>
      <c r="F318" s="2" t="str">
        <f>IFERROR(IF(A318&lt;&gt;"",VLOOKUP(Alunos!E318,'TP2'!A3:D1000,4, FALSE),""),"")</f>
        <v/>
      </c>
      <c r="G318" s="2" t="str">
        <f>IF(A318&lt;&gt;"", SUMIF(B1:F1,"&lt;&gt;",B318:F318),"")</f>
        <v/>
      </c>
      <c r="H318" s="2" t="str">
        <f>IF(AND(A318&lt;&gt;"",G318&lt;&gt;""),ROUND(G318,0),"")</f>
        <v/>
      </c>
      <c r="I318" s="2" t="str">
        <f>IFERROR(IF(A318&lt;&gt;"",VLOOKUP(Alunos!A318,Recurso!A3:D1000,4, FALSE),""), "")</f>
        <v/>
      </c>
      <c r="J318" s="2" t="str">
        <f>IF(AND(A318&lt;&gt;"",I318&lt;&gt;""), SUMIFS(B318:I318,B1:I1,"&lt;&gt;",B2:I2,"&lt;&gt;Exame",B2:I2,"&lt;&gt;exame",B2:I2,"&lt;&gt;Nota",B2:I2,"&lt;&gt;Total"),"")</f>
        <v/>
      </c>
      <c r="K318" s="2" t="str">
        <f>IF(AND(A318&lt;&gt;"",J318&lt;&gt;""),ROUND(J318,0),"")</f>
        <v/>
      </c>
    </row>
    <row r="319" spans="2:11" x14ac:dyDescent="0.3">
      <c r="B319" s="2" t="str">
        <f>IFERROR(IF(A319&lt;&gt;"",VLOOKUP(Alunos!A319,Exame!A3:D1000,4, FALSE),""), "")</f>
        <v/>
      </c>
      <c r="C319" s="2" t="str">
        <f>IF(A319&lt;&gt;"",VLOOKUP(Alunos!A319,Agrupamentos!A3:C1000,2, FALSE),"")</f>
        <v/>
      </c>
      <c r="D319" s="2" t="str">
        <f>IFERROR(IF(A319&lt;&gt;"",VLOOKUP(Alunos!C319,'TP1'!A3:E1000,5, FALSE),""),"")</f>
        <v/>
      </c>
      <c r="E319" s="2" t="str">
        <f>IF(A319&lt;&gt;"",VLOOKUP(Alunos!A319,Agrupamentos!A3:C1000,3, FALSE),"")</f>
        <v/>
      </c>
      <c r="F319" s="2" t="str">
        <f>IFERROR(IF(A319&lt;&gt;"",VLOOKUP(Alunos!E319,'TP2'!A3:D1000,4, FALSE),""),"")</f>
        <v/>
      </c>
      <c r="G319" s="2" t="str">
        <f>IF(A319&lt;&gt;"", SUMIF(B1:F1,"&lt;&gt;",B319:F319),"")</f>
        <v/>
      </c>
      <c r="H319" s="2" t="str">
        <f>IF(AND(A319&lt;&gt;"",G319&lt;&gt;""),ROUND(G319,0),"")</f>
        <v/>
      </c>
      <c r="I319" s="2" t="str">
        <f>IFERROR(IF(A319&lt;&gt;"",VLOOKUP(Alunos!A319,Recurso!A3:D1000,4, FALSE),""), "")</f>
        <v/>
      </c>
      <c r="J319" s="2" t="str">
        <f>IF(AND(A319&lt;&gt;"",I319&lt;&gt;""), SUMIFS(B319:I319,B1:I1,"&lt;&gt;",B2:I2,"&lt;&gt;Exame",B2:I2,"&lt;&gt;exame",B2:I2,"&lt;&gt;Nota",B2:I2,"&lt;&gt;Total"),"")</f>
        <v/>
      </c>
      <c r="K319" s="2" t="str">
        <f>IF(AND(A319&lt;&gt;"",J319&lt;&gt;""),ROUND(J319,0),"")</f>
        <v/>
      </c>
    </row>
    <row r="320" spans="2:11" x14ac:dyDescent="0.3">
      <c r="B320" s="2" t="str">
        <f>IFERROR(IF(A320&lt;&gt;"",VLOOKUP(Alunos!A320,Exame!A3:D1000,4, FALSE),""), "")</f>
        <v/>
      </c>
      <c r="C320" s="2" t="str">
        <f>IF(A320&lt;&gt;"",VLOOKUP(Alunos!A320,Agrupamentos!A3:C1000,2, FALSE),"")</f>
        <v/>
      </c>
      <c r="D320" s="2" t="str">
        <f>IFERROR(IF(A320&lt;&gt;"",VLOOKUP(Alunos!C320,'TP1'!A3:E1000,5, FALSE),""),"")</f>
        <v/>
      </c>
      <c r="E320" s="2" t="str">
        <f>IF(A320&lt;&gt;"",VLOOKUP(Alunos!A320,Agrupamentos!A3:C1000,3, FALSE),"")</f>
        <v/>
      </c>
      <c r="F320" s="2" t="str">
        <f>IFERROR(IF(A320&lt;&gt;"",VLOOKUP(Alunos!E320,'TP2'!A3:D1000,4, FALSE),""),"")</f>
        <v/>
      </c>
      <c r="G320" s="2" t="str">
        <f>IF(A320&lt;&gt;"", SUMIF(B1:F1,"&lt;&gt;",B320:F320),"")</f>
        <v/>
      </c>
      <c r="H320" s="2" t="str">
        <f>IF(AND(A320&lt;&gt;"",G320&lt;&gt;""),ROUND(G320,0),"")</f>
        <v/>
      </c>
      <c r="I320" s="2" t="str">
        <f>IFERROR(IF(A320&lt;&gt;"",VLOOKUP(Alunos!A320,Recurso!A3:D1000,4, FALSE),""), "")</f>
        <v/>
      </c>
      <c r="J320" s="2" t="str">
        <f>IF(AND(A320&lt;&gt;"",I320&lt;&gt;""), SUMIFS(B320:I320,B1:I1,"&lt;&gt;",B2:I2,"&lt;&gt;Exame",B2:I2,"&lt;&gt;exame",B2:I2,"&lt;&gt;Nota",B2:I2,"&lt;&gt;Total"),"")</f>
        <v/>
      </c>
      <c r="K320" s="2" t="str">
        <f>IF(AND(A320&lt;&gt;"",J320&lt;&gt;""),ROUND(J320,0),"")</f>
        <v/>
      </c>
    </row>
    <row r="321" spans="2:11" x14ac:dyDescent="0.3">
      <c r="B321" s="2" t="str">
        <f>IFERROR(IF(A321&lt;&gt;"",VLOOKUP(Alunos!A321,Exame!A3:D1000,4, FALSE),""), "")</f>
        <v/>
      </c>
      <c r="C321" s="2" t="str">
        <f>IF(A321&lt;&gt;"",VLOOKUP(Alunos!A321,Agrupamentos!A3:C1000,2, FALSE),"")</f>
        <v/>
      </c>
      <c r="D321" s="2" t="str">
        <f>IFERROR(IF(A321&lt;&gt;"",VLOOKUP(Alunos!C321,'TP1'!A3:E1000,5, FALSE),""),"")</f>
        <v/>
      </c>
      <c r="E321" s="2" t="str">
        <f>IF(A321&lt;&gt;"",VLOOKUP(Alunos!A321,Agrupamentos!A3:C1000,3, FALSE),"")</f>
        <v/>
      </c>
      <c r="F321" s="2" t="str">
        <f>IFERROR(IF(A321&lt;&gt;"",VLOOKUP(Alunos!E321,'TP2'!A3:D1000,4, FALSE),""),"")</f>
        <v/>
      </c>
      <c r="G321" s="2" t="str">
        <f>IF(A321&lt;&gt;"", SUMIF(B1:F1,"&lt;&gt;",B321:F321),"")</f>
        <v/>
      </c>
      <c r="H321" s="2" t="str">
        <f>IF(AND(A321&lt;&gt;"",G321&lt;&gt;""),ROUND(G321,0),"")</f>
        <v/>
      </c>
      <c r="I321" s="2" t="str">
        <f>IFERROR(IF(A321&lt;&gt;"",VLOOKUP(Alunos!A321,Recurso!A3:D1000,4, FALSE),""), "")</f>
        <v/>
      </c>
      <c r="J321" s="2" t="str">
        <f>IF(AND(A321&lt;&gt;"",I321&lt;&gt;""), SUMIFS(B321:I321,B1:I1,"&lt;&gt;",B2:I2,"&lt;&gt;Exame",B2:I2,"&lt;&gt;exame",B2:I2,"&lt;&gt;Nota",B2:I2,"&lt;&gt;Total"),"")</f>
        <v/>
      </c>
      <c r="K321" s="2" t="str">
        <f>IF(AND(A321&lt;&gt;"",J321&lt;&gt;""),ROUND(J321,0),"")</f>
        <v/>
      </c>
    </row>
    <row r="322" spans="2:11" x14ac:dyDescent="0.3">
      <c r="B322" s="2" t="str">
        <f>IFERROR(IF(A322&lt;&gt;"",VLOOKUP(Alunos!A322,Exame!A3:D1000,4, FALSE),""), "")</f>
        <v/>
      </c>
      <c r="C322" s="2" t="str">
        <f>IF(A322&lt;&gt;"",VLOOKUP(Alunos!A322,Agrupamentos!A3:C1000,2, FALSE),"")</f>
        <v/>
      </c>
      <c r="D322" s="2" t="str">
        <f>IFERROR(IF(A322&lt;&gt;"",VLOOKUP(Alunos!C322,'TP1'!A3:E1000,5, FALSE),""),"")</f>
        <v/>
      </c>
      <c r="E322" s="2" t="str">
        <f>IF(A322&lt;&gt;"",VLOOKUP(Alunos!A322,Agrupamentos!A3:C1000,3, FALSE),"")</f>
        <v/>
      </c>
      <c r="F322" s="2" t="str">
        <f>IFERROR(IF(A322&lt;&gt;"",VLOOKUP(Alunos!E322,'TP2'!A3:D1000,4, FALSE),""),"")</f>
        <v/>
      </c>
      <c r="G322" s="2" t="str">
        <f>IF(A322&lt;&gt;"", SUMIF(B1:F1,"&lt;&gt;",B322:F322),"")</f>
        <v/>
      </c>
      <c r="H322" s="2" t="str">
        <f>IF(AND(A322&lt;&gt;"",G322&lt;&gt;""),ROUND(G322,0),"")</f>
        <v/>
      </c>
      <c r="I322" s="2" t="str">
        <f>IFERROR(IF(A322&lt;&gt;"",VLOOKUP(Alunos!A322,Recurso!A3:D1000,4, FALSE),""), "")</f>
        <v/>
      </c>
      <c r="J322" s="2" t="str">
        <f>IF(AND(A322&lt;&gt;"",I322&lt;&gt;""), SUMIFS(B322:I322,B1:I1,"&lt;&gt;",B2:I2,"&lt;&gt;Exame",B2:I2,"&lt;&gt;exame",B2:I2,"&lt;&gt;Nota",B2:I2,"&lt;&gt;Total"),"")</f>
        <v/>
      </c>
      <c r="K322" s="2" t="str">
        <f>IF(AND(A322&lt;&gt;"",J322&lt;&gt;""),ROUND(J322,0),"")</f>
        <v/>
      </c>
    </row>
    <row r="323" spans="2:11" x14ac:dyDescent="0.3">
      <c r="B323" s="2" t="str">
        <f>IFERROR(IF(A323&lt;&gt;"",VLOOKUP(Alunos!A323,Exame!A3:D1000,4, FALSE),""), "")</f>
        <v/>
      </c>
      <c r="C323" s="2" t="str">
        <f>IF(A323&lt;&gt;"",VLOOKUP(Alunos!A323,Agrupamentos!A3:C1000,2, FALSE),"")</f>
        <v/>
      </c>
      <c r="D323" s="2" t="str">
        <f>IFERROR(IF(A323&lt;&gt;"",VLOOKUP(Alunos!C323,'TP1'!A3:E1000,5, FALSE),""),"")</f>
        <v/>
      </c>
      <c r="E323" s="2" t="str">
        <f>IF(A323&lt;&gt;"",VLOOKUP(Alunos!A323,Agrupamentos!A3:C1000,3, FALSE),"")</f>
        <v/>
      </c>
      <c r="F323" s="2" t="str">
        <f>IFERROR(IF(A323&lt;&gt;"",VLOOKUP(Alunos!E323,'TP2'!A3:D1000,4, FALSE),""),"")</f>
        <v/>
      </c>
      <c r="G323" s="2" t="str">
        <f>IF(A323&lt;&gt;"", SUMIF(B1:F1,"&lt;&gt;",B323:F323),"")</f>
        <v/>
      </c>
      <c r="H323" s="2" t="str">
        <f>IF(AND(A323&lt;&gt;"",G323&lt;&gt;""),ROUND(G323,0),"")</f>
        <v/>
      </c>
      <c r="I323" s="2" t="str">
        <f>IFERROR(IF(A323&lt;&gt;"",VLOOKUP(Alunos!A323,Recurso!A3:D1000,4, FALSE),""), "")</f>
        <v/>
      </c>
      <c r="J323" s="2" t="str">
        <f>IF(AND(A323&lt;&gt;"",I323&lt;&gt;""), SUMIFS(B323:I323,B1:I1,"&lt;&gt;",B2:I2,"&lt;&gt;Exame",B2:I2,"&lt;&gt;exame",B2:I2,"&lt;&gt;Nota",B2:I2,"&lt;&gt;Total"),"")</f>
        <v/>
      </c>
      <c r="K323" s="2" t="str">
        <f>IF(AND(A323&lt;&gt;"",J323&lt;&gt;""),ROUND(J323,0),"")</f>
        <v/>
      </c>
    </row>
    <row r="324" spans="2:11" x14ac:dyDescent="0.3">
      <c r="B324" s="2" t="str">
        <f>IFERROR(IF(A324&lt;&gt;"",VLOOKUP(Alunos!A324,Exame!A3:D1000,4, FALSE),""), "")</f>
        <v/>
      </c>
      <c r="C324" s="2" t="str">
        <f>IF(A324&lt;&gt;"",VLOOKUP(Alunos!A324,Agrupamentos!A3:C1000,2, FALSE),"")</f>
        <v/>
      </c>
      <c r="D324" s="2" t="str">
        <f>IFERROR(IF(A324&lt;&gt;"",VLOOKUP(Alunos!C324,'TP1'!A3:E1000,5, FALSE),""),"")</f>
        <v/>
      </c>
      <c r="E324" s="2" t="str">
        <f>IF(A324&lt;&gt;"",VLOOKUP(Alunos!A324,Agrupamentos!A3:C1000,3, FALSE),"")</f>
        <v/>
      </c>
      <c r="F324" s="2" t="str">
        <f>IFERROR(IF(A324&lt;&gt;"",VLOOKUP(Alunos!E324,'TP2'!A3:D1000,4, FALSE),""),"")</f>
        <v/>
      </c>
      <c r="G324" s="2" t="str">
        <f>IF(A324&lt;&gt;"", SUMIF(B1:F1,"&lt;&gt;",B324:F324),"")</f>
        <v/>
      </c>
      <c r="H324" s="2" t="str">
        <f>IF(AND(A324&lt;&gt;"",G324&lt;&gt;""),ROUND(G324,0),"")</f>
        <v/>
      </c>
      <c r="I324" s="2" t="str">
        <f>IFERROR(IF(A324&lt;&gt;"",VLOOKUP(Alunos!A324,Recurso!A3:D1000,4, FALSE),""), "")</f>
        <v/>
      </c>
      <c r="J324" s="2" t="str">
        <f>IF(AND(A324&lt;&gt;"",I324&lt;&gt;""), SUMIFS(B324:I324,B1:I1,"&lt;&gt;",B2:I2,"&lt;&gt;Exame",B2:I2,"&lt;&gt;exame",B2:I2,"&lt;&gt;Nota",B2:I2,"&lt;&gt;Total"),"")</f>
        <v/>
      </c>
      <c r="K324" s="2" t="str">
        <f>IF(AND(A324&lt;&gt;"",J324&lt;&gt;""),ROUND(J324,0),"")</f>
        <v/>
      </c>
    </row>
    <row r="325" spans="2:11" x14ac:dyDescent="0.3">
      <c r="B325" s="2" t="str">
        <f>IFERROR(IF(A325&lt;&gt;"",VLOOKUP(Alunos!A325,Exame!A3:D1000,4, FALSE),""), "")</f>
        <v/>
      </c>
      <c r="C325" s="2" t="str">
        <f>IF(A325&lt;&gt;"",VLOOKUP(Alunos!A325,Agrupamentos!A3:C1000,2, FALSE),"")</f>
        <v/>
      </c>
      <c r="D325" s="2" t="str">
        <f>IFERROR(IF(A325&lt;&gt;"",VLOOKUP(Alunos!C325,'TP1'!A3:E1000,5, FALSE),""),"")</f>
        <v/>
      </c>
      <c r="E325" s="2" t="str">
        <f>IF(A325&lt;&gt;"",VLOOKUP(Alunos!A325,Agrupamentos!A3:C1000,3, FALSE),"")</f>
        <v/>
      </c>
      <c r="F325" s="2" t="str">
        <f>IFERROR(IF(A325&lt;&gt;"",VLOOKUP(Alunos!E325,'TP2'!A3:D1000,4, FALSE),""),"")</f>
        <v/>
      </c>
      <c r="G325" s="2" t="str">
        <f>IF(A325&lt;&gt;"", SUMIF(B1:F1,"&lt;&gt;",B325:F325),"")</f>
        <v/>
      </c>
      <c r="H325" s="2" t="str">
        <f>IF(AND(A325&lt;&gt;"",G325&lt;&gt;""),ROUND(G325,0),"")</f>
        <v/>
      </c>
      <c r="I325" s="2" t="str">
        <f>IFERROR(IF(A325&lt;&gt;"",VLOOKUP(Alunos!A325,Recurso!A3:D1000,4, FALSE),""), "")</f>
        <v/>
      </c>
      <c r="J325" s="2" t="str">
        <f>IF(AND(A325&lt;&gt;"",I325&lt;&gt;""), SUMIFS(B325:I325,B1:I1,"&lt;&gt;",B2:I2,"&lt;&gt;Exame",B2:I2,"&lt;&gt;exame",B2:I2,"&lt;&gt;Nota",B2:I2,"&lt;&gt;Total"),"")</f>
        <v/>
      </c>
      <c r="K325" s="2" t="str">
        <f>IF(AND(A325&lt;&gt;"",J325&lt;&gt;""),ROUND(J325,0),"")</f>
        <v/>
      </c>
    </row>
    <row r="326" spans="2:11" x14ac:dyDescent="0.3">
      <c r="B326" s="2" t="str">
        <f>IFERROR(IF(A326&lt;&gt;"",VLOOKUP(Alunos!A326,Exame!A3:D1000,4, FALSE),""), "")</f>
        <v/>
      </c>
      <c r="C326" s="2" t="str">
        <f>IF(A326&lt;&gt;"",VLOOKUP(Alunos!A326,Agrupamentos!A3:C1000,2, FALSE),"")</f>
        <v/>
      </c>
      <c r="D326" s="2" t="str">
        <f>IFERROR(IF(A326&lt;&gt;"",VLOOKUP(Alunos!C326,'TP1'!A3:E1000,5, FALSE),""),"")</f>
        <v/>
      </c>
      <c r="E326" s="2" t="str">
        <f>IF(A326&lt;&gt;"",VLOOKUP(Alunos!A326,Agrupamentos!A3:C1000,3, FALSE),"")</f>
        <v/>
      </c>
      <c r="F326" s="2" t="str">
        <f>IFERROR(IF(A326&lt;&gt;"",VLOOKUP(Alunos!E326,'TP2'!A3:D1000,4, FALSE),""),"")</f>
        <v/>
      </c>
      <c r="G326" s="2" t="str">
        <f>IF(A326&lt;&gt;"", SUMIF(B1:F1,"&lt;&gt;",B326:F326),"")</f>
        <v/>
      </c>
      <c r="H326" s="2" t="str">
        <f>IF(AND(A326&lt;&gt;"",G326&lt;&gt;""),ROUND(G326,0),"")</f>
        <v/>
      </c>
      <c r="I326" s="2" t="str">
        <f>IFERROR(IF(A326&lt;&gt;"",VLOOKUP(Alunos!A326,Recurso!A3:D1000,4, FALSE),""), "")</f>
        <v/>
      </c>
      <c r="J326" s="2" t="str">
        <f>IF(AND(A326&lt;&gt;"",I326&lt;&gt;""), SUMIFS(B326:I326,B1:I1,"&lt;&gt;",B2:I2,"&lt;&gt;Exame",B2:I2,"&lt;&gt;exame",B2:I2,"&lt;&gt;Nota",B2:I2,"&lt;&gt;Total"),"")</f>
        <v/>
      </c>
      <c r="K326" s="2" t="str">
        <f>IF(AND(A326&lt;&gt;"",J326&lt;&gt;""),ROUND(J326,0),"")</f>
        <v/>
      </c>
    </row>
    <row r="327" spans="2:11" x14ac:dyDescent="0.3">
      <c r="B327" s="2" t="str">
        <f>IFERROR(IF(A327&lt;&gt;"",VLOOKUP(Alunos!A327,Exame!A3:D1000,4, FALSE),""), "")</f>
        <v/>
      </c>
      <c r="C327" s="2" t="str">
        <f>IF(A327&lt;&gt;"",VLOOKUP(Alunos!A327,Agrupamentos!A3:C1000,2, FALSE),"")</f>
        <v/>
      </c>
      <c r="D327" s="2" t="str">
        <f>IFERROR(IF(A327&lt;&gt;"",VLOOKUP(Alunos!C327,'TP1'!A3:E1000,5, FALSE),""),"")</f>
        <v/>
      </c>
      <c r="E327" s="2" t="str">
        <f>IF(A327&lt;&gt;"",VLOOKUP(Alunos!A327,Agrupamentos!A3:C1000,3, FALSE),"")</f>
        <v/>
      </c>
      <c r="F327" s="2" t="str">
        <f>IFERROR(IF(A327&lt;&gt;"",VLOOKUP(Alunos!E327,'TP2'!A3:D1000,4, FALSE),""),"")</f>
        <v/>
      </c>
      <c r="G327" s="2" t="str">
        <f>IF(A327&lt;&gt;"", SUMIF(B1:F1,"&lt;&gt;",B327:F327),"")</f>
        <v/>
      </c>
      <c r="H327" s="2" t="str">
        <f>IF(AND(A327&lt;&gt;"",G327&lt;&gt;""),ROUND(G327,0),"")</f>
        <v/>
      </c>
      <c r="I327" s="2" t="str">
        <f>IFERROR(IF(A327&lt;&gt;"",VLOOKUP(Alunos!A327,Recurso!A3:D1000,4, FALSE),""), "")</f>
        <v/>
      </c>
      <c r="J327" s="2" t="str">
        <f>IF(AND(A327&lt;&gt;"",I327&lt;&gt;""), SUMIFS(B327:I327,B1:I1,"&lt;&gt;",B2:I2,"&lt;&gt;Exame",B2:I2,"&lt;&gt;exame",B2:I2,"&lt;&gt;Nota",B2:I2,"&lt;&gt;Total"),"")</f>
        <v/>
      </c>
      <c r="K327" s="2" t="str">
        <f>IF(AND(A327&lt;&gt;"",J327&lt;&gt;""),ROUND(J327,0),"")</f>
        <v/>
      </c>
    </row>
    <row r="328" spans="2:11" x14ac:dyDescent="0.3">
      <c r="B328" s="2" t="str">
        <f>IFERROR(IF(A328&lt;&gt;"",VLOOKUP(Alunos!A328,Exame!A3:D1000,4, FALSE),""), "")</f>
        <v/>
      </c>
      <c r="C328" s="2" t="str">
        <f>IF(A328&lt;&gt;"",VLOOKUP(Alunos!A328,Agrupamentos!A3:C1000,2, FALSE),"")</f>
        <v/>
      </c>
      <c r="D328" s="2" t="str">
        <f>IFERROR(IF(A328&lt;&gt;"",VLOOKUP(Alunos!C328,'TP1'!A3:E1000,5, FALSE),""),"")</f>
        <v/>
      </c>
      <c r="E328" s="2" t="str">
        <f>IF(A328&lt;&gt;"",VLOOKUP(Alunos!A328,Agrupamentos!A3:C1000,3, FALSE),"")</f>
        <v/>
      </c>
      <c r="F328" s="2" t="str">
        <f>IFERROR(IF(A328&lt;&gt;"",VLOOKUP(Alunos!E328,'TP2'!A3:D1000,4, FALSE),""),"")</f>
        <v/>
      </c>
      <c r="G328" s="2" t="str">
        <f>IF(A328&lt;&gt;"", SUMIF(B1:F1,"&lt;&gt;",B328:F328),"")</f>
        <v/>
      </c>
      <c r="H328" s="2" t="str">
        <f>IF(AND(A328&lt;&gt;"",G328&lt;&gt;""),ROUND(G328,0),"")</f>
        <v/>
      </c>
      <c r="I328" s="2" t="str">
        <f>IFERROR(IF(A328&lt;&gt;"",VLOOKUP(Alunos!A328,Recurso!A3:D1000,4, FALSE),""), "")</f>
        <v/>
      </c>
      <c r="J328" s="2" t="str">
        <f>IF(AND(A328&lt;&gt;"",I328&lt;&gt;""), SUMIFS(B328:I328,B1:I1,"&lt;&gt;",B2:I2,"&lt;&gt;Exame",B2:I2,"&lt;&gt;exame",B2:I2,"&lt;&gt;Nota",B2:I2,"&lt;&gt;Total"),"")</f>
        <v/>
      </c>
      <c r="K328" s="2" t="str">
        <f>IF(AND(A328&lt;&gt;"",J328&lt;&gt;""),ROUND(J328,0),"")</f>
        <v/>
      </c>
    </row>
    <row r="329" spans="2:11" x14ac:dyDescent="0.3">
      <c r="B329" s="2" t="str">
        <f>IFERROR(IF(A329&lt;&gt;"",VLOOKUP(Alunos!A329,Exame!A3:D1000,4, FALSE),""), "")</f>
        <v/>
      </c>
      <c r="C329" s="2" t="str">
        <f>IF(A329&lt;&gt;"",VLOOKUP(Alunos!A329,Agrupamentos!A3:C1000,2, FALSE),"")</f>
        <v/>
      </c>
      <c r="D329" s="2" t="str">
        <f>IFERROR(IF(A329&lt;&gt;"",VLOOKUP(Alunos!C329,'TP1'!A3:E1000,5, FALSE),""),"")</f>
        <v/>
      </c>
      <c r="E329" s="2" t="str">
        <f>IF(A329&lt;&gt;"",VLOOKUP(Alunos!A329,Agrupamentos!A3:C1000,3, FALSE),"")</f>
        <v/>
      </c>
      <c r="F329" s="2" t="str">
        <f>IFERROR(IF(A329&lt;&gt;"",VLOOKUP(Alunos!E329,'TP2'!A3:D1000,4, FALSE),""),"")</f>
        <v/>
      </c>
      <c r="G329" s="2" t="str">
        <f>IF(A329&lt;&gt;"", SUMIF(B1:F1,"&lt;&gt;",B329:F329),"")</f>
        <v/>
      </c>
      <c r="H329" s="2" t="str">
        <f>IF(AND(A329&lt;&gt;"",G329&lt;&gt;""),ROUND(G329,0),"")</f>
        <v/>
      </c>
      <c r="I329" s="2" t="str">
        <f>IFERROR(IF(A329&lt;&gt;"",VLOOKUP(Alunos!A329,Recurso!A3:D1000,4, FALSE),""), "")</f>
        <v/>
      </c>
      <c r="J329" s="2" t="str">
        <f>IF(AND(A329&lt;&gt;"",I329&lt;&gt;""), SUMIFS(B329:I329,B1:I1,"&lt;&gt;",B2:I2,"&lt;&gt;Exame",B2:I2,"&lt;&gt;exame",B2:I2,"&lt;&gt;Nota",B2:I2,"&lt;&gt;Total"),"")</f>
        <v/>
      </c>
      <c r="K329" s="2" t="str">
        <f>IF(AND(A329&lt;&gt;"",J329&lt;&gt;""),ROUND(J329,0),"")</f>
        <v/>
      </c>
    </row>
    <row r="330" spans="2:11" x14ac:dyDescent="0.3">
      <c r="B330" s="2" t="str">
        <f>IFERROR(IF(A330&lt;&gt;"",VLOOKUP(Alunos!A330,Exame!A3:D1000,4, FALSE),""), "")</f>
        <v/>
      </c>
      <c r="C330" s="2" t="str">
        <f>IF(A330&lt;&gt;"",VLOOKUP(Alunos!A330,Agrupamentos!A3:C1000,2, FALSE),"")</f>
        <v/>
      </c>
      <c r="D330" s="2" t="str">
        <f>IFERROR(IF(A330&lt;&gt;"",VLOOKUP(Alunos!C330,'TP1'!A3:E1000,5, FALSE),""),"")</f>
        <v/>
      </c>
      <c r="E330" s="2" t="str">
        <f>IF(A330&lt;&gt;"",VLOOKUP(Alunos!A330,Agrupamentos!A3:C1000,3, FALSE),"")</f>
        <v/>
      </c>
      <c r="F330" s="2" t="str">
        <f>IFERROR(IF(A330&lt;&gt;"",VLOOKUP(Alunos!E330,'TP2'!A3:D1000,4, FALSE),""),"")</f>
        <v/>
      </c>
      <c r="G330" s="2" t="str">
        <f>IF(A330&lt;&gt;"", SUMIF(B1:F1,"&lt;&gt;",B330:F330),"")</f>
        <v/>
      </c>
      <c r="H330" s="2" t="str">
        <f>IF(AND(A330&lt;&gt;"",G330&lt;&gt;""),ROUND(G330,0),"")</f>
        <v/>
      </c>
      <c r="I330" s="2" t="str">
        <f>IFERROR(IF(A330&lt;&gt;"",VLOOKUP(Alunos!A330,Recurso!A3:D1000,4, FALSE),""), "")</f>
        <v/>
      </c>
      <c r="J330" s="2" t="str">
        <f>IF(AND(A330&lt;&gt;"",I330&lt;&gt;""), SUMIFS(B330:I330,B1:I1,"&lt;&gt;",B2:I2,"&lt;&gt;Exame",B2:I2,"&lt;&gt;exame",B2:I2,"&lt;&gt;Nota",B2:I2,"&lt;&gt;Total"),"")</f>
        <v/>
      </c>
      <c r="K330" s="2" t="str">
        <f>IF(AND(A330&lt;&gt;"",J330&lt;&gt;""),ROUND(J330,0),"")</f>
        <v/>
      </c>
    </row>
    <row r="331" spans="2:11" x14ac:dyDescent="0.3">
      <c r="B331" s="2" t="str">
        <f>IFERROR(IF(A331&lt;&gt;"",VLOOKUP(Alunos!A331,Exame!A3:D1000,4, FALSE),""), "")</f>
        <v/>
      </c>
      <c r="C331" s="2" t="str">
        <f>IF(A331&lt;&gt;"",VLOOKUP(Alunos!A331,Agrupamentos!A3:C1000,2, FALSE),"")</f>
        <v/>
      </c>
      <c r="D331" s="2" t="str">
        <f>IFERROR(IF(A331&lt;&gt;"",VLOOKUP(Alunos!C331,'TP1'!A3:E1000,5, FALSE),""),"")</f>
        <v/>
      </c>
      <c r="E331" s="2" t="str">
        <f>IF(A331&lt;&gt;"",VLOOKUP(Alunos!A331,Agrupamentos!A3:C1000,3, FALSE),"")</f>
        <v/>
      </c>
      <c r="F331" s="2" t="str">
        <f>IFERROR(IF(A331&lt;&gt;"",VLOOKUP(Alunos!E331,'TP2'!A3:D1000,4, FALSE),""),"")</f>
        <v/>
      </c>
      <c r="G331" s="2" t="str">
        <f>IF(A331&lt;&gt;"", SUMIF(B1:F1,"&lt;&gt;",B331:F331),"")</f>
        <v/>
      </c>
      <c r="H331" s="2" t="str">
        <f>IF(AND(A331&lt;&gt;"",G331&lt;&gt;""),ROUND(G331,0),"")</f>
        <v/>
      </c>
      <c r="I331" s="2" t="str">
        <f>IFERROR(IF(A331&lt;&gt;"",VLOOKUP(Alunos!A331,Recurso!A3:D1000,4, FALSE),""), "")</f>
        <v/>
      </c>
      <c r="J331" s="2" t="str">
        <f>IF(AND(A331&lt;&gt;"",I331&lt;&gt;""), SUMIFS(B331:I331,B1:I1,"&lt;&gt;",B2:I2,"&lt;&gt;Exame",B2:I2,"&lt;&gt;exame",B2:I2,"&lt;&gt;Nota",B2:I2,"&lt;&gt;Total"),"")</f>
        <v/>
      </c>
      <c r="K331" s="2" t="str">
        <f>IF(AND(A331&lt;&gt;"",J331&lt;&gt;""),ROUND(J331,0),"")</f>
        <v/>
      </c>
    </row>
    <row r="332" spans="2:11" x14ac:dyDescent="0.3">
      <c r="B332" s="2" t="str">
        <f>IFERROR(IF(A332&lt;&gt;"",VLOOKUP(Alunos!A332,Exame!A3:D1000,4, FALSE),""), "")</f>
        <v/>
      </c>
      <c r="C332" s="2" t="str">
        <f>IF(A332&lt;&gt;"",VLOOKUP(Alunos!A332,Agrupamentos!A3:C1000,2, FALSE),"")</f>
        <v/>
      </c>
      <c r="D332" s="2" t="str">
        <f>IFERROR(IF(A332&lt;&gt;"",VLOOKUP(Alunos!C332,'TP1'!A3:E1000,5, FALSE),""),"")</f>
        <v/>
      </c>
      <c r="E332" s="2" t="str">
        <f>IF(A332&lt;&gt;"",VLOOKUP(Alunos!A332,Agrupamentos!A3:C1000,3, FALSE),"")</f>
        <v/>
      </c>
      <c r="F332" s="2" t="str">
        <f>IFERROR(IF(A332&lt;&gt;"",VLOOKUP(Alunos!E332,'TP2'!A3:D1000,4, FALSE),""),"")</f>
        <v/>
      </c>
      <c r="G332" s="2" t="str">
        <f>IF(A332&lt;&gt;"", SUMIF(B1:F1,"&lt;&gt;",B332:F332),"")</f>
        <v/>
      </c>
      <c r="H332" s="2" t="str">
        <f>IF(AND(A332&lt;&gt;"",G332&lt;&gt;""),ROUND(G332,0),"")</f>
        <v/>
      </c>
      <c r="I332" s="2" t="str">
        <f>IFERROR(IF(A332&lt;&gt;"",VLOOKUP(Alunos!A332,Recurso!A3:D1000,4, FALSE),""), "")</f>
        <v/>
      </c>
      <c r="J332" s="2" t="str">
        <f>IF(AND(A332&lt;&gt;"",I332&lt;&gt;""), SUMIFS(B332:I332,B1:I1,"&lt;&gt;",B2:I2,"&lt;&gt;Exame",B2:I2,"&lt;&gt;exame",B2:I2,"&lt;&gt;Nota",B2:I2,"&lt;&gt;Total"),"")</f>
        <v/>
      </c>
      <c r="K332" s="2" t="str">
        <f>IF(AND(A332&lt;&gt;"",J332&lt;&gt;""),ROUND(J332,0),"")</f>
        <v/>
      </c>
    </row>
    <row r="333" spans="2:11" x14ac:dyDescent="0.3">
      <c r="B333" s="2" t="str">
        <f>IFERROR(IF(A333&lt;&gt;"",VLOOKUP(Alunos!A333,Exame!A3:D1000,4, FALSE),""), "")</f>
        <v/>
      </c>
      <c r="C333" s="2" t="str">
        <f>IF(A333&lt;&gt;"",VLOOKUP(Alunos!A333,Agrupamentos!A3:C1000,2, FALSE),"")</f>
        <v/>
      </c>
      <c r="D333" s="2" t="str">
        <f>IFERROR(IF(A333&lt;&gt;"",VLOOKUP(Alunos!C333,'TP1'!A3:E1000,5, FALSE),""),"")</f>
        <v/>
      </c>
      <c r="E333" s="2" t="str">
        <f>IF(A333&lt;&gt;"",VLOOKUP(Alunos!A333,Agrupamentos!A3:C1000,3, FALSE),"")</f>
        <v/>
      </c>
      <c r="F333" s="2" t="str">
        <f>IFERROR(IF(A333&lt;&gt;"",VLOOKUP(Alunos!E333,'TP2'!A3:D1000,4, FALSE),""),"")</f>
        <v/>
      </c>
      <c r="G333" s="2" t="str">
        <f>IF(A333&lt;&gt;"", SUMIF(B1:F1,"&lt;&gt;",B333:F333),"")</f>
        <v/>
      </c>
      <c r="H333" s="2" t="str">
        <f>IF(AND(A333&lt;&gt;"",G333&lt;&gt;""),ROUND(G333,0),"")</f>
        <v/>
      </c>
      <c r="I333" s="2" t="str">
        <f>IFERROR(IF(A333&lt;&gt;"",VLOOKUP(Alunos!A333,Recurso!A3:D1000,4, FALSE),""), "")</f>
        <v/>
      </c>
      <c r="J333" s="2" t="str">
        <f>IF(AND(A333&lt;&gt;"",I333&lt;&gt;""), SUMIFS(B333:I333,B1:I1,"&lt;&gt;",B2:I2,"&lt;&gt;Exame",B2:I2,"&lt;&gt;exame",B2:I2,"&lt;&gt;Nota",B2:I2,"&lt;&gt;Total"),"")</f>
        <v/>
      </c>
      <c r="K333" s="2" t="str">
        <f>IF(AND(A333&lt;&gt;"",J333&lt;&gt;""),ROUND(J333,0),"")</f>
        <v/>
      </c>
    </row>
    <row r="334" spans="2:11" x14ac:dyDescent="0.3">
      <c r="B334" s="2" t="str">
        <f>IFERROR(IF(A334&lt;&gt;"",VLOOKUP(Alunos!A334,Exame!A3:D1000,4, FALSE),""), "")</f>
        <v/>
      </c>
      <c r="C334" s="2" t="str">
        <f>IF(A334&lt;&gt;"",VLOOKUP(Alunos!A334,Agrupamentos!A3:C1000,2, FALSE),"")</f>
        <v/>
      </c>
      <c r="D334" s="2" t="str">
        <f>IFERROR(IF(A334&lt;&gt;"",VLOOKUP(Alunos!C334,'TP1'!A3:E1000,5, FALSE),""),"")</f>
        <v/>
      </c>
      <c r="E334" s="2" t="str">
        <f>IF(A334&lt;&gt;"",VLOOKUP(Alunos!A334,Agrupamentos!A3:C1000,3, FALSE),"")</f>
        <v/>
      </c>
      <c r="F334" s="2" t="str">
        <f>IFERROR(IF(A334&lt;&gt;"",VLOOKUP(Alunos!E334,'TP2'!A3:D1000,4, FALSE),""),"")</f>
        <v/>
      </c>
      <c r="G334" s="2" t="str">
        <f>IF(A334&lt;&gt;"", SUMIF(B1:F1,"&lt;&gt;",B334:F334),"")</f>
        <v/>
      </c>
      <c r="H334" s="2" t="str">
        <f>IF(AND(A334&lt;&gt;"",G334&lt;&gt;""),ROUND(G334,0),"")</f>
        <v/>
      </c>
      <c r="I334" s="2" t="str">
        <f>IFERROR(IF(A334&lt;&gt;"",VLOOKUP(Alunos!A334,Recurso!A3:D1000,4, FALSE),""), "")</f>
        <v/>
      </c>
      <c r="J334" s="2" t="str">
        <f>IF(AND(A334&lt;&gt;"",I334&lt;&gt;""), SUMIFS(B334:I334,B1:I1,"&lt;&gt;",B2:I2,"&lt;&gt;Exame",B2:I2,"&lt;&gt;exame",B2:I2,"&lt;&gt;Nota",B2:I2,"&lt;&gt;Total"),"")</f>
        <v/>
      </c>
      <c r="K334" s="2" t="str">
        <f>IF(AND(A334&lt;&gt;"",J334&lt;&gt;""),ROUND(J334,0),"")</f>
        <v/>
      </c>
    </row>
    <row r="335" spans="2:11" x14ac:dyDescent="0.3">
      <c r="B335" s="2" t="str">
        <f>IFERROR(IF(A335&lt;&gt;"",VLOOKUP(Alunos!A335,Exame!A3:D1000,4, FALSE),""), "")</f>
        <v/>
      </c>
      <c r="C335" s="2" t="str">
        <f>IF(A335&lt;&gt;"",VLOOKUP(Alunos!A335,Agrupamentos!A3:C1000,2, FALSE),"")</f>
        <v/>
      </c>
      <c r="D335" s="2" t="str">
        <f>IFERROR(IF(A335&lt;&gt;"",VLOOKUP(Alunos!C335,'TP1'!A3:E1000,5, FALSE),""),"")</f>
        <v/>
      </c>
      <c r="E335" s="2" t="str">
        <f>IF(A335&lt;&gt;"",VLOOKUP(Alunos!A335,Agrupamentos!A3:C1000,3, FALSE),"")</f>
        <v/>
      </c>
      <c r="F335" s="2" t="str">
        <f>IFERROR(IF(A335&lt;&gt;"",VLOOKUP(Alunos!E335,'TP2'!A3:D1000,4, FALSE),""),"")</f>
        <v/>
      </c>
      <c r="G335" s="2" t="str">
        <f>IF(A335&lt;&gt;"", SUMIF(B1:F1,"&lt;&gt;",B335:F335),"")</f>
        <v/>
      </c>
      <c r="H335" s="2" t="str">
        <f>IF(AND(A335&lt;&gt;"",G335&lt;&gt;""),ROUND(G335,0),"")</f>
        <v/>
      </c>
      <c r="I335" s="2" t="str">
        <f>IFERROR(IF(A335&lt;&gt;"",VLOOKUP(Alunos!A335,Recurso!A3:D1000,4, FALSE),""), "")</f>
        <v/>
      </c>
      <c r="J335" s="2" t="str">
        <f>IF(AND(A335&lt;&gt;"",I335&lt;&gt;""), SUMIFS(B335:I335,B1:I1,"&lt;&gt;",B2:I2,"&lt;&gt;Exame",B2:I2,"&lt;&gt;exame",B2:I2,"&lt;&gt;Nota",B2:I2,"&lt;&gt;Total"),"")</f>
        <v/>
      </c>
      <c r="K335" s="2" t="str">
        <f>IF(AND(A335&lt;&gt;"",J335&lt;&gt;""),ROUND(J335,0),"")</f>
        <v/>
      </c>
    </row>
    <row r="336" spans="2:11" x14ac:dyDescent="0.3">
      <c r="B336" s="2" t="str">
        <f>IFERROR(IF(A336&lt;&gt;"",VLOOKUP(Alunos!A336,Exame!A3:D1000,4, FALSE),""), "")</f>
        <v/>
      </c>
      <c r="C336" s="2" t="str">
        <f>IF(A336&lt;&gt;"",VLOOKUP(Alunos!A336,Agrupamentos!A3:C1000,2, FALSE),"")</f>
        <v/>
      </c>
      <c r="D336" s="2" t="str">
        <f>IFERROR(IF(A336&lt;&gt;"",VLOOKUP(Alunos!C336,'TP1'!A3:E1000,5, FALSE),""),"")</f>
        <v/>
      </c>
      <c r="E336" s="2" t="str">
        <f>IF(A336&lt;&gt;"",VLOOKUP(Alunos!A336,Agrupamentos!A3:C1000,3, FALSE),"")</f>
        <v/>
      </c>
      <c r="F336" s="2" t="str">
        <f>IFERROR(IF(A336&lt;&gt;"",VLOOKUP(Alunos!E336,'TP2'!A3:D1000,4, FALSE),""),"")</f>
        <v/>
      </c>
      <c r="G336" s="2" t="str">
        <f>IF(A336&lt;&gt;"", SUMIF(B1:F1,"&lt;&gt;",B336:F336),"")</f>
        <v/>
      </c>
      <c r="H336" s="2" t="str">
        <f>IF(AND(A336&lt;&gt;"",G336&lt;&gt;""),ROUND(G336,0),"")</f>
        <v/>
      </c>
      <c r="I336" s="2" t="str">
        <f>IFERROR(IF(A336&lt;&gt;"",VLOOKUP(Alunos!A336,Recurso!A3:D1000,4, FALSE),""), "")</f>
        <v/>
      </c>
      <c r="J336" s="2" t="str">
        <f>IF(AND(A336&lt;&gt;"",I336&lt;&gt;""), SUMIFS(B336:I336,B1:I1,"&lt;&gt;",B2:I2,"&lt;&gt;Exame",B2:I2,"&lt;&gt;exame",B2:I2,"&lt;&gt;Nota",B2:I2,"&lt;&gt;Total"),"")</f>
        <v/>
      </c>
      <c r="K336" s="2" t="str">
        <f>IF(AND(A336&lt;&gt;"",J336&lt;&gt;""),ROUND(J336,0),"")</f>
        <v/>
      </c>
    </row>
    <row r="337" spans="2:11" x14ac:dyDescent="0.3">
      <c r="B337" s="2" t="str">
        <f>IFERROR(IF(A337&lt;&gt;"",VLOOKUP(Alunos!A337,Exame!A3:D1000,4, FALSE),""), "")</f>
        <v/>
      </c>
      <c r="C337" s="2" t="str">
        <f>IF(A337&lt;&gt;"",VLOOKUP(Alunos!A337,Agrupamentos!A3:C1000,2, FALSE),"")</f>
        <v/>
      </c>
      <c r="D337" s="2" t="str">
        <f>IFERROR(IF(A337&lt;&gt;"",VLOOKUP(Alunos!C337,'TP1'!A3:E1000,5, FALSE),""),"")</f>
        <v/>
      </c>
      <c r="E337" s="2" t="str">
        <f>IF(A337&lt;&gt;"",VLOOKUP(Alunos!A337,Agrupamentos!A3:C1000,3, FALSE),"")</f>
        <v/>
      </c>
      <c r="F337" s="2" t="str">
        <f>IFERROR(IF(A337&lt;&gt;"",VLOOKUP(Alunos!E337,'TP2'!A3:D1000,4, FALSE),""),"")</f>
        <v/>
      </c>
      <c r="G337" s="2" t="str">
        <f>IF(A337&lt;&gt;"", SUMIF(B1:F1,"&lt;&gt;",B337:F337),"")</f>
        <v/>
      </c>
      <c r="H337" s="2" t="str">
        <f>IF(AND(A337&lt;&gt;"",G337&lt;&gt;""),ROUND(G337,0),"")</f>
        <v/>
      </c>
      <c r="I337" s="2" t="str">
        <f>IFERROR(IF(A337&lt;&gt;"",VLOOKUP(Alunos!A337,Recurso!A3:D1000,4, FALSE),""), "")</f>
        <v/>
      </c>
      <c r="J337" s="2" t="str">
        <f>IF(AND(A337&lt;&gt;"",I337&lt;&gt;""), SUMIFS(B337:I337,B1:I1,"&lt;&gt;",B2:I2,"&lt;&gt;Exame",B2:I2,"&lt;&gt;exame",B2:I2,"&lt;&gt;Nota",B2:I2,"&lt;&gt;Total"),"")</f>
        <v/>
      </c>
      <c r="K337" s="2" t="str">
        <f>IF(AND(A337&lt;&gt;"",J337&lt;&gt;""),ROUND(J337,0),"")</f>
        <v/>
      </c>
    </row>
    <row r="338" spans="2:11" x14ac:dyDescent="0.3">
      <c r="B338" s="2" t="str">
        <f>IFERROR(IF(A338&lt;&gt;"",VLOOKUP(Alunos!A338,Exame!A3:D1000,4, FALSE),""), "")</f>
        <v/>
      </c>
      <c r="C338" s="2" t="str">
        <f>IF(A338&lt;&gt;"",VLOOKUP(Alunos!A338,Agrupamentos!A3:C1000,2, FALSE),"")</f>
        <v/>
      </c>
      <c r="D338" s="2" t="str">
        <f>IFERROR(IF(A338&lt;&gt;"",VLOOKUP(Alunos!C338,'TP1'!A3:E1000,5, FALSE),""),"")</f>
        <v/>
      </c>
      <c r="E338" s="2" t="str">
        <f>IF(A338&lt;&gt;"",VLOOKUP(Alunos!A338,Agrupamentos!A3:C1000,3, FALSE),"")</f>
        <v/>
      </c>
      <c r="F338" s="2" t="str">
        <f>IFERROR(IF(A338&lt;&gt;"",VLOOKUP(Alunos!E338,'TP2'!A3:D1000,4, FALSE),""),"")</f>
        <v/>
      </c>
      <c r="G338" s="2" t="str">
        <f>IF(A338&lt;&gt;"", SUMIF(B1:F1,"&lt;&gt;",B338:F338),"")</f>
        <v/>
      </c>
      <c r="H338" s="2" t="str">
        <f>IF(AND(A338&lt;&gt;"",G338&lt;&gt;""),ROUND(G338,0),"")</f>
        <v/>
      </c>
      <c r="I338" s="2" t="str">
        <f>IFERROR(IF(A338&lt;&gt;"",VLOOKUP(Alunos!A338,Recurso!A3:D1000,4, FALSE),""), "")</f>
        <v/>
      </c>
      <c r="J338" s="2" t="str">
        <f>IF(AND(A338&lt;&gt;"",I338&lt;&gt;""), SUMIFS(B338:I338,B1:I1,"&lt;&gt;",B2:I2,"&lt;&gt;Exame",B2:I2,"&lt;&gt;exame",B2:I2,"&lt;&gt;Nota",B2:I2,"&lt;&gt;Total"),"")</f>
        <v/>
      </c>
      <c r="K338" s="2" t="str">
        <f>IF(AND(A338&lt;&gt;"",J338&lt;&gt;""),ROUND(J338,0),"")</f>
        <v/>
      </c>
    </row>
    <row r="339" spans="2:11" x14ac:dyDescent="0.3">
      <c r="B339" s="2" t="str">
        <f>IFERROR(IF(A339&lt;&gt;"",VLOOKUP(Alunos!A339,Exame!A3:D1000,4, FALSE),""), "")</f>
        <v/>
      </c>
      <c r="C339" s="2" t="str">
        <f>IF(A339&lt;&gt;"",VLOOKUP(Alunos!A339,Agrupamentos!A3:C1000,2, FALSE),"")</f>
        <v/>
      </c>
      <c r="D339" s="2" t="str">
        <f>IFERROR(IF(A339&lt;&gt;"",VLOOKUP(Alunos!C339,'TP1'!A3:E1000,5, FALSE),""),"")</f>
        <v/>
      </c>
      <c r="E339" s="2" t="str">
        <f>IF(A339&lt;&gt;"",VLOOKUP(Alunos!A339,Agrupamentos!A3:C1000,3, FALSE),"")</f>
        <v/>
      </c>
      <c r="F339" s="2" t="str">
        <f>IFERROR(IF(A339&lt;&gt;"",VLOOKUP(Alunos!E339,'TP2'!A3:D1000,4, FALSE),""),"")</f>
        <v/>
      </c>
      <c r="G339" s="2" t="str">
        <f>IF(A339&lt;&gt;"", SUMIF(B1:F1,"&lt;&gt;",B339:F339),"")</f>
        <v/>
      </c>
      <c r="H339" s="2" t="str">
        <f>IF(AND(A339&lt;&gt;"",G339&lt;&gt;""),ROUND(G339,0),"")</f>
        <v/>
      </c>
      <c r="I339" s="2" t="str">
        <f>IFERROR(IF(A339&lt;&gt;"",VLOOKUP(Alunos!A339,Recurso!A3:D1000,4, FALSE),""), "")</f>
        <v/>
      </c>
      <c r="J339" s="2" t="str">
        <f>IF(AND(A339&lt;&gt;"",I339&lt;&gt;""), SUMIFS(B339:I339,B1:I1,"&lt;&gt;",B2:I2,"&lt;&gt;Exame",B2:I2,"&lt;&gt;exame",B2:I2,"&lt;&gt;Nota",B2:I2,"&lt;&gt;Total"),"")</f>
        <v/>
      </c>
      <c r="K339" s="2" t="str">
        <f>IF(AND(A339&lt;&gt;"",J339&lt;&gt;""),ROUND(J339,0),"")</f>
        <v/>
      </c>
    </row>
    <row r="340" spans="2:11" x14ac:dyDescent="0.3">
      <c r="B340" s="2" t="str">
        <f>IFERROR(IF(A340&lt;&gt;"",VLOOKUP(Alunos!A340,Exame!A3:D1000,4, FALSE),""), "")</f>
        <v/>
      </c>
      <c r="C340" s="2" t="str">
        <f>IF(A340&lt;&gt;"",VLOOKUP(Alunos!A340,Agrupamentos!A3:C1000,2, FALSE),"")</f>
        <v/>
      </c>
      <c r="D340" s="2" t="str">
        <f>IFERROR(IF(A340&lt;&gt;"",VLOOKUP(Alunos!C340,'TP1'!A3:E1000,5, FALSE),""),"")</f>
        <v/>
      </c>
      <c r="E340" s="2" t="str">
        <f>IF(A340&lt;&gt;"",VLOOKUP(Alunos!A340,Agrupamentos!A3:C1000,3, FALSE),"")</f>
        <v/>
      </c>
      <c r="F340" s="2" t="str">
        <f>IFERROR(IF(A340&lt;&gt;"",VLOOKUP(Alunos!E340,'TP2'!A3:D1000,4, FALSE),""),"")</f>
        <v/>
      </c>
      <c r="G340" s="2" t="str">
        <f>IF(A340&lt;&gt;"", SUMIF(B1:F1,"&lt;&gt;",B340:F340),"")</f>
        <v/>
      </c>
      <c r="H340" s="2" t="str">
        <f>IF(AND(A340&lt;&gt;"",G340&lt;&gt;""),ROUND(G340,0),"")</f>
        <v/>
      </c>
      <c r="I340" s="2" t="str">
        <f>IFERROR(IF(A340&lt;&gt;"",VLOOKUP(Alunos!A340,Recurso!A3:D1000,4, FALSE),""), "")</f>
        <v/>
      </c>
      <c r="J340" s="2" t="str">
        <f>IF(AND(A340&lt;&gt;"",I340&lt;&gt;""), SUMIFS(B340:I340,B1:I1,"&lt;&gt;",B2:I2,"&lt;&gt;Exame",B2:I2,"&lt;&gt;exame",B2:I2,"&lt;&gt;Nota",B2:I2,"&lt;&gt;Total"),"")</f>
        <v/>
      </c>
      <c r="K340" s="2" t="str">
        <f>IF(AND(A340&lt;&gt;"",J340&lt;&gt;""),ROUND(J340,0),"")</f>
        <v/>
      </c>
    </row>
    <row r="341" spans="2:11" x14ac:dyDescent="0.3">
      <c r="B341" s="2" t="str">
        <f>IFERROR(IF(A341&lt;&gt;"",VLOOKUP(Alunos!A341,Exame!A3:D1000,4, FALSE),""), "")</f>
        <v/>
      </c>
      <c r="C341" s="2" t="str">
        <f>IF(A341&lt;&gt;"",VLOOKUP(Alunos!A341,Agrupamentos!A3:C1000,2, FALSE),"")</f>
        <v/>
      </c>
      <c r="D341" s="2" t="str">
        <f>IFERROR(IF(A341&lt;&gt;"",VLOOKUP(Alunos!C341,'TP1'!A3:E1000,5, FALSE),""),"")</f>
        <v/>
      </c>
      <c r="E341" s="2" t="str">
        <f>IF(A341&lt;&gt;"",VLOOKUP(Alunos!A341,Agrupamentos!A3:C1000,3, FALSE),"")</f>
        <v/>
      </c>
      <c r="F341" s="2" t="str">
        <f>IFERROR(IF(A341&lt;&gt;"",VLOOKUP(Alunos!E341,'TP2'!A3:D1000,4, FALSE),""),"")</f>
        <v/>
      </c>
      <c r="G341" s="2" t="str">
        <f>IF(A341&lt;&gt;"", SUMIF(B1:F1,"&lt;&gt;",B341:F341),"")</f>
        <v/>
      </c>
      <c r="H341" s="2" t="str">
        <f>IF(AND(A341&lt;&gt;"",G341&lt;&gt;""),ROUND(G341,0),"")</f>
        <v/>
      </c>
      <c r="I341" s="2" t="str">
        <f>IFERROR(IF(A341&lt;&gt;"",VLOOKUP(Alunos!A341,Recurso!A3:D1000,4, FALSE),""), "")</f>
        <v/>
      </c>
      <c r="J341" s="2" t="str">
        <f>IF(AND(A341&lt;&gt;"",I341&lt;&gt;""), SUMIFS(B341:I341,B1:I1,"&lt;&gt;",B2:I2,"&lt;&gt;Exame",B2:I2,"&lt;&gt;exame",B2:I2,"&lt;&gt;Nota",B2:I2,"&lt;&gt;Total"),"")</f>
        <v/>
      </c>
      <c r="K341" s="2" t="str">
        <f>IF(AND(A341&lt;&gt;"",J341&lt;&gt;""),ROUND(J341,0),"")</f>
        <v/>
      </c>
    </row>
    <row r="342" spans="2:11" x14ac:dyDescent="0.3">
      <c r="B342" s="2" t="str">
        <f>IFERROR(IF(A342&lt;&gt;"",VLOOKUP(Alunos!A342,Exame!A3:D1000,4, FALSE),""), "")</f>
        <v/>
      </c>
      <c r="C342" s="2" t="str">
        <f>IF(A342&lt;&gt;"",VLOOKUP(Alunos!A342,Agrupamentos!A3:C1000,2, FALSE),"")</f>
        <v/>
      </c>
      <c r="D342" s="2" t="str">
        <f>IFERROR(IF(A342&lt;&gt;"",VLOOKUP(Alunos!C342,'TP1'!A3:E1000,5, FALSE),""),"")</f>
        <v/>
      </c>
      <c r="E342" s="2" t="str">
        <f>IF(A342&lt;&gt;"",VLOOKUP(Alunos!A342,Agrupamentos!A3:C1000,3, FALSE),"")</f>
        <v/>
      </c>
      <c r="F342" s="2" t="str">
        <f>IFERROR(IF(A342&lt;&gt;"",VLOOKUP(Alunos!E342,'TP2'!A3:D1000,4, FALSE),""),"")</f>
        <v/>
      </c>
      <c r="G342" s="2" t="str">
        <f>IF(A342&lt;&gt;"", SUMIF(B1:F1,"&lt;&gt;",B342:F342),"")</f>
        <v/>
      </c>
      <c r="H342" s="2" t="str">
        <f>IF(AND(A342&lt;&gt;"",G342&lt;&gt;""),ROUND(G342,0),"")</f>
        <v/>
      </c>
      <c r="I342" s="2" t="str">
        <f>IFERROR(IF(A342&lt;&gt;"",VLOOKUP(Alunos!A342,Recurso!A3:D1000,4, FALSE),""), "")</f>
        <v/>
      </c>
      <c r="J342" s="2" t="str">
        <f>IF(AND(A342&lt;&gt;"",I342&lt;&gt;""), SUMIFS(B342:I342,B1:I1,"&lt;&gt;",B2:I2,"&lt;&gt;Exame",B2:I2,"&lt;&gt;exame",B2:I2,"&lt;&gt;Nota",B2:I2,"&lt;&gt;Total"),"")</f>
        <v/>
      </c>
      <c r="K342" s="2" t="str">
        <f>IF(AND(A342&lt;&gt;"",J342&lt;&gt;""),ROUND(J342,0),"")</f>
        <v/>
      </c>
    </row>
    <row r="343" spans="2:11" x14ac:dyDescent="0.3">
      <c r="B343" s="2" t="str">
        <f>IFERROR(IF(A343&lt;&gt;"",VLOOKUP(Alunos!A343,Exame!A3:D1000,4, FALSE),""), "")</f>
        <v/>
      </c>
      <c r="C343" s="2" t="str">
        <f>IF(A343&lt;&gt;"",VLOOKUP(Alunos!A343,Agrupamentos!A3:C1000,2, FALSE),"")</f>
        <v/>
      </c>
      <c r="D343" s="2" t="str">
        <f>IFERROR(IF(A343&lt;&gt;"",VLOOKUP(Alunos!C343,'TP1'!A3:E1000,5, FALSE),""),"")</f>
        <v/>
      </c>
      <c r="E343" s="2" t="str">
        <f>IF(A343&lt;&gt;"",VLOOKUP(Alunos!A343,Agrupamentos!A3:C1000,3, FALSE),"")</f>
        <v/>
      </c>
      <c r="F343" s="2" t="str">
        <f>IFERROR(IF(A343&lt;&gt;"",VLOOKUP(Alunos!E343,'TP2'!A3:D1000,4, FALSE),""),"")</f>
        <v/>
      </c>
      <c r="G343" s="2" t="str">
        <f>IF(A343&lt;&gt;"", SUMIF(B1:F1,"&lt;&gt;",B343:F343),"")</f>
        <v/>
      </c>
      <c r="H343" s="2" t="str">
        <f>IF(AND(A343&lt;&gt;"",G343&lt;&gt;""),ROUND(G343,0),"")</f>
        <v/>
      </c>
      <c r="I343" s="2" t="str">
        <f>IFERROR(IF(A343&lt;&gt;"",VLOOKUP(Alunos!A343,Recurso!A3:D1000,4, FALSE),""), "")</f>
        <v/>
      </c>
      <c r="J343" s="2" t="str">
        <f>IF(AND(A343&lt;&gt;"",I343&lt;&gt;""), SUMIFS(B343:I343,B1:I1,"&lt;&gt;",B2:I2,"&lt;&gt;Exame",B2:I2,"&lt;&gt;exame",B2:I2,"&lt;&gt;Nota",B2:I2,"&lt;&gt;Total"),"")</f>
        <v/>
      </c>
      <c r="K343" s="2" t="str">
        <f>IF(AND(A343&lt;&gt;"",J343&lt;&gt;""),ROUND(J343,0),"")</f>
        <v/>
      </c>
    </row>
    <row r="344" spans="2:11" x14ac:dyDescent="0.3">
      <c r="B344" s="2" t="str">
        <f>IFERROR(IF(A344&lt;&gt;"",VLOOKUP(Alunos!A344,Exame!A3:D1000,4, FALSE),""), "")</f>
        <v/>
      </c>
      <c r="C344" s="2" t="str">
        <f>IF(A344&lt;&gt;"",VLOOKUP(Alunos!A344,Agrupamentos!A3:C1000,2, FALSE),"")</f>
        <v/>
      </c>
      <c r="D344" s="2" t="str">
        <f>IFERROR(IF(A344&lt;&gt;"",VLOOKUP(Alunos!C344,'TP1'!A3:E1000,5, FALSE),""),"")</f>
        <v/>
      </c>
      <c r="E344" s="2" t="str">
        <f>IF(A344&lt;&gt;"",VLOOKUP(Alunos!A344,Agrupamentos!A3:C1000,3, FALSE),"")</f>
        <v/>
      </c>
      <c r="F344" s="2" t="str">
        <f>IFERROR(IF(A344&lt;&gt;"",VLOOKUP(Alunos!E344,'TP2'!A3:D1000,4, FALSE),""),"")</f>
        <v/>
      </c>
      <c r="G344" s="2" t="str">
        <f>IF(A344&lt;&gt;"", SUMIF(B1:F1,"&lt;&gt;",B344:F344),"")</f>
        <v/>
      </c>
      <c r="H344" s="2" t="str">
        <f>IF(AND(A344&lt;&gt;"",G344&lt;&gt;""),ROUND(G344,0),"")</f>
        <v/>
      </c>
      <c r="I344" s="2" t="str">
        <f>IFERROR(IF(A344&lt;&gt;"",VLOOKUP(Alunos!A344,Recurso!A3:D1000,4, FALSE),""), "")</f>
        <v/>
      </c>
      <c r="J344" s="2" t="str">
        <f>IF(AND(A344&lt;&gt;"",I344&lt;&gt;""), SUMIFS(B344:I344,B1:I1,"&lt;&gt;",B2:I2,"&lt;&gt;Exame",B2:I2,"&lt;&gt;exame",B2:I2,"&lt;&gt;Nota",B2:I2,"&lt;&gt;Total"),"")</f>
        <v/>
      </c>
      <c r="K344" s="2" t="str">
        <f>IF(AND(A344&lt;&gt;"",J344&lt;&gt;""),ROUND(J344,0),"")</f>
        <v/>
      </c>
    </row>
    <row r="345" spans="2:11" x14ac:dyDescent="0.3">
      <c r="B345" s="2" t="str">
        <f>IFERROR(IF(A345&lt;&gt;"",VLOOKUP(Alunos!A345,Exame!A3:D1000,4, FALSE),""), "")</f>
        <v/>
      </c>
      <c r="C345" s="2" t="str">
        <f>IF(A345&lt;&gt;"",VLOOKUP(Alunos!A345,Agrupamentos!A3:C1000,2, FALSE),"")</f>
        <v/>
      </c>
      <c r="D345" s="2" t="str">
        <f>IFERROR(IF(A345&lt;&gt;"",VLOOKUP(Alunos!C345,'TP1'!A3:E1000,5, FALSE),""),"")</f>
        <v/>
      </c>
      <c r="E345" s="2" t="str">
        <f>IF(A345&lt;&gt;"",VLOOKUP(Alunos!A345,Agrupamentos!A3:C1000,3, FALSE),"")</f>
        <v/>
      </c>
      <c r="F345" s="2" t="str">
        <f>IFERROR(IF(A345&lt;&gt;"",VLOOKUP(Alunos!E345,'TP2'!A3:D1000,4, FALSE),""),"")</f>
        <v/>
      </c>
      <c r="G345" s="2" t="str">
        <f>IF(A345&lt;&gt;"", SUMIF(B1:F1,"&lt;&gt;",B345:F345),"")</f>
        <v/>
      </c>
      <c r="H345" s="2" t="str">
        <f>IF(AND(A345&lt;&gt;"",G345&lt;&gt;""),ROUND(G345,0),"")</f>
        <v/>
      </c>
      <c r="I345" s="2" t="str">
        <f>IFERROR(IF(A345&lt;&gt;"",VLOOKUP(Alunos!A345,Recurso!A3:D1000,4, FALSE),""), "")</f>
        <v/>
      </c>
      <c r="J345" s="2" t="str">
        <f>IF(AND(A345&lt;&gt;"",I345&lt;&gt;""), SUMIFS(B345:I345,B1:I1,"&lt;&gt;",B2:I2,"&lt;&gt;Exame",B2:I2,"&lt;&gt;exame",B2:I2,"&lt;&gt;Nota",B2:I2,"&lt;&gt;Total"),"")</f>
        <v/>
      </c>
      <c r="K345" s="2" t="str">
        <f>IF(AND(A345&lt;&gt;"",J345&lt;&gt;""),ROUND(J345,0),"")</f>
        <v/>
      </c>
    </row>
    <row r="346" spans="2:11" x14ac:dyDescent="0.3">
      <c r="B346" s="2" t="str">
        <f>IFERROR(IF(A346&lt;&gt;"",VLOOKUP(Alunos!A346,Exame!A3:D1000,4, FALSE),""), "")</f>
        <v/>
      </c>
      <c r="C346" s="2" t="str">
        <f>IF(A346&lt;&gt;"",VLOOKUP(Alunos!A346,Agrupamentos!A3:C1000,2, FALSE),"")</f>
        <v/>
      </c>
      <c r="D346" s="2" t="str">
        <f>IFERROR(IF(A346&lt;&gt;"",VLOOKUP(Alunos!C346,'TP1'!A3:E1000,5, FALSE),""),"")</f>
        <v/>
      </c>
      <c r="E346" s="2" t="str">
        <f>IF(A346&lt;&gt;"",VLOOKUP(Alunos!A346,Agrupamentos!A3:C1000,3, FALSE),"")</f>
        <v/>
      </c>
      <c r="F346" s="2" t="str">
        <f>IFERROR(IF(A346&lt;&gt;"",VLOOKUP(Alunos!E346,'TP2'!A3:D1000,4, FALSE),""),"")</f>
        <v/>
      </c>
      <c r="G346" s="2" t="str">
        <f>IF(A346&lt;&gt;"", SUMIF(B1:F1,"&lt;&gt;",B346:F346),"")</f>
        <v/>
      </c>
      <c r="H346" s="2" t="str">
        <f>IF(AND(A346&lt;&gt;"",G346&lt;&gt;""),ROUND(G346,0),"")</f>
        <v/>
      </c>
      <c r="I346" s="2" t="str">
        <f>IFERROR(IF(A346&lt;&gt;"",VLOOKUP(Alunos!A346,Recurso!A3:D1000,4, FALSE),""), "")</f>
        <v/>
      </c>
      <c r="J346" s="2" t="str">
        <f>IF(AND(A346&lt;&gt;"",I346&lt;&gt;""), SUMIFS(B346:I346,B1:I1,"&lt;&gt;",B2:I2,"&lt;&gt;Exame",B2:I2,"&lt;&gt;exame",B2:I2,"&lt;&gt;Nota",B2:I2,"&lt;&gt;Total"),"")</f>
        <v/>
      </c>
      <c r="K346" s="2" t="str">
        <f>IF(AND(A346&lt;&gt;"",J346&lt;&gt;""),ROUND(J346,0),"")</f>
        <v/>
      </c>
    </row>
    <row r="347" spans="2:11" x14ac:dyDescent="0.3">
      <c r="B347" s="2" t="str">
        <f>IFERROR(IF(A347&lt;&gt;"",VLOOKUP(Alunos!A347,Exame!A3:D1000,4, FALSE),""), "")</f>
        <v/>
      </c>
      <c r="C347" s="2" t="str">
        <f>IF(A347&lt;&gt;"",VLOOKUP(Alunos!A347,Agrupamentos!A3:C1000,2, FALSE),"")</f>
        <v/>
      </c>
      <c r="D347" s="2" t="str">
        <f>IFERROR(IF(A347&lt;&gt;"",VLOOKUP(Alunos!C347,'TP1'!A3:E1000,5, FALSE),""),"")</f>
        <v/>
      </c>
      <c r="E347" s="2" t="str">
        <f>IF(A347&lt;&gt;"",VLOOKUP(Alunos!A347,Agrupamentos!A3:C1000,3, FALSE),"")</f>
        <v/>
      </c>
      <c r="F347" s="2" t="str">
        <f>IFERROR(IF(A347&lt;&gt;"",VLOOKUP(Alunos!E347,'TP2'!A3:D1000,4, FALSE),""),"")</f>
        <v/>
      </c>
      <c r="G347" s="2" t="str">
        <f>IF(A347&lt;&gt;"", SUMIF(B1:F1,"&lt;&gt;",B347:F347),"")</f>
        <v/>
      </c>
      <c r="H347" s="2" t="str">
        <f>IF(AND(A347&lt;&gt;"",G347&lt;&gt;""),ROUND(G347,0),"")</f>
        <v/>
      </c>
      <c r="I347" s="2" t="str">
        <f>IFERROR(IF(A347&lt;&gt;"",VLOOKUP(Alunos!A347,Recurso!A3:D1000,4, FALSE),""), "")</f>
        <v/>
      </c>
      <c r="J347" s="2" t="str">
        <f>IF(AND(A347&lt;&gt;"",I347&lt;&gt;""), SUMIFS(B347:I347,B1:I1,"&lt;&gt;",B2:I2,"&lt;&gt;Exame",B2:I2,"&lt;&gt;exame",B2:I2,"&lt;&gt;Nota",B2:I2,"&lt;&gt;Total"),"")</f>
        <v/>
      </c>
      <c r="K347" s="2" t="str">
        <f>IF(AND(A347&lt;&gt;"",J347&lt;&gt;""),ROUND(J347,0),"")</f>
        <v/>
      </c>
    </row>
    <row r="348" spans="2:11" x14ac:dyDescent="0.3">
      <c r="B348" s="2" t="str">
        <f>IFERROR(IF(A348&lt;&gt;"",VLOOKUP(Alunos!A348,Exame!A3:D1000,4, FALSE),""), "")</f>
        <v/>
      </c>
      <c r="C348" s="2" t="str">
        <f>IF(A348&lt;&gt;"",VLOOKUP(Alunos!A348,Agrupamentos!A3:C1000,2, FALSE),"")</f>
        <v/>
      </c>
      <c r="D348" s="2" t="str">
        <f>IFERROR(IF(A348&lt;&gt;"",VLOOKUP(Alunos!C348,'TP1'!A3:E1000,5, FALSE),""),"")</f>
        <v/>
      </c>
      <c r="E348" s="2" t="str">
        <f>IF(A348&lt;&gt;"",VLOOKUP(Alunos!A348,Agrupamentos!A3:C1000,3, FALSE),"")</f>
        <v/>
      </c>
      <c r="F348" s="2" t="str">
        <f>IFERROR(IF(A348&lt;&gt;"",VLOOKUP(Alunos!E348,'TP2'!A3:D1000,4, FALSE),""),"")</f>
        <v/>
      </c>
      <c r="G348" s="2" t="str">
        <f>IF(A348&lt;&gt;"", SUMIF(B1:F1,"&lt;&gt;",B348:F348),"")</f>
        <v/>
      </c>
      <c r="H348" s="2" t="str">
        <f>IF(AND(A348&lt;&gt;"",G348&lt;&gt;""),ROUND(G348,0),"")</f>
        <v/>
      </c>
      <c r="I348" s="2" t="str">
        <f>IFERROR(IF(A348&lt;&gt;"",VLOOKUP(Alunos!A348,Recurso!A3:D1000,4, FALSE),""), "")</f>
        <v/>
      </c>
      <c r="J348" s="2" t="str">
        <f>IF(AND(A348&lt;&gt;"",I348&lt;&gt;""), SUMIFS(B348:I348,B1:I1,"&lt;&gt;",B2:I2,"&lt;&gt;Exame",B2:I2,"&lt;&gt;exame",B2:I2,"&lt;&gt;Nota",B2:I2,"&lt;&gt;Total"),"")</f>
        <v/>
      </c>
      <c r="K348" s="2" t="str">
        <f>IF(AND(A348&lt;&gt;"",J348&lt;&gt;""),ROUND(J348,0),"")</f>
        <v/>
      </c>
    </row>
    <row r="349" spans="2:11" x14ac:dyDescent="0.3">
      <c r="B349" s="2" t="str">
        <f>IFERROR(IF(A349&lt;&gt;"",VLOOKUP(Alunos!A349,Exame!A3:D1000,4, FALSE),""), "")</f>
        <v/>
      </c>
      <c r="C349" s="2" t="str">
        <f>IF(A349&lt;&gt;"",VLOOKUP(Alunos!A349,Agrupamentos!A3:C1000,2, FALSE),"")</f>
        <v/>
      </c>
      <c r="D349" s="2" t="str">
        <f>IFERROR(IF(A349&lt;&gt;"",VLOOKUP(Alunos!C349,'TP1'!A3:E1000,5, FALSE),""),"")</f>
        <v/>
      </c>
      <c r="E349" s="2" t="str">
        <f>IF(A349&lt;&gt;"",VLOOKUP(Alunos!A349,Agrupamentos!A3:C1000,3, FALSE),"")</f>
        <v/>
      </c>
      <c r="F349" s="2" t="str">
        <f>IFERROR(IF(A349&lt;&gt;"",VLOOKUP(Alunos!E349,'TP2'!A3:D1000,4, FALSE),""),"")</f>
        <v/>
      </c>
      <c r="G349" s="2" t="str">
        <f>IF(A349&lt;&gt;"", SUMIF(B1:F1,"&lt;&gt;",B349:F349),"")</f>
        <v/>
      </c>
      <c r="H349" s="2" t="str">
        <f>IF(AND(A349&lt;&gt;"",G349&lt;&gt;""),ROUND(G349,0),"")</f>
        <v/>
      </c>
      <c r="I349" s="2" t="str">
        <f>IFERROR(IF(A349&lt;&gt;"",VLOOKUP(Alunos!A349,Recurso!A3:D1000,4, FALSE),""), "")</f>
        <v/>
      </c>
      <c r="J349" s="2" t="str">
        <f>IF(AND(A349&lt;&gt;"",I349&lt;&gt;""), SUMIFS(B349:I349,B1:I1,"&lt;&gt;",B2:I2,"&lt;&gt;Exame",B2:I2,"&lt;&gt;exame",B2:I2,"&lt;&gt;Nota",B2:I2,"&lt;&gt;Total"),"")</f>
        <v/>
      </c>
      <c r="K349" s="2" t="str">
        <f>IF(AND(A349&lt;&gt;"",J349&lt;&gt;""),ROUND(J349,0),"")</f>
        <v/>
      </c>
    </row>
    <row r="350" spans="2:11" x14ac:dyDescent="0.3">
      <c r="B350" s="2" t="str">
        <f>IFERROR(IF(A350&lt;&gt;"",VLOOKUP(Alunos!A350,Exame!A3:D1000,4, FALSE),""), "")</f>
        <v/>
      </c>
      <c r="C350" s="2" t="str">
        <f>IF(A350&lt;&gt;"",VLOOKUP(Alunos!A350,Agrupamentos!A3:C1000,2, FALSE),"")</f>
        <v/>
      </c>
      <c r="D350" s="2" t="str">
        <f>IFERROR(IF(A350&lt;&gt;"",VLOOKUP(Alunos!C350,'TP1'!A3:E1000,5, FALSE),""),"")</f>
        <v/>
      </c>
      <c r="E350" s="2" t="str">
        <f>IF(A350&lt;&gt;"",VLOOKUP(Alunos!A350,Agrupamentos!A3:C1000,3, FALSE),"")</f>
        <v/>
      </c>
      <c r="F350" s="2" t="str">
        <f>IFERROR(IF(A350&lt;&gt;"",VLOOKUP(Alunos!E350,'TP2'!A3:D1000,4, FALSE),""),"")</f>
        <v/>
      </c>
      <c r="G350" s="2" t="str">
        <f>IF(A350&lt;&gt;"", SUMIF(B1:F1,"&lt;&gt;",B350:F350),"")</f>
        <v/>
      </c>
      <c r="H350" s="2" t="str">
        <f>IF(AND(A350&lt;&gt;"",G350&lt;&gt;""),ROUND(G350,0),"")</f>
        <v/>
      </c>
      <c r="I350" s="2" t="str">
        <f>IFERROR(IF(A350&lt;&gt;"",VLOOKUP(Alunos!A350,Recurso!A3:D1000,4, FALSE),""), "")</f>
        <v/>
      </c>
      <c r="J350" s="2" t="str">
        <f>IF(AND(A350&lt;&gt;"",I350&lt;&gt;""), SUMIFS(B350:I350,B1:I1,"&lt;&gt;",B2:I2,"&lt;&gt;Exame",B2:I2,"&lt;&gt;exame",B2:I2,"&lt;&gt;Nota",B2:I2,"&lt;&gt;Total"),"")</f>
        <v/>
      </c>
      <c r="K350" s="2" t="str">
        <f>IF(AND(A350&lt;&gt;"",J350&lt;&gt;""),ROUND(J350,0),"")</f>
        <v/>
      </c>
    </row>
    <row r="351" spans="2:11" x14ac:dyDescent="0.3">
      <c r="B351" s="2" t="str">
        <f>IFERROR(IF(A351&lt;&gt;"",VLOOKUP(Alunos!A351,Exame!A3:D1000,4, FALSE),""), "")</f>
        <v/>
      </c>
      <c r="C351" s="2" t="str">
        <f>IF(A351&lt;&gt;"",VLOOKUP(Alunos!A351,Agrupamentos!A3:C1000,2, FALSE),"")</f>
        <v/>
      </c>
      <c r="D351" s="2" t="str">
        <f>IFERROR(IF(A351&lt;&gt;"",VLOOKUP(Alunos!C351,'TP1'!A3:E1000,5, FALSE),""),"")</f>
        <v/>
      </c>
      <c r="E351" s="2" t="str">
        <f>IF(A351&lt;&gt;"",VLOOKUP(Alunos!A351,Agrupamentos!A3:C1000,3, FALSE),"")</f>
        <v/>
      </c>
      <c r="F351" s="2" t="str">
        <f>IFERROR(IF(A351&lt;&gt;"",VLOOKUP(Alunos!E351,'TP2'!A3:D1000,4, FALSE),""),"")</f>
        <v/>
      </c>
      <c r="G351" s="2" t="str">
        <f>IF(A351&lt;&gt;"", SUMIF(B1:F1,"&lt;&gt;",B351:F351),"")</f>
        <v/>
      </c>
      <c r="H351" s="2" t="str">
        <f>IF(AND(A351&lt;&gt;"",G351&lt;&gt;""),ROUND(G351,0),"")</f>
        <v/>
      </c>
      <c r="I351" s="2" t="str">
        <f>IFERROR(IF(A351&lt;&gt;"",VLOOKUP(Alunos!A351,Recurso!A3:D1000,4, FALSE),""), "")</f>
        <v/>
      </c>
      <c r="J351" s="2" t="str">
        <f>IF(AND(A351&lt;&gt;"",I351&lt;&gt;""), SUMIFS(B351:I351,B1:I1,"&lt;&gt;",B2:I2,"&lt;&gt;Exame",B2:I2,"&lt;&gt;exame",B2:I2,"&lt;&gt;Nota",B2:I2,"&lt;&gt;Total"),"")</f>
        <v/>
      </c>
      <c r="K351" s="2" t="str">
        <f>IF(AND(A351&lt;&gt;"",J351&lt;&gt;""),ROUND(J351,0),"")</f>
        <v/>
      </c>
    </row>
    <row r="352" spans="2:11" x14ac:dyDescent="0.3">
      <c r="B352" s="2" t="str">
        <f>IFERROR(IF(A352&lt;&gt;"",VLOOKUP(Alunos!A352,Exame!A3:D1000,4, FALSE),""), "")</f>
        <v/>
      </c>
      <c r="C352" s="2" t="str">
        <f>IF(A352&lt;&gt;"",VLOOKUP(Alunos!A352,Agrupamentos!A3:C1000,2, FALSE),"")</f>
        <v/>
      </c>
      <c r="D352" s="2" t="str">
        <f>IFERROR(IF(A352&lt;&gt;"",VLOOKUP(Alunos!C352,'TP1'!A3:E1000,5, FALSE),""),"")</f>
        <v/>
      </c>
      <c r="E352" s="2" t="str">
        <f>IF(A352&lt;&gt;"",VLOOKUP(Alunos!A352,Agrupamentos!A3:C1000,3, FALSE),"")</f>
        <v/>
      </c>
      <c r="F352" s="2" t="str">
        <f>IFERROR(IF(A352&lt;&gt;"",VLOOKUP(Alunos!E352,'TP2'!A3:D1000,4, FALSE),""),"")</f>
        <v/>
      </c>
      <c r="G352" s="2" t="str">
        <f>IF(A352&lt;&gt;"", SUMIF(B1:F1,"&lt;&gt;",B352:F352),"")</f>
        <v/>
      </c>
      <c r="H352" s="2" t="str">
        <f>IF(AND(A352&lt;&gt;"",G352&lt;&gt;""),ROUND(G352,0),"")</f>
        <v/>
      </c>
      <c r="I352" s="2" t="str">
        <f>IFERROR(IF(A352&lt;&gt;"",VLOOKUP(Alunos!A352,Recurso!A3:D1000,4, FALSE),""), "")</f>
        <v/>
      </c>
      <c r="J352" s="2" t="str">
        <f>IF(AND(A352&lt;&gt;"",I352&lt;&gt;""), SUMIFS(B352:I352,B1:I1,"&lt;&gt;",B2:I2,"&lt;&gt;Exame",B2:I2,"&lt;&gt;exame",B2:I2,"&lt;&gt;Nota",B2:I2,"&lt;&gt;Total"),"")</f>
        <v/>
      </c>
      <c r="K352" s="2" t="str">
        <f>IF(AND(A352&lt;&gt;"",J352&lt;&gt;""),ROUND(J352,0),"")</f>
        <v/>
      </c>
    </row>
    <row r="353" spans="2:11" x14ac:dyDescent="0.3">
      <c r="B353" s="2" t="str">
        <f>IFERROR(IF(A353&lt;&gt;"",VLOOKUP(Alunos!A353,Exame!A3:D1000,4, FALSE),""), "")</f>
        <v/>
      </c>
      <c r="C353" s="2" t="str">
        <f>IF(A353&lt;&gt;"",VLOOKUP(Alunos!A353,Agrupamentos!A3:C1000,2, FALSE),"")</f>
        <v/>
      </c>
      <c r="D353" s="2" t="str">
        <f>IFERROR(IF(A353&lt;&gt;"",VLOOKUP(Alunos!C353,'TP1'!A3:E1000,5, FALSE),""),"")</f>
        <v/>
      </c>
      <c r="E353" s="2" t="str">
        <f>IF(A353&lt;&gt;"",VLOOKUP(Alunos!A353,Agrupamentos!A3:C1000,3, FALSE),"")</f>
        <v/>
      </c>
      <c r="F353" s="2" t="str">
        <f>IFERROR(IF(A353&lt;&gt;"",VLOOKUP(Alunos!E353,'TP2'!A3:D1000,4, FALSE),""),"")</f>
        <v/>
      </c>
      <c r="G353" s="2" t="str">
        <f>IF(A353&lt;&gt;"", SUMIF(B1:F1,"&lt;&gt;",B353:F353),"")</f>
        <v/>
      </c>
      <c r="H353" s="2" t="str">
        <f>IF(AND(A353&lt;&gt;"",G353&lt;&gt;""),ROUND(G353,0),"")</f>
        <v/>
      </c>
      <c r="I353" s="2" t="str">
        <f>IFERROR(IF(A353&lt;&gt;"",VLOOKUP(Alunos!A353,Recurso!A3:D1000,4, FALSE),""), "")</f>
        <v/>
      </c>
      <c r="J353" s="2" t="str">
        <f>IF(AND(A353&lt;&gt;"",I353&lt;&gt;""), SUMIFS(B353:I353,B1:I1,"&lt;&gt;",B2:I2,"&lt;&gt;Exame",B2:I2,"&lt;&gt;exame",B2:I2,"&lt;&gt;Nota",B2:I2,"&lt;&gt;Total"),"")</f>
        <v/>
      </c>
      <c r="K353" s="2" t="str">
        <f>IF(AND(A353&lt;&gt;"",J353&lt;&gt;""),ROUND(J353,0),"")</f>
        <v/>
      </c>
    </row>
    <row r="354" spans="2:11" x14ac:dyDescent="0.3">
      <c r="B354" s="2" t="str">
        <f>IFERROR(IF(A354&lt;&gt;"",VLOOKUP(Alunos!A354,Exame!A3:D1000,4, FALSE),""), "")</f>
        <v/>
      </c>
      <c r="C354" s="2" t="str">
        <f>IF(A354&lt;&gt;"",VLOOKUP(Alunos!A354,Agrupamentos!A3:C1000,2, FALSE),"")</f>
        <v/>
      </c>
      <c r="D354" s="2" t="str">
        <f>IFERROR(IF(A354&lt;&gt;"",VLOOKUP(Alunos!C354,'TP1'!A3:E1000,5, FALSE),""),"")</f>
        <v/>
      </c>
      <c r="E354" s="2" t="str">
        <f>IF(A354&lt;&gt;"",VLOOKUP(Alunos!A354,Agrupamentos!A3:C1000,3, FALSE),"")</f>
        <v/>
      </c>
      <c r="F354" s="2" t="str">
        <f>IFERROR(IF(A354&lt;&gt;"",VLOOKUP(Alunos!E354,'TP2'!A3:D1000,4, FALSE),""),"")</f>
        <v/>
      </c>
      <c r="G354" s="2" t="str">
        <f>IF(A354&lt;&gt;"", SUMIF(B1:F1,"&lt;&gt;",B354:F354),"")</f>
        <v/>
      </c>
      <c r="H354" s="2" t="str">
        <f>IF(AND(A354&lt;&gt;"",G354&lt;&gt;""),ROUND(G354,0),"")</f>
        <v/>
      </c>
      <c r="I354" s="2" t="str">
        <f>IFERROR(IF(A354&lt;&gt;"",VLOOKUP(Alunos!A354,Recurso!A3:D1000,4, FALSE),""), "")</f>
        <v/>
      </c>
      <c r="J354" s="2" t="str">
        <f>IF(AND(A354&lt;&gt;"",I354&lt;&gt;""), SUMIFS(B354:I354,B1:I1,"&lt;&gt;",B2:I2,"&lt;&gt;Exame",B2:I2,"&lt;&gt;exame",B2:I2,"&lt;&gt;Nota",B2:I2,"&lt;&gt;Total"),"")</f>
        <v/>
      </c>
      <c r="K354" s="2" t="str">
        <f>IF(AND(A354&lt;&gt;"",J354&lt;&gt;""),ROUND(J354,0),"")</f>
        <v/>
      </c>
    </row>
    <row r="355" spans="2:11" x14ac:dyDescent="0.3">
      <c r="B355" s="2" t="str">
        <f>IFERROR(IF(A355&lt;&gt;"",VLOOKUP(Alunos!A355,Exame!A3:D1000,4, FALSE),""), "")</f>
        <v/>
      </c>
      <c r="C355" s="2" t="str">
        <f>IF(A355&lt;&gt;"",VLOOKUP(Alunos!A355,Agrupamentos!A3:C1000,2, FALSE),"")</f>
        <v/>
      </c>
      <c r="D355" s="2" t="str">
        <f>IFERROR(IF(A355&lt;&gt;"",VLOOKUP(Alunos!C355,'TP1'!A3:E1000,5, FALSE),""),"")</f>
        <v/>
      </c>
      <c r="E355" s="2" t="str">
        <f>IF(A355&lt;&gt;"",VLOOKUP(Alunos!A355,Agrupamentos!A3:C1000,3, FALSE),"")</f>
        <v/>
      </c>
      <c r="F355" s="2" t="str">
        <f>IFERROR(IF(A355&lt;&gt;"",VLOOKUP(Alunos!E355,'TP2'!A3:D1000,4, FALSE),""),"")</f>
        <v/>
      </c>
      <c r="G355" s="2" t="str">
        <f>IF(A355&lt;&gt;"", SUMIF(B1:F1,"&lt;&gt;",B355:F355),"")</f>
        <v/>
      </c>
      <c r="H355" s="2" t="str">
        <f>IF(AND(A355&lt;&gt;"",G355&lt;&gt;""),ROUND(G355,0),"")</f>
        <v/>
      </c>
      <c r="I355" s="2" t="str">
        <f>IFERROR(IF(A355&lt;&gt;"",VLOOKUP(Alunos!A355,Recurso!A3:D1000,4, FALSE),""), "")</f>
        <v/>
      </c>
      <c r="J355" s="2" t="str">
        <f>IF(AND(A355&lt;&gt;"",I355&lt;&gt;""), SUMIFS(B355:I355,B1:I1,"&lt;&gt;",B2:I2,"&lt;&gt;Exame",B2:I2,"&lt;&gt;exame",B2:I2,"&lt;&gt;Nota",B2:I2,"&lt;&gt;Total"),"")</f>
        <v/>
      </c>
      <c r="K355" s="2" t="str">
        <f>IF(AND(A355&lt;&gt;"",J355&lt;&gt;""),ROUND(J355,0),"")</f>
        <v/>
      </c>
    </row>
    <row r="356" spans="2:11" x14ac:dyDescent="0.3">
      <c r="B356" s="2" t="str">
        <f>IFERROR(IF(A356&lt;&gt;"",VLOOKUP(Alunos!A356,Exame!A3:D1000,4, FALSE),""), "")</f>
        <v/>
      </c>
      <c r="C356" s="2" t="str">
        <f>IF(A356&lt;&gt;"",VLOOKUP(Alunos!A356,Agrupamentos!A3:C1000,2, FALSE),"")</f>
        <v/>
      </c>
      <c r="D356" s="2" t="str">
        <f>IFERROR(IF(A356&lt;&gt;"",VLOOKUP(Alunos!C356,'TP1'!A3:E1000,5, FALSE),""),"")</f>
        <v/>
      </c>
      <c r="E356" s="2" t="str">
        <f>IF(A356&lt;&gt;"",VLOOKUP(Alunos!A356,Agrupamentos!A3:C1000,3, FALSE),"")</f>
        <v/>
      </c>
      <c r="F356" s="2" t="str">
        <f>IFERROR(IF(A356&lt;&gt;"",VLOOKUP(Alunos!E356,'TP2'!A3:D1000,4, FALSE),""),"")</f>
        <v/>
      </c>
      <c r="G356" s="2" t="str">
        <f>IF(A356&lt;&gt;"", SUMIF(B1:F1,"&lt;&gt;",B356:F356),"")</f>
        <v/>
      </c>
      <c r="H356" s="2" t="str">
        <f>IF(AND(A356&lt;&gt;"",G356&lt;&gt;""),ROUND(G356,0),"")</f>
        <v/>
      </c>
      <c r="I356" s="2" t="str">
        <f>IFERROR(IF(A356&lt;&gt;"",VLOOKUP(Alunos!A356,Recurso!A3:D1000,4, FALSE),""), "")</f>
        <v/>
      </c>
      <c r="J356" s="2" t="str">
        <f>IF(AND(A356&lt;&gt;"",I356&lt;&gt;""), SUMIFS(B356:I356,B1:I1,"&lt;&gt;",B2:I2,"&lt;&gt;Exame",B2:I2,"&lt;&gt;exame",B2:I2,"&lt;&gt;Nota",B2:I2,"&lt;&gt;Total"),"")</f>
        <v/>
      </c>
      <c r="K356" s="2" t="str">
        <f>IF(AND(A356&lt;&gt;"",J356&lt;&gt;""),ROUND(J356,0),"")</f>
        <v/>
      </c>
    </row>
    <row r="357" spans="2:11" x14ac:dyDescent="0.3">
      <c r="B357" s="2" t="str">
        <f>IFERROR(IF(A357&lt;&gt;"",VLOOKUP(Alunos!A357,Exame!A3:D1000,4, FALSE),""), "")</f>
        <v/>
      </c>
      <c r="C357" s="2" t="str">
        <f>IF(A357&lt;&gt;"",VLOOKUP(Alunos!A357,Agrupamentos!A3:C1000,2, FALSE),"")</f>
        <v/>
      </c>
      <c r="D357" s="2" t="str">
        <f>IFERROR(IF(A357&lt;&gt;"",VLOOKUP(Alunos!C357,'TP1'!A3:E1000,5, FALSE),""),"")</f>
        <v/>
      </c>
      <c r="E357" s="2" t="str">
        <f>IF(A357&lt;&gt;"",VLOOKUP(Alunos!A357,Agrupamentos!A3:C1000,3, FALSE),"")</f>
        <v/>
      </c>
      <c r="F357" s="2" t="str">
        <f>IFERROR(IF(A357&lt;&gt;"",VLOOKUP(Alunos!E357,'TP2'!A3:D1000,4, FALSE),""),"")</f>
        <v/>
      </c>
      <c r="G357" s="2" t="str">
        <f>IF(A357&lt;&gt;"", SUMIF(B1:F1,"&lt;&gt;",B357:F357),"")</f>
        <v/>
      </c>
      <c r="H357" s="2" t="str">
        <f>IF(AND(A357&lt;&gt;"",G357&lt;&gt;""),ROUND(G357,0),"")</f>
        <v/>
      </c>
      <c r="I357" s="2" t="str">
        <f>IFERROR(IF(A357&lt;&gt;"",VLOOKUP(Alunos!A357,Recurso!A3:D1000,4, FALSE),""), "")</f>
        <v/>
      </c>
      <c r="J357" s="2" t="str">
        <f>IF(AND(A357&lt;&gt;"",I357&lt;&gt;""), SUMIFS(B357:I357,B1:I1,"&lt;&gt;",B2:I2,"&lt;&gt;Exame",B2:I2,"&lt;&gt;exame",B2:I2,"&lt;&gt;Nota",B2:I2,"&lt;&gt;Total"),"")</f>
        <v/>
      </c>
      <c r="K357" s="2" t="str">
        <f>IF(AND(A357&lt;&gt;"",J357&lt;&gt;""),ROUND(J357,0),"")</f>
        <v/>
      </c>
    </row>
    <row r="358" spans="2:11" x14ac:dyDescent="0.3">
      <c r="B358" s="2" t="str">
        <f>IFERROR(IF(A358&lt;&gt;"",VLOOKUP(Alunos!A358,Exame!A3:D1000,4, FALSE),""), "")</f>
        <v/>
      </c>
      <c r="C358" s="2" t="str">
        <f>IF(A358&lt;&gt;"",VLOOKUP(Alunos!A358,Agrupamentos!A3:C1000,2, FALSE),"")</f>
        <v/>
      </c>
      <c r="D358" s="2" t="str">
        <f>IFERROR(IF(A358&lt;&gt;"",VLOOKUP(Alunos!C358,'TP1'!A3:E1000,5, FALSE),""),"")</f>
        <v/>
      </c>
      <c r="E358" s="2" t="str">
        <f>IF(A358&lt;&gt;"",VLOOKUP(Alunos!A358,Agrupamentos!A3:C1000,3, FALSE),"")</f>
        <v/>
      </c>
      <c r="F358" s="2" t="str">
        <f>IFERROR(IF(A358&lt;&gt;"",VLOOKUP(Alunos!E358,'TP2'!A3:D1000,4, FALSE),""),"")</f>
        <v/>
      </c>
      <c r="G358" s="2" t="str">
        <f>IF(A358&lt;&gt;"", SUMIF(B1:F1,"&lt;&gt;",B358:F358),"")</f>
        <v/>
      </c>
      <c r="H358" s="2" t="str">
        <f>IF(AND(A358&lt;&gt;"",G358&lt;&gt;""),ROUND(G358,0),"")</f>
        <v/>
      </c>
      <c r="I358" s="2" t="str">
        <f>IFERROR(IF(A358&lt;&gt;"",VLOOKUP(Alunos!A358,Recurso!A3:D1000,4, FALSE),""), "")</f>
        <v/>
      </c>
      <c r="J358" s="2" t="str">
        <f>IF(AND(A358&lt;&gt;"",I358&lt;&gt;""), SUMIFS(B358:I358,B1:I1,"&lt;&gt;",B2:I2,"&lt;&gt;Exame",B2:I2,"&lt;&gt;exame",B2:I2,"&lt;&gt;Nota",B2:I2,"&lt;&gt;Total"),"")</f>
        <v/>
      </c>
      <c r="K358" s="2" t="str">
        <f>IF(AND(A358&lt;&gt;"",J358&lt;&gt;""),ROUND(J358,0),"")</f>
        <v/>
      </c>
    </row>
    <row r="359" spans="2:11" x14ac:dyDescent="0.3">
      <c r="B359" s="2" t="str">
        <f>IFERROR(IF(A359&lt;&gt;"",VLOOKUP(Alunos!A359,Exame!A3:D1000,4, FALSE),""), "")</f>
        <v/>
      </c>
      <c r="C359" s="2" t="str">
        <f>IF(A359&lt;&gt;"",VLOOKUP(Alunos!A359,Agrupamentos!A3:C1000,2, FALSE),"")</f>
        <v/>
      </c>
      <c r="D359" s="2" t="str">
        <f>IFERROR(IF(A359&lt;&gt;"",VLOOKUP(Alunos!C359,'TP1'!A3:E1000,5, FALSE),""),"")</f>
        <v/>
      </c>
      <c r="E359" s="2" t="str">
        <f>IF(A359&lt;&gt;"",VLOOKUP(Alunos!A359,Agrupamentos!A3:C1000,3, FALSE),"")</f>
        <v/>
      </c>
      <c r="F359" s="2" t="str">
        <f>IFERROR(IF(A359&lt;&gt;"",VLOOKUP(Alunos!E359,'TP2'!A3:D1000,4, FALSE),""),"")</f>
        <v/>
      </c>
      <c r="G359" s="2" t="str">
        <f>IF(A359&lt;&gt;"", SUMIF(B1:F1,"&lt;&gt;",B359:F359),"")</f>
        <v/>
      </c>
      <c r="H359" s="2" t="str">
        <f>IF(AND(A359&lt;&gt;"",G359&lt;&gt;""),ROUND(G359,0),"")</f>
        <v/>
      </c>
      <c r="I359" s="2" t="str">
        <f>IFERROR(IF(A359&lt;&gt;"",VLOOKUP(Alunos!A359,Recurso!A3:D1000,4, FALSE),""), "")</f>
        <v/>
      </c>
      <c r="J359" s="2" t="str">
        <f>IF(AND(A359&lt;&gt;"",I359&lt;&gt;""), SUMIFS(B359:I359,B1:I1,"&lt;&gt;",B2:I2,"&lt;&gt;Exame",B2:I2,"&lt;&gt;exame",B2:I2,"&lt;&gt;Nota",B2:I2,"&lt;&gt;Total"),"")</f>
        <v/>
      </c>
      <c r="K359" s="2" t="str">
        <f>IF(AND(A359&lt;&gt;"",J359&lt;&gt;""),ROUND(J359,0),"")</f>
        <v/>
      </c>
    </row>
    <row r="360" spans="2:11" x14ac:dyDescent="0.3">
      <c r="B360" s="2" t="str">
        <f>IFERROR(IF(A360&lt;&gt;"",VLOOKUP(Alunos!A360,Exame!A3:D1000,4, FALSE),""), "")</f>
        <v/>
      </c>
      <c r="C360" s="2" t="str">
        <f>IF(A360&lt;&gt;"",VLOOKUP(Alunos!A360,Agrupamentos!A3:C1000,2, FALSE),"")</f>
        <v/>
      </c>
      <c r="D360" s="2" t="str">
        <f>IFERROR(IF(A360&lt;&gt;"",VLOOKUP(Alunos!C360,'TP1'!A3:E1000,5, FALSE),""),"")</f>
        <v/>
      </c>
      <c r="E360" s="2" t="str">
        <f>IF(A360&lt;&gt;"",VLOOKUP(Alunos!A360,Agrupamentos!A3:C1000,3, FALSE),"")</f>
        <v/>
      </c>
      <c r="F360" s="2" t="str">
        <f>IFERROR(IF(A360&lt;&gt;"",VLOOKUP(Alunos!E360,'TP2'!A3:D1000,4, FALSE),""),"")</f>
        <v/>
      </c>
      <c r="G360" s="2" t="str">
        <f>IF(A360&lt;&gt;"", SUMIF(B1:F1,"&lt;&gt;",B360:F360),"")</f>
        <v/>
      </c>
      <c r="H360" s="2" t="str">
        <f>IF(AND(A360&lt;&gt;"",G360&lt;&gt;""),ROUND(G360,0),"")</f>
        <v/>
      </c>
      <c r="I360" s="2" t="str">
        <f>IFERROR(IF(A360&lt;&gt;"",VLOOKUP(Alunos!A360,Recurso!A3:D1000,4, FALSE),""), "")</f>
        <v/>
      </c>
      <c r="J360" s="2" t="str">
        <f>IF(AND(A360&lt;&gt;"",I360&lt;&gt;""), SUMIFS(B360:I360,B1:I1,"&lt;&gt;",B2:I2,"&lt;&gt;Exame",B2:I2,"&lt;&gt;exame",B2:I2,"&lt;&gt;Nota",B2:I2,"&lt;&gt;Total"),"")</f>
        <v/>
      </c>
      <c r="K360" s="2" t="str">
        <f>IF(AND(A360&lt;&gt;"",J360&lt;&gt;""),ROUND(J360,0),"")</f>
        <v/>
      </c>
    </row>
    <row r="361" spans="2:11" x14ac:dyDescent="0.3">
      <c r="B361" s="2" t="str">
        <f>IFERROR(IF(A361&lt;&gt;"",VLOOKUP(Alunos!A361,Exame!A3:D1000,4, FALSE),""), "")</f>
        <v/>
      </c>
      <c r="C361" s="2" t="str">
        <f>IF(A361&lt;&gt;"",VLOOKUP(Alunos!A361,Agrupamentos!A3:C1000,2, FALSE),"")</f>
        <v/>
      </c>
      <c r="D361" s="2" t="str">
        <f>IFERROR(IF(A361&lt;&gt;"",VLOOKUP(Alunos!C361,'TP1'!A3:E1000,5, FALSE),""),"")</f>
        <v/>
      </c>
      <c r="E361" s="2" t="str">
        <f>IF(A361&lt;&gt;"",VLOOKUP(Alunos!A361,Agrupamentos!A3:C1000,3, FALSE),"")</f>
        <v/>
      </c>
      <c r="F361" s="2" t="str">
        <f>IFERROR(IF(A361&lt;&gt;"",VLOOKUP(Alunos!E361,'TP2'!A3:D1000,4, FALSE),""),"")</f>
        <v/>
      </c>
      <c r="G361" s="2" t="str">
        <f>IF(A361&lt;&gt;"", SUMIF(B1:F1,"&lt;&gt;",B361:F361),"")</f>
        <v/>
      </c>
      <c r="H361" s="2" t="str">
        <f>IF(AND(A361&lt;&gt;"",G361&lt;&gt;""),ROUND(G361,0),"")</f>
        <v/>
      </c>
      <c r="I361" s="2" t="str">
        <f>IFERROR(IF(A361&lt;&gt;"",VLOOKUP(Alunos!A361,Recurso!A3:D1000,4, FALSE),""), "")</f>
        <v/>
      </c>
      <c r="J361" s="2" t="str">
        <f>IF(AND(A361&lt;&gt;"",I361&lt;&gt;""), SUMIFS(B361:I361,B1:I1,"&lt;&gt;",B2:I2,"&lt;&gt;Exame",B2:I2,"&lt;&gt;exame",B2:I2,"&lt;&gt;Nota",B2:I2,"&lt;&gt;Total"),"")</f>
        <v/>
      </c>
      <c r="K361" s="2" t="str">
        <f>IF(AND(A361&lt;&gt;"",J361&lt;&gt;""),ROUND(J361,0),"")</f>
        <v/>
      </c>
    </row>
    <row r="362" spans="2:11" x14ac:dyDescent="0.3">
      <c r="B362" s="2" t="str">
        <f>IFERROR(IF(A362&lt;&gt;"",VLOOKUP(Alunos!A362,Exame!A3:D1000,4, FALSE),""), "")</f>
        <v/>
      </c>
      <c r="C362" s="2" t="str">
        <f>IF(A362&lt;&gt;"",VLOOKUP(Alunos!A362,Agrupamentos!A3:C1000,2, FALSE),"")</f>
        <v/>
      </c>
      <c r="D362" s="2" t="str">
        <f>IFERROR(IF(A362&lt;&gt;"",VLOOKUP(Alunos!C362,'TP1'!A3:E1000,5, FALSE),""),"")</f>
        <v/>
      </c>
      <c r="E362" s="2" t="str">
        <f>IF(A362&lt;&gt;"",VLOOKUP(Alunos!A362,Agrupamentos!A3:C1000,3, FALSE),"")</f>
        <v/>
      </c>
      <c r="F362" s="2" t="str">
        <f>IFERROR(IF(A362&lt;&gt;"",VLOOKUP(Alunos!E362,'TP2'!A3:D1000,4, FALSE),""),"")</f>
        <v/>
      </c>
      <c r="G362" s="2" t="str">
        <f>IF(A362&lt;&gt;"", SUMIF(B1:F1,"&lt;&gt;",B362:F362),"")</f>
        <v/>
      </c>
      <c r="H362" s="2" t="str">
        <f>IF(AND(A362&lt;&gt;"",G362&lt;&gt;""),ROUND(G362,0),"")</f>
        <v/>
      </c>
      <c r="I362" s="2" t="str">
        <f>IFERROR(IF(A362&lt;&gt;"",VLOOKUP(Alunos!A362,Recurso!A3:D1000,4, FALSE),""), "")</f>
        <v/>
      </c>
      <c r="J362" s="2" t="str">
        <f>IF(AND(A362&lt;&gt;"",I362&lt;&gt;""), SUMIFS(B362:I362,B1:I1,"&lt;&gt;",B2:I2,"&lt;&gt;Exame",B2:I2,"&lt;&gt;exame",B2:I2,"&lt;&gt;Nota",B2:I2,"&lt;&gt;Total"),"")</f>
        <v/>
      </c>
      <c r="K362" s="2" t="str">
        <f>IF(AND(A362&lt;&gt;"",J362&lt;&gt;""),ROUND(J362,0),"")</f>
        <v/>
      </c>
    </row>
    <row r="363" spans="2:11" x14ac:dyDescent="0.3">
      <c r="B363" s="2" t="str">
        <f>IFERROR(IF(A363&lt;&gt;"",VLOOKUP(Alunos!A363,Exame!A3:D1000,4, FALSE),""), "")</f>
        <v/>
      </c>
      <c r="C363" s="2" t="str">
        <f>IF(A363&lt;&gt;"",VLOOKUP(Alunos!A363,Agrupamentos!A3:C1000,2, FALSE),"")</f>
        <v/>
      </c>
      <c r="D363" s="2" t="str">
        <f>IFERROR(IF(A363&lt;&gt;"",VLOOKUP(Alunos!C363,'TP1'!A3:E1000,5, FALSE),""),"")</f>
        <v/>
      </c>
      <c r="E363" s="2" t="str">
        <f>IF(A363&lt;&gt;"",VLOOKUP(Alunos!A363,Agrupamentos!A3:C1000,3, FALSE),"")</f>
        <v/>
      </c>
      <c r="F363" s="2" t="str">
        <f>IFERROR(IF(A363&lt;&gt;"",VLOOKUP(Alunos!E363,'TP2'!A3:D1000,4, FALSE),""),"")</f>
        <v/>
      </c>
      <c r="G363" s="2" t="str">
        <f>IF(A363&lt;&gt;"", SUMIF(B1:F1,"&lt;&gt;",B363:F363),"")</f>
        <v/>
      </c>
      <c r="H363" s="2" t="str">
        <f>IF(AND(A363&lt;&gt;"",G363&lt;&gt;""),ROUND(G363,0),"")</f>
        <v/>
      </c>
      <c r="I363" s="2" t="str">
        <f>IFERROR(IF(A363&lt;&gt;"",VLOOKUP(Alunos!A363,Recurso!A3:D1000,4, FALSE),""), "")</f>
        <v/>
      </c>
      <c r="J363" s="2" t="str">
        <f>IF(AND(A363&lt;&gt;"",I363&lt;&gt;""), SUMIFS(B363:I363,B1:I1,"&lt;&gt;",B2:I2,"&lt;&gt;Exame",B2:I2,"&lt;&gt;exame",B2:I2,"&lt;&gt;Nota",B2:I2,"&lt;&gt;Total"),"")</f>
        <v/>
      </c>
      <c r="K363" s="2" t="str">
        <f>IF(AND(A363&lt;&gt;"",J363&lt;&gt;""),ROUND(J363,0),"")</f>
        <v/>
      </c>
    </row>
    <row r="364" spans="2:11" x14ac:dyDescent="0.3">
      <c r="B364" s="2" t="str">
        <f>IFERROR(IF(A364&lt;&gt;"",VLOOKUP(Alunos!A364,Exame!A3:D1000,4, FALSE),""), "")</f>
        <v/>
      </c>
      <c r="C364" s="2" t="str">
        <f>IF(A364&lt;&gt;"",VLOOKUP(Alunos!A364,Agrupamentos!A3:C1000,2, FALSE),"")</f>
        <v/>
      </c>
      <c r="D364" s="2" t="str">
        <f>IFERROR(IF(A364&lt;&gt;"",VLOOKUP(Alunos!C364,'TP1'!A3:E1000,5, FALSE),""),"")</f>
        <v/>
      </c>
      <c r="E364" s="2" t="str">
        <f>IF(A364&lt;&gt;"",VLOOKUP(Alunos!A364,Agrupamentos!A3:C1000,3, FALSE),"")</f>
        <v/>
      </c>
      <c r="F364" s="2" t="str">
        <f>IFERROR(IF(A364&lt;&gt;"",VLOOKUP(Alunos!E364,'TP2'!A3:D1000,4, FALSE),""),"")</f>
        <v/>
      </c>
      <c r="G364" s="2" t="str">
        <f>IF(A364&lt;&gt;"", SUMIF(B1:F1,"&lt;&gt;",B364:F364),"")</f>
        <v/>
      </c>
      <c r="H364" s="2" t="str">
        <f>IF(AND(A364&lt;&gt;"",G364&lt;&gt;""),ROUND(G364,0),"")</f>
        <v/>
      </c>
      <c r="I364" s="2" t="str">
        <f>IFERROR(IF(A364&lt;&gt;"",VLOOKUP(Alunos!A364,Recurso!A3:D1000,4, FALSE),""), "")</f>
        <v/>
      </c>
      <c r="J364" s="2" t="str">
        <f>IF(AND(A364&lt;&gt;"",I364&lt;&gt;""), SUMIFS(B364:I364,B1:I1,"&lt;&gt;",B2:I2,"&lt;&gt;Exame",B2:I2,"&lt;&gt;exame",B2:I2,"&lt;&gt;Nota",B2:I2,"&lt;&gt;Total"),"")</f>
        <v/>
      </c>
      <c r="K364" s="2" t="str">
        <f>IF(AND(A364&lt;&gt;"",J364&lt;&gt;""),ROUND(J364,0),"")</f>
        <v/>
      </c>
    </row>
    <row r="365" spans="2:11" x14ac:dyDescent="0.3">
      <c r="B365" s="2" t="str">
        <f>IFERROR(IF(A365&lt;&gt;"",VLOOKUP(Alunos!A365,Exame!A3:D1000,4, FALSE),""), "")</f>
        <v/>
      </c>
      <c r="C365" s="2" t="str">
        <f>IF(A365&lt;&gt;"",VLOOKUP(Alunos!A365,Agrupamentos!A3:C1000,2, FALSE),"")</f>
        <v/>
      </c>
      <c r="D365" s="2" t="str">
        <f>IFERROR(IF(A365&lt;&gt;"",VLOOKUP(Alunos!C365,'TP1'!A3:E1000,5, FALSE),""),"")</f>
        <v/>
      </c>
      <c r="E365" s="2" t="str">
        <f>IF(A365&lt;&gt;"",VLOOKUP(Alunos!A365,Agrupamentos!A3:C1000,3, FALSE),"")</f>
        <v/>
      </c>
      <c r="F365" s="2" t="str">
        <f>IFERROR(IF(A365&lt;&gt;"",VLOOKUP(Alunos!E365,'TP2'!A3:D1000,4, FALSE),""),"")</f>
        <v/>
      </c>
      <c r="G365" s="2" t="str">
        <f>IF(A365&lt;&gt;"", SUMIF(B1:F1,"&lt;&gt;",B365:F365),"")</f>
        <v/>
      </c>
      <c r="H365" s="2" t="str">
        <f>IF(AND(A365&lt;&gt;"",G365&lt;&gt;""),ROUND(G365,0),"")</f>
        <v/>
      </c>
      <c r="I365" s="2" t="str">
        <f>IFERROR(IF(A365&lt;&gt;"",VLOOKUP(Alunos!A365,Recurso!A3:D1000,4, FALSE),""), "")</f>
        <v/>
      </c>
      <c r="J365" s="2" t="str">
        <f>IF(AND(A365&lt;&gt;"",I365&lt;&gt;""), SUMIFS(B365:I365,B1:I1,"&lt;&gt;",B2:I2,"&lt;&gt;Exame",B2:I2,"&lt;&gt;exame",B2:I2,"&lt;&gt;Nota",B2:I2,"&lt;&gt;Total"),"")</f>
        <v/>
      </c>
      <c r="K365" s="2" t="str">
        <f>IF(AND(A365&lt;&gt;"",J365&lt;&gt;""),ROUND(J365,0),"")</f>
        <v/>
      </c>
    </row>
    <row r="366" spans="2:11" x14ac:dyDescent="0.3">
      <c r="B366" s="2" t="str">
        <f>IFERROR(IF(A366&lt;&gt;"",VLOOKUP(Alunos!A366,Exame!A3:D1000,4, FALSE),""), "")</f>
        <v/>
      </c>
      <c r="C366" s="2" t="str">
        <f>IF(A366&lt;&gt;"",VLOOKUP(Alunos!A366,Agrupamentos!A3:C1000,2, FALSE),"")</f>
        <v/>
      </c>
      <c r="D366" s="2" t="str">
        <f>IFERROR(IF(A366&lt;&gt;"",VLOOKUP(Alunos!C366,'TP1'!A3:E1000,5, FALSE),""),"")</f>
        <v/>
      </c>
      <c r="E366" s="2" t="str">
        <f>IF(A366&lt;&gt;"",VLOOKUP(Alunos!A366,Agrupamentos!A3:C1000,3, FALSE),"")</f>
        <v/>
      </c>
      <c r="F366" s="2" t="str">
        <f>IFERROR(IF(A366&lt;&gt;"",VLOOKUP(Alunos!E366,'TP2'!A3:D1000,4, FALSE),""),"")</f>
        <v/>
      </c>
      <c r="G366" s="2" t="str">
        <f>IF(A366&lt;&gt;"", SUMIF(B1:F1,"&lt;&gt;",B366:F366),"")</f>
        <v/>
      </c>
      <c r="H366" s="2" t="str">
        <f>IF(AND(A366&lt;&gt;"",G366&lt;&gt;""),ROUND(G366,0),"")</f>
        <v/>
      </c>
      <c r="I366" s="2" t="str">
        <f>IFERROR(IF(A366&lt;&gt;"",VLOOKUP(Alunos!A366,Recurso!A3:D1000,4, FALSE),""), "")</f>
        <v/>
      </c>
      <c r="J366" s="2" t="str">
        <f>IF(AND(A366&lt;&gt;"",I366&lt;&gt;""), SUMIFS(B366:I366,B1:I1,"&lt;&gt;",B2:I2,"&lt;&gt;Exame",B2:I2,"&lt;&gt;exame",B2:I2,"&lt;&gt;Nota",B2:I2,"&lt;&gt;Total"),"")</f>
        <v/>
      </c>
      <c r="K366" s="2" t="str">
        <f>IF(AND(A366&lt;&gt;"",J366&lt;&gt;""),ROUND(J366,0),"")</f>
        <v/>
      </c>
    </row>
    <row r="367" spans="2:11" x14ac:dyDescent="0.3">
      <c r="B367" s="2" t="str">
        <f>IFERROR(IF(A367&lt;&gt;"",VLOOKUP(Alunos!A367,Exame!A3:D1000,4, FALSE),""), "")</f>
        <v/>
      </c>
      <c r="C367" s="2" t="str">
        <f>IF(A367&lt;&gt;"",VLOOKUP(Alunos!A367,Agrupamentos!A3:C1000,2, FALSE),"")</f>
        <v/>
      </c>
      <c r="D367" s="2" t="str">
        <f>IFERROR(IF(A367&lt;&gt;"",VLOOKUP(Alunos!C367,'TP1'!A3:E1000,5, FALSE),""),"")</f>
        <v/>
      </c>
      <c r="E367" s="2" t="str">
        <f>IF(A367&lt;&gt;"",VLOOKUP(Alunos!A367,Agrupamentos!A3:C1000,3, FALSE),"")</f>
        <v/>
      </c>
      <c r="F367" s="2" t="str">
        <f>IFERROR(IF(A367&lt;&gt;"",VLOOKUP(Alunos!E367,'TP2'!A3:D1000,4, FALSE),""),"")</f>
        <v/>
      </c>
      <c r="G367" s="2" t="str">
        <f>IF(A367&lt;&gt;"", SUMIF(B1:F1,"&lt;&gt;",B367:F367),"")</f>
        <v/>
      </c>
      <c r="H367" s="2" t="str">
        <f>IF(AND(A367&lt;&gt;"",G367&lt;&gt;""),ROUND(G367,0),"")</f>
        <v/>
      </c>
      <c r="I367" s="2" t="str">
        <f>IFERROR(IF(A367&lt;&gt;"",VLOOKUP(Alunos!A367,Recurso!A3:D1000,4, FALSE),""), "")</f>
        <v/>
      </c>
      <c r="J367" s="2" t="str">
        <f>IF(AND(A367&lt;&gt;"",I367&lt;&gt;""), SUMIFS(B367:I367,B1:I1,"&lt;&gt;",B2:I2,"&lt;&gt;Exame",B2:I2,"&lt;&gt;exame",B2:I2,"&lt;&gt;Nota",B2:I2,"&lt;&gt;Total"),"")</f>
        <v/>
      </c>
      <c r="K367" s="2" t="str">
        <f>IF(AND(A367&lt;&gt;"",J367&lt;&gt;""),ROUND(J367,0),"")</f>
        <v/>
      </c>
    </row>
    <row r="368" spans="2:11" x14ac:dyDescent="0.3">
      <c r="B368" s="2" t="str">
        <f>IFERROR(IF(A368&lt;&gt;"",VLOOKUP(Alunos!A368,Exame!A3:D1000,4, FALSE),""), "")</f>
        <v/>
      </c>
      <c r="C368" s="2" t="str">
        <f>IF(A368&lt;&gt;"",VLOOKUP(Alunos!A368,Agrupamentos!A3:C1000,2, FALSE),"")</f>
        <v/>
      </c>
      <c r="D368" s="2" t="str">
        <f>IFERROR(IF(A368&lt;&gt;"",VLOOKUP(Alunos!C368,'TP1'!A3:E1000,5, FALSE),""),"")</f>
        <v/>
      </c>
      <c r="E368" s="2" t="str">
        <f>IF(A368&lt;&gt;"",VLOOKUP(Alunos!A368,Agrupamentos!A3:C1000,3, FALSE),"")</f>
        <v/>
      </c>
      <c r="F368" s="2" t="str">
        <f>IFERROR(IF(A368&lt;&gt;"",VLOOKUP(Alunos!E368,'TP2'!A3:D1000,4, FALSE),""),"")</f>
        <v/>
      </c>
      <c r="G368" s="2" t="str">
        <f>IF(A368&lt;&gt;"", SUMIF(B1:F1,"&lt;&gt;",B368:F368),"")</f>
        <v/>
      </c>
      <c r="H368" s="2" t="str">
        <f>IF(AND(A368&lt;&gt;"",G368&lt;&gt;""),ROUND(G368,0),"")</f>
        <v/>
      </c>
      <c r="I368" s="2" t="str">
        <f>IFERROR(IF(A368&lt;&gt;"",VLOOKUP(Alunos!A368,Recurso!A3:D1000,4, FALSE),""), "")</f>
        <v/>
      </c>
      <c r="J368" s="2" t="str">
        <f>IF(AND(A368&lt;&gt;"",I368&lt;&gt;""), SUMIFS(B368:I368,B1:I1,"&lt;&gt;",B2:I2,"&lt;&gt;Exame",B2:I2,"&lt;&gt;exame",B2:I2,"&lt;&gt;Nota",B2:I2,"&lt;&gt;Total"),"")</f>
        <v/>
      </c>
      <c r="K368" s="2" t="str">
        <f>IF(AND(A368&lt;&gt;"",J368&lt;&gt;""),ROUND(J368,0),"")</f>
        <v/>
      </c>
    </row>
    <row r="369" spans="2:11" x14ac:dyDescent="0.3">
      <c r="B369" s="2" t="str">
        <f>IFERROR(IF(A369&lt;&gt;"",VLOOKUP(Alunos!A369,Exame!A3:D1000,4, FALSE),""), "")</f>
        <v/>
      </c>
      <c r="C369" s="2" t="str">
        <f>IF(A369&lt;&gt;"",VLOOKUP(Alunos!A369,Agrupamentos!A3:C1000,2, FALSE),"")</f>
        <v/>
      </c>
      <c r="D369" s="2" t="str">
        <f>IFERROR(IF(A369&lt;&gt;"",VLOOKUP(Alunos!C369,'TP1'!A3:E1000,5, FALSE),""),"")</f>
        <v/>
      </c>
      <c r="E369" s="2" t="str">
        <f>IF(A369&lt;&gt;"",VLOOKUP(Alunos!A369,Agrupamentos!A3:C1000,3, FALSE),"")</f>
        <v/>
      </c>
      <c r="F369" s="2" t="str">
        <f>IFERROR(IF(A369&lt;&gt;"",VLOOKUP(Alunos!E369,'TP2'!A3:D1000,4, FALSE),""),"")</f>
        <v/>
      </c>
      <c r="G369" s="2" t="str">
        <f>IF(A369&lt;&gt;"", SUMIF(B1:F1,"&lt;&gt;",B369:F369),"")</f>
        <v/>
      </c>
      <c r="H369" s="2" t="str">
        <f>IF(AND(A369&lt;&gt;"",G369&lt;&gt;""),ROUND(G369,0),"")</f>
        <v/>
      </c>
      <c r="I369" s="2" t="str">
        <f>IFERROR(IF(A369&lt;&gt;"",VLOOKUP(Alunos!A369,Recurso!A3:D1000,4, FALSE),""), "")</f>
        <v/>
      </c>
      <c r="J369" s="2" t="str">
        <f>IF(AND(A369&lt;&gt;"",I369&lt;&gt;""), SUMIFS(B369:I369,B1:I1,"&lt;&gt;",B2:I2,"&lt;&gt;Exame",B2:I2,"&lt;&gt;exame",B2:I2,"&lt;&gt;Nota",B2:I2,"&lt;&gt;Total"),"")</f>
        <v/>
      </c>
      <c r="K369" s="2" t="str">
        <f>IF(AND(A369&lt;&gt;"",J369&lt;&gt;""),ROUND(J369,0),"")</f>
        <v/>
      </c>
    </row>
    <row r="370" spans="2:11" x14ac:dyDescent="0.3">
      <c r="B370" s="2" t="str">
        <f>IFERROR(IF(A370&lt;&gt;"",VLOOKUP(Alunos!A370,Exame!A3:D1000,4, FALSE),""), "")</f>
        <v/>
      </c>
      <c r="C370" s="2" t="str">
        <f>IF(A370&lt;&gt;"",VLOOKUP(Alunos!A370,Agrupamentos!A3:C1000,2, FALSE),"")</f>
        <v/>
      </c>
      <c r="D370" s="2" t="str">
        <f>IFERROR(IF(A370&lt;&gt;"",VLOOKUP(Alunos!C370,'TP1'!A3:E1000,5, FALSE),""),"")</f>
        <v/>
      </c>
      <c r="E370" s="2" t="str">
        <f>IF(A370&lt;&gt;"",VLOOKUP(Alunos!A370,Agrupamentos!A3:C1000,3, FALSE),"")</f>
        <v/>
      </c>
      <c r="F370" s="2" t="str">
        <f>IFERROR(IF(A370&lt;&gt;"",VLOOKUP(Alunos!E370,'TP2'!A3:D1000,4, FALSE),""),"")</f>
        <v/>
      </c>
      <c r="G370" s="2" t="str">
        <f>IF(A370&lt;&gt;"", SUMIF(B1:F1,"&lt;&gt;",B370:F370),"")</f>
        <v/>
      </c>
      <c r="H370" s="2" t="str">
        <f>IF(AND(A370&lt;&gt;"",G370&lt;&gt;""),ROUND(G370,0),"")</f>
        <v/>
      </c>
      <c r="I370" s="2" t="str">
        <f>IFERROR(IF(A370&lt;&gt;"",VLOOKUP(Alunos!A370,Recurso!A3:D1000,4, FALSE),""), "")</f>
        <v/>
      </c>
      <c r="J370" s="2" t="str">
        <f>IF(AND(A370&lt;&gt;"",I370&lt;&gt;""), SUMIFS(B370:I370,B1:I1,"&lt;&gt;",B2:I2,"&lt;&gt;Exame",B2:I2,"&lt;&gt;exame",B2:I2,"&lt;&gt;Nota",B2:I2,"&lt;&gt;Total"),"")</f>
        <v/>
      </c>
      <c r="K370" s="2" t="str">
        <f>IF(AND(A370&lt;&gt;"",J370&lt;&gt;""),ROUND(J370,0),"")</f>
        <v/>
      </c>
    </row>
    <row r="371" spans="2:11" x14ac:dyDescent="0.3">
      <c r="B371" s="2" t="str">
        <f>IFERROR(IF(A371&lt;&gt;"",VLOOKUP(Alunos!A371,Exame!A3:D1000,4, FALSE),""), "")</f>
        <v/>
      </c>
      <c r="C371" s="2" t="str">
        <f>IF(A371&lt;&gt;"",VLOOKUP(Alunos!A371,Agrupamentos!A3:C1000,2, FALSE),"")</f>
        <v/>
      </c>
      <c r="D371" s="2" t="str">
        <f>IFERROR(IF(A371&lt;&gt;"",VLOOKUP(Alunos!C371,'TP1'!A3:E1000,5, FALSE),""),"")</f>
        <v/>
      </c>
      <c r="E371" s="2" t="str">
        <f>IF(A371&lt;&gt;"",VLOOKUP(Alunos!A371,Agrupamentos!A3:C1000,3, FALSE),"")</f>
        <v/>
      </c>
      <c r="F371" s="2" t="str">
        <f>IFERROR(IF(A371&lt;&gt;"",VLOOKUP(Alunos!E371,'TP2'!A3:D1000,4, FALSE),""),"")</f>
        <v/>
      </c>
      <c r="G371" s="2" t="str">
        <f>IF(A371&lt;&gt;"", SUMIF(B1:F1,"&lt;&gt;",B371:F371),"")</f>
        <v/>
      </c>
      <c r="H371" s="2" t="str">
        <f>IF(AND(A371&lt;&gt;"",G371&lt;&gt;""),ROUND(G371,0),"")</f>
        <v/>
      </c>
      <c r="I371" s="2" t="str">
        <f>IFERROR(IF(A371&lt;&gt;"",VLOOKUP(Alunos!A371,Recurso!A3:D1000,4, FALSE),""), "")</f>
        <v/>
      </c>
      <c r="J371" s="2" t="str">
        <f>IF(AND(A371&lt;&gt;"",I371&lt;&gt;""), SUMIFS(B371:I371,B1:I1,"&lt;&gt;",B2:I2,"&lt;&gt;Exame",B2:I2,"&lt;&gt;exame",B2:I2,"&lt;&gt;Nota",B2:I2,"&lt;&gt;Total"),"")</f>
        <v/>
      </c>
      <c r="K371" s="2" t="str">
        <f>IF(AND(A371&lt;&gt;"",J371&lt;&gt;""),ROUND(J371,0),"")</f>
        <v/>
      </c>
    </row>
    <row r="372" spans="2:11" x14ac:dyDescent="0.3">
      <c r="B372" s="2" t="str">
        <f>IFERROR(IF(A372&lt;&gt;"",VLOOKUP(Alunos!A372,Exame!A3:D1000,4, FALSE),""), "")</f>
        <v/>
      </c>
      <c r="C372" s="2" t="str">
        <f>IF(A372&lt;&gt;"",VLOOKUP(Alunos!A372,Agrupamentos!A3:C1000,2, FALSE),"")</f>
        <v/>
      </c>
      <c r="D372" s="2" t="str">
        <f>IFERROR(IF(A372&lt;&gt;"",VLOOKUP(Alunos!C372,'TP1'!A3:E1000,5, FALSE),""),"")</f>
        <v/>
      </c>
      <c r="E372" s="2" t="str">
        <f>IF(A372&lt;&gt;"",VLOOKUP(Alunos!A372,Agrupamentos!A3:C1000,3, FALSE),"")</f>
        <v/>
      </c>
      <c r="F372" s="2" t="str">
        <f>IFERROR(IF(A372&lt;&gt;"",VLOOKUP(Alunos!E372,'TP2'!A3:D1000,4, FALSE),""),"")</f>
        <v/>
      </c>
      <c r="G372" s="2" t="str">
        <f>IF(A372&lt;&gt;"", SUMIF(B1:F1,"&lt;&gt;",B372:F372),"")</f>
        <v/>
      </c>
      <c r="H372" s="2" t="str">
        <f>IF(AND(A372&lt;&gt;"",G372&lt;&gt;""),ROUND(G372,0),"")</f>
        <v/>
      </c>
      <c r="I372" s="2" t="str">
        <f>IFERROR(IF(A372&lt;&gt;"",VLOOKUP(Alunos!A372,Recurso!A3:D1000,4, FALSE),""), "")</f>
        <v/>
      </c>
      <c r="J372" s="2" t="str">
        <f>IF(AND(A372&lt;&gt;"",I372&lt;&gt;""), SUMIFS(B372:I372,B1:I1,"&lt;&gt;",B2:I2,"&lt;&gt;Exame",B2:I2,"&lt;&gt;exame",B2:I2,"&lt;&gt;Nota",B2:I2,"&lt;&gt;Total"),"")</f>
        <v/>
      </c>
      <c r="K372" s="2" t="str">
        <f>IF(AND(A372&lt;&gt;"",J372&lt;&gt;""),ROUND(J372,0),"")</f>
        <v/>
      </c>
    </row>
    <row r="373" spans="2:11" x14ac:dyDescent="0.3">
      <c r="B373" s="2" t="str">
        <f>IFERROR(IF(A373&lt;&gt;"",VLOOKUP(Alunos!A373,Exame!A3:D1000,4, FALSE),""), "")</f>
        <v/>
      </c>
      <c r="C373" s="2" t="str">
        <f>IF(A373&lt;&gt;"",VLOOKUP(Alunos!A373,Agrupamentos!A3:C1000,2, FALSE),"")</f>
        <v/>
      </c>
      <c r="D373" s="2" t="str">
        <f>IFERROR(IF(A373&lt;&gt;"",VLOOKUP(Alunos!C373,'TP1'!A3:E1000,5, FALSE),""),"")</f>
        <v/>
      </c>
      <c r="E373" s="2" t="str">
        <f>IF(A373&lt;&gt;"",VLOOKUP(Alunos!A373,Agrupamentos!A3:C1000,3, FALSE),"")</f>
        <v/>
      </c>
      <c r="F373" s="2" t="str">
        <f>IFERROR(IF(A373&lt;&gt;"",VLOOKUP(Alunos!E373,'TP2'!A3:D1000,4, FALSE),""),"")</f>
        <v/>
      </c>
      <c r="G373" s="2" t="str">
        <f>IF(A373&lt;&gt;"", SUMIF(B1:F1,"&lt;&gt;",B373:F373),"")</f>
        <v/>
      </c>
      <c r="H373" s="2" t="str">
        <f>IF(AND(A373&lt;&gt;"",G373&lt;&gt;""),ROUND(G373,0),"")</f>
        <v/>
      </c>
      <c r="I373" s="2" t="str">
        <f>IFERROR(IF(A373&lt;&gt;"",VLOOKUP(Alunos!A373,Recurso!A3:D1000,4, FALSE),""), "")</f>
        <v/>
      </c>
      <c r="J373" s="2" t="str">
        <f>IF(AND(A373&lt;&gt;"",I373&lt;&gt;""), SUMIFS(B373:I373,B1:I1,"&lt;&gt;",B2:I2,"&lt;&gt;Exame",B2:I2,"&lt;&gt;exame",B2:I2,"&lt;&gt;Nota",B2:I2,"&lt;&gt;Total"),"")</f>
        <v/>
      </c>
      <c r="K373" s="2" t="str">
        <f>IF(AND(A373&lt;&gt;"",J373&lt;&gt;""),ROUND(J373,0),"")</f>
        <v/>
      </c>
    </row>
    <row r="374" spans="2:11" x14ac:dyDescent="0.3">
      <c r="B374" s="2" t="str">
        <f>IFERROR(IF(A374&lt;&gt;"",VLOOKUP(Alunos!A374,Exame!A3:D1000,4, FALSE),""), "")</f>
        <v/>
      </c>
      <c r="C374" s="2" t="str">
        <f>IF(A374&lt;&gt;"",VLOOKUP(Alunos!A374,Agrupamentos!A3:C1000,2, FALSE),"")</f>
        <v/>
      </c>
      <c r="D374" s="2" t="str">
        <f>IFERROR(IF(A374&lt;&gt;"",VLOOKUP(Alunos!C374,'TP1'!A3:E1000,5, FALSE),""),"")</f>
        <v/>
      </c>
      <c r="E374" s="2" t="str">
        <f>IF(A374&lt;&gt;"",VLOOKUP(Alunos!A374,Agrupamentos!A3:C1000,3, FALSE),"")</f>
        <v/>
      </c>
      <c r="F374" s="2" t="str">
        <f>IFERROR(IF(A374&lt;&gt;"",VLOOKUP(Alunos!E374,'TP2'!A3:D1000,4, FALSE),""),"")</f>
        <v/>
      </c>
      <c r="G374" s="2" t="str">
        <f>IF(A374&lt;&gt;"", SUMIF(B1:F1,"&lt;&gt;",B374:F374),"")</f>
        <v/>
      </c>
      <c r="H374" s="2" t="str">
        <f>IF(AND(A374&lt;&gt;"",G374&lt;&gt;""),ROUND(G374,0),"")</f>
        <v/>
      </c>
      <c r="I374" s="2" t="str">
        <f>IFERROR(IF(A374&lt;&gt;"",VLOOKUP(Alunos!A374,Recurso!A3:D1000,4, FALSE),""), "")</f>
        <v/>
      </c>
      <c r="J374" s="2" t="str">
        <f>IF(AND(A374&lt;&gt;"",I374&lt;&gt;""), SUMIFS(B374:I374,B1:I1,"&lt;&gt;",B2:I2,"&lt;&gt;Exame",B2:I2,"&lt;&gt;exame",B2:I2,"&lt;&gt;Nota",B2:I2,"&lt;&gt;Total"),"")</f>
        <v/>
      </c>
      <c r="K374" s="2" t="str">
        <f>IF(AND(A374&lt;&gt;"",J374&lt;&gt;""),ROUND(J374,0),"")</f>
        <v/>
      </c>
    </row>
    <row r="375" spans="2:11" x14ac:dyDescent="0.3">
      <c r="B375" s="2" t="str">
        <f>IFERROR(IF(A375&lt;&gt;"",VLOOKUP(Alunos!A375,Exame!A3:D1000,4, FALSE),""), "")</f>
        <v/>
      </c>
      <c r="C375" s="2" t="str">
        <f>IF(A375&lt;&gt;"",VLOOKUP(Alunos!A375,Agrupamentos!A3:C1000,2, FALSE),"")</f>
        <v/>
      </c>
      <c r="D375" s="2" t="str">
        <f>IFERROR(IF(A375&lt;&gt;"",VLOOKUP(Alunos!C375,'TP1'!A3:E1000,5, FALSE),""),"")</f>
        <v/>
      </c>
      <c r="E375" s="2" t="str">
        <f>IF(A375&lt;&gt;"",VLOOKUP(Alunos!A375,Agrupamentos!A3:C1000,3, FALSE),"")</f>
        <v/>
      </c>
      <c r="F375" s="2" t="str">
        <f>IFERROR(IF(A375&lt;&gt;"",VLOOKUP(Alunos!E375,'TP2'!A3:D1000,4, FALSE),""),"")</f>
        <v/>
      </c>
      <c r="G375" s="2" t="str">
        <f>IF(A375&lt;&gt;"", SUMIF(B1:F1,"&lt;&gt;",B375:F375),"")</f>
        <v/>
      </c>
      <c r="H375" s="2" t="str">
        <f>IF(AND(A375&lt;&gt;"",G375&lt;&gt;""),ROUND(G375,0),"")</f>
        <v/>
      </c>
      <c r="I375" s="2" t="str">
        <f>IFERROR(IF(A375&lt;&gt;"",VLOOKUP(Alunos!A375,Recurso!A3:D1000,4, FALSE),""), "")</f>
        <v/>
      </c>
      <c r="J375" s="2" t="str">
        <f>IF(AND(A375&lt;&gt;"",I375&lt;&gt;""), SUMIFS(B375:I375,B1:I1,"&lt;&gt;",B2:I2,"&lt;&gt;Exame",B2:I2,"&lt;&gt;exame",B2:I2,"&lt;&gt;Nota",B2:I2,"&lt;&gt;Total"),"")</f>
        <v/>
      </c>
      <c r="K375" s="2" t="str">
        <f>IF(AND(A375&lt;&gt;"",J375&lt;&gt;""),ROUND(J375,0),"")</f>
        <v/>
      </c>
    </row>
    <row r="376" spans="2:11" x14ac:dyDescent="0.3">
      <c r="B376" s="2" t="str">
        <f>IFERROR(IF(A376&lt;&gt;"",VLOOKUP(Alunos!A376,Exame!A3:D1000,4, FALSE),""), "")</f>
        <v/>
      </c>
      <c r="C376" s="2" t="str">
        <f>IF(A376&lt;&gt;"",VLOOKUP(Alunos!A376,Agrupamentos!A3:C1000,2, FALSE),"")</f>
        <v/>
      </c>
      <c r="D376" s="2" t="str">
        <f>IFERROR(IF(A376&lt;&gt;"",VLOOKUP(Alunos!C376,'TP1'!A3:E1000,5, FALSE),""),"")</f>
        <v/>
      </c>
      <c r="E376" s="2" t="str">
        <f>IF(A376&lt;&gt;"",VLOOKUP(Alunos!A376,Agrupamentos!A3:C1000,3, FALSE),"")</f>
        <v/>
      </c>
      <c r="F376" s="2" t="str">
        <f>IFERROR(IF(A376&lt;&gt;"",VLOOKUP(Alunos!E376,'TP2'!A3:D1000,4, FALSE),""),"")</f>
        <v/>
      </c>
      <c r="G376" s="2" t="str">
        <f>IF(A376&lt;&gt;"", SUMIF(B1:F1,"&lt;&gt;",B376:F376),"")</f>
        <v/>
      </c>
      <c r="H376" s="2" t="str">
        <f>IF(AND(A376&lt;&gt;"",G376&lt;&gt;""),ROUND(G376,0),"")</f>
        <v/>
      </c>
      <c r="I376" s="2" t="str">
        <f>IFERROR(IF(A376&lt;&gt;"",VLOOKUP(Alunos!A376,Recurso!A3:D1000,4, FALSE),""), "")</f>
        <v/>
      </c>
      <c r="J376" s="2" t="str">
        <f>IF(AND(A376&lt;&gt;"",I376&lt;&gt;""), SUMIFS(B376:I376,B1:I1,"&lt;&gt;",B2:I2,"&lt;&gt;Exame",B2:I2,"&lt;&gt;exame",B2:I2,"&lt;&gt;Nota",B2:I2,"&lt;&gt;Total"),"")</f>
        <v/>
      </c>
      <c r="K376" s="2" t="str">
        <f>IF(AND(A376&lt;&gt;"",J376&lt;&gt;""),ROUND(J376,0),"")</f>
        <v/>
      </c>
    </row>
    <row r="377" spans="2:11" x14ac:dyDescent="0.3">
      <c r="B377" s="2" t="str">
        <f>IFERROR(IF(A377&lt;&gt;"",VLOOKUP(Alunos!A377,Exame!A3:D1000,4, FALSE),""), "")</f>
        <v/>
      </c>
      <c r="C377" s="2" t="str">
        <f>IF(A377&lt;&gt;"",VLOOKUP(Alunos!A377,Agrupamentos!A3:C1000,2, FALSE),"")</f>
        <v/>
      </c>
      <c r="D377" s="2" t="str">
        <f>IFERROR(IF(A377&lt;&gt;"",VLOOKUP(Alunos!C377,'TP1'!A3:E1000,5, FALSE),""),"")</f>
        <v/>
      </c>
      <c r="E377" s="2" t="str">
        <f>IF(A377&lt;&gt;"",VLOOKUP(Alunos!A377,Agrupamentos!A3:C1000,3, FALSE),"")</f>
        <v/>
      </c>
      <c r="F377" s="2" t="str">
        <f>IFERROR(IF(A377&lt;&gt;"",VLOOKUP(Alunos!E377,'TP2'!A3:D1000,4, FALSE),""),"")</f>
        <v/>
      </c>
      <c r="G377" s="2" t="str">
        <f>IF(A377&lt;&gt;"", SUMIF(B1:F1,"&lt;&gt;",B377:F377),"")</f>
        <v/>
      </c>
      <c r="H377" s="2" t="str">
        <f>IF(AND(A377&lt;&gt;"",G377&lt;&gt;""),ROUND(G377,0),"")</f>
        <v/>
      </c>
      <c r="I377" s="2" t="str">
        <f>IFERROR(IF(A377&lt;&gt;"",VLOOKUP(Alunos!A377,Recurso!A3:D1000,4, FALSE),""), "")</f>
        <v/>
      </c>
      <c r="J377" s="2" t="str">
        <f>IF(AND(A377&lt;&gt;"",I377&lt;&gt;""), SUMIFS(B377:I377,B1:I1,"&lt;&gt;",B2:I2,"&lt;&gt;Exame",B2:I2,"&lt;&gt;exame",B2:I2,"&lt;&gt;Nota",B2:I2,"&lt;&gt;Total"),"")</f>
        <v/>
      </c>
      <c r="K377" s="2" t="str">
        <f>IF(AND(A377&lt;&gt;"",J377&lt;&gt;""),ROUND(J377,0),"")</f>
        <v/>
      </c>
    </row>
    <row r="378" spans="2:11" x14ac:dyDescent="0.3">
      <c r="B378" s="2" t="str">
        <f>IFERROR(IF(A378&lt;&gt;"",VLOOKUP(Alunos!A378,Exame!A3:D1000,4, FALSE),""), "")</f>
        <v/>
      </c>
      <c r="C378" s="2" t="str">
        <f>IF(A378&lt;&gt;"",VLOOKUP(Alunos!A378,Agrupamentos!A3:C1000,2, FALSE),"")</f>
        <v/>
      </c>
      <c r="D378" s="2" t="str">
        <f>IFERROR(IF(A378&lt;&gt;"",VLOOKUP(Alunos!C378,'TP1'!A3:E1000,5, FALSE),""),"")</f>
        <v/>
      </c>
      <c r="E378" s="2" t="str">
        <f>IF(A378&lt;&gt;"",VLOOKUP(Alunos!A378,Agrupamentos!A3:C1000,3, FALSE),"")</f>
        <v/>
      </c>
      <c r="F378" s="2" t="str">
        <f>IFERROR(IF(A378&lt;&gt;"",VLOOKUP(Alunos!E378,'TP2'!A3:D1000,4, FALSE),""),"")</f>
        <v/>
      </c>
      <c r="G378" s="2" t="str">
        <f>IF(A378&lt;&gt;"", SUMIF(B1:F1,"&lt;&gt;",B378:F378),"")</f>
        <v/>
      </c>
      <c r="H378" s="2" t="str">
        <f>IF(AND(A378&lt;&gt;"",G378&lt;&gt;""),ROUND(G378,0),"")</f>
        <v/>
      </c>
      <c r="I378" s="2" t="str">
        <f>IFERROR(IF(A378&lt;&gt;"",VLOOKUP(Alunos!A378,Recurso!A3:D1000,4, FALSE),""), "")</f>
        <v/>
      </c>
      <c r="J378" s="2" t="str">
        <f>IF(AND(A378&lt;&gt;"",I378&lt;&gt;""), SUMIFS(B378:I378,B1:I1,"&lt;&gt;",B2:I2,"&lt;&gt;Exame",B2:I2,"&lt;&gt;exame",B2:I2,"&lt;&gt;Nota",B2:I2,"&lt;&gt;Total"),"")</f>
        <v/>
      </c>
      <c r="K378" s="2" t="str">
        <f>IF(AND(A378&lt;&gt;"",J378&lt;&gt;""),ROUND(J378,0),"")</f>
        <v/>
      </c>
    </row>
    <row r="379" spans="2:11" x14ac:dyDescent="0.3">
      <c r="B379" s="2" t="str">
        <f>IFERROR(IF(A379&lt;&gt;"",VLOOKUP(Alunos!A379,Exame!A3:D1000,4, FALSE),""), "")</f>
        <v/>
      </c>
      <c r="C379" s="2" t="str">
        <f>IF(A379&lt;&gt;"",VLOOKUP(Alunos!A379,Agrupamentos!A3:C1000,2, FALSE),"")</f>
        <v/>
      </c>
      <c r="D379" s="2" t="str">
        <f>IFERROR(IF(A379&lt;&gt;"",VLOOKUP(Alunos!C379,'TP1'!A3:E1000,5, FALSE),""),"")</f>
        <v/>
      </c>
      <c r="E379" s="2" t="str">
        <f>IF(A379&lt;&gt;"",VLOOKUP(Alunos!A379,Agrupamentos!A3:C1000,3, FALSE),"")</f>
        <v/>
      </c>
      <c r="F379" s="2" t="str">
        <f>IFERROR(IF(A379&lt;&gt;"",VLOOKUP(Alunos!E379,'TP2'!A3:D1000,4, FALSE),""),"")</f>
        <v/>
      </c>
      <c r="G379" s="2" t="str">
        <f>IF(A379&lt;&gt;"", SUMIF(B1:F1,"&lt;&gt;",B379:F379),"")</f>
        <v/>
      </c>
      <c r="H379" s="2" t="str">
        <f>IF(AND(A379&lt;&gt;"",G379&lt;&gt;""),ROUND(G379,0),"")</f>
        <v/>
      </c>
      <c r="I379" s="2" t="str">
        <f>IFERROR(IF(A379&lt;&gt;"",VLOOKUP(Alunos!A379,Recurso!A3:D1000,4, FALSE),""), "")</f>
        <v/>
      </c>
      <c r="J379" s="2" t="str">
        <f>IF(AND(A379&lt;&gt;"",I379&lt;&gt;""), SUMIFS(B379:I379,B1:I1,"&lt;&gt;",B2:I2,"&lt;&gt;Exame",B2:I2,"&lt;&gt;exame",B2:I2,"&lt;&gt;Nota",B2:I2,"&lt;&gt;Total"),"")</f>
        <v/>
      </c>
      <c r="K379" s="2" t="str">
        <f>IF(AND(A379&lt;&gt;"",J379&lt;&gt;""),ROUND(J379,0),"")</f>
        <v/>
      </c>
    </row>
    <row r="380" spans="2:11" x14ac:dyDescent="0.3">
      <c r="B380" s="2" t="str">
        <f>IFERROR(IF(A380&lt;&gt;"",VLOOKUP(Alunos!A380,Exame!A3:D1000,4, FALSE),""), "")</f>
        <v/>
      </c>
      <c r="C380" s="2" t="str">
        <f>IF(A380&lt;&gt;"",VLOOKUP(Alunos!A380,Agrupamentos!A3:C1000,2, FALSE),"")</f>
        <v/>
      </c>
      <c r="D380" s="2" t="str">
        <f>IFERROR(IF(A380&lt;&gt;"",VLOOKUP(Alunos!C380,'TP1'!A3:E1000,5, FALSE),""),"")</f>
        <v/>
      </c>
      <c r="E380" s="2" t="str">
        <f>IF(A380&lt;&gt;"",VLOOKUP(Alunos!A380,Agrupamentos!A3:C1000,3, FALSE),"")</f>
        <v/>
      </c>
      <c r="F380" s="2" t="str">
        <f>IFERROR(IF(A380&lt;&gt;"",VLOOKUP(Alunos!E380,'TP2'!A3:D1000,4, FALSE),""),"")</f>
        <v/>
      </c>
      <c r="G380" s="2" t="str">
        <f>IF(A380&lt;&gt;"", SUMIF(B1:F1,"&lt;&gt;",B380:F380),"")</f>
        <v/>
      </c>
      <c r="H380" s="2" t="str">
        <f>IF(AND(A380&lt;&gt;"",G380&lt;&gt;""),ROUND(G380,0),"")</f>
        <v/>
      </c>
      <c r="I380" s="2" t="str">
        <f>IFERROR(IF(A380&lt;&gt;"",VLOOKUP(Alunos!A380,Recurso!A3:D1000,4, FALSE),""), "")</f>
        <v/>
      </c>
      <c r="J380" s="2" t="str">
        <f>IF(AND(A380&lt;&gt;"",I380&lt;&gt;""), SUMIFS(B380:I380,B1:I1,"&lt;&gt;",B2:I2,"&lt;&gt;Exame",B2:I2,"&lt;&gt;exame",B2:I2,"&lt;&gt;Nota",B2:I2,"&lt;&gt;Total"),"")</f>
        <v/>
      </c>
      <c r="K380" s="2" t="str">
        <f>IF(AND(A380&lt;&gt;"",J380&lt;&gt;""),ROUND(J380,0),"")</f>
        <v/>
      </c>
    </row>
    <row r="381" spans="2:11" x14ac:dyDescent="0.3">
      <c r="B381" s="2" t="str">
        <f>IFERROR(IF(A381&lt;&gt;"",VLOOKUP(Alunos!A381,Exame!A3:D1000,4, FALSE),""), "")</f>
        <v/>
      </c>
      <c r="C381" s="2" t="str">
        <f>IF(A381&lt;&gt;"",VLOOKUP(Alunos!A381,Agrupamentos!A3:C1000,2, FALSE),"")</f>
        <v/>
      </c>
      <c r="D381" s="2" t="str">
        <f>IFERROR(IF(A381&lt;&gt;"",VLOOKUP(Alunos!C381,'TP1'!A3:E1000,5, FALSE),""),"")</f>
        <v/>
      </c>
      <c r="E381" s="2" t="str">
        <f>IF(A381&lt;&gt;"",VLOOKUP(Alunos!A381,Agrupamentos!A3:C1000,3, FALSE),"")</f>
        <v/>
      </c>
      <c r="F381" s="2" t="str">
        <f>IFERROR(IF(A381&lt;&gt;"",VLOOKUP(Alunos!E381,'TP2'!A3:D1000,4, FALSE),""),"")</f>
        <v/>
      </c>
      <c r="G381" s="2" t="str">
        <f>IF(A381&lt;&gt;"", SUMIF(B1:F1,"&lt;&gt;",B381:F381),"")</f>
        <v/>
      </c>
      <c r="H381" s="2" t="str">
        <f>IF(AND(A381&lt;&gt;"",G381&lt;&gt;""),ROUND(G381,0),"")</f>
        <v/>
      </c>
      <c r="I381" s="2" t="str">
        <f>IFERROR(IF(A381&lt;&gt;"",VLOOKUP(Alunos!A381,Recurso!A3:D1000,4, FALSE),""), "")</f>
        <v/>
      </c>
      <c r="J381" s="2" t="str">
        <f>IF(AND(A381&lt;&gt;"",I381&lt;&gt;""), SUMIFS(B381:I381,B1:I1,"&lt;&gt;",B2:I2,"&lt;&gt;Exame",B2:I2,"&lt;&gt;exame",B2:I2,"&lt;&gt;Nota",B2:I2,"&lt;&gt;Total"),"")</f>
        <v/>
      </c>
      <c r="K381" s="2" t="str">
        <f>IF(AND(A381&lt;&gt;"",J381&lt;&gt;""),ROUND(J381,0),"")</f>
        <v/>
      </c>
    </row>
    <row r="382" spans="2:11" x14ac:dyDescent="0.3">
      <c r="B382" s="2" t="str">
        <f>IFERROR(IF(A382&lt;&gt;"",VLOOKUP(Alunos!A382,Exame!A3:D1000,4, FALSE),""), "")</f>
        <v/>
      </c>
      <c r="C382" s="2" t="str">
        <f>IF(A382&lt;&gt;"",VLOOKUP(Alunos!A382,Agrupamentos!A3:C1000,2, FALSE),"")</f>
        <v/>
      </c>
      <c r="D382" s="2" t="str">
        <f>IFERROR(IF(A382&lt;&gt;"",VLOOKUP(Alunos!C382,'TP1'!A3:E1000,5, FALSE),""),"")</f>
        <v/>
      </c>
      <c r="E382" s="2" t="str">
        <f>IF(A382&lt;&gt;"",VLOOKUP(Alunos!A382,Agrupamentos!A3:C1000,3, FALSE),"")</f>
        <v/>
      </c>
      <c r="F382" s="2" t="str">
        <f>IFERROR(IF(A382&lt;&gt;"",VLOOKUP(Alunos!E382,'TP2'!A3:D1000,4, FALSE),""),"")</f>
        <v/>
      </c>
      <c r="G382" s="2" t="str">
        <f>IF(A382&lt;&gt;"", SUMIF(B1:F1,"&lt;&gt;",B382:F382),"")</f>
        <v/>
      </c>
      <c r="H382" s="2" t="str">
        <f>IF(AND(A382&lt;&gt;"",G382&lt;&gt;""),ROUND(G382,0),"")</f>
        <v/>
      </c>
      <c r="I382" s="2" t="str">
        <f>IFERROR(IF(A382&lt;&gt;"",VLOOKUP(Alunos!A382,Recurso!A3:D1000,4, FALSE),""), "")</f>
        <v/>
      </c>
      <c r="J382" s="2" t="str">
        <f>IF(AND(A382&lt;&gt;"",I382&lt;&gt;""), SUMIFS(B382:I382,B1:I1,"&lt;&gt;",B2:I2,"&lt;&gt;Exame",B2:I2,"&lt;&gt;exame",B2:I2,"&lt;&gt;Nota",B2:I2,"&lt;&gt;Total"),"")</f>
        <v/>
      </c>
      <c r="K382" s="2" t="str">
        <f>IF(AND(A382&lt;&gt;"",J382&lt;&gt;""),ROUND(J382,0),"")</f>
        <v/>
      </c>
    </row>
    <row r="383" spans="2:11" x14ac:dyDescent="0.3">
      <c r="B383" s="2" t="str">
        <f>IFERROR(IF(A383&lt;&gt;"",VLOOKUP(Alunos!A383,Exame!A3:D1000,4, FALSE),""), "")</f>
        <v/>
      </c>
      <c r="C383" s="2" t="str">
        <f>IF(A383&lt;&gt;"",VLOOKUP(Alunos!A383,Agrupamentos!A3:C1000,2, FALSE),"")</f>
        <v/>
      </c>
      <c r="D383" s="2" t="str">
        <f>IFERROR(IF(A383&lt;&gt;"",VLOOKUP(Alunos!C383,'TP1'!A3:E1000,5, FALSE),""),"")</f>
        <v/>
      </c>
      <c r="E383" s="2" t="str">
        <f>IF(A383&lt;&gt;"",VLOOKUP(Alunos!A383,Agrupamentos!A3:C1000,3, FALSE),"")</f>
        <v/>
      </c>
      <c r="F383" s="2" t="str">
        <f>IFERROR(IF(A383&lt;&gt;"",VLOOKUP(Alunos!E383,'TP2'!A3:D1000,4, FALSE),""),"")</f>
        <v/>
      </c>
      <c r="G383" s="2" t="str">
        <f>IF(A383&lt;&gt;"", SUMIF(B1:F1,"&lt;&gt;",B383:F383),"")</f>
        <v/>
      </c>
      <c r="H383" s="2" t="str">
        <f>IF(AND(A383&lt;&gt;"",G383&lt;&gt;""),ROUND(G383,0),"")</f>
        <v/>
      </c>
      <c r="I383" s="2" t="str">
        <f>IFERROR(IF(A383&lt;&gt;"",VLOOKUP(Alunos!A383,Recurso!A3:D1000,4, FALSE),""), "")</f>
        <v/>
      </c>
      <c r="J383" s="2" t="str">
        <f>IF(AND(A383&lt;&gt;"",I383&lt;&gt;""), SUMIFS(B383:I383,B1:I1,"&lt;&gt;",B2:I2,"&lt;&gt;Exame",B2:I2,"&lt;&gt;exame",B2:I2,"&lt;&gt;Nota",B2:I2,"&lt;&gt;Total"),"")</f>
        <v/>
      </c>
      <c r="K383" s="2" t="str">
        <f>IF(AND(A383&lt;&gt;"",J383&lt;&gt;""),ROUND(J383,0),"")</f>
        <v/>
      </c>
    </row>
    <row r="384" spans="2:11" x14ac:dyDescent="0.3">
      <c r="B384" s="2" t="str">
        <f>IFERROR(IF(A384&lt;&gt;"",VLOOKUP(Alunos!A384,Exame!A3:D1000,4, FALSE),""), "")</f>
        <v/>
      </c>
      <c r="C384" s="2" t="str">
        <f>IF(A384&lt;&gt;"",VLOOKUP(Alunos!A384,Agrupamentos!A3:C1000,2, FALSE),"")</f>
        <v/>
      </c>
      <c r="D384" s="2" t="str">
        <f>IFERROR(IF(A384&lt;&gt;"",VLOOKUP(Alunos!C384,'TP1'!A3:E1000,5, FALSE),""),"")</f>
        <v/>
      </c>
      <c r="E384" s="2" t="str">
        <f>IF(A384&lt;&gt;"",VLOOKUP(Alunos!A384,Agrupamentos!A3:C1000,3, FALSE),"")</f>
        <v/>
      </c>
      <c r="F384" s="2" t="str">
        <f>IFERROR(IF(A384&lt;&gt;"",VLOOKUP(Alunos!E384,'TP2'!A3:D1000,4, FALSE),""),"")</f>
        <v/>
      </c>
      <c r="G384" s="2" t="str">
        <f>IF(A384&lt;&gt;"", SUMIF(B1:F1,"&lt;&gt;",B384:F384),"")</f>
        <v/>
      </c>
      <c r="H384" s="2" t="str">
        <f>IF(AND(A384&lt;&gt;"",G384&lt;&gt;""),ROUND(G384,0),"")</f>
        <v/>
      </c>
      <c r="I384" s="2" t="str">
        <f>IFERROR(IF(A384&lt;&gt;"",VLOOKUP(Alunos!A384,Recurso!A3:D1000,4, FALSE),""), "")</f>
        <v/>
      </c>
      <c r="J384" s="2" t="str">
        <f>IF(AND(A384&lt;&gt;"",I384&lt;&gt;""), SUMIFS(B384:I384,B1:I1,"&lt;&gt;",B2:I2,"&lt;&gt;Exame",B2:I2,"&lt;&gt;exame",B2:I2,"&lt;&gt;Nota",B2:I2,"&lt;&gt;Total"),"")</f>
        <v/>
      </c>
      <c r="K384" s="2" t="str">
        <f>IF(AND(A384&lt;&gt;"",J384&lt;&gt;""),ROUND(J384,0),"")</f>
        <v/>
      </c>
    </row>
    <row r="385" spans="2:11" x14ac:dyDescent="0.3">
      <c r="B385" s="2" t="str">
        <f>IFERROR(IF(A385&lt;&gt;"",VLOOKUP(Alunos!A385,Exame!A3:D1000,4, FALSE),""), "")</f>
        <v/>
      </c>
      <c r="C385" s="2" t="str">
        <f>IF(A385&lt;&gt;"",VLOOKUP(Alunos!A385,Agrupamentos!A3:C1000,2, FALSE),"")</f>
        <v/>
      </c>
      <c r="D385" s="2" t="str">
        <f>IFERROR(IF(A385&lt;&gt;"",VLOOKUP(Alunos!C385,'TP1'!A3:E1000,5, FALSE),""),"")</f>
        <v/>
      </c>
      <c r="E385" s="2" t="str">
        <f>IF(A385&lt;&gt;"",VLOOKUP(Alunos!A385,Agrupamentos!A3:C1000,3, FALSE),"")</f>
        <v/>
      </c>
      <c r="F385" s="2" t="str">
        <f>IFERROR(IF(A385&lt;&gt;"",VLOOKUP(Alunos!E385,'TP2'!A3:D1000,4, FALSE),""),"")</f>
        <v/>
      </c>
      <c r="G385" s="2" t="str">
        <f>IF(A385&lt;&gt;"", SUMIF(B1:F1,"&lt;&gt;",B385:F385),"")</f>
        <v/>
      </c>
      <c r="H385" s="2" t="str">
        <f>IF(AND(A385&lt;&gt;"",G385&lt;&gt;""),ROUND(G385,0),"")</f>
        <v/>
      </c>
      <c r="I385" s="2" t="str">
        <f>IFERROR(IF(A385&lt;&gt;"",VLOOKUP(Alunos!A385,Recurso!A3:D1000,4, FALSE),""), "")</f>
        <v/>
      </c>
      <c r="J385" s="2" t="str">
        <f>IF(AND(A385&lt;&gt;"",I385&lt;&gt;""), SUMIFS(B385:I385,B1:I1,"&lt;&gt;",B2:I2,"&lt;&gt;Exame",B2:I2,"&lt;&gt;exame",B2:I2,"&lt;&gt;Nota",B2:I2,"&lt;&gt;Total"),"")</f>
        <v/>
      </c>
      <c r="K385" s="2" t="str">
        <f>IF(AND(A385&lt;&gt;"",J385&lt;&gt;""),ROUND(J385,0),"")</f>
        <v/>
      </c>
    </row>
    <row r="386" spans="2:11" x14ac:dyDescent="0.3">
      <c r="B386" s="2" t="str">
        <f>IFERROR(IF(A386&lt;&gt;"",VLOOKUP(Alunos!A386,Exame!A3:D1000,4, FALSE),""), "")</f>
        <v/>
      </c>
      <c r="C386" s="2" t="str">
        <f>IF(A386&lt;&gt;"",VLOOKUP(Alunos!A386,Agrupamentos!A3:C1000,2, FALSE),"")</f>
        <v/>
      </c>
      <c r="D386" s="2" t="str">
        <f>IFERROR(IF(A386&lt;&gt;"",VLOOKUP(Alunos!C386,'TP1'!A3:E1000,5, FALSE),""),"")</f>
        <v/>
      </c>
      <c r="E386" s="2" t="str">
        <f>IF(A386&lt;&gt;"",VLOOKUP(Alunos!A386,Agrupamentos!A3:C1000,3, FALSE),"")</f>
        <v/>
      </c>
      <c r="F386" s="2" t="str">
        <f>IFERROR(IF(A386&lt;&gt;"",VLOOKUP(Alunos!E386,'TP2'!A3:D1000,4, FALSE),""),"")</f>
        <v/>
      </c>
      <c r="G386" s="2" t="str">
        <f>IF(A386&lt;&gt;"", SUMIF(B1:F1,"&lt;&gt;",B386:F386),"")</f>
        <v/>
      </c>
      <c r="H386" s="2" t="str">
        <f>IF(AND(A386&lt;&gt;"",G386&lt;&gt;""),ROUND(G386,0),"")</f>
        <v/>
      </c>
      <c r="I386" s="2" t="str">
        <f>IFERROR(IF(A386&lt;&gt;"",VLOOKUP(Alunos!A386,Recurso!A3:D1000,4, FALSE),""), "")</f>
        <v/>
      </c>
      <c r="J386" s="2" t="str">
        <f>IF(AND(A386&lt;&gt;"",I386&lt;&gt;""), SUMIFS(B386:I386,B1:I1,"&lt;&gt;",B2:I2,"&lt;&gt;Exame",B2:I2,"&lt;&gt;exame",B2:I2,"&lt;&gt;Nota",B2:I2,"&lt;&gt;Total"),"")</f>
        <v/>
      </c>
      <c r="K386" s="2" t="str">
        <f>IF(AND(A386&lt;&gt;"",J386&lt;&gt;""),ROUND(J386,0),"")</f>
        <v/>
      </c>
    </row>
    <row r="387" spans="2:11" x14ac:dyDescent="0.3">
      <c r="B387" s="2" t="str">
        <f>IFERROR(IF(A387&lt;&gt;"",VLOOKUP(Alunos!A387,Exame!A3:D1000,4, FALSE),""), "")</f>
        <v/>
      </c>
      <c r="C387" s="2" t="str">
        <f>IF(A387&lt;&gt;"",VLOOKUP(Alunos!A387,Agrupamentos!A3:C1000,2, FALSE),"")</f>
        <v/>
      </c>
      <c r="D387" s="2" t="str">
        <f>IFERROR(IF(A387&lt;&gt;"",VLOOKUP(Alunos!C387,'TP1'!A3:E1000,5, FALSE),""),"")</f>
        <v/>
      </c>
      <c r="E387" s="2" t="str">
        <f>IF(A387&lt;&gt;"",VLOOKUP(Alunos!A387,Agrupamentos!A3:C1000,3, FALSE),"")</f>
        <v/>
      </c>
      <c r="F387" s="2" t="str">
        <f>IFERROR(IF(A387&lt;&gt;"",VLOOKUP(Alunos!E387,'TP2'!A3:D1000,4, FALSE),""),"")</f>
        <v/>
      </c>
      <c r="G387" s="2" t="str">
        <f>IF(A387&lt;&gt;"", SUMIF(B1:F1,"&lt;&gt;",B387:F387),"")</f>
        <v/>
      </c>
      <c r="H387" s="2" t="str">
        <f>IF(AND(A387&lt;&gt;"",G387&lt;&gt;""),ROUND(G387,0),"")</f>
        <v/>
      </c>
      <c r="I387" s="2" t="str">
        <f>IFERROR(IF(A387&lt;&gt;"",VLOOKUP(Alunos!A387,Recurso!A3:D1000,4, FALSE),""), "")</f>
        <v/>
      </c>
      <c r="J387" s="2" t="str">
        <f>IF(AND(A387&lt;&gt;"",I387&lt;&gt;""), SUMIFS(B387:I387,B1:I1,"&lt;&gt;",B2:I2,"&lt;&gt;Exame",B2:I2,"&lt;&gt;exame",B2:I2,"&lt;&gt;Nota",B2:I2,"&lt;&gt;Total"),"")</f>
        <v/>
      </c>
      <c r="K387" s="2" t="str">
        <f>IF(AND(A387&lt;&gt;"",J387&lt;&gt;""),ROUND(J387,0),"")</f>
        <v/>
      </c>
    </row>
    <row r="388" spans="2:11" x14ac:dyDescent="0.3">
      <c r="B388" s="2" t="str">
        <f>IFERROR(IF(A388&lt;&gt;"",VLOOKUP(Alunos!A388,Exame!A3:D1000,4, FALSE),""), "")</f>
        <v/>
      </c>
      <c r="C388" s="2" t="str">
        <f>IF(A388&lt;&gt;"",VLOOKUP(Alunos!A388,Agrupamentos!A3:C1000,2, FALSE),"")</f>
        <v/>
      </c>
      <c r="D388" s="2" t="str">
        <f>IFERROR(IF(A388&lt;&gt;"",VLOOKUP(Alunos!C388,'TP1'!A3:E1000,5, FALSE),""),"")</f>
        <v/>
      </c>
      <c r="E388" s="2" t="str">
        <f>IF(A388&lt;&gt;"",VLOOKUP(Alunos!A388,Agrupamentos!A3:C1000,3, FALSE),"")</f>
        <v/>
      </c>
      <c r="F388" s="2" t="str">
        <f>IFERROR(IF(A388&lt;&gt;"",VLOOKUP(Alunos!E388,'TP2'!A3:D1000,4, FALSE),""),"")</f>
        <v/>
      </c>
      <c r="G388" s="2" t="str">
        <f>IF(A388&lt;&gt;"", SUMIF(B1:F1,"&lt;&gt;",B388:F388),"")</f>
        <v/>
      </c>
      <c r="H388" s="2" t="str">
        <f>IF(AND(A388&lt;&gt;"",G388&lt;&gt;""),ROUND(G388,0),"")</f>
        <v/>
      </c>
      <c r="I388" s="2" t="str">
        <f>IFERROR(IF(A388&lt;&gt;"",VLOOKUP(Alunos!A388,Recurso!A3:D1000,4, FALSE),""), "")</f>
        <v/>
      </c>
      <c r="J388" s="2" t="str">
        <f>IF(AND(A388&lt;&gt;"",I388&lt;&gt;""), SUMIFS(B388:I388,B1:I1,"&lt;&gt;",B2:I2,"&lt;&gt;Exame",B2:I2,"&lt;&gt;exame",B2:I2,"&lt;&gt;Nota",B2:I2,"&lt;&gt;Total"),"")</f>
        <v/>
      </c>
      <c r="K388" s="2" t="str">
        <f>IF(AND(A388&lt;&gt;"",J388&lt;&gt;""),ROUND(J388,0),"")</f>
        <v/>
      </c>
    </row>
    <row r="389" spans="2:11" x14ac:dyDescent="0.3">
      <c r="B389" s="2" t="str">
        <f>IFERROR(IF(A389&lt;&gt;"",VLOOKUP(Alunos!A389,Exame!A3:D1000,4, FALSE),""), "")</f>
        <v/>
      </c>
      <c r="C389" s="2" t="str">
        <f>IF(A389&lt;&gt;"",VLOOKUP(Alunos!A389,Agrupamentos!A3:C1000,2, FALSE),"")</f>
        <v/>
      </c>
      <c r="D389" s="2" t="str">
        <f>IFERROR(IF(A389&lt;&gt;"",VLOOKUP(Alunos!C389,'TP1'!A3:E1000,5, FALSE),""),"")</f>
        <v/>
      </c>
      <c r="E389" s="2" t="str">
        <f>IF(A389&lt;&gt;"",VLOOKUP(Alunos!A389,Agrupamentos!A3:C1000,3, FALSE),"")</f>
        <v/>
      </c>
      <c r="F389" s="2" t="str">
        <f>IFERROR(IF(A389&lt;&gt;"",VLOOKUP(Alunos!E389,'TP2'!A3:D1000,4, FALSE),""),"")</f>
        <v/>
      </c>
      <c r="G389" s="2" t="str">
        <f>IF(A389&lt;&gt;"", SUMIF(B1:F1,"&lt;&gt;",B389:F389),"")</f>
        <v/>
      </c>
      <c r="H389" s="2" t="str">
        <f>IF(AND(A389&lt;&gt;"",G389&lt;&gt;""),ROUND(G389,0),"")</f>
        <v/>
      </c>
      <c r="I389" s="2" t="str">
        <f>IFERROR(IF(A389&lt;&gt;"",VLOOKUP(Alunos!A389,Recurso!A3:D1000,4, FALSE),""), "")</f>
        <v/>
      </c>
      <c r="J389" s="2" t="str">
        <f>IF(AND(A389&lt;&gt;"",I389&lt;&gt;""), SUMIFS(B389:I389,B1:I1,"&lt;&gt;",B2:I2,"&lt;&gt;Exame",B2:I2,"&lt;&gt;exame",B2:I2,"&lt;&gt;Nota",B2:I2,"&lt;&gt;Total"),"")</f>
        <v/>
      </c>
      <c r="K389" s="2" t="str">
        <f>IF(AND(A389&lt;&gt;"",J389&lt;&gt;""),ROUND(J389,0),"")</f>
        <v/>
      </c>
    </row>
    <row r="390" spans="2:11" x14ac:dyDescent="0.3">
      <c r="B390" s="2" t="str">
        <f>IFERROR(IF(A390&lt;&gt;"",VLOOKUP(Alunos!A390,Exame!A3:D1000,4, FALSE),""), "")</f>
        <v/>
      </c>
      <c r="C390" s="2" t="str">
        <f>IF(A390&lt;&gt;"",VLOOKUP(Alunos!A390,Agrupamentos!A3:C1000,2, FALSE),"")</f>
        <v/>
      </c>
      <c r="D390" s="2" t="str">
        <f>IFERROR(IF(A390&lt;&gt;"",VLOOKUP(Alunos!C390,'TP1'!A3:E1000,5, FALSE),""),"")</f>
        <v/>
      </c>
      <c r="E390" s="2" t="str">
        <f>IF(A390&lt;&gt;"",VLOOKUP(Alunos!A390,Agrupamentos!A3:C1000,3, FALSE),"")</f>
        <v/>
      </c>
      <c r="F390" s="2" t="str">
        <f>IFERROR(IF(A390&lt;&gt;"",VLOOKUP(Alunos!E390,'TP2'!A3:D1000,4, FALSE),""),"")</f>
        <v/>
      </c>
      <c r="G390" s="2" t="str">
        <f>IF(A390&lt;&gt;"", SUMIF(B1:F1,"&lt;&gt;",B390:F390),"")</f>
        <v/>
      </c>
      <c r="H390" s="2" t="str">
        <f>IF(AND(A390&lt;&gt;"",G390&lt;&gt;""),ROUND(G390,0),"")</f>
        <v/>
      </c>
      <c r="I390" s="2" t="str">
        <f>IFERROR(IF(A390&lt;&gt;"",VLOOKUP(Alunos!A390,Recurso!A3:D1000,4, FALSE),""), "")</f>
        <v/>
      </c>
      <c r="J390" s="2" t="str">
        <f>IF(AND(A390&lt;&gt;"",I390&lt;&gt;""), SUMIFS(B390:I390,B1:I1,"&lt;&gt;",B2:I2,"&lt;&gt;Exame",B2:I2,"&lt;&gt;exame",B2:I2,"&lt;&gt;Nota",B2:I2,"&lt;&gt;Total"),"")</f>
        <v/>
      </c>
      <c r="K390" s="2" t="str">
        <f>IF(AND(A390&lt;&gt;"",J390&lt;&gt;""),ROUND(J390,0),"")</f>
        <v/>
      </c>
    </row>
    <row r="391" spans="2:11" x14ac:dyDescent="0.3">
      <c r="B391" s="2" t="str">
        <f>IFERROR(IF(A391&lt;&gt;"",VLOOKUP(Alunos!A391,Exame!A3:D1000,4, FALSE),""), "")</f>
        <v/>
      </c>
      <c r="C391" s="2" t="str">
        <f>IF(A391&lt;&gt;"",VLOOKUP(Alunos!A391,Agrupamentos!A3:C1000,2, FALSE),"")</f>
        <v/>
      </c>
      <c r="D391" s="2" t="str">
        <f>IFERROR(IF(A391&lt;&gt;"",VLOOKUP(Alunos!C391,'TP1'!A3:E1000,5, FALSE),""),"")</f>
        <v/>
      </c>
      <c r="E391" s="2" t="str">
        <f>IF(A391&lt;&gt;"",VLOOKUP(Alunos!A391,Agrupamentos!A3:C1000,3, FALSE),"")</f>
        <v/>
      </c>
      <c r="F391" s="2" t="str">
        <f>IFERROR(IF(A391&lt;&gt;"",VLOOKUP(Alunos!E391,'TP2'!A3:D1000,4, FALSE),""),"")</f>
        <v/>
      </c>
      <c r="G391" s="2" t="str">
        <f>IF(A391&lt;&gt;"", SUMIF(B1:F1,"&lt;&gt;",B391:F391),"")</f>
        <v/>
      </c>
      <c r="H391" s="2" t="str">
        <f>IF(AND(A391&lt;&gt;"",G391&lt;&gt;""),ROUND(G391,0),"")</f>
        <v/>
      </c>
      <c r="I391" s="2" t="str">
        <f>IFERROR(IF(A391&lt;&gt;"",VLOOKUP(Alunos!A391,Recurso!A3:D1000,4, FALSE),""), "")</f>
        <v/>
      </c>
      <c r="J391" s="2" t="str">
        <f>IF(AND(A391&lt;&gt;"",I391&lt;&gt;""), SUMIFS(B391:I391,B1:I1,"&lt;&gt;",B2:I2,"&lt;&gt;Exame",B2:I2,"&lt;&gt;exame",B2:I2,"&lt;&gt;Nota",B2:I2,"&lt;&gt;Total"),"")</f>
        <v/>
      </c>
      <c r="K391" s="2" t="str">
        <f>IF(AND(A391&lt;&gt;"",J391&lt;&gt;""),ROUND(J391,0),"")</f>
        <v/>
      </c>
    </row>
    <row r="392" spans="2:11" x14ac:dyDescent="0.3">
      <c r="B392" s="2" t="str">
        <f>IFERROR(IF(A392&lt;&gt;"",VLOOKUP(Alunos!A392,Exame!A3:D1000,4, FALSE),""), "")</f>
        <v/>
      </c>
      <c r="C392" s="2" t="str">
        <f>IF(A392&lt;&gt;"",VLOOKUP(Alunos!A392,Agrupamentos!A3:C1000,2, FALSE),"")</f>
        <v/>
      </c>
      <c r="D392" s="2" t="str">
        <f>IFERROR(IF(A392&lt;&gt;"",VLOOKUP(Alunos!C392,'TP1'!A3:E1000,5, FALSE),""),"")</f>
        <v/>
      </c>
      <c r="E392" s="2" t="str">
        <f>IF(A392&lt;&gt;"",VLOOKUP(Alunos!A392,Agrupamentos!A3:C1000,3, FALSE),"")</f>
        <v/>
      </c>
      <c r="F392" s="2" t="str">
        <f>IFERROR(IF(A392&lt;&gt;"",VLOOKUP(Alunos!E392,'TP2'!A3:D1000,4, FALSE),""),"")</f>
        <v/>
      </c>
      <c r="G392" s="2" t="str">
        <f>IF(A392&lt;&gt;"", SUMIF(B1:F1,"&lt;&gt;",B392:F392),"")</f>
        <v/>
      </c>
      <c r="H392" s="2" t="str">
        <f>IF(AND(A392&lt;&gt;"",G392&lt;&gt;""),ROUND(G392,0),"")</f>
        <v/>
      </c>
      <c r="I392" s="2" t="str">
        <f>IFERROR(IF(A392&lt;&gt;"",VLOOKUP(Alunos!A392,Recurso!A3:D1000,4, FALSE),""), "")</f>
        <v/>
      </c>
      <c r="J392" s="2" t="str">
        <f>IF(AND(A392&lt;&gt;"",I392&lt;&gt;""), SUMIFS(B392:I392,B1:I1,"&lt;&gt;",B2:I2,"&lt;&gt;Exame",B2:I2,"&lt;&gt;exame",B2:I2,"&lt;&gt;Nota",B2:I2,"&lt;&gt;Total"),"")</f>
        <v/>
      </c>
      <c r="K392" s="2" t="str">
        <f>IF(AND(A392&lt;&gt;"",J392&lt;&gt;""),ROUND(J392,0),"")</f>
        <v/>
      </c>
    </row>
    <row r="393" spans="2:11" x14ac:dyDescent="0.3">
      <c r="B393" s="2" t="str">
        <f>IFERROR(IF(A393&lt;&gt;"",VLOOKUP(Alunos!A393,Exame!A3:D1000,4, FALSE),""), "")</f>
        <v/>
      </c>
      <c r="C393" s="2" t="str">
        <f>IF(A393&lt;&gt;"",VLOOKUP(Alunos!A393,Agrupamentos!A3:C1000,2, FALSE),"")</f>
        <v/>
      </c>
      <c r="D393" s="2" t="str">
        <f>IFERROR(IF(A393&lt;&gt;"",VLOOKUP(Alunos!C393,'TP1'!A3:E1000,5, FALSE),""),"")</f>
        <v/>
      </c>
      <c r="E393" s="2" t="str">
        <f>IF(A393&lt;&gt;"",VLOOKUP(Alunos!A393,Agrupamentos!A3:C1000,3, FALSE),"")</f>
        <v/>
      </c>
      <c r="F393" s="2" t="str">
        <f>IFERROR(IF(A393&lt;&gt;"",VLOOKUP(Alunos!E393,'TP2'!A3:D1000,4, FALSE),""),"")</f>
        <v/>
      </c>
      <c r="G393" s="2" t="str">
        <f>IF(A393&lt;&gt;"", SUMIF(B1:F1,"&lt;&gt;",B393:F393),"")</f>
        <v/>
      </c>
      <c r="H393" s="2" t="str">
        <f>IF(AND(A393&lt;&gt;"",G393&lt;&gt;""),ROUND(G393,0),"")</f>
        <v/>
      </c>
      <c r="I393" s="2" t="str">
        <f>IFERROR(IF(A393&lt;&gt;"",VLOOKUP(Alunos!A393,Recurso!A3:D1000,4, FALSE),""), "")</f>
        <v/>
      </c>
      <c r="J393" s="2" t="str">
        <f>IF(AND(A393&lt;&gt;"",I393&lt;&gt;""), SUMIFS(B393:I393,B1:I1,"&lt;&gt;",B2:I2,"&lt;&gt;Exame",B2:I2,"&lt;&gt;exame",B2:I2,"&lt;&gt;Nota",B2:I2,"&lt;&gt;Total"),"")</f>
        <v/>
      </c>
      <c r="K393" s="2" t="str">
        <f>IF(AND(A393&lt;&gt;"",J393&lt;&gt;""),ROUND(J393,0),"")</f>
        <v/>
      </c>
    </row>
    <row r="394" spans="2:11" x14ac:dyDescent="0.3">
      <c r="B394" s="2" t="str">
        <f>IFERROR(IF(A394&lt;&gt;"",VLOOKUP(Alunos!A394,Exame!A3:D1000,4, FALSE),""), "")</f>
        <v/>
      </c>
      <c r="C394" s="2" t="str">
        <f>IF(A394&lt;&gt;"",VLOOKUP(Alunos!A394,Agrupamentos!A3:C1000,2, FALSE),"")</f>
        <v/>
      </c>
      <c r="D394" s="2" t="str">
        <f>IFERROR(IF(A394&lt;&gt;"",VLOOKUP(Alunos!C394,'TP1'!A3:E1000,5, FALSE),""),"")</f>
        <v/>
      </c>
      <c r="E394" s="2" t="str">
        <f>IF(A394&lt;&gt;"",VLOOKUP(Alunos!A394,Agrupamentos!A3:C1000,3, FALSE),"")</f>
        <v/>
      </c>
      <c r="F394" s="2" t="str">
        <f>IFERROR(IF(A394&lt;&gt;"",VLOOKUP(Alunos!E394,'TP2'!A3:D1000,4, FALSE),""),"")</f>
        <v/>
      </c>
      <c r="G394" s="2" t="str">
        <f>IF(A394&lt;&gt;"", SUMIF(B1:F1,"&lt;&gt;",B394:F394),"")</f>
        <v/>
      </c>
      <c r="H394" s="2" t="str">
        <f>IF(AND(A394&lt;&gt;"",G394&lt;&gt;""),ROUND(G394,0),"")</f>
        <v/>
      </c>
      <c r="I394" s="2" t="str">
        <f>IFERROR(IF(A394&lt;&gt;"",VLOOKUP(Alunos!A394,Recurso!A3:D1000,4, FALSE),""), "")</f>
        <v/>
      </c>
      <c r="J394" s="2" t="str">
        <f>IF(AND(A394&lt;&gt;"",I394&lt;&gt;""), SUMIFS(B394:I394,B1:I1,"&lt;&gt;",B2:I2,"&lt;&gt;Exame",B2:I2,"&lt;&gt;exame",B2:I2,"&lt;&gt;Nota",B2:I2,"&lt;&gt;Total"),"")</f>
        <v/>
      </c>
      <c r="K394" s="2" t="str">
        <f>IF(AND(A394&lt;&gt;"",J394&lt;&gt;""),ROUND(J394,0),"")</f>
        <v/>
      </c>
    </row>
    <row r="395" spans="2:11" x14ac:dyDescent="0.3">
      <c r="B395" s="2" t="str">
        <f>IFERROR(IF(A395&lt;&gt;"",VLOOKUP(Alunos!A395,Exame!A3:D1000,4, FALSE),""), "")</f>
        <v/>
      </c>
      <c r="C395" s="2" t="str">
        <f>IF(A395&lt;&gt;"",VLOOKUP(Alunos!A395,Agrupamentos!A3:C1000,2, FALSE),"")</f>
        <v/>
      </c>
      <c r="D395" s="2" t="str">
        <f>IFERROR(IF(A395&lt;&gt;"",VLOOKUP(Alunos!C395,'TP1'!A3:E1000,5, FALSE),""),"")</f>
        <v/>
      </c>
      <c r="E395" s="2" t="str">
        <f>IF(A395&lt;&gt;"",VLOOKUP(Alunos!A395,Agrupamentos!A3:C1000,3, FALSE),"")</f>
        <v/>
      </c>
      <c r="F395" s="2" t="str">
        <f>IFERROR(IF(A395&lt;&gt;"",VLOOKUP(Alunos!E395,'TP2'!A3:D1000,4, FALSE),""),"")</f>
        <v/>
      </c>
      <c r="G395" s="2" t="str">
        <f>IF(A395&lt;&gt;"", SUMIF(B1:F1,"&lt;&gt;",B395:F395),"")</f>
        <v/>
      </c>
      <c r="H395" s="2" t="str">
        <f>IF(AND(A395&lt;&gt;"",G395&lt;&gt;""),ROUND(G395,0),"")</f>
        <v/>
      </c>
      <c r="I395" s="2" t="str">
        <f>IFERROR(IF(A395&lt;&gt;"",VLOOKUP(Alunos!A395,Recurso!A3:D1000,4, FALSE),""), "")</f>
        <v/>
      </c>
      <c r="J395" s="2" t="str">
        <f>IF(AND(A395&lt;&gt;"",I395&lt;&gt;""), SUMIFS(B395:I395,B1:I1,"&lt;&gt;",B2:I2,"&lt;&gt;Exame",B2:I2,"&lt;&gt;exame",B2:I2,"&lt;&gt;Nota",B2:I2,"&lt;&gt;Total"),"")</f>
        <v/>
      </c>
      <c r="K395" s="2" t="str">
        <f>IF(AND(A395&lt;&gt;"",J395&lt;&gt;""),ROUND(J395,0),"")</f>
        <v/>
      </c>
    </row>
    <row r="396" spans="2:11" x14ac:dyDescent="0.3">
      <c r="B396" s="2" t="str">
        <f>IFERROR(IF(A396&lt;&gt;"",VLOOKUP(Alunos!A396,Exame!A3:D1000,4, FALSE),""), "")</f>
        <v/>
      </c>
      <c r="C396" s="2" t="str">
        <f>IF(A396&lt;&gt;"",VLOOKUP(Alunos!A396,Agrupamentos!A3:C1000,2, FALSE),"")</f>
        <v/>
      </c>
      <c r="D396" s="2" t="str">
        <f>IFERROR(IF(A396&lt;&gt;"",VLOOKUP(Alunos!C396,'TP1'!A3:E1000,5, FALSE),""),"")</f>
        <v/>
      </c>
      <c r="E396" s="2" t="str">
        <f>IF(A396&lt;&gt;"",VLOOKUP(Alunos!A396,Agrupamentos!A3:C1000,3, FALSE),"")</f>
        <v/>
      </c>
      <c r="F396" s="2" t="str">
        <f>IFERROR(IF(A396&lt;&gt;"",VLOOKUP(Alunos!E396,'TP2'!A3:D1000,4, FALSE),""),"")</f>
        <v/>
      </c>
      <c r="G396" s="2" t="str">
        <f>IF(A396&lt;&gt;"", SUMIF(B1:F1,"&lt;&gt;",B396:F396),"")</f>
        <v/>
      </c>
      <c r="H396" s="2" t="str">
        <f>IF(AND(A396&lt;&gt;"",G396&lt;&gt;""),ROUND(G396,0),"")</f>
        <v/>
      </c>
      <c r="I396" s="2" t="str">
        <f>IFERROR(IF(A396&lt;&gt;"",VLOOKUP(Alunos!A396,Recurso!A3:D1000,4, FALSE),""), "")</f>
        <v/>
      </c>
      <c r="J396" s="2" t="str">
        <f>IF(AND(A396&lt;&gt;"",I396&lt;&gt;""), SUMIFS(B396:I396,B1:I1,"&lt;&gt;",B2:I2,"&lt;&gt;Exame",B2:I2,"&lt;&gt;exame",B2:I2,"&lt;&gt;Nota",B2:I2,"&lt;&gt;Total"),"")</f>
        <v/>
      </c>
      <c r="K396" s="2" t="str">
        <f>IF(AND(A396&lt;&gt;"",J396&lt;&gt;""),ROUND(J396,0),"")</f>
        <v/>
      </c>
    </row>
    <row r="397" spans="2:11" x14ac:dyDescent="0.3">
      <c r="B397" s="2" t="str">
        <f>IFERROR(IF(A397&lt;&gt;"",VLOOKUP(Alunos!A397,Exame!A3:D1000,4, FALSE),""), "")</f>
        <v/>
      </c>
      <c r="C397" s="2" t="str">
        <f>IF(A397&lt;&gt;"",VLOOKUP(Alunos!A397,Agrupamentos!A3:C1000,2, FALSE),"")</f>
        <v/>
      </c>
      <c r="D397" s="2" t="str">
        <f>IFERROR(IF(A397&lt;&gt;"",VLOOKUP(Alunos!C397,'TP1'!A3:E1000,5, FALSE),""),"")</f>
        <v/>
      </c>
      <c r="E397" s="2" t="str">
        <f>IF(A397&lt;&gt;"",VLOOKUP(Alunos!A397,Agrupamentos!A3:C1000,3, FALSE),"")</f>
        <v/>
      </c>
      <c r="F397" s="2" t="str">
        <f>IFERROR(IF(A397&lt;&gt;"",VLOOKUP(Alunos!E397,'TP2'!A3:D1000,4, FALSE),""),"")</f>
        <v/>
      </c>
      <c r="G397" s="2" t="str">
        <f>IF(A397&lt;&gt;"", SUMIF(B1:F1,"&lt;&gt;",B397:F397),"")</f>
        <v/>
      </c>
      <c r="H397" s="2" t="str">
        <f>IF(AND(A397&lt;&gt;"",G397&lt;&gt;""),ROUND(G397,0),"")</f>
        <v/>
      </c>
      <c r="I397" s="2" t="str">
        <f>IFERROR(IF(A397&lt;&gt;"",VLOOKUP(Alunos!A397,Recurso!A3:D1000,4, FALSE),""), "")</f>
        <v/>
      </c>
      <c r="J397" s="2" t="str">
        <f>IF(AND(A397&lt;&gt;"",I397&lt;&gt;""), SUMIFS(B397:I397,B1:I1,"&lt;&gt;",B2:I2,"&lt;&gt;Exame",B2:I2,"&lt;&gt;exame",B2:I2,"&lt;&gt;Nota",B2:I2,"&lt;&gt;Total"),"")</f>
        <v/>
      </c>
      <c r="K397" s="2" t="str">
        <f>IF(AND(A397&lt;&gt;"",J397&lt;&gt;""),ROUND(J397,0),"")</f>
        <v/>
      </c>
    </row>
    <row r="398" spans="2:11" x14ac:dyDescent="0.3">
      <c r="B398" s="2" t="str">
        <f>IFERROR(IF(A398&lt;&gt;"",VLOOKUP(Alunos!A398,Exame!A3:D1000,4, FALSE),""), "")</f>
        <v/>
      </c>
      <c r="C398" s="2" t="str">
        <f>IF(A398&lt;&gt;"",VLOOKUP(Alunos!A398,Agrupamentos!A3:C1000,2, FALSE),"")</f>
        <v/>
      </c>
      <c r="D398" s="2" t="str">
        <f>IFERROR(IF(A398&lt;&gt;"",VLOOKUP(Alunos!C398,'TP1'!A3:E1000,5, FALSE),""),"")</f>
        <v/>
      </c>
      <c r="E398" s="2" t="str">
        <f>IF(A398&lt;&gt;"",VLOOKUP(Alunos!A398,Agrupamentos!A3:C1000,3, FALSE),"")</f>
        <v/>
      </c>
      <c r="F398" s="2" t="str">
        <f>IFERROR(IF(A398&lt;&gt;"",VLOOKUP(Alunos!E398,'TP2'!A3:D1000,4, FALSE),""),"")</f>
        <v/>
      </c>
      <c r="G398" s="2" t="str">
        <f>IF(A398&lt;&gt;"", SUMIF(B1:F1,"&lt;&gt;",B398:F398),"")</f>
        <v/>
      </c>
      <c r="H398" s="2" t="str">
        <f>IF(AND(A398&lt;&gt;"",G398&lt;&gt;""),ROUND(G398,0),"")</f>
        <v/>
      </c>
      <c r="I398" s="2" t="str">
        <f>IFERROR(IF(A398&lt;&gt;"",VLOOKUP(Alunos!A398,Recurso!A3:D1000,4, FALSE),""), "")</f>
        <v/>
      </c>
      <c r="J398" s="2" t="str">
        <f>IF(AND(A398&lt;&gt;"",I398&lt;&gt;""), SUMIFS(B398:I398,B1:I1,"&lt;&gt;",B2:I2,"&lt;&gt;Exame",B2:I2,"&lt;&gt;exame",B2:I2,"&lt;&gt;Nota",B2:I2,"&lt;&gt;Total"),"")</f>
        <v/>
      </c>
      <c r="K398" s="2" t="str">
        <f>IF(AND(A398&lt;&gt;"",J398&lt;&gt;""),ROUND(J398,0),"")</f>
        <v/>
      </c>
    </row>
    <row r="399" spans="2:11" x14ac:dyDescent="0.3">
      <c r="B399" s="2" t="str">
        <f>IFERROR(IF(A399&lt;&gt;"",VLOOKUP(Alunos!A399,Exame!A3:D1000,4, FALSE),""), "")</f>
        <v/>
      </c>
      <c r="C399" s="2" t="str">
        <f>IF(A399&lt;&gt;"",VLOOKUP(Alunos!A399,Agrupamentos!A3:C1000,2, FALSE),"")</f>
        <v/>
      </c>
      <c r="D399" s="2" t="str">
        <f>IFERROR(IF(A399&lt;&gt;"",VLOOKUP(Alunos!C399,'TP1'!A3:E1000,5, FALSE),""),"")</f>
        <v/>
      </c>
      <c r="E399" s="2" t="str">
        <f>IF(A399&lt;&gt;"",VLOOKUP(Alunos!A399,Agrupamentos!A3:C1000,3, FALSE),"")</f>
        <v/>
      </c>
      <c r="F399" s="2" t="str">
        <f>IFERROR(IF(A399&lt;&gt;"",VLOOKUP(Alunos!E399,'TP2'!A3:D1000,4, FALSE),""),"")</f>
        <v/>
      </c>
      <c r="G399" s="2" t="str">
        <f>IF(A399&lt;&gt;"", SUMIF(B1:F1,"&lt;&gt;",B399:F399),"")</f>
        <v/>
      </c>
      <c r="H399" s="2" t="str">
        <f>IF(AND(A399&lt;&gt;"",G399&lt;&gt;""),ROUND(G399,0),"")</f>
        <v/>
      </c>
      <c r="I399" s="2" t="str">
        <f>IFERROR(IF(A399&lt;&gt;"",VLOOKUP(Alunos!A399,Recurso!A3:D1000,4, FALSE),""), "")</f>
        <v/>
      </c>
      <c r="J399" s="2" t="str">
        <f>IF(AND(A399&lt;&gt;"",I399&lt;&gt;""), SUMIFS(B399:I399,B1:I1,"&lt;&gt;",B2:I2,"&lt;&gt;Exame",B2:I2,"&lt;&gt;exame",B2:I2,"&lt;&gt;Nota",B2:I2,"&lt;&gt;Total"),"")</f>
        <v/>
      </c>
      <c r="K399" s="2" t="str">
        <f>IF(AND(A399&lt;&gt;"",J399&lt;&gt;""),ROUND(J399,0),"")</f>
        <v/>
      </c>
    </row>
    <row r="400" spans="2:11" x14ac:dyDescent="0.3">
      <c r="B400" s="2" t="str">
        <f>IFERROR(IF(A400&lt;&gt;"",VLOOKUP(Alunos!A400,Exame!A3:D1000,4, FALSE),""), "")</f>
        <v/>
      </c>
      <c r="C400" s="2" t="str">
        <f>IF(A400&lt;&gt;"",VLOOKUP(Alunos!A400,Agrupamentos!A3:C1000,2, FALSE),"")</f>
        <v/>
      </c>
      <c r="D400" s="2" t="str">
        <f>IFERROR(IF(A400&lt;&gt;"",VLOOKUP(Alunos!C400,'TP1'!A3:E1000,5, FALSE),""),"")</f>
        <v/>
      </c>
      <c r="E400" s="2" t="str">
        <f>IF(A400&lt;&gt;"",VLOOKUP(Alunos!A400,Agrupamentos!A3:C1000,3, FALSE),"")</f>
        <v/>
      </c>
      <c r="F400" s="2" t="str">
        <f>IFERROR(IF(A400&lt;&gt;"",VLOOKUP(Alunos!E400,'TP2'!A3:D1000,4, FALSE),""),"")</f>
        <v/>
      </c>
      <c r="G400" s="2" t="str">
        <f>IF(A400&lt;&gt;"", SUMIF(B1:F1,"&lt;&gt;",B400:F400),"")</f>
        <v/>
      </c>
      <c r="H400" s="2" t="str">
        <f>IF(AND(A400&lt;&gt;"",G400&lt;&gt;""),ROUND(G400,0),"")</f>
        <v/>
      </c>
      <c r="I400" s="2" t="str">
        <f>IFERROR(IF(A400&lt;&gt;"",VLOOKUP(Alunos!A400,Recurso!A3:D1000,4, FALSE),""), "")</f>
        <v/>
      </c>
      <c r="J400" s="2" t="str">
        <f>IF(AND(A400&lt;&gt;"",I400&lt;&gt;""), SUMIFS(B400:I400,B1:I1,"&lt;&gt;",B2:I2,"&lt;&gt;Exame",B2:I2,"&lt;&gt;exame",B2:I2,"&lt;&gt;Nota",B2:I2,"&lt;&gt;Total"),"")</f>
        <v/>
      </c>
      <c r="K400" s="2" t="str">
        <f>IF(AND(A400&lt;&gt;"",J400&lt;&gt;""),ROUND(J400,0),"")</f>
        <v/>
      </c>
    </row>
    <row r="401" spans="2:11" x14ac:dyDescent="0.3">
      <c r="B401" s="2" t="str">
        <f>IFERROR(IF(A401&lt;&gt;"",VLOOKUP(Alunos!A401,Exame!A3:D1000,4, FALSE),""), "")</f>
        <v/>
      </c>
      <c r="C401" s="2" t="str">
        <f>IF(A401&lt;&gt;"",VLOOKUP(Alunos!A401,Agrupamentos!A3:C1000,2, FALSE),"")</f>
        <v/>
      </c>
      <c r="D401" s="2" t="str">
        <f>IFERROR(IF(A401&lt;&gt;"",VLOOKUP(Alunos!C401,'TP1'!A3:E1000,5, FALSE),""),"")</f>
        <v/>
      </c>
      <c r="E401" s="2" t="str">
        <f>IF(A401&lt;&gt;"",VLOOKUP(Alunos!A401,Agrupamentos!A3:C1000,3, FALSE),"")</f>
        <v/>
      </c>
      <c r="F401" s="2" t="str">
        <f>IFERROR(IF(A401&lt;&gt;"",VLOOKUP(Alunos!E401,'TP2'!A3:D1000,4, FALSE),""),"")</f>
        <v/>
      </c>
      <c r="G401" s="2" t="str">
        <f>IF(A401&lt;&gt;"", SUMIF(B1:F1,"&lt;&gt;",B401:F401),"")</f>
        <v/>
      </c>
      <c r="H401" s="2" t="str">
        <f>IF(AND(A401&lt;&gt;"",G401&lt;&gt;""),ROUND(G401,0),"")</f>
        <v/>
      </c>
      <c r="I401" s="2" t="str">
        <f>IFERROR(IF(A401&lt;&gt;"",VLOOKUP(Alunos!A401,Recurso!A3:D1000,4, FALSE),""), "")</f>
        <v/>
      </c>
      <c r="J401" s="2" t="str">
        <f>IF(AND(A401&lt;&gt;"",I401&lt;&gt;""), SUMIFS(B401:I401,B1:I1,"&lt;&gt;",B2:I2,"&lt;&gt;Exame",B2:I2,"&lt;&gt;exame",B2:I2,"&lt;&gt;Nota",B2:I2,"&lt;&gt;Total"),"")</f>
        <v/>
      </c>
      <c r="K401" s="2" t="str">
        <f>IF(AND(A401&lt;&gt;"",J401&lt;&gt;""),ROUND(J401,0),"")</f>
        <v/>
      </c>
    </row>
    <row r="402" spans="2:11" x14ac:dyDescent="0.3">
      <c r="B402" s="2" t="str">
        <f>IFERROR(IF(A402&lt;&gt;"",VLOOKUP(Alunos!A402,Exame!A3:D1000,4, FALSE),""), "")</f>
        <v/>
      </c>
      <c r="C402" s="2" t="str">
        <f>IF(A402&lt;&gt;"",VLOOKUP(Alunos!A402,Agrupamentos!A3:C1000,2, FALSE),"")</f>
        <v/>
      </c>
      <c r="D402" s="2" t="str">
        <f>IFERROR(IF(A402&lt;&gt;"",VLOOKUP(Alunos!C402,'TP1'!A3:E1000,5, FALSE),""),"")</f>
        <v/>
      </c>
      <c r="E402" s="2" t="str">
        <f>IF(A402&lt;&gt;"",VLOOKUP(Alunos!A402,Agrupamentos!A3:C1000,3, FALSE),"")</f>
        <v/>
      </c>
      <c r="F402" s="2" t="str">
        <f>IFERROR(IF(A402&lt;&gt;"",VLOOKUP(Alunos!E402,'TP2'!A3:D1000,4, FALSE),""),"")</f>
        <v/>
      </c>
      <c r="G402" s="2" t="str">
        <f>IF(A402&lt;&gt;"", SUMIF(B1:F1,"&lt;&gt;",B402:F402),"")</f>
        <v/>
      </c>
      <c r="H402" s="2" t="str">
        <f>IF(AND(A402&lt;&gt;"",G402&lt;&gt;""),ROUND(G402,0),"")</f>
        <v/>
      </c>
      <c r="I402" s="2" t="str">
        <f>IFERROR(IF(A402&lt;&gt;"",VLOOKUP(Alunos!A402,Recurso!A3:D1000,4, FALSE),""), "")</f>
        <v/>
      </c>
      <c r="J402" s="2" t="str">
        <f>IF(AND(A402&lt;&gt;"",I402&lt;&gt;""), SUMIFS(B402:I402,B1:I1,"&lt;&gt;",B2:I2,"&lt;&gt;Exame",B2:I2,"&lt;&gt;exame",B2:I2,"&lt;&gt;Nota",B2:I2,"&lt;&gt;Total"),"")</f>
        <v/>
      </c>
      <c r="K402" s="2" t="str">
        <f>IF(AND(A402&lt;&gt;"",J402&lt;&gt;""),ROUND(J402,0),"")</f>
        <v/>
      </c>
    </row>
    <row r="403" spans="2:11" x14ac:dyDescent="0.3">
      <c r="B403" s="2" t="str">
        <f>IFERROR(IF(A403&lt;&gt;"",VLOOKUP(Alunos!A403,Exame!A3:D1000,4, FALSE),""), "")</f>
        <v/>
      </c>
      <c r="C403" s="2" t="str">
        <f>IF(A403&lt;&gt;"",VLOOKUP(Alunos!A403,Agrupamentos!A3:C1000,2, FALSE),"")</f>
        <v/>
      </c>
      <c r="D403" s="2" t="str">
        <f>IFERROR(IF(A403&lt;&gt;"",VLOOKUP(Alunos!C403,'TP1'!A3:E1000,5, FALSE),""),"")</f>
        <v/>
      </c>
      <c r="E403" s="2" t="str">
        <f>IF(A403&lt;&gt;"",VLOOKUP(Alunos!A403,Agrupamentos!A3:C1000,3, FALSE),"")</f>
        <v/>
      </c>
      <c r="F403" s="2" t="str">
        <f>IFERROR(IF(A403&lt;&gt;"",VLOOKUP(Alunos!E403,'TP2'!A3:D1000,4, FALSE),""),"")</f>
        <v/>
      </c>
      <c r="G403" s="2" t="str">
        <f>IF(A403&lt;&gt;"", SUMIF(B1:F1,"&lt;&gt;",B403:F403),"")</f>
        <v/>
      </c>
      <c r="H403" s="2" t="str">
        <f>IF(AND(A403&lt;&gt;"",G403&lt;&gt;""),ROUND(G403,0),"")</f>
        <v/>
      </c>
      <c r="I403" s="2" t="str">
        <f>IFERROR(IF(A403&lt;&gt;"",VLOOKUP(Alunos!A403,Recurso!A3:D1000,4, FALSE),""), "")</f>
        <v/>
      </c>
      <c r="J403" s="2" t="str">
        <f>IF(AND(A403&lt;&gt;"",I403&lt;&gt;""), SUMIFS(B403:I403,B1:I1,"&lt;&gt;",B2:I2,"&lt;&gt;Exame",B2:I2,"&lt;&gt;exame",B2:I2,"&lt;&gt;Nota",B2:I2,"&lt;&gt;Total"),"")</f>
        <v/>
      </c>
      <c r="K403" s="2" t="str">
        <f>IF(AND(A403&lt;&gt;"",J403&lt;&gt;""),ROUND(J403,0),"")</f>
        <v/>
      </c>
    </row>
    <row r="404" spans="2:11" x14ac:dyDescent="0.3">
      <c r="B404" s="2" t="str">
        <f>IFERROR(IF(A404&lt;&gt;"",VLOOKUP(Alunos!A404,Exame!A3:D1000,4, FALSE),""), "")</f>
        <v/>
      </c>
      <c r="C404" s="2" t="str">
        <f>IF(A404&lt;&gt;"",VLOOKUP(Alunos!A404,Agrupamentos!A3:C1000,2, FALSE),"")</f>
        <v/>
      </c>
      <c r="D404" s="2" t="str">
        <f>IFERROR(IF(A404&lt;&gt;"",VLOOKUP(Alunos!C404,'TP1'!A3:E1000,5, FALSE),""),"")</f>
        <v/>
      </c>
      <c r="E404" s="2" t="str">
        <f>IF(A404&lt;&gt;"",VLOOKUP(Alunos!A404,Agrupamentos!A3:C1000,3, FALSE),"")</f>
        <v/>
      </c>
      <c r="F404" s="2" t="str">
        <f>IFERROR(IF(A404&lt;&gt;"",VLOOKUP(Alunos!E404,'TP2'!A3:D1000,4, FALSE),""),"")</f>
        <v/>
      </c>
      <c r="G404" s="2" t="str">
        <f>IF(A404&lt;&gt;"", SUMIF(B1:F1,"&lt;&gt;",B404:F404),"")</f>
        <v/>
      </c>
      <c r="H404" s="2" t="str">
        <f>IF(AND(A404&lt;&gt;"",G404&lt;&gt;""),ROUND(G404,0),"")</f>
        <v/>
      </c>
      <c r="I404" s="2" t="str">
        <f>IFERROR(IF(A404&lt;&gt;"",VLOOKUP(Alunos!A404,Recurso!A3:D1000,4, FALSE),""), "")</f>
        <v/>
      </c>
      <c r="J404" s="2" t="str">
        <f>IF(AND(A404&lt;&gt;"",I404&lt;&gt;""), SUMIFS(B404:I404,B1:I1,"&lt;&gt;",B2:I2,"&lt;&gt;Exame",B2:I2,"&lt;&gt;exame",B2:I2,"&lt;&gt;Nota",B2:I2,"&lt;&gt;Total"),"")</f>
        <v/>
      </c>
      <c r="K404" s="2" t="str">
        <f>IF(AND(A404&lt;&gt;"",J404&lt;&gt;""),ROUND(J404,0),"")</f>
        <v/>
      </c>
    </row>
    <row r="405" spans="2:11" x14ac:dyDescent="0.3">
      <c r="B405" s="2" t="str">
        <f>IFERROR(IF(A405&lt;&gt;"",VLOOKUP(Alunos!A405,Exame!A3:D1000,4, FALSE),""), "")</f>
        <v/>
      </c>
      <c r="C405" s="2" t="str">
        <f>IF(A405&lt;&gt;"",VLOOKUP(Alunos!A405,Agrupamentos!A3:C1000,2, FALSE),"")</f>
        <v/>
      </c>
      <c r="D405" s="2" t="str">
        <f>IFERROR(IF(A405&lt;&gt;"",VLOOKUP(Alunos!C405,'TP1'!A3:E1000,5, FALSE),""),"")</f>
        <v/>
      </c>
      <c r="E405" s="2" t="str">
        <f>IF(A405&lt;&gt;"",VLOOKUP(Alunos!A405,Agrupamentos!A3:C1000,3, FALSE),"")</f>
        <v/>
      </c>
      <c r="F405" s="2" t="str">
        <f>IFERROR(IF(A405&lt;&gt;"",VLOOKUP(Alunos!E405,'TP2'!A3:D1000,4, FALSE),""),"")</f>
        <v/>
      </c>
      <c r="G405" s="2" t="str">
        <f>IF(A405&lt;&gt;"", SUMIF(B1:F1,"&lt;&gt;",B405:F405),"")</f>
        <v/>
      </c>
      <c r="H405" s="2" t="str">
        <f>IF(AND(A405&lt;&gt;"",G405&lt;&gt;""),ROUND(G405,0),"")</f>
        <v/>
      </c>
      <c r="I405" s="2" t="str">
        <f>IFERROR(IF(A405&lt;&gt;"",VLOOKUP(Alunos!A405,Recurso!A3:D1000,4, FALSE),""), "")</f>
        <v/>
      </c>
      <c r="J405" s="2" t="str">
        <f>IF(AND(A405&lt;&gt;"",I405&lt;&gt;""), SUMIFS(B405:I405,B1:I1,"&lt;&gt;",B2:I2,"&lt;&gt;Exame",B2:I2,"&lt;&gt;exame",B2:I2,"&lt;&gt;Nota",B2:I2,"&lt;&gt;Total"),"")</f>
        <v/>
      </c>
      <c r="K405" s="2" t="str">
        <f>IF(AND(A405&lt;&gt;"",J405&lt;&gt;""),ROUND(J405,0),"")</f>
        <v/>
      </c>
    </row>
    <row r="406" spans="2:11" x14ac:dyDescent="0.3">
      <c r="B406" s="2" t="str">
        <f>IFERROR(IF(A406&lt;&gt;"",VLOOKUP(Alunos!A406,Exame!A3:D1000,4, FALSE),""), "")</f>
        <v/>
      </c>
      <c r="C406" s="2" t="str">
        <f>IF(A406&lt;&gt;"",VLOOKUP(Alunos!A406,Agrupamentos!A3:C1000,2, FALSE),"")</f>
        <v/>
      </c>
      <c r="D406" s="2" t="str">
        <f>IFERROR(IF(A406&lt;&gt;"",VLOOKUP(Alunos!C406,'TP1'!A3:E1000,5, FALSE),""),"")</f>
        <v/>
      </c>
      <c r="E406" s="2" t="str">
        <f>IF(A406&lt;&gt;"",VLOOKUP(Alunos!A406,Agrupamentos!A3:C1000,3, FALSE),"")</f>
        <v/>
      </c>
      <c r="F406" s="2" t="str">
        <f>IFERROR(IF(A406&lt;&gt;"",VLOOKUP(Alunos!E406,'TP2'!A3:D1000,4, FALSE),""),"")</f>
        <v/>
      </c>
      <c r="G406" s="2" t="str">
        <f>IF(A406&lt;&gt;"", SUMIF(B1:F1,"&lt;&gt;",B406:F406),"")</f>
        <v/>
      </c>
      <c r="H406" s="2" t="str">
        <f>IF(AND(A406&lt;&gt;"",G406&lt;&gt;""),ROUND(G406,0),"")</f>
        <v/>
      </c>
      <c r="I406" s="2" t="str">
        <f>IFERROR(IF(A406&lt;&gt;"",VLOOKUP(Alunos!A406,Recurso!A3:D1000,4, FALSE),""), "")</f>
        <v/>
      </c>
      <c r="J406" s="2" t="str">
        <f>IF(AND(A406&lt;&gt;"",I406&lt;&gt;""), SUMIFS(B406:I406,B1:I1,"&lt;&gt;",B2:I2,"&lt;&gt;Exame",B2:I2,"&lt;&gt;exame",B2:I2,"&lt;&gt;Nota",B2:I2,"&lt;&gt;Total"),"")</f>
        <v/>
      </c>
      <c r="K406" s="2" t="str">
        <f>IF(AND(A406&lt;&gt;"",J406&lt;&gt;""),ROUND(J406,0),"")</f>
        <v/>
      </c>
    </row>
    <row r="407" spans="2:11" x14ac:dyDescent="0.3">
      <c r="B407" s="2" t="str">
        <f>IFERROR(IF(A407&lt;&gt;"",VLOOKUP(Alunos!A407,Exame!A3:D1000,4, FALSE),""), "")</f>
        <v/>
      </c>
      <c r="C407" s="2" t="str">
        <f>IF(A407&lt;&gt;"",VLOOKUP(Alunos!A407,Agrupamentos!A3:C1000,2, FALSE),"")</f>
        <v/>
      </c>
      <c r="D407" s="2" t="str">
        <f>IFERROR(IF(A407&lt;&gt;"",VLOOKUP(Alunos!C407,'TP1'!A3:E1000,5, FALSE),""),"")</f>
        <v/>
      </c>
      <c r="E407" s="2" t="str">
        <f>IF(A407&lt;&gt;"",VLOOKUP(Alunos!A407,Agrupamentos!A3:C1000,3, FALSE),"")</f>
        <v/>
      </c>
      <c r="F407" s="2" t="str">
        <f>IFERROR(IF(A407&lt;&gt;"",VLOOKUP(Alunos!E407,'TP2'!A3:D1000,4, FALSE),""),"")</f>
        <v/>
      </c>
      <c r="G407" s="2" t="str">
        <f>IF(A407&lt;&gt;"", SUMIF(B1:F1,"&lt;&gt;",B407:F407),"")</f>
        <v/>
      </c>
      <c r="H407" s="2" t="str">
        <f>IF(AND(A407&lt;&gt;"",G407&lt;&gt;""),ROUND(G407,0),"")</f>
        <v/>
      </c>
      <c r="I407" s="2" t="str">
        <f>IFERROR(IF(A407&lt;&gt;"",VLOOKUP(Alunos!A407,Recurso!A3:D1000,4, FALSE),""), "")</f>
        <v/>
      </c>
      <c r="J407" s="2" t="str">
        <f>IF(AND(A407&lt;&gt;"",I407&lt;&gt;""), SUMIFS(B407:I407,B1:I1,"&lt;&gt;",B2:I2,"&lt;&gt;Exame",B2:I2,"&lt;&gt;exame",B2:I2,"&lt;&gt;Nota",B2:I2,"&lt;&gt;Total"),"")</f>
        <v/>
      </c>
      <c r="K407" s="2" t="str">
        <f>IF(AND(A407&lt;&gt;"",J407&lt;&gt;""),ROUND(J407,0),"")</f>
        <v/>
      </c>
    </row>
    <row r="408" spans="2:11" x14ac:dyDescent="0.3">
      <c r="B408" s="2" t="str">
        <f>IFERROR(IF(A408&lt;&gt;"",VLOOKUP(Alunos!A408,Exame!A3:D1000,4, FALSE),""), "")</f>
        <v/>
      </c>
      <c r="C408" s="2" t="str">
        <f>IF(A408&lt;&gt;"",VLOOKUP(Alunos!A408,Agrupamentos!A3:C1000,2, FALSE),"")</f>
        <v/>
      </c>
      <c r="D408" s="2" t="str">
        <f>IFERROR(IF(A408&lt;&gt;"",VLOOKUP(Alunos!C408,'TP1'!A3:E1000,5, FALSE),""),"")</f>
        <v/>
      </c>
      <c r="E408" s="2" t="str">
        <f>IF(A408&lt;&gt;"",VLOOKUP(Alunos!A408,Agrupamentos!A3:C1000,3, FALSE),"")</f>
        <v/>
      </c>
      <c r="F408" s="2" t="str">
        <f>IFERROR(IF(A408&lt;&gt;"",VLOOKUP(Alunos!E408,'TP2'!A3:D1000,4, FALSE),""),"")</f>
        <v/>
      </c>
      <c r="G408" s="2" t="str">
        <f>IF(A408&lt;&gt;"", SUMIF(B1:F1,"&lt;&gt;",B408:F408),"")</f>
        <v/>
      </c>
      <c r="H408" s="2" t="str">
        <f>IF(AND(A408&lt;&gt;"",G408&lt;&gt;""),ROUND(G408,0),"")</f>
        <v/>
      </c>
      <c r="I408" s="2" t="str">
        <f>IFERROR(IF(A408&lt;&gt;"",VLOOKUP(Alunos!A408,Recurso!A3:D1000,4, FALSE),""), "")</f>
        <v/>
      </c>
      <c r="J408" s="2" t="str">
        <f>IF(AND(A408&lt;&gt;"",I408&lt;&gt;""), SUMIFS(B408:I408,B1:I1,"&lt;&gt;",B2:I2,"&lt;&gt;Exame",B2:I2,"&lt;&gt;exame",B2:I2,"&lt;&gt;Nota",B2:I2,"&lt;&gt;Total"),"")</f>
        <v/>
      </c>
      <c r="K408" s="2" t="str">
        <f>IF(AND(A408&lt;&gt;"",J408&lt;&gt;""),ROUND(J408,0),"")</f>
        <v/>
      </c>
    </row>
    <row r="409" spans="2:11" x14ac:dyDescent="0.3">
      <c r="B409" s="2" t="str">
        <f>IFERROR(IF(A409&lt;&gt;"",VLOOKUP(Alunos!A409,Exame!A3:D1000,4, FALSE),""), "")</f>
        <v/>
      </c>
      <c r="C409" s="2" t="str">
        <f>IF(A409&lt;&gt;"",VLOOKUP(Alunos!A409,Agrupamentos!A3:C1000,2, FALSE),"")</f>
        <v/>
      </c>
      <c r="D409" s="2" t="str">
        <f>IFERROR(IF(A409&lt;&gt;"",VLOOKUP(Alunos!C409,'TP1'!A3:E1000,5, FALSE),""),"")</f>
        <v/>
      </c>
      <c r="E409" s="2" t="str">
        <f>IF(A409&lt;&gt;"",VLOOKUP(Alunos!A409,Agrupamentos!A3:C1000,3, FALSE),"")</f>
        <v/>
      </c>
      <c r="F409" s="2" t="str">
        <f>IFERROR(IF(A409&lt;&gt;"",VLOOKUP(Alunos!E409,'TP2'!A3:D1000,4, FALSE),""),"")</f>
        <v/>
      </c>
      <c r="G409" s="2" t="str">
        <f>IF(A409&lt;&gt;"", SUMIF(B1:F1,"&lt;&gt;",B409:F409),"")</f>
        <v/>
      </c>
      <c r="H409" s="2" t="str">
        <f>IF(AND(A409&lt;&gt;"",G409&lt;&gt;""),ROUND(G409,0),"")</f>
        <v/>
      </c>
      <c r="I409" s="2" t="str">
        <f>IFERROR(IF(A409&lt;&gt;"",VLOOKUP(Alunos!A409,Recurso!A3:D1000,4, FALSE),""), "")</f>
        <v/>
      </c>
      <c r="J409" s="2" t="str">
        <f>IF(AND(A409&lt;&gt;"",I409&lt;&gt;""), SUMIFS(B409:I409,B1:I1,"&lt;&gt;",B2:I2,"&lt;&gt;Exame",B2:I2,"&lt;&gt;exame",B2:I2,"&lt;&gt;Nota",B2:I2,"&lt;&gt;Total"),"")</f>
        <v/>
      </c>
      <c r="K409" s="2" t="str">
        <f>IF(AND(A409&lt;&gt;"",J409&lt;&gt;""),ROUND(J409,0),"")</f>
        <v/>
      </c>
    </row>
    <row r="410" spans="2:11" x14ac:dyDescent="0.3">
      <c r="B410" s="2" t="str">
        <f>IFERROR(IF(A410&lt;&gt;"",VLOOKUP(Alunos!A410,Exame!A3:D1000,4, FALSE),""), "")</f>
        <v/>
      </c>
      <c r="C410" s="2" t="str">
        <f>IF(A410&lt;&gt;"",VLOOKUP(Alunos!A410,Agrupamentos!A3:C1000,2, FALSE),"")</f>
        <v/>
      </c>
      <c r="D410" s="2" t="str">
        <f>IFERROR(IF(A410&lt;&gt;"",VLOOKUP(Alunos!C410,'TP1'!A3:E1000,5, FALSE),""),"")</f>
        <v/>
      </c>
      <c r="E410" s="2" t="str">
        <f>IF(A410&lt;&gt;"",VLOOKUP(Alunos!A410,Agrupamentos!A3:C1000,3, FALSE),"")</f>
        <v/>
      </c>
      <c r="F410" s="2" t="str">
        <f>IFERROR(IF(A410&lt;&gt;"",VLOOKUP(Alunos!E410,'TP2'!A3:D1000,4, FALSE),""),"")</f>
        <v/>
      </c>
      <c r="G410" s="2" t="str">
        <f>IF(A410&lt;&gt;"", SUMIF(B1:F1,"&lt;&gt;",B410:F410),"")</f>
        <v/>
      </c>
      <c r="H410" s="2" t="str">
        <f>IF(AND(A410&lt;&gt;"",G410&lt;&gt;""),ROUND(G410,0),"")</f>
        <v/>
      </c>
      <c r="I410" s="2" t="str">
        <f>IFERROR(IF(A410&lt;&gt;"",VLOOKUP(Alunos!A410,Recurso!A3:D1000,4, FALSE),""), "")</f>
        <v/>
      </c>
      <c r="J410" s="2" t="str">
        <f>IF(AND(A410&lt;&gt;"",I410&lt;&gt;""), SUMIFS(B410:I410,B1:I1,"&lt;&gt;",B2:I2,"&lt;&gt;Exame",B2:I2,"&lt;&gt;exame",B2:I2,"&lt;&gt;Nota",B2:I2,"&lt;&gt;Total"),"")</f>
        <v/>
      </c>
      <c r="K410" s="2" t="str">
        <f>IF(AND(A410&lt;&gt;"",J410&lt;&gt;""),ROUND(J410,0),"")</f>
        <v/>
      </c>
    </row>
    <row r="411" spans="2:11" x14ac:dyDescent="0.3">
      <c r="B411" s="2" t="str">
        <f>IFERROR(IF(A411&lt;&gt;"",VLOOKUP(Alunos!A411,Exame!A3:D1000,4, FALSE),""), "")</f>
        <v/>
      </c>
      <c r="C411" s="2" t="str">
        <f>IF(A411&lt;&gt;"",VLOOKUP(Alunos!A411,Agrupamentos!A3:C1000,2, FALSE),"")</f>
        <v/>
      </c>
      <c r="D411" s="2" t="str">
        <f>IFERROR(IF(A411&lt;&gt;"",VLOOKUP(Alunos!C411,'TP1'!A3:E1000,5, FALSE),""),"")</f>
        <v/>
      </c>
      <c r="E411" s="2" t="str">
        <f>IF(A411&lt;&gt;"",VLOOKUP(Alunos!A411,Agrupamentos!A3:C1000,3, FALSE),"")</f>
        <v/>
      </c>
      <c r="F411" s="2" t="str">
        <f>IFERROR(IF(A411&lt;&gt;"",VLOOKUP(Alunos!E411,'TP2'!A3:D1000,4, FALSE),""),"")</f>
        <v/>
      </c>
      <c r="G411" s="2" t="str">
        <f>IF(A411&lt;&gt;"", SUMIF(B1:F1,"&lt;&gt;",B411:F411),"")</f>
        <v/>
      </c>
      <c r="H411" s="2" t="str">
        <f>IF(AND(A411&lt;&gt;"",G411&lt;&gt;""),ROUND(G411,0),"")</f>
        <v/>
      </c>
      <c r="I411" s="2" t="str">
        <f>IFERROR(IF(A411&lt;&gt;"",VLOOKUP(Alunos!A411,Recurso!A3:D1000,4, FALSE),""), "")</f>
        <v/>
      </c>
      <c r="J411" s="2" t="str">
        <f>IF(AND(A411&lt;&gt;"",I411&lt;&gt;""), SUMIFS(B411:I411,B1:I1,"&lt;&gt;",B2:I2,"&lt;&gt;Exame",B2:I2,"&lt;&gt;exame",B2:I2,"&lt;&gt;Nota",B2:I2,"&lt;&gt;Total"),"")</f>
        <v/>
      </c>
      <c r="K411" s="2" t="str">
        <f>IF(AND(A411&lt;&gt;"",J411&lt;&gt;""),ROUND(J411,0),"")</f>
        <v/>
      </c>
    </row>
    <row r="412" spans="2:11" x14ac:dyDescent="0.3">
      <c r="B412" s="2" t="str">
        <f>IFERROR(IF(A412&lt;&gt;"",VLOOKUP(Alunos!A412,Exame!A3:D1000,4, FALSE),""), "")</f>
        <v/>
      </c>
      <c r="C412" s="2" t="str">
        <f>IF(A412&lt;&gt;"",VLOOKUP(Alunos!A412,Agrupamentos!A3:C1000,2, FALSE),"")</f>
        <v/>
      </c>
      <c r="D412" s="2" t="str">
        <f>IFERROR(IF(A412&lt;&gt;"",VLOOKUP(Alunos!C412,'TP1'!A3:E1000,5, FALSE),""),"")</f>
        <v/>
      </c>
      <c r="E412" s="2" t="str">
        <f>IF(A412&lt;&gt;"",VLOOKUP(Alunos!A412,Agrupamentos!A3:C1000,3, FALSE),"")</f>
        <v/>
      </c>
      <c r="F412" s="2" t="str">
        <f>IFERROR(IF(A412&lt;&gt;"",VLOOKUP(Alunos!E412,'TP2'!A3:D1000,4, FALSE),""),"")</f>
        <v/>
      </c>
      <c r="G412" s="2" t="str">
        <f>IF(A412&lt;&gt;"", SUMIF(B1:F1,"&lt;&gt;",B412:F412),"")</f>
        <v/>
      </c>
      <c r="H412" s="2" t="str">
        <f>IF(AND(A412&lt;&gt;"",G412&lt;&gt;""),ROUND(G412,0),"")</f>
        <v/>
      </c>
      <c r="I412" s="2" t="str">
        <f>IFERROR(IF(A412&lt;&gt;"",VLOOKUP(Alunos!A412,Recurso!A3:D1000,4, FALSE),""), "")</f>
        <v/>
      </c>
      <c r="J412" s="2" t="str">
        <f>IF(AND(A412&lt;&gt;"",I412&lt;&gt;""), SUMIFS(B412:I412,B1:I1,"&lt;&gt;",B2:I2,"&lt;&gt;Exame",B2:I2,"&lt;&gt;exame",B2:I2,"&lt;&gt;Nota",B2:I2,"&lt;&gt;Total"),"")</f>
        <v/>
      </c>
      <c r="K412" s="2" t="str">
        <f>IF(AND(A412&lt;&gt;"",J412&lt;&gt;""),ROUND(J412,0),"")</f>
        <v/>
      </c>
    </row>
    <row r="413" spans="2:11" x14ac:dyDescent="0.3">
      <c r="B413" s="2" t="str">
        <f>IFERROR(IF(A413&lt;&gt;"",VLOOKUP(Alunos!A413,Exame!A3:D1000,4, FALSE),""), "")</f>
        <v/>
      </c>
      <c r="C413" s="2" t="str">
        <f>IF(A413&lt;&gt;"",VLOOKUP(Alunos!A413,Agrupamentos!A3:C1000,2, FALSE),"")</f>
        <v/>
      </c>
      <c r="D413" s="2" t="str">
        <f>IFERROR(IF(A413&lt;&gt;"",VLOOKUP(Alunos!C413,'TP1'!A3:E1000,5, FALSE),""),"")</f>
        <v/>
      </c>
      <c r="E413" s="2" t="str">
        <f>IF(A413&lt;&gt;"",VLOOKUP(Alunos!A413,Agrupamentos!A3:C1000,3, FALSE),"")</f>
        <v/>
      </c>
      <c r="F413" s="2" t="str">
        <f>IFERROR(IF(A413&lt;&gt;"",VLOOKUP(Alunos!E413,'TP2'!A3:D1000,4, FALSE),""),"")</f>
        <v/>
      </c>
      <c r="G413" s="2" t="str">
        <f>IF(A413&lt;&gt;"", SUMIF(B1:F1,"&lt;&gt;",B413:F413),"")</f>
        <v/>
      </c>
      <c r="H413" s="2" t="str">
        <f>IF(AND(A413&lt;&gt;"",G413&lt;&gt;""),ROUND(G413,0),"")</f>
        <v/>
      </c>
      <c r="I413" s="2" t="str">
        <f>IFERROR(IF(A413&lt;&gt;"",VLOOKUP(Alunos!A413,Recurso!A3:D1000,4, FALSE),""), "")</f>
        <v/>
      </c>
      <c r="J413" s="2" t="str">
        <f>IF(AND(A413&lt;&gt;"",I413&lt;&gt;""), SUMIFS(B413:I413,B1:I1,"&lt;&gt;",B2:I2,"&lt;&gt;Exame",B2:I2,"&lt;&gt;exame",B2:I2,"&lt;&gt;Nota",B2:I2,"&lt;&gt;Total"),"")</f>
        <v/>
      </c>
      <c r="K413" s="2" t="str">
        <f>IF(AND(A413&lt;&gt;"",J413&lt;&gt;""),ROUND(J413,0),"")</f>
        <v/>
      </c>
    </row>
    <row r="414" spans="2:11" x14ac:dyDescent="0.3">
      <c r="B414" s="2" t="str">
        <f>IFERROR(IF(A414&lt;&gt;"",VLOOKUP(Alunos!A414,Exame!A3:D1000,4, FALSE),""), "")</f>
        <v/>
      </c>
      <c r="C414" s="2" t="str">
        <f>IF(A414&lt;&gt;"",VLOOKUP(Alunos!A414,Agrupamentos!A3:C1000,2, FALSE),"")</f>
        <v/>
      </c>
      <c r="D414" s="2" t="str">
        <f>IFERROR(IF(A414&lt;&gt;"",VLOOKUP(Alunos!C414,'TP1'!A3:E1000,5, FALSE),""),"")</f>
        <v/>
      </c>
      <c r="E414" s="2" t="str">
        <f>IF(A414&lt;&gt;"",VLOOKUP(Alunos!A414,Agrupamentos!A3:C1000,3, FALSE),"")</f>
        <v/>
      </c>
      <c r="F414" s="2" t="str">
        <f>IFERROR(IF(A414&lt;&gt;"",VLOOKUP(Alunos!E414,'TP2'!A3:D1000,4, FALSE),""),"")</f>
        <v/>
      </c>
      <c r="G414" s="2" t="str">
        <f>IF(A414&lt;&gt;"", SUMIF(B1:F1,"&lt;&gt;",B414:F414),"")</f>
        <v/>
      </c>
      <c r="H414" s="2" t="str">
        <f>IF(AND(A414&lt;&gt;"",G414&lt;&gt;""),ROUND(G414,0),"")</f>
        <v/>
      </c>
      <c r="I414" s="2" t="str">
        <f>IFERROR(IF(A414&lt;&gt;"",VLOOKUP(Alunos!A414,Recurso!A3:D1000,4, FALSE),""), "")</f>
        <v/>
      </c>
      <c r="J414" s="2" t="str">
        <f>IF(AND(A414&lt;&gt;"",I414&lt;&gt;""), SUMIFS(B414:I414,B1:I1,"&lt;&gt;",B2:I2,"&lt;&gt;Exame",B2:I2,"&lt;&gt;exame",B2:I2,"&lt;&gt;Nota",B2:I2,"&lt;&gt;Total"),"")</f>
        <v/>
      </c>
      <c r="K414" s="2" t="str">
        <f>IF(AND(A414&lt;&gt;"",J414&lt;&gt;""),ROUND(J414,0),"")</f>
        <v/>
      </c>
    </row>
    <row r="415" spans="2:11" x14ac:dyDescent="0.3">
      <c r="B415" s="2" t="str">
        <f>IFERROR(IF(A415&lt;&gt;"",VLOOKUP(Alunos!A415,Exame!A3:D1000,4, FALSE),""), "")</f>
        <v/>
      </c>
      <c r="C415" s="2" t="str">
        <f>IF(A415&lt;&gt;"",VLOOKUP(Alunos!A415,Agrupamentos!A3:C1000,2, FALSE),"")</f>
        <v/>
      </c>
      <c r="D415" s="2" t="str">
        <f>IFERROR(IF(A415&lt;&gt;"",VLOOKUP(Alunos!C415,'TP1'!A3:E1000,5, FALSE),""),"")</f>
        <v/>
      </c>
      <c r="E415" s="2" t="str">
        <f>IF(A415&lt;&gt;"",VLOOKUP(Alunos!A415,Agrupamentos!A3:C1000,3, FALSE),"")</f>
        <v/>
      </c>
      <c r="F415" s="2" t="str">
        <f>IFERROR(IF(A415&lt;&gt;"",VLOOKUP(Alunos!E415,'TP2'!A3:D1000,4, FALSE),""),"")</f>
        <v/>
      </c>
      <c r="G415" s="2" t="str">
        <f>IF(A415&lt;&gt;"", SUMIF(B1:F1,"&lt;&gt;",B415:F415),"")</f>
        <v/>
      </c>
      <c r="H415" s="2" t="str">
        <f>IF(AND(A415&lt;&gt;"",G415&lt;&gt;""),ROUND(G415,0),"")</f>
        <v/>
      </c>
      <c r="I415" s="2" t="str">
        <f>IFERROR(IF(A415&lt;&gt;"",VLOOKUP(Alunos!A415,Recurso!A3:D1000,4, FALSE),""), "")</f>
        <v/>
      </c>
      <c r="J415" s="2" t="str">
        <f>IF(AND(A415&lt;&gt;"",I415&lt;&gt;""), SUMIFS(B415:I415,B1:I1,"&lt;&gt;",B2:I2,"&lt;&gt;Exame",B2:I2,"&lt;&gt;exame",B2:I2,"&lt;&gt;Nota",B2:I2,"&lt;&gt;Total"),"")</f>
        <v/>
      </c>
      <c r="K415" s="2" t="str">
        <f>IF(AND(A415&lt;&gt;"",J415&lt;&gt;""),ROUND(J415,0),"")</f>
        <v/>
      </c>
    </row>
    <row r="416" spans="2:11" x14ac:dyDescent="0.3">
      <c r="B416" s="2" t="str">
        <f>IFERROR(IF(A416&lt;&gt;"",VLOOKUP(Alunos!A416,Exame!A3:D1000,4, FALSE),""), "")</f>
        <v/>
      </c>
      <c r="C416" s="2" t="str">
        <f>IF(A416&lt;&gt;"",VLOOKUP(Alunos!A416,Agrupamentos!A3:C1000,2, FALSE),"")</f>
        <v/>
      </c>
      <c r="D416" s="2" t="str">
        <f>IFERROR(IF(A416&lt;&gt;"",VLOOKUP(Alunos!C416,'TP1'!A3:E1000,5, FALSE),""),"")</f>
        <v/>
      </c>
      <c r="E416" s="2" t="str">
        <f>IF(A416&lt;&gt;"",VLOOKUP(Alunos!A416,Agrupamentos!A3:C1000,3, FALSE),"")</f>
        <v/>
      </c>
      <c r="F416" s="2" t="str">
        <f>IFERROR(IF(A416&lt;&gt;"",VLOOKUP(Alunos!E416,'TP2'!A3:D1000,4, FALSE),""),"")</f>
        <v/>
      </c>
      <c r="G416" s="2" t="str">
        <f>IF(A416&lt;&gt;"", SUMIF(B1:F1,"&lt;&gt;",B416:F416),"")</f>
        <v/>
      </c>
      <c r="H416" s="2" t="str">
        <f>IF(AND(A416&lt;&gt;"",G416&lt;&gt;""),ROUND(G416,0),"")</f>
        <v/>
      </c>
      <c r="I416" s="2" t="str">
        <f>IFERROR(IF(A416&lt;&gt;"",VLOOKUP(Alunos!A416,Recurso!A3:D1000,4, FALSE),""), "")</f>
        <v/>
      </c>
      <c r="J416" s="2" t="str">
        <f>IF(AND(A416&lt;&gt;"",I416&lt;&gt;""), SUMIFS(B416:I416,B1:I1,"&lt;&gt;",B2:I2,"&lt;&gt;Exame",B2:I2,"&lt;&gt;exame",B2:I2,"&lt;&gt;Nota",B2:I2,"&lt;&gt;Total"),"")</f>
        <v/>
      </c>
      <c r="K416" s="2" t="str">
        <f>IF(AND(A416&lt;&gt;"",J416&lt;&gt;""),ROUND(J416,0),"")</f>
        <v/>
      </c>
    </row>
    <row r="417" spans="2:11" x14ac:dyDescent="0.3">
      <c r="B417" s="2" t="str">
        <f>IFERROR(IF(A417&lt;&gt;"",VLOOKUP(Alunos!A417,Exame!A3:D1000,4, FALSE),""), "")</f>
        <v/>
      </c>
      <c r="C417" s="2" t="str">
        <f>IF(A417&lt;&gt;"",VLOOKUP(Alunos!A417,Agrupamentos!A3:C1000,2, FALSE),"")</f>
        <v/>
      </c>
      <c r="D417" s="2" t="str">
        <f>IFERROR(IF(A417&lt;&gt;"",VLOOKUP(Alunos!C417,'TP1'!A3:E1000,5, FALSE),""),"")</f>
        <v/>
      </c>
      <c r="E417" s="2" t="str">
        <f>IF(A417&lt;&gt;"",VLOOKUP(Alunos!A417,Agrupamentos!A3:C1000,3, FALSE),"")</f>
        <v/>
      </c>
      <c r="F417" s="2" t="str">
        <f>IFERROR(IF(A417&lt;&gt;"",VLOOKUP(Alunos!E417,'TP2'!A3:D1000,4, FALSE),""),"")</f>
        <v/>
      </c>
      <c r="G417" s="2" t="str">
        <f>IF(A417&lt;&gt;"", SUMIF(B1:F1,"&lt;&gt;",B417:F417),"")</f>
        <v/>
      </c>
      <c r="H417" s="2" t="str">
        <f>IF(AND(A417&lt;&gt;"",G417&lt;&gt;""),ROUND(G417,0),"")</f>
        <v/>
      </c>
      <c r="I417" s="2" t="str">
        <f>IFERROR(IF(A417&lt;&gt;"",VLOOKUP(Alunos!A417,Recurso!A3:D1000,4, FALSE),""), "")</f>
        <v/>
      </c>
      <c r="J417" s="2" t="str">
        <f>IF(AND(A417&lt;&gt;"",I417&lt;&gt;""), SUMIFS(B417:I417,B1:I1,"&lt;&gt;",B2:I2,"&lt;&gt;Exame",B2:I2,"&lt;&gt;exame",B2:I2,"&lt;&gt;Nota",B2:I2,"&lt;&gt;Total"),"")</f>
        <v/>
      </c>
      <c r="K417" s="2" t="str">
        <f>IF(AND(A417&lt;&gt;"",J417&lt;&gt;""),ROUND(J417,0),"")</f>
        <v/>
      </c>
    </row>
    <row r="418" spans="2:11" x14ac:dyDescent="0.3">
      <c r="B418" s="2" t="str">
        <f>IFERROR(IF(A418&lt;&gt;"",VLOOKUP(Alunos!A418,Exame!A3:D1000,4, FALSE),""), "")</f>
        <v/>
      </c>
      <c r="C418" s="2" t="str">
        <f>IF(A418&lt;&gt;"",VLOOKUP(Alunos!A418,Agrupamentos!A3:C1000,2, FALSE),"")</f>
        <v/>
      </c>
      <c r="D418" s="2" t="str">
        <f>IFERROR(IF(A418&lt;&gt;"",VLOOKUP(Alunos!C418,'TP1'!A3:E1000,5, FALSE),""),"")</f>
        <v/>
      </c>
      <c r="E418" s="2" t="str">
        <f>IF(A418&lt;&gt;"",VLOOKUP(Alunos!A418,Agrupamentos!A3:C1000,3, FALSE),"")</f>
        <v/>
      </c>
      <c r="F418" s="2" t="str">
        <f>IFERROR(IF(A418&lt;&gt;"",VLOOKUP(Alunos!E418,'TP2'!A3:D1000,4, FALSE),""),"")</f>
        <v/>
      </c>
      <c r="G418" s="2" t="str">
        <f>IF(A418&lt;&gt;"", SUMIF(B1:F1,"&lt;&gt;",B418:F418),"")</f>
        <v/>
      </c>
      <c r="H418" s="2" t="str">
        <f>IF(AND(A418&lt;&gt;"",G418&lt;&gt;""),ROUND(G418,0),"")</f>
        <v/>
      </c>
      <c r="I418" s="2" t="str">
        <f>IFERROR(IF(A418&lt;&gt;"",VLOOKUP(Alunos!A418,Recurso!A3:D1000,4, FALSE),""), "")</f>
        <v/>
      </c>
      <c r="J418" s="2" t="str">
        <f>IF(AND(A418&lt;&gt;"",I418&lt;&gt;""), SUMIFS(B418:I418,B1:I1,"&lt;&gt;",B2:I2,"&lt;&gt;Exame",B2:I2,"&lt;&gt;exame",B2:I2,"&lt;&gt;Nota",B2:I2,"&lt;&gt;Total"),"")</f>
        <v/>
      </c>
      <c r="K418" s="2" t="str">
        <f>IF(AND(A418&lt;&gt;"",J418&lt;&gt;""),ROUND(J418,0),"")</f>
        <v/>
      </c>
    </row>
    <row r="419" spans="2:11" x14ac:dyDescent="0.3">
      <c r="B419" s="2" t="str">
        <f>IFERROR(IF(A419&lt;&gt;"",VLOOKUP(Alunos!A419,Exame!A3:D1000,4, FALSE),""), "")</f>
        <v/>
      </c>
      <c r="C419" s="2" t="str">
        <f>IF(A419&lt;&gt;"",VLOOKUP(Alunos!A419,Agrupamentos!A3:C1000,2, FALSE),"")</f>
        <v/>
      </c>
      <c r="D419" s="2" t="str">
        <f>IFERROR(IF(A419&lt;&gt;"",VLOOKUP(Alunos!C419,'TP1'!A3:E1000,5, FALSE),""),"")</f>
        <v/>
      </c>
      <c r="E419" s="2" t="str">
        <f>IF(A419&lt;&gt;"",VLOOKUP(Alunos!A419,Agrupamentos!A3:C1000,3, FALSE),"")</f>
        <v/>
      </c>
      <c r="F419" s="2" t="str">
        <f>IFERROR(IF(A419&lt;&gt;"",VLOOKUP(Alunos!E419,'TP2'!A3:D1000,4, FALSE),""),"")</f>
        <v/>
      </c>
      <c r="G419" s="2" t="str">
        <f>IF(A419&lt;&gt;"", SUMIF(B1:F1,"&lt;&gt;",B419:F419),"")</f>
        <v/>
      </c>
      <c r="H419" s="2" t="str">
        <f>IF(AND(A419&lt;&gt;"",G419&lt;&gt;""),ROUND(G419,0),"")</f>
        <v/>
      </c>
      <c r="I419" s="2" t="str">
        <f>IFERROR(IF(A419&lt;&gt;"",VLOOKUP(Alunos!A419,Recurso!A3:D1000,4, FALSE),""), "")</f>
        <v/>
      </c>
      <c r="J419" s="2" t="str">
        <f>IF(AND(A419&lt;&gt;"",I419&lt;&gt;""), SUMIFS(B419:I419,B1:I1,"&lt;&gt;",B2:I2,"&lt;&gt;Exame",B2:I2,"&lt;&gt;exame",B2:I2,"&lt;&gt;Nota",B2:I2,"&lt;&gt;Total"),"")</f>
        <v/>
      </c>
      <c r="K419" s="2" t="str">
        <f>IF(AND(A419&lt;&gt;"",J419&lt;&gt;""),ROUND(J419,0),"")</f>
        <v/>
      </c>
    </row>
    <row r="420" spans="2:11" x14ac:dyDescent="0.3">
      <c r="B420" s="2" t="str">
        <f>IFERROR(IF(A420&lt;&gt;"",VLOOKUP(Alunos!A420,Exame!A3:D1000,4, FALSE),""), "")</f>
        <v/>
      </c>
      <c r="C420" s="2" t="str">
        <f>IF(A420&lt;&gt;"",VLOOKUP(Alunos!A420,Agrupamentos!A3:C1000,2, FALSE),"")</f>
        <v/>
      </c>
      <c r="D420" s="2" t="str">
        <f>IFERROR(IF(A420&lt;&gt;"",VLOOKUP(Alunos!C420,'TP1'!A3:E1000,5, FALSE),""),"")</f>
        <v/>
      </c>
      <c r="E420" s="2" t="str">
        <f>IF(A420&lt;&gt;"",VLOOKUP(Alunos!A420,Agrupamentos!A3:C1000,3, FALSE),"")</f>
        <v/>
      </c>
      <c r="F420" s="2" t="str">
        <f>IFERROR(IF(A420&lt;&gt;"",VLOOKUP(Alunos!E420,'TP2'!A3:D1000,4, FALSE),""),"")</f>
        <v/>
      </c>
      <c r="G420" s="2" t="str">
        <f>IF(A420&lt;&gt;"", SUMIF(B1:F1,"&lt;&gt;",B420:F420),"")</f>
        <v/>
      </c>
      <c r="H420" s="2" t="str">
        <f>IF(AND(A420&lt;&gt;"",G420&lt;&gt;""),ROUND(G420,0),"")</f>
        <v/>
      </c>
      <c r="I420" s="2" t="str">
        <f>IFERROR(IF(A420&lt;&gt;"",VLOOKUP(Alunos!A420,Recurso!A3:D1000,4, FALSE),""), "")</f>
        <v/>
      </c>
      <c r="J420" s="2" t="str">
        <f>IF(AND(A420&lt;&gt;"",I420&lt;&gt;""), SUMIFS(B420:I420,B1:I1,"&lt;&gt;",B2:I2,"&lt;&gt;Exame",B2:I2,"&lt;&gt;exame",B2:I2,"&lt;&gt;Nota",B2:I2,"&lt;&gt;Total"),"")</f>
        <v/>
      </c>
      <c r="K420" s="2" t="str">
        <f>IF(AND(A420&lt;&gt;"",J420&lt;&gt;""),ROUND(J420,0),"")</f>
        <v/>
      </c>
    </row>
    <row r="421" spans="2:11" x14ac:dyDescent="0.3">
      <c r="B421" s="2" t="str">
        <f>IFERROR(IF(A421&lt;&gt;"",VLOOKUP(Alunos!A421,Exame!A3:D1000,4, FALSE),""), "")</f>
        <v/>
      </c>
      <c r="C421" s="2" t="str">
        <f>IF(A421&lt;&gt;"",VLOOKUP(Alunos!A421,Agrupamentos!A3:C1000,2, FALSE),"")</f>
        <v/>
      </c>
      <c r="D421" s="2" t="str">
        <f>IFERROR(IF(A421&lt;&gt;"",VLOOKUP(Alunos!C421,'TP1'!A3:E1000,5, FALSE),""),"")</f>
        <v/>
      </c>
      <c r="E421" s="2" t="str">
        <f>IF(A421&lt;&gt;"",VLOOKUP(Alunos!A421,Agrupamentos!A3:C1000,3, FALSE),"")</f>
        <v/>
      </c>
      <c r="F421" s="2" t="str">
        <f>IFERROR(IF(A421&lt;&gt;"",VLOOKUP(Alunos!E421,'TP2'!A3:D1000,4, FALSE),""),"")</f>
        <v/>
      </c>
      <c r="G421" s="2" t="str">
        <f>IF(A421&lt;&gt;"", SUMIF(B1:F1,"&lt;&gt;",B421:F421),"")</f>
        <v/>
      </c>
      <c r="H421" s="2" t="str">
        <f>IF(AND(A421&lt;&gt;"",G421&lt;&gt;""),ROUND(G421,0),"")</f>
        <v/>
      </c>
      <c r="I421" s="2" t="str">
        <f>IFERROR(IF(A421&lt;&gt;"",VLOOKUP(Alunos!A421,Recurso!A3:D1000,4, FALSE),""), "")</f>
        <v/>
      </c>
      <c r="J421" s="2" t="str">
        <f>IF(AND(A421&lt;&gt;"",I421&lt;&gt;""), SUMIFS(B421:I421,B1:I1,"&lt;&gt;",B2:I2,"&lt;&gt;Exame",B2:I2,"&lt;&gt;exame",B2:I2,"&lt;&gt;Nota",B2:I2,"&lt;&gt;Total"),"")</f>
        <v/>
      </c>
      <c r="K421" s="2" t="str">
        <f>IF(AND(A421&lt;&gt;"",J421&lt;&gt;""),ROUND(J421,0),"")</f>
        <v/>
      </c>
    </row>
    <row r="422" spans="2:11" x14ac:dyDescent="0.3">
      <c r="B422" s="2" t="str">
        <f>IFERROR(IF(A422&lt;&gt;"",VLOOKUP(Alunos!A422,Exame!A3:D1000,4, FALSE),""), "")</f>
        <v/>
      </c>
      <c r="C422" s="2" t="str">
        <f>IF(A422&lt;&gt;"",VLOOKUP(Alunos!A422,Agrupamentos!A3:C1000,2, FALSE),"")</f>
        <v/>
      </c>
      <c r="D422" s="2" t="str">
        <f>IFERROR(IF(A422&lt;&gt;"",VLOOKUP(Alunos!C422,'TP1'!A3:E1000,5, FALSE),""),"")</f>
        <v/>
      </c>
      <c r="E422" s="2" t="str">
        <f>IF(A422&lt;&gt;"",VLOOKUP(Alunos!A422,Agrupamentos!A3:C1000,3, FALSE),"")</f>
        <v/>
      </c>
      <c r="F422" s="2" t="str">
        <f>IFERROR(IF(A422&lt;&gt;"",VLOOKUP(Alunos!E422,'TP2'!A3:D1000,4, FALSE),""),"")</f>
        <v/>
      </c>
      <c r="G422" s="2" t="str">
        <f>IF(A422&lt;&gt;"", SUMIF(B1:F1,"&lt;&gt;",B422:F422),"")</f>
        <v/>
      </c>
      <c r="H422" s="2" t="str">
        <f>IF(AND(A422&lt;&gt;"",G422&lt;&gt;""),ROUND(G422,0),"")</f>
        <v/>
      </c>
      <c r="I422" s="2" t="str">
        <f>IFERROR(IF(A422&lt;&gt;"",VLOOKUP(Alunos!A422,Recurso!A3:D1000,4, FALSE),""), "")</f>
        <v/>
      </c>
      <c r="J422" s="2" t="str">
        <f>IF(AND(A422&lt;&gt;"",I422&lt;&gt;""), SUMIFS(B422:I422,B1:I1,"&lt;&gt;",B2:I2,"&lt;&gt;Exame",B2:I2,"&lt;&gt;exame",B2:I2,"&lt;&gt;Nota",B2:I2,"&lt;&gt;Total"),"")</f>
        <v/>
      </c>
      <c r="K422" s="2" t="str">
        <f>IF(AND(A422&lt;&gt;"",J422&lt;&gt;""),ROUND(J422,0),"")</f>
        <v/>
      </c>
    </row>
    <row r="423" spans="2:11" x14ac:dyDescent="0.3">
      <c r="B423" s="2" t="str">
        <f>IFERROR(IF(A423&lt;&gt;"",VLOOKUP(Alunos!A423,Exame!A3:D1000,4, FALSE),""), "")</f>
        <v/>
      </c>
      <c r="C423" s="2" t="str">
        <f>IF(A423&lt;&gt;"",VLOOKUP(Alunos!A423,Agrupamentos!A3:C1000,2, FALSE),"")</f>
        <v/>
      </c>
      <c r="D423" s="2" t="str">
        <f>IFERROR(IF(A423&lt;&gt;"",VLOOKUP(Alunos!C423,'TP1'!A3:E1000,5, FALSE),""),"")</f>
        <v/>
      </c>
      <c r="E423" s="2" t="str">
        <f>IF(A423&lt;&gt;"",VLOOKUP(Alunos!A423,Agrupamentos!A3:C1000,3, FALSE),"")</f>
        <v/>
      </c>
      <c r="F423" s="2" t="str">
        <f>IFERROR(IF(A423&lt;&gt;"",VLOOKUP(Alunos!E423,'TP2'!A3:D1000,4, FALSE),""),"")</f>
        <v/>
      </c>
      <c r="G423" s="2" t="str">
        <f>IF(A423&lt;&gt;"", SUMIF(B1:F1,"&lt;&gt;",B423:F423),"")</f>
        <v/>
      </c>
      <c r="H423" s="2" t="str">
        <f>IF(AND(A423&lt;&gt;"",G423&lt;&gt;""),ROUND(G423,0),"")</f>
        <v/>
      </c>
      <c r="I423" s="2" t="str">
        <f>IFERROR(IF(A423&lt;&gt;"",VLOOKUP(Alunos!A423,Recurso!A3:D1000,4, FALSE),""), "")</f>
        <v/>
      </c>
      <c r="J423" s="2" t="str">
        <f>IF(AND(A423&lt;&gt;"",I423&lt;&gt;""), SUMIFS(B423:I423,B1:I1,"&lt;&gt;",B2:I2,"&lt;&gt;Exame",B2:I2,"&lt;&gt;exame",B2:I2,"&lt;&gt;Nota",B2:I2,"&lt;&gt;Total"),"")</f>
        <v/>
      </c>
      <c r="K423" s="2" t="str">
        <f>IF(AND(A423&lt;&gt;"",J423&lt;&gt;""),ROUND(J423,0),"")</f>
        <v/>
      </c>
    </row>
    <row r="424" spans="2:11" x14ac:dyDescent="0.3">
      <c r="B424" s="2" t="str">
        <f>IFERROR(IF(A424&lt;&gt;"",VLOOKUP(Alunos!A424,Exame!A3:D1000,4, FALSE),""), "")</f>
        <v/>
      </c>
      <c r="C424" s="2" t="str">
        <f>IF(A424&lt;&gt;"",VLOOKUP(Alunos!A424,Agrupamentos!A3:C1000,2, FALSE),"")</f>
        <v/>
      </c>
      <c r="D424" s="2" t="str">
        <f>IFERROR(IF(A424&lt;&gt;"",VLOOKUP(Alunos!C424,'TP1'!A3:E1000,5, FALSE),""),"")</f>
        <v/>
      </c>
      <c r="E424" s="2" t="str">
        <f>IF(A424&lt;&gt;"",VLOOKUP(Alunos!A424,Agrupamentos!A3:C1000,3, FALSE),"")</f>
        <v/>
      </c>
      <c r="F424" s="2" t="str">
        <f>IFERROR(IF(A424&lt;&gt;"",VLOOKUP(Alunos!E424,'TP2'!A3:D1000,4, FALSE),""),"")</f>
        <v/>
      </c>
      <c r="G424" s="2" t="str">
        <f>IF(A424&lt;&gt;"", SUMIF(B1:F1,"&lt;&gt;",B424:F424),"")</f>
        <v/>
      </c>
      <c r="H424" s="2" t="str">
        <f>IF(AND(A424&lt;&gt;"",G424&lt;&gt;""),ROUND(G424,0),"")</f>
        <v/>
      </c>
      <c r="I424" s="2" t="str">
        <f>IFERROR(IF(A424&lt;&gt;"",VLOOKUP(Alunos!A424,Recurso!A3:D1000,4, FALSE),""), "")</f>
        <v/>
      </c>
      <c r="J424" s="2" t="str">
        <f>IF(AND(A424&lt;&gt;"",I424&lt;&gt;""), SUMIFS(B424:I424,B1:I1,"&lt;&gt;",B2:I2,"&lt;&gt;Exame",B2:I2,"&lt;&gt;exame",B2:I2,"&lt;&gt;Nota",B2:I2,"&lt;&gt;Total"),"")</f>
        <v/>
      </c>
      <c r="K424" s="2" t="str">
        <f>IF(AND(A424&lt;&gt;"",J424&lt;&gt;""),ROUND(J424,0),"")</f>
        <v/>
      </c>
    </row>
    <row r="425" spans="2:11" x14ac:dyDescent="0.3">
      <c r="B425" s="2" t="str">
        <f>IFERROR(IF(A425&lt;&gt;"",VLOOKUP(Alunos!A425,Exame!A3:D1000,4, FALSE),""), "")</f>
        <v/>
      </c>
      <c r="C425" s="2" t="str">
        <f>IF(A425&lt;&gt;"",VLOOKUP(Alunos!A425,Agrupamentos!A3:C1000,2, FALSE),"")</f>
        <v/>
      </c>
      <c r="D425" s="2" t="str">
        <f>IFERROR(IF(A425&lt;&gt;"",VLOOKUP(Alunos!C425,'TP1'!A3:E1000,5, FALSE),""),"")</f>
        <v/>
      </c>
      <c r="E425" s="2" t="str">
        <f>IF(A425&lt;&gt;"",VLOOKUP(Alunos!A425,Agrupamentos!A3:C1000,3, FALSE),"")</f>
        <v/>
      </c>
      <c r="F425" s="2" t="str">
        <f>IFERROR(IF(A425&lt;&gt;"",VLOOKUP(Alunos!E425,'TP2'!A3:D1000,4, FALSE),""),"")</f>
        <v/>
      </c>
      <c r="G425" s="2" t="str">
        <f>IF(A425&lt;&gt;"", SUMIF(B1:F1,"&lt;&gt;",B425:F425),"")</f>
        <v/>
      </c>
      <c r="H425" s="2" t="str">
        <f>IF(AND(A425&lt;&gt;"",G425&lt;&gt;""),ROUND(G425,0),"")</f>
        <v/>
      </c>
      <c r="I425" s="2" t="str">
        <f>IFERROR(IF(A425&lt;&gt;"",VLOOKUP(Alunos!A425,Recurso!A3:D1000,4, FALSE),""), "")</f>
        <v/>
      </c>
      <c r="J425" s="2" t="str">
        <f>IF(AND(A425&lt;&gt;"",I425&lt;&gt;""), SUMIFS(B425:I425,B1:I1,"&lt;&gt;",B2:I2,"&lt;&gt;Exame",B2:I2,"&lt;&gt;exame",B2:I2,"&lt;&gt;Nota",B2:I2,"&lt;&gt;Total"),"")</f>
        <v/>
      </c>
      <c r="K425" s="2" t="str">
        <f>IF(AND(A425&lt;&gt;"",J425&lt;&gt;""),ROUND(J425,0),"")</f>
        <v/>
      </c>
    </row>
    <row r="426" spans="2:11" x14ac:dyDescent="0.3">
      <c r="B426" s="2" t="str">
        <f>IFERROR(IF(A426&lt;&gt;"",VLOOKUP(Alunos!A426,Exame!A3:D1000,4, FALSE),""), "")</f>
        <v/>
      </c>
      <c r="C426" s="2" t="str">
        <f>IF(A426&lt;&gt;"",VLOOKUP(Alunos!A426,Agrupamentos!A3:C1000,2, FALSE),"")</f>
        <v/>
      </c>
      <c r="D426" s="2" t="str">
        <f>IFERROR(IF(A426&lt;&gt;"",VLOOKUP(Alunos!C426,'TP1'!A3:E1000,5, FALSE),""),"")</f>
        <v/>
      </c>
      <c r="E426" s="2" t="str">
        <f>IF(A426&lt;&gt;"",VLOOKUP(Alunos!A426,Agrupamentos!A3:C1000,3, FALSE),"")</f>
        <v/>
      </c>
      <c r="F426" s="2" t="str">
        <f>IFERROR(IF(A426&lt;&gt;"",VLOOKUP(Alunos!E426,'TP2'!A3:D1000,4, FALSE),""),"")</f>
        <v/>
      </c>
      <c r="G426" s="2" t="str">
        <f>IF(A426&lt;&gt;"", SUMIF(B1:F1,"&lt;&gt;",B426:F426),"")</f>
        <v/>
      </c>
      <c r="H426" s="2" t="str">
        <f>IF(AND(A426&lt;&gt;"",G426&lt;&gt;""),ROUND(G426,0),"")</f>
        <v/>
      </c>
      <c r="I426" s="2" t="str">
        <f>IFERROR(IF(A426&lt;&gt;"",VLOOKUP(Alunos!A426,Recurso!A3:D1000,4, FALSE),""), "")</f>
        <v/>
      </c>
      <c r="J426" s="2" t="str">
        <f>IF(AND(A426&lt;&gt;"",I426&lt;&gt;""), SUMIFS(B426:I426,B1:I1,"&lt;&gt;",B2:I2,"&lt;&gt;Exame",B2:I2,"&lt;&gt;exame",B2:I2,"&lt;&gt;Nota",B2:I2,"&lt;&gt;Total"),"")</f>
        <v/>
      </c>
      <c r="K426" s="2" t="str">
        <f>IF(AND(A426&lt;&gt;"",J426&lt;&gt;""),ROUND(J426,0),"")</f>
        <v/>
      </c>
    </row>
    <row r="427" spans="2:11" x14ac:dyDescent="0.3">
      <c r="B427" s="2" t="str">
        <f>IFERROR(IF(A427&lt;&gt;"",VLOOKUP(Alunos!A427,Exame!A3:D1000,4, FALSE),""), "")</f>
        <v/>
      </c>
      <c r="C427" s="2" t="str">
        <f>IF(A427&lt;&gt;"",VLOOKUP(Alunos!A427,Agrupamentos!A3:C1000,2, FALSE),"")</f>
        <v/>
      </c>
      <c r="D427" s="2" t="str">
        <f>IFERROR(IF(A427&lt;&gt;"",VLOOKUP(Alunos!C427,'TP1'!A3:E1000,5, FALSE),""),"")</f>
        <v/>
      </c>
      <c r="E427" s="2" t="str">
        <f>IF(A427&lt;&gt;"",VLOOKUP(Alunos!A427,Agrupamentos!A3:C1000,3, FALSE),"")</f>
        <v/>
      </c>
      <c r="F427" s="2" t="str">
        <f>IFERROR(IF(A427&lt;&gt;"",VLOOKUP(Alunos!E427,'TP2'!A3:D1000,4, FALSE),""),"")</f>
        <v/>
      </c>
      <c r="G427" s="2" t="str">
        <f>IF(A427&lt;&gt;"", SUMIF(B1:F1,"&lt;&gt;",B427:F427),"")</f>
        <v/>
      </c>
      <c r="H427" s="2" t="str">
        <f>IF(AND(A427&lt;&gt;"",G427&lt;&gt;""),ROUND(G427,0),"")</f>
        <v/>
      </c>
      <c r="I427" s="2" t="str">
        <f>IFERROR(IF(A427&lt;&gt;"",VLOOKUP(Alunos!A427,Recurso!A3:D1000,4, FALSE),""), "")</f>
        <v/>
      </c>
      <c r="J427" s="2" t="str">
        <f>IF(AND(A427&lt;&gt;"",I427&lt;&gt;""), SUMIFS(B427:I427,B1:I1,"&lt;&gt;",B2:I2,"&lt;&gt;Exame",B2:I2,"&lt;&gt;exame",B2:I2,"&lt;&gt;Nota",B2:I2,"&lt;&gt;Total"),"")</f>
        <v/>
      </c>
      <c r="K427" s="2" t="str">
        <f>IF(AND(A427&lt;&gt;"",J427&lt;&gt;""),ROUND(J427,0),"")</f>
        <v/>
      </c>
    </row>
    <row r="428" spans="2:11" x14ac:dyDescent="0.3">
      <c r="B428" s="2" t="str">
        <f>IFERROR(IF(A428&lt;&gt;"",VLOOKUP(Alunos!A428,Exame!A3:D1000,4, FALSE),""), "")</f>
        <v/>
      </c>
      <c r="C428" s="2" t="str">
        <f>IF(A428&lt;&gt;"",VLOOKUP(Alunos!A428,Agrupamentos!A3:C1000,2, FALSE),"")</f>
        <v/>
      </c>
      <c r="D428" s="2" t="str">
        <f>IFERROR(IF(A428&lt;&gt;"",VLOOKUP(Alunos!C428,'TP1'!A3:E1000,5, FALSE),""),"")</f>
        <v/>
      </c>
      <c r="E428" s="2" t="str">
        <f>IF(A428&lt;&gt;"",VLOOKUP(Alunos!A428,Agrupamentos!A3:C1000,3, FALSE),"")</f>
        <v/>
      </c>
      <c r="F428" s="2" t="str">
        <f>IFERROR(IF(A428&lt;&gt;"",VLOOKUP(Alunos!E428,'TP2'!A3:D1000,4, FALSE),""),"")</f>
        <v/>
      </c>
      <c r="G428" s="2" t="str">
        <f>IF(A428&lt;&gt;"", SUMIF(B1:F1,"&lt;&gt;",B428:F428),"")</f>
        <v/>
      </c>
      <c r="H428" s="2" t="str">
        <f>IF(AND(A428&lt;&gt;"",G428&lt;&gt;""),ROUND(G428,0),"")</f>
        <v/>
      </c>
      <c r="I428" s="2" t="str">
        <f>IFERROR(IF(A428&lt;&gt;"",VLOOKUP(Alunos!A428,Recurso!A3:D1000,4, FALSE),""), "")</f>
        <v/>
      </c>
      <c r="J428" s="2" t="str">
        <f>IF(AND(A428&lt;&gt;"",I428&lt;&gt;""), SUMIFS(B428:I428,B1:I1,"&lt;&gt;",B2:I2,"&lt;&gt;Exame",B2:I2,"&lt;&gt;exame",B2:I2,"&lt;&gt;Nota",B2:I2,"&lt;&gt;Total"),"")</f>
        <v/>
      </c>
      <c r="K428" s="2" t="str">
        <f>IF(AND(A428&lt;&gt;"",J428&lt;&gt;""),ROUND(J428,0),"")</f>
        <v/>
      </c>
    </row>
    <row r="429" spans="2:11" x14ac:dyDescent="0.3">
      <c r="B429" s="2" t="str">
        <f>IFERROR(IF(A429&lt;&gt;"",VLOOKUP(Alunos!A429,Exame!A3:D1000,4, FALSE),""), "")</f>
        <v/>
      </c>
      <c r="C429" s="2" t="str">
        <f>IF(A429&lt;&gt;"",VLOOKUP(Alunos!A429,Agrupamentos!A3:C1000,2, FALSE),"")</f>
        <v/>
      </c>
      <c r="D429" s="2" t="str">
        <f>IFERROR(IF(A429&lt;&gt;"",VLOOKUP(Alunos!C429,'TP1'!A3:E1000,5, FALSE),""),"")</f>
        <v/>
      </c>
      <c r="E429" s="2" t="str">
        <f>IF(A429&lt;&gt;"",VLOOKUP(Alunos!A429,Agrupamentos!A3:C1000,3, FALSE),"")</f>
        <v/>
      </c>
      <c r="F429" s="2" t="str">
        <f>IFERROR(IF(A429&lt;&gt;"",VLOOKUP(Alunos!E429,'TP2'!A3:D1000,4, FALSE),""),"")</f>
        <v/>
      </c>
      <c r="G429" s="2" t="str">
        <f>IF(A429&lt;&gt;"", SUMIF(B1:F1,"&lt;&gt;",B429:F429),"")</f>
        <v/>
      </c>
      <c r="H429" s="2" t="str">
        <f>IF(AND(A429&lt;&gt;"",G429&lt;&gt;""),ROUND(G429,0),"")</f>
        <v/>
      </c>
      <c r="I429" s="2" t="str">
        <f>IFERROR(IF(A429&lt;&gt;"",VLOOKUP(Alunos!A429,Recurso!A3:D1000,4, FALSE),""), "")</f>
        <v/>
      </c>
      <c r="J429" s="2" t="str">
        <f>IF(AND(A429&lt;&gt;"",I429&lt;&gt;""), SUMIFS(B429:I429,B1:I1,"&lt;&gt;",B2:I2,"&lt;&gt;Exame",B2:I2,"&lt;&gt;exame",B2:I2,"&lt;&gt;Nota",B2:I2,"&lt;&gt;Total"),"")</f>
        <v/>
      </c>
      <c r="K429" s="2" t="str">
        <f>IF(AND(A429&lt;&gt;"",J429&lt;&gt;""),ROUND(J429,0),"")</f>
        <v/>
      </c>
    </row>
    <row r="430" spans="2:11" x14ac:dyDescent="0.3">
      <c r="B430" s="2" t="str">
        <f>IFERROR(IF(A430&lt;&gt;"",VLOOKUP(Alunos!A430,Exame!A3:D1000,4, FALSE),""), "")</f>
        <v/>
      </c>
      <c r="C430" s="2" t="str">
        <f>IF(A430&lt;&gt;"",VLOOKUP(Alunos!A430,Agrupamentos!A3:C1000,2, FALSE),"")</f>
        <v/>
      </c>
      <c r="D430" s="2" t="str">
        <f>IFERROR(IF(A430&lt;&gt;"",VLOOKUP(Alunos!C430,'TP1'!A3:E1000,5, FALSE),""),"")</f>
        <v/>
      </c>
      <c r="E430" s="2" t="str">
        <f>IF(A430&lt;&gt;"",VLOOKUP(Alunos!A430,Agrupamentos!A3:C1000,3, FALSE),"")</f>
        <v/>
      </c>
      <c r="F430" s="2" t="str">
        <f>IFERROR(IF(A430&lt;&gt;"",VLOOKUP(Alunos!E430,'TP2'!A3:D1000,4, FALSE),""),"")</f>
        <v/>
      </c>
      <c r="G430" s="2" t="str">
        <f>IF(A430&lt;&gt;"", SUMIF(B1:F1,"&lt;&gt;",B430:F430),"")</f>
        <v/>
      </c>
      <c r="H430" s="2" t="str">
        <f>IF(AND(A430&lt;&gt;"",G430&lt;&gt;""),ROUND(G430,0),"")</f>
        <v/>
      </c>
      <c r="I430" s="2" t="str">
        <f>IFERROR(IF(A430&lt;&gt;"",VLOOKUP(Alunos!A430,Recurso!A3:D1000,4, FALSE),""), "")</f>
        <v/>
      </c>
      <c r="J430" s="2" t="str">
        <f>IF(AND(A430&lt;&gt;"",I430&lt;&gt;""), SUMIFS(B430:I430,B1:I1,"&lt;&gt;",B2:I2,"&lt;&gt;Exame",B2:I2,"&lt;&gt;exame",B2:I2,"&lt;&gt;Nota",B2:I2,"&lt;&gt;Total"),"")</f>
        <v/>
      </c>
      <c r="K430" s="2" t="str">
        <f>IF(AND(A430&lt;&gt;"",J430&lt;&gt;""),ROUND(J430,0),"")</f>
        <v/>
      </c>
    </row>
    <row r="431" spans="2:11" x14ac:dyDescent="0.3">
      <c r="B431" s="2" t="str">
        <f>IFERROR(IF(A431&lt;&gt;"",VLOOKUP(Alunos!A431,Exame!A3:D1000,4, FALSE),""), "")</f>
        <v/>
      </c>
      <c r="C431" s="2" t="str">
        <f>IF(A431&lt;&gt;"",VLOOKUP(Alunos!A431,Agrupamentos!A3:C1000,2, FALSE),"")</f>
        <v/>
      </c>
      <c r="D431" s="2" t="str">
        <f>IFERROR(IF(A431&lt;&gt;"",VLOOKUP(Alunos!C431,'TP1'!A3:E1000,5, FALSE),""),"")</f>
        <v/>
      </c>
      <c r="E431" s="2" t="str">
        <f>IF(A431&lt;&gt;"",VLOOKUP(Alunos!A431,Agrupamentos!A3:C1000,3, FALSE),"")</f>
        <v/>
      </c>
      <c r="F431" s="2" t="str">
        <f>IFERROR(IF(A431&lt;&gt;"",VLOOKUP(Alunos!E431,'TP2'!A3:D1000,4, FALSE),""),"")</f>
        <v/>
      </c>
      <c r="G431" s="2" t="str">
        <f>IF(A431&lt;&gt;"", SUMIF(B1:F1,"&lt;&gt;",B431:F431),"")</f>
        <v/>
      </c>
      <c r="H431" s="2" t="str">
        <f>IF(AND(A431&lt;&gt;"",G431&lt;&gt;""),ROUND(G431,0),"")</f>
        <v/>
      </c>
      <c r="I431" s="2" t="str">
        <f>IFERROR(IF(A431&lt;&gt;"",VLOOKUP(Alunos!A431,Recurso!A3:D1000,4, FALSE),""), "")</f>
        <v/>
      </c>
      <c r="J431" s="2" t="str">
        <f>IF(AND(A431&lt;&gt;"",I431&lt;&gt;""), SUMIFS(B431:I431,B1:I1,"&lt;&gt;",B2:I2,"&lt;&gt;Exame",B2:I2,"&lt;&gt;exame",B2:I2,"&lt;&gt;Nota",B2:I2,"&lt;&gt;Total"),"")</f>
        <v/>
      </c>
      <c r="K431" s="2" t="str">
        <f>IF(AND(A431&lt;&gt;"",J431&lt;&gt;""),ROUND(J431,0),"")</f>
        <v/>
      </c>
    </row>
    <row r="432" spans="2:11" x14ac:dyDescent="0.3">
      <c r="B432" s="2" t="str">
        <f>IFERROR(IF(A432&lt;&gt;"",VLOOKUP(Alunos!A432,Exame!A3:D1000,4, FALSE),""), "")</f>
        <v/>
      </c>
      <c r="C432" s="2" t="str">
        <f>IF(A432&lt;&gt;"",VLOOKUP(Alunos!A432,Agrupamentos!A3:C1000,2, FALSE),"")</f>
        <v/>
      </c>
      <c r="D432" s="2" t="str">
        <f>IFERROR(IF(A432&lt;&gt;"",VLOOKUP(Alunos!C432,'TP1'!A3:E1000,5, FALSE),""),"")</f>
        <v/>
      </c>
      <c r="E432" s="2" t="str">
        <f>IF(A432&lt;&gt;"",VLOOKUP(Alunos!A432,Agrupamentos!A3:C1000,3, FALSE),"")</f>
        <v/>
      </c>
      <c r="F432" s="2" t="str">
        <f>IFERROR(IF(A432&lt;&gt;"",VLOOKUP(Alunos!E432,'TP2'!A3:D1000,4, FALSE),""),"")</f>
        <v/>
      </c>
      <c r="G432" s="2" t="str">
        <f>IF(A432&lt;&gt;"", SUMIF(B1:F1,"&lt;&gt;",B432:F432),"")</f>
        <v/>
      </c>
      <c r="H432" s="2" t="str">
        <f>IF(AND(A432&lt;&gt;"",G432&lt;&gt;""),ROUND(G432,0),"")</f>
        <v/>
      </c>
      <c r="I432" s="2" t="str">
        <f>IFERROR(IF(A432&lt;&gt;"",VLOOKUP(Alunos!A432,Recurso!A3:D1000,4, FALSE),""), "")</f>
        <v/>
      </c>
      <c r="J432" s="2" t="str">
        <f>IF(AND(A432&lt;&gt;"",I432&lt;&gt;""), SUMIFS(B432:I432,B1:I1,"&lt;&gt;",B2:I2,"&lt;&gt;Exame",B2:I2,"&lt;&gt;exame",B2:I2,"&lt;&gt;Nota",B2:I2,"&lt;&gt;Total"),"")</f>
        <v/>
      </c>
      <c r="K432" s="2" t="str">
        <f>IF(AND(A432&lt;&gt;"",J432&lt;&gt;""),ROUND(J432,0),"")</f>
        <v/>
      </c>
    </row>
    <row r="433" spans="2:11" x14ac:dyDescent="0.3">
      <c r="B433" s="2" t="str">
        <f>IFERROR(IF(A433&lt;&gt;"",VLOOKUP(Alunos!A433,Exame!A3:D1000,4, FALSE),""), "")</f>
        <v/>
      </c>
      <c r="C433" s="2" t="str">
        <f>IF(A433&lt;&gt;"",VLOOKUP(Alunos!A433,Agrupamentos!A3:C1000,2, FALSE),"")</f>
        <v/>
      </c>
      <c r="D433" s="2" t="str">
        <f>IFERROR(IF(A433&lt;&gt;"",VLOOKUP(Alunos!C433,'TP1'!A3:E1000,5, FALSE),""),"")</f>
        <v/>
      </c>
      <c r="E433" s="2" t="str">
        <f>IF(A433&lt;&gt;"",VLOOKUP(Alunos!A433,Agrupamentos!A3:C1000,3, FALSE),"")</f>
        <v/>
      </c>
      <c r="F433" s="2" t="str">
        <f>IFERROR(IF(A433&lt;&gt;"",VLOOKUP(Alunos!E433,'TP2'!A3:D1000,4, FALSE),""),"")</f>
        <v/>
      </c>
      <c r="G433" s="2" t="str">
        <f>IF(A433&lt;&gt;"", SUMIF(B1:F1,"&lt;&gt;",B433:F433),"")</f>
        <v/>
      </c>
      <c r="H433" s="2" t="str">
        <f>IF(AND(A433&lt;&gt;"",G433&lt;&gt;""),ROUND(G433,0),"")</f>
        <v/>
      </c>
      <c r="I433" s="2" t="str">
        <f>IFERROR(IF(A433&lt;&gt;"",VLOOKUP(Alunos!A433,Recurso!A3:D1000,4, FALSE),""), "")</f>
        <v/>
      </c>
      <c r="J433" s="2" t="str">
        <f>IF(AND(A433&lt;&gt;"",I433&lt;&gt;""), SUMIFS(B433:I433,B1:I1,"&lt;&gt;",B2:I2,"&lt;&gt;Exame",B2:I2,"&lt;&gt;exame",B2:I2,"&lt;&gt;Nota",B2:I2,"&lt;&gt;Total"),"")</f>
        <v/>
      </c>
      <c r="K433" s="2" t="str">
        <f>IF(AND(A433&lt;&gt;"",J433&lt;&gt;""),ROUND(J433,0),"")</f>
        <v/>
      </c>
    </row>
    <row r="434" spans="2:11" x14ac:dyDescent="0.3">
      <c r="B434" s="2" t="str">
        <f>IFERROR(IF(A434&lt;&gt;"",VLOOKUP(Alunos!A434,Exame!A3:D1000,4, FALSE),""), "")</f>
        <v/>
      </c>
      <c r="C434" s="2" t="str">
        <f>IF(A434&lt;&gt;"",VLOOKUP(Alunos!A434,Agrupamentos!A3:C1000,2, FALSE),"")</f>
        <v/>
      </c>
      <c r="D434" s="2" t="str">
        <f>IFERROR(IF(A434&lt;&gt;"",VLOOKUP(Alunos!C434,'TP1'!A3:E1000,5, FALSE),""),"")</f>
        <v/>
      </c>
      <c r="E434" s="2" t="str">
        <f>IF(A434&lt;&gt;"",VLOOKUP(Alunos!A434,Agrupamentos!A3:C1000,3, FALSE),"")</f>
        <v/>
      </c>
      <c r="F434" s="2" t="str">
        <f>IFERROR(IF(A434&lt;&gt;"",VLOOKUP(Alunos!E434,'TP2'!A3:D1000,4, FALSE),""),"")</f>
        <v/>
      </c>
      <c r="G434" s="2" t="str">
        <f>IF(A434&lt;&gt;"", SUMIF(B1:F1,"&lt;&gt;",B434:F434),"")</f>
        <v/>
      </c>
      <c r="H434" s="2" t="str">
        <f>IF(AND(A434&lt;&gt;"",G434&lt;&gt;""),ROUND(G434,0),"")</f>
        <v/>
      </c>
      <c r="I434" s="2" t="str">
        <f>IFERROR(IF(A434&lt;&gt;"",VLOOKUP(Alunos!A434,Recurso!A3:D1000,4, FALSE),""), "")</f>
        <v/>
      </c>
      <c r="J434" s="2" t="str">
        <f>IF(AND(A434&lt;&gt;"",I434&lt;&gt;""), SUMIFS(B434:I434,B1:I1,"&lt;&gt;",B2:I2,"&lt;&gt;Exame",B2:I2,"&lt;&gt;exame",B2:I2,"&lt;&gt;Nota",B2:I2,"&lt;&gt;Total"),"")</f>
        <v/>
      </c>
      <c r="K434" s="2" t="str">
        <f>IF(AND(A434&lt;&gt;"",J434&lt;&gt;""),ROUND(J434,0),"")</f>
        <v/>
      </c>
    </row>
    <row r="435" spans="2:11" x14ac:dyDescent="0.3">
      <c r="B435" s="2" t="str">
        <f>IFERROR(IF(A435&lt;&gt;"",VLOOKUP(Alunos!A435,Exame!A3:D1000,4, FALSE),""), "")</f>
        <v/>
      </c>
      <c r="C435" s="2" t="str">
        <f>IF(A435&lt;&gt;"",VLOOKUP(Alunos!A435,Agrupamentos!A3:C1000,2, FALSE),"")</f>
        <v/>
      </c>
      <c r="D435" s="2" t="str">
        <f>IFERROR(IF(A435&lt;&gt;"",VLOOKUP(Alunos!C435,'TP1'!A3:E1000,5, FALSE),""),"")</f>
        <v/>
      </c>
      <c r="E435" s="2" t="str">
        <f>IF(A435&lt;&gt;"",VLOOKUP(Alunos!A435,Agrupamentos!A3:C1000,3, FALSE),"")</f>
        <v/>
      </c>
      <c r="F435" s="2" t="str">
        <f>IFERROR(IF(A435&lt;&gt;"",VLOOKUP(Alunos!E435,'TP2'!A3:D1000,4, FALSE),""),"")</f>
        <v/>
      </c>
      <c r="G435" s="2" t="str">
        <f>IF(A435&lt;&gt;"", SUMIF(B1:F1,"&lt;&gt;",B435:F435),"")</f>
        <v/>
      </c>
      <c r="H435" s="2" t="str">
        <f>IF(AND(A435&lt;&gt;"",G435&lt;&gt;""),ROUND(G435,0),"")</f>
        <v/>
      </c>
      <c r="I435" s="2" t="str">
        <f>IFERROR(IF(A435&lt;&gt;"",VLOOKUP(Alunos!A435,Recurso!A3:D1000,4, FALSE),""), "")</f>
        <v/>
      </c>
      <c r="J435" s="2" t="str">
        <f>IF(AND(A435&lt;&gt;"",I435&lt;&gt;""), SUMIFS(B435:I435,B1:I1,"&lt;&gt;",B2:I2,"&lt;&gt;Exame",B2:I2,"&lt;&gt;exame",B2:I2,"&lt;&gt;Nota",B2:I2,"&lt;&gt;Total"),"")</f>
        <v/>
      </c>
      <c r="K435" s="2" t="str">
        <f>IF(AND(A435&lt;&gt;"",J435&lt;&gt;""),ROUND(J435,0),"")</f>
        <v/>
      </c>
    </row>
    <row r="436" spans="2:11" x14ac:dyDescent="0.3">
      <c r="B436" s="2" t="str">
        <f>IFERROR(IF(A436&lt;&gt;"",VLOOKUP(Alunos!A436,Exame!A3:D1000,4, FALSE),""), "")</f>
        <v/>
      </c>
      <c r="C436" s="2" t="str">
        <f>IF(A436&lt;&gt;"",VLOOKUP(Alunos!A436,Agrupamentos!A3:C1000,2, FALSE),"")</f>
        <v/>
      </c>
      <c r="D436" s="2" t="str">
        <f>IFERROR(IF(A436&lt;&gt;"",VLOOKUP(Alunos!C436,'TP1'!A3:E1000,5, FALSE),""),"")</f>
        <v/>
      </c>
      <c r="E436" s="2" t="str">
        <f>IF(A436&lt;&gt;"",VLOOKUP(Alunos!A436,Agrupamentos!A3:C1000,3, FALSE),"")</f>
        <v/>
      </c>
      <c r="F436" s="2" t="str">
        <f>IFERROR(IF(A436&lt;&gt;"",VLOOKUP(Alunos!E436,'TP2'!A3:D1000,4, FALSE),""),"")</f>
        <v/>
      </c>
      <c r="G436" s="2" t="str">
        <f>IF(A436&lt;&gt;"", SUMIF(B1:F1,"&lt;&gt;",B436:F436),"")</f>
        <v/>
      </c>
      <c r="H436" s="2" t="str">
        <f>IF(AND(A436&lt;&gt;"",G436&lt;&gt;""),ROUND(G436,0),"")</f>
        <v/>
      </c>
      <c r="I436" s="2" t="str">
        <f>IFERROR(IF(A436&lt;&gt;"",VLOOKUP(Alunos!A436,Recurso!A3:D1000,4, FALSE),""), "")</f>
        <v/>
      </c>
      <c r="J436" s="2" t="str">
        <f>IF(AND(A436&lt;&gt;"",I436&lt;&gt;""), SUMIFS(B436:I436,B1:I1,"&lt;&gt;",B2:I2,"&lt;&gt;Exame",B2:I2,"&lt;&gt;exame",B2:I2,"&lt;&gt;Nota",B2:I2,"&lt;&gt;Total"),"")</f>
        <v/>
      </c>
      <c r="K436" s="2" t="str">
        <f>IF(AND(A436&lt;&gt;"",J436&lt;&gt;""),ROUND(J436,0),"")</f>
        <v/>
      </c>
    </row>
    <row r="437" spans="2:11" x14ac:dyDescent="0.3">
      <c r="B437" s="2" t="str">
        <f>IFERROR(IF(A437&lt;&gt;"",VLOOKUP(Alunos!A437,Exame!A3:D1000,4, FALSE),""), "")</f>
        <v/>
      </c>
      <c r="C437" s="2" t="str">
        <f>IF(A437&lt;&gt;"",VLOOKUP(Alunos!A437,Agrupamentos!A3:C1000,2, FALSE),"")</f>
        <v/>
      </c>
      <c r="D437" s="2" t="str">
        <f>IFERROR(IF(A437&lt;&gt;"",VLOOKUP(Alunos!C437,'TP1'!A3:E1000,5, FALSE),""),"")</f>
        <v/>
      </c>
      <c r="E437" s="2" t="str">
        <f>IF(A437&lt;&gt;"",VLOOKUP(Alunos!A437,Agrupamentos!A3:C1000,3, FALSE),"")</f>
        <v/>
      </c>
      <c r="F437" s="2" t="str">
        <f>IFERROR(IF(A437&lt;&gt;"",VLOOKUP(Alunos!E437,'TP2'!A3:D1000,4, FALSE),""),"")</f>
        <v/>
      </c>
      <c r="G437" s="2" t="str">
        <f>IF(A437&lt;&gt;"", SUMIF(B1:F1,"&lt;&gt;",B437:F437),"")</f>
        <v/>
      </c>
      <c r="H437" s="2" t="str">
        <f>IF(AND(A437&lt;&gt;"",G437&lt;&gt;""),ROUND(G437,0),"")</f>
        <v/>
      </c>
      <c r="I437" s="2" t="str">
        <f>IFERROR(IF(A437&lt;&gt;"",VLOOKUP(Alunos!A437,Recurso!A3:D1000,4, FALSE),""), "")</f>
        <v/>
      </c>
      <c r="J437" s="2" t="str">
        <f>IF(AND(A437&lt;&gt;"",I437&lt;&gt;""), SUMIFS(B437:I437,B1:I1,"&lt;&gt;",B2:I2,"&lt;&gt;Exame",B2:I2,"&lt;&gt;exame",B2:I2,"&lt;&gt;Nota",B2:I2,"&lt;&gt;Total"),"")</f>
        <v/>
      </c>
      <c r="K437" s="2" t="str">
        <f>IF(AND(A437&lt;&gt;"",J437&lt;&gt;""),ROUND(J437,0),"")</f>
        <v/>
      </c>
    </row>
    <row r="438" spans="2:11" x14ac:dyDescent="0.3">
      <c r="B438" s="2" t="str">
        <f>IFERROR(IF(A438&lt;&gt;"",VLOOKUP(Alunos!A438,Exame!A3:D1000,4, FALSE),""), "")</f>
        <v/>
      </c>
      <c r="C438" s="2" t="str">
        <f>IF(A438&lt;&gt;"",VLOOKUP(Alunos!A438,Agrupamentos!A3:C1000,2, FALSE),"")</f>
        <v/>
      </c>
      <c r="D438" s="2" t="str">
        <f>IFERROR(IF(A438&lt;&gt;"",VLOOKUP(Alunos!C438,'TP1'!A3:E1000,5, FALSE),""),"")</f>
        <v/>
      </c>
      <c r="E438" s="2" t="str">
        <f>IF(A438&lt;&gt;"",VLOOKUP(Alunos!A438,Agrupamentos!A3:C1000,3, FALSE),"")</f>
        <v/>
      </c>
      <c r="F438" s="2" t="str">
        <f>IFERROR(IF(A438&lt;&gt;"",VLOOKUP(Alunos!E438,'TP2'!A3:D1000,4, FALSE),""),"")</f>
        <v/>
      </c>
      <c r="G438" s="2" t="str">
        <f>IF(A438&lt;&gt;"", SUMIF(B1:F1,"&lt;&gt;",B438:F438),"")</f>
        <v/>
      </c>
      <c r="H438" s="2" t="str">
        <f>IF(AND(A438&lt;&gt;"",G438&lt;&gt;""),ROUND(G438,0),"")</f>
        <v/>
      </c>
      <c r="I438" s="2" t="str">
        <f>IFERROR(IF(A438&lt;&gt;"",VLOOKUP(Alunos!A438,Recurso!A3:D1000,4, FALSE),""), "")</f>
        <v/>
      </c>
      <c r="J438" s="2" t="str">
        <f>IF(AND(A438&lt;&gt;"",I438&lt;&gt;""), SUMIFS(B438:I438,B1:I1,"&lt;&gt;",B2:I2,"&lt;&gt;Exame",B2:I2,"&lt;&gt;exame",B2:I2,"&lt;&gt;Nota",B2:I2,"&lt;&gt;Total"),"")</f>
        <v/>
      </c>
      <c r="K438" s="2" t="str">
        <f>IF(AND(A438&lt;&gt;"",J438&lt;&gt;""),ROUND(J438,0),"")</f>
        <v/>
      </c>
    </row>
    <row r="439" spans="2:11" x14ac:dyDescent="0.3">
      <c r="B439" s="2" t="str">
        <f>IFERROR(IF(A439&lt;&gt;"",VLOOKUP(Alunos!A439,Exame!A3:D1000,4, FALSE),""), "")</f>
        <v/>
      </c>
      <c r="C439" s="2" t="str">
        <f>IF(A439&lt;&gt;"",VLOOKUP(Alunos!A439,Agrupamentos!A3:C1000,2, FALSE),"")</f>
        <v/>
      </c>
      <c r="D439" s="2" t="str">
        <f>IFERROR(IF(A439&lt;&gt;"",VLOOKUP(Alunos!C439,'TP1'!A3:E1000,5, FALSE),""),"")</f>
        <v/>
      </c>
      <c r="E439" s="2" t="str">
        <f>IF(A439&lt;&gt;"",VLOOKUP(Alunos!A439,Agrupamentos!A3:C1000,3, FALSE),"")</f>
        <v/>
      </c>
      <c r="F439" s="2" t="str">
        <f>IFERROR(IF(A439&lt;&gt;"",VLOOKUP(Alunos!E439,'TP2'!A3:D1000,4, FALSE),""),"")</f>
        <v/>
      </c>
      <c r="G439" s="2" t="str">
        <f>IF(A439&lt;&gt;"", SUMIF(B1:F1,"&lt;&gt;",B439:F439),"")</f>
        <v/>
      </c>
      <c r="H439" s="2" t="str">
        <f>IF(AND(A439&lt;&gt;"",G439&lt;&gt;""),ROUND(G439,0),"")</f>
        <v/>
      </c>
      <c r="I439" s="2" t="str">
        <f>IFERROR(IF(A439&lt;&gt;"",VLOOKUP(Alunos!A439,Recurso!A3:D1000,4, FALSE),""), "")</f>
        <v/>
      </c>
      <c r="J439" s="2" t="str">
        <f>IF(AND(A439&lt;&gt;"",I439&lt;&gt;""), SUMIFS(B439:I439,B1:I1,"&lt;&gt;",B2:I2,"&lt;&gt;Exame",B2:I2,"&lt;&gt;exame",B2:I2,"&lt;&gt;Nota",B2:I2,"&lt;&gt;Total"),"")</f>
        <v/>
      </c>
      <c r="K439" s="2" t="str">
        <f>IF(AND(A439&lt;&gt;"",J439&lt;&gt;""),ROUND(J439,0),"")</f>
        <v/>
      </c>
    </row>
    <row r="440" spans="2:11" x14ac:dyDescent="0.3">
      <c r="B440" s="2" t="str">
        <f>IFERROR(IF(A440&lt;&gt;"",VLOOKUP(Alunos!A440,Exame!A3:D1000,4, FALSE),""), "")</f>
        <v/>
      </c>
      <c r="C440" s="2" t="str">
        <f>IF(A440&lt;&gt;"",VLOOKUP(Alunos!A440,Agrupamentos!A3:C1000,2, FALSE),"")</f>
        <v/>
      </c>
      <c r="D440" s="2" t="str">
        <f>IFERROR(IF(A440&lt;&gt;"",VLOOKUP(Alunos!C440,'TP1'!A3:E1000,5, FALSE),""),"")</f>
        <v/>
      </c>
      <c r="E440" s="2" t="str">
        <f>IF(A440&lt;&gt;"",VLOOKUP(Alunos!A440,Agrupamentos!A3:C1000,3, FALSE),"")</f>
        <v/>
      </c>
      <c r="F440" s="2" t="str">
        <f>IFERROR(IF(A440&lt;&gt;"",VLOOKUP(Alunos!E440,'TP2'!A3:D1000,4, FALSE),""),"")</f>
        <v/>
      </c>
      <c r="G440" s="2" t="str">
        <f>IF(A440&lt;&gt;"", SUMIF(B1:F1,"&lt;&gt;",B440:F440),"")</f>
        <v/>
      </c>
      <c r="H440" s="2" t="str">
        <f>IF(AND(A440&lt;&gt;"",G440&lt;&gt;""),ROUND(G440,0),"")</f>
        <v/>
      </c>
      <c r="I440" s="2" t="str">
        <f>IFERROR(IF(A440&lt;&gt;"",VLOOKUP(Alunos!A440,Recurso!A3:D1000,4, FALSE),""), "")</f>
        <v/>
      </c>
      <c r="J440" s="2" t="str">
        <f>IF(AND(A440&lt;&gt;"",I440&lt;&gt;""), SUMIFS(B440:I440,B1:I1,"&lt;&gt;",B2:I2,"&lt;&gt;Exame",B2:I2,"&lt;&gt;exame",B2:I2,"&lt;&gt;Nota",B2:I2,"&lt;&gt;Total"),"")</f>
        <v/>
      </c>
      <c r="K440" s="2" t="str">
        <f>IF(AND(A440&lt;&gt;"",J440&lt;&gt;""),ROUND(J440,0),"")</f>
        <v/>
      </c>
    </row>
    <row r="441" spans="2:11" x14ac:dyDescent="0.3">
      <c r="B441" s="2" t="str">
        <f>IFERROR(IF(A441&lt;&gt;"",VLOOKUP(Alunos!A441,Exame!A3:D1000,4, FALSE),""), "")</f>
        <v/>
      </c>
      <c r="C441" s="2" t="str">
        <f>IF(A441&lt;&gt;"",VLOOKUP(Alunos!A441,Agrupamentos!A3:C1000,2, FALSE),"")</f>
        <v/>
      </c>
      <c r="D441" s="2" t="str">
        <f>IFERROR(IF(A441&lt;&gt;"",VLOOKUP(Alunos!C441,'TP1'!A3:E1000,5, FALSE),""),"")</f>
        <v/>
      </c>
      <c r="E441" s="2" t="str">
        <f>IF(A441&lt;&gt;"",VLOOKUP(Alunos!A441,Agrupamentos!A3:C1000,3, FALSE),"")</f>
        <v/>
      </c>
      <c r="F441" s="2" t="str">
        <f>IFERROR(IF(A441&lt;&gt;"",VLOOKUP(Alunos!E441,'TP2'!A3:D1000,4, FALSE),""),"")</f>
        <v/>
      </c>
      <c r="G441" s="2" t="str">
        <f>IF(A441&lt;&gt;"", SUMIF(B1:F1,"&lt;&gt;",B441:F441),"")</f>
        <v/>
      </c>
      <c r="H441" s="2" t="str">
        <f>IF(AND(A441&lt;&gt;"",G441&lt;&gt;""),ROUND(G441,0),"")</f>
        <v/>
      </c>
      <c r="I441" s="2" t="str">
        <f>IFERROR(IF(A441&lt;&gt;"",VLOOKUP(Alunos!A441,Recurso!A3:D1000,4, FALSE),""), "")</f>
        <v/>
      </c>
      <c r="J441" s="2" t="str">
        <f>IF(AND(A441&lt;&gt;"",I441&lt;&gt;""), SUMIFS(B441:I441,B1:I1,"&lt;&gt;",B2:I2,"&lt;&gt;Exame",B2:I2,"&lt;&gt;exame",B2:I2,"&lt;&gt;Nota",B2:I2,"&lt;&gt;Total"),"")</f>
        <v/>
      </c>
      <c r="K441" s="2" t="str">
        <f>IF(AND(A441&lt;&gt;"",J441&lt;&gt;""),ROUND(J441,0),"")</f>
        <v/>
      </c>
    </row>
    <row r="442" spans="2:11" x14ac:dyDescent="0.3">
      <c r="B442" s="2" t="str">
        <f>IFERROR(IF(A442&lt;&gt;"",VLOOKUP(Alunos!A442,Exame!A3:D1000,4, FALSE),""), "")</f>
        <v/>
      </c>
      <c r="C442" s="2" t="str">
        <f>IF(A442&lt;&gt;"",VLOOKUP(Alunos!A442,Agrupamentos!A3:C1000,2, FALSE),"")</f>
        <v/>
      </c>
      <c r="D442" s="2" t="str">
        <f>IFERROR(IF(A442&lt;&gt;"",VLOOKUP(Alunos!C442,'TP1'!A3:E1000,5, FALSE),""),"")</f>
        <v/>
      </c>
      <c r="E442" s="2" t="str">
        <f>IF(A442&lt;&gt;"",VLOOKUP(Alunos!A442,Agrupamentos!A3:C1000,3, FALSE),"")</f>
        <v/>
      </c>
      <c r="F442" s="2" t="str">
        <f>IFERROR(IF(A442&lt;&gt;"",VLOOKUP(Alunos!E442,'TP2'!A3:D1000,4, FALSE),""),"")</f>
        <v/>
      </c>
      <c r="G442" s="2" t="str">
        <f>IF(A442&lt;&gt;"", SUMIF(B1:F1,"&lt;&gt;",B442:F442),"")</f>
        <v/>
      </c>
      <c r="H442" s="2" t="str">
        <f>IF(AND(A442&lt;&gt;"",G442&lt;&gt;""),ROUND(G442,0),"")</f>
        <v/>
      </c>
      <c r="I442" s="2" t="str">
        <f>IFERROR(IF(A442&lt;&gt;"",VLOOKUP(Alunos!A442,Recurso!A3:D1000,4, FALSE),""), "")</f>
        <v/>
      </c>
      <c r="J442" s="2" t="str">
        <f>IF(AND(A442&lt;&gt;"",I442&lt;&gt;""), SUMIFS(B442:I442,B1:I1,"&lt;&gt;",B2:I2,"&lt;&gt;Exame",B2:I2,"&lt;&gt;exame",B2:I2,"&lt;&gt;Nota",B2:I2,"&lt;&gt;Total"),"")</f>
        <v/>
      </c>
      <c r="K442" s="2" t="str">
        <f>IF(AND(A442&lt;&gt;"",J442&lt;&gt;""),ROUND(J442,0),"")</f>
        <v/>
      </c>
    </row>
    <row r="443" spans="2:11" x14ac:dyDescent="0.3">
      <c r="B443" s="2" t="str">
        <f>IFERROR(IF(A443&lt;&gt;"",VLOOKUP(Alunos!A443,Exame!A3:D1000,4, FALSE),""), "")</f>
        <v/>
      </c>
      <c r="C443" s="2" t="str">
        <f>IF(A443&lt;&gt;"",VLOOKUP(Alunos!A443,Agrupamentos!A3:C1000,2, FALSE),"")</f>
        <v/>
      </c>
      <c r="D443" s="2" t="str">
        <f>IFERROR(IF(A443&lt;&gt;"",VLOOKUP(Alunos!C443,'TP1'!A3:E1000,5, FALSE),""),"")</f>
        <v/>
      </c>
      <c r="E443" s="2" t="str">
        <f>IF(A443&lt;&gt;"",VLOOKUP(Alunos!A443,Agrupamentos!A3:C1000,3, FALSE),"")</f>
        <v/>
      </c>
      <c r="F443" s="2" t="str">
        <f>IFERROR(IF(A443&lt;&gt;"",VLOOKUP(Alunos!E443,'TP2'!A3:D1000,4, FALSE),""),"")</f>
        <v/>
      </c>
      <c r="G443" s="2" t="str">
        <f>IF(A443&lt;&gt;"", SUMIF(B1:F1,"&lt;&gt;",B443:F443),"")</f>
        <v/>
      </c>
      <c r="H443" s="2" t="str">
        <f>IF(AND(A443&lt;&gt;"",G443&lt;&gt;""),ROUND(G443,0),"")</f>
        <v/>
      </c>
      <c r="I443" s="2" t="str">
        <f>IFERROR(IF(A443&lt;&gt;"",VLOOKUP(Alunos!A443,Recurso!A3:D1000,4, FALSE),""), "")</f>
        <v/>
      </c>
      <c r="J443" s="2" t="str">
        <f>IF(AND(A443&lt;&gt;"",I443&lt;&gt;""), SUMIFS(B443:I443,B1:I1,"&lt;&gt;",B2:I2,"&lt;&gt;Exame",B2:I2,"&lt;&gt;exame",B2:I2,"&lt;&gt;Nota",B2:I2,"&lt;&gt;Total"),"")</f>
        <v/>
      </c>
      <c r="K443" s="2" t="str">
        <f>IF(AND(A443&lt;&gt;"",J443&lt;&gt;""),ROUND(J443,0),"")</f>
        <v/>
      </c>
    </row>
    <row r="444" spans="2:11" x14ac:dyDescent="0.3">
      <c r="B444" s="2" t="str">
        <f>IFERROR(IF(A444&lt;&gt;"",VLOOKUP(Alunos!A444,Exame!A3:D1000,4, FALSE),""), "")</f>
        <v/>
      </c>
      <c r="C444" s="2" t="str">
        <f>IF(A444&lt;&gt;"",VLOOKUP(Alunos!A444,Agrupamentos!A3:C1000,2, FALSE),"")</f>
        <v/>
      </c>
      <c r="D444" s="2" t="str">
        <f>IFERROR(IF(A444&lt;&gt;"",VLOOKUP(Alunos!C444,'TP1'!A3:E1000,5, FALSE),""),"")</f>
        <v/>
      </c>
      <c r="E444" s="2" t="str">
        <f>IF(A444&lt;&gt;"",VLOOKUP(Alunos!A444,Agrupamentos!A3:C1000,3, FALSE),"")</f>
        <v/>
      </c>
      <c r="F444" s="2" t="str">
        <f>IFERROR(IF(A444&lt;&gt;"",VLOOKUP(Alunos!E444,'TP2'!A3:D1000,4, FALSE),""),"")</f>
        <v/>
      </c>
      <c r="G444" s="2" t="str">
        <f>IF(A444&lt;&gt;"", SUMIF(B1:F1,"&lt;&gt;",B444:F444),"")</f>
        <v/>
      </c>
      <c r="H444" s="2" t="str">
        <f>IF(AND(A444&lt;&gt;"",G444&lt;&gt;""),ROUND(G444,0),"")</f>
        <v/>
      </c>
      <c r="I444" s="2" t="str">
        <f>IFERROR(IF(A444&lt;&gt;"",VLOOKUP(Alunos!A444,Recurso!A3:D1000,4, FALSE),""), "")</f>
        <v/>
      </c>
      <c r="J444" s="2" t="str">
        <f>IF(AND(A444&lt;&gt;"",I444&lt;&gt;""), SUMIFS(B444:I444,B1:I1,"&lt;&gt;",B2:I2,"&lt;&gt;Exame",B2:I2,"&lt;&gt;exame",B2:I2,"&lt;&gt;Nota",B2:I2,"&lt;&gt;Total"),"")</f>
        <v/>
      </c>
      <c r="K444" s="2" t="str">
        <f>IF(AND(A444&lt;&gt;"",J444&lt;&gt;""),ROUND(J444,0),"")</f>
        <v/>
      </c>
    </row>
    <row r="445" spans="2:11" x14ac:dyDescent="0.3">
      <c r="B445" s="2" t="str">
        <f>IFERROR(IF(A445&lt;&gt;"",VLOOKUP(Alunos!A445,Exame!A3:D1000,4, FALSE),""), "")</f>
        <v/>
      </c>
      <c r="C445" s="2" t="str">
        <f>IF(A445&lt;&gt;"",VLOOKUP(Alunos!A445,Agrupamentos!A3:C1000,2, FALSE),"")</f>
        <v/>
      </c>
      <c r="D445" s="2" t="str">
        <f>IFERROR(IF(A445&lt;&gt;"",VLOOKUP(Alunos!C445,'TP1'!A3:E1000,5, FALSE),""),"")</f>
        <v/>
      </c>
      <c r="E445" s="2" t="str">
        <f>IF(A445&lt;&gt;"",VLOOKUP(Alunos!A445,Agrupamentos!A3:C1000,3, FALSE),"")</f>
        <v/>
      </c>
      <c r="F445" s="2" t="str">
        <f>IFERROR(IF(A445&lt;&gt;"",VLOOKUP(Alunos!E445,'TP2'!A3:D1000,4, FALSE),""),"")</f>
        <v/>
      </c>
      <c r="G445" s="2" t="str">
        <f>IF(A445&lt;&gt;"", SUMIF(B1:F1,"&lt;&gt;",B445:F445),"")</f>
        <v/>
      </c>
      <c r="H445" s="2" t="str">
        <f>IF(AND(A445&lt;&gt;"",G445&lt;&gt;""),ROUND(G445,0),"")</f>
        <v/>
      </c>
      <c r="I445" s="2" t="str">
        <f>IFERROR(IF(A445&lt;&gt;"",VLOOKUP(Alunos!A445,Recurso!A3:D1000,4, FALSE),""), "")</f>
        <v/>
      </c>
      <c r="J445" s="2" t="str">
        <f>IF(AND(A445&lt;&gt;"",I445&lt;&gt;""), SUMIFS(B445:I445,B1:I1,"&lt;&gt;",B2:I2,"&lt;&gt;Exame",B2:I2,"&lt;&gt;exame",B2:I2,"&lt;&gt;Nota",B2:I2,"&lt;&gt;Total"),"")</f>
        <v/>
      </c>
      <c r="K445" s="2" t="str">
        <f>IF(AND(A445&lt;&gt;"",J445&lt;&gt;""),ROUND(J445,0),"")</f>
        <v/>
      </c>
    </row>
    <row r="446" spans="2:11" x14ac:dyDescent="0.3">
      <c r="B446" s="2" t="str">
        <f>IFERROR(IF(A446&lt;&gt;"",VLOOKUP(Alunos!A446,Exame!A3:D1000,4, FALSE),""), "")</f>
        <v/>
      </c>
      <c r="C446" s="2" t="str">
        <f>IF(A446&lt;&gt;"",VLOOKUP(Alunos!A446,Agrupamentos!A3:C1000,2, FALSE),"")</f>
        <v/>
      </c>
      <c r="D446" s="2" t="str">
        <f>IFERROR(IF(A446&lt;&gt;"",VLOOKUP(Alunos!C446,'TP1'!A3:E1000,5, FALSE),""),"")</f>
        <v/>
      </c>
      <c r="E446" s="2" t="str">
        <f>IF(A446&lt;&gt;"",VLOOKUP(Alunos!A446,Agrupamentos!A3:C1000,3, FALSE),"")</f>
        <v/>
      </c>
      <c r="F446" s="2" t="str">
        <f>IFERROR(IF(A446&lt;&gt;"",VLOOKUP(Alunos!E446,'TP2'!A3:D1000,4, FALSE),""),"")</f>
        <v/>
      </c>
      <c r="G446" s="2" t="str">
        <f>IF(A446&lt;&gt;"", SUMIF(B1:F1,"&lt;&gt;",B446:F446),"")</f>
        <v/>
      </c>
      <c r="H446" s="2" t="str">
        <f>IF(AND(A446&lt;&gt;"",G446&lt;&gt;""),ROUND(G446,0),"")</f>
        <v/>
      </c>
      <c r="I446" s="2" t="str">
        <f>IFERROR(IF(A446&lt;&gt;"",VLOOKUP(Alunos!A446,Recurso!A3:D1000,4, FALSE),""), "")</f>
        <v/>
      </c>
      <c r="J446" s="2" t="str">
        <f>IF(AND(A446&lt;&gt;"",I446&lt;&gt;""), SUMIFS(B446:I446,B1:I1,"&lt;&gt;",B2:I2,"&lt;&gt;Exame",B2:I2,"&lt;&gt;exame",B2:I2,"&lt;&gt;Nota",B2:I2,"&lt;&gt;Total"),"")</f>
        <v/>
      </c>
      <c r="K446" s="2" t="str">
        <f>IF(AND(A446&lt;&gt;"",J446&lt;&gt;""),ROUND(J446,0),"")</f>
        <v/>
      </c>
    </row>
    <row r="447" spans="2:11" x14ac:dyDescent="0.3">
      <c r="B447" s="2" t="str">
        <f>IFERROR(IF(A447&lt;&gt;"",VLOOKUP(Alunos!A447,Exame!A3:D1000,4, FALSE),""), "")</f>
        <v/>
      </c>
      <c r="C447" s="2" t="str">
        <f>IF(A447&lt;&gt;"",VLOOKUP(Alunos!A447,Agrupamentos!A3:C1000,2, FALSE),"")</f>
        <v/>
      </c>
      <c r="D447" s="2" t="str">
        <f>IFERROR(IF(A447&lt;&gt;"",VLOOKUP(Alunos!C447,'TP1'!A3:E1000,5, FALSE),""),"")</f>
        <v/>
      </c>
      <c r="E447" s="2" t="str">
        <f>IF(A447&lt;&gt;"",VLOOKUP(Alunos!A447,Agrupamentos!A3:C1000,3, FALSE),"")</f>
        <v/>
      </c>
      <c r="F447" s="2" t="str">
        <f>IFERROR(IF(A447&lt;&gt;"",VLOOKUP(Alunos!E447,'TP2'!A3:D1000,4, FALSE),""),"")</f>
        <v/>
      </c>
      <c r="G447" s="2" t="str">
        <f>IF(A447&lt;&gt;"", SUMIF(B1:F1,"&lt;&gt;",B447:F447),"")</f>
        <v/>
      </c>
      <c r="H447" s="2" t="str">
        <f>IF(AND(A447&lt;&gt;"",G447&lt;&gt;""),ROUND(G447,0),"")</f>
        <v/>
      </c>
      <c r="I447" s="2" t="str">
        <f>IFERROR(IF(A447&lt;&gt;"",VLOOKUP(Alunos!A447,Recurso!A3:D1000,4, FALSE),""), "")</f>
        <v/>
      </c>
      <c r="J447" s="2" t="str">
        <f>IF(AND(A447&lt;&gt;"",I447&lt;&gt;""), SUMIFS(B447:I447,B1:I1,"&lt;&gt;",B2:I2,"&lt;&gt;Exame",B2:I2,"&lt;&gt;exame",B2:I2,"&lt;&gt;Nota",B2:I2,"&lt;&gt;Total"),"")</f>
        <v/>
      </c>
      <c r="K447" s="2" t="str">
        <f>IF(AND(A447&lt;&gt;"",J447&lt;&gt;""),ROUND(J447,0),"")</f>
        <v/>
      </c>
    </row>
    <row r="448" spans="2:11" x14ac:dyDescent="0.3">
      <c r="B448" s="2" t="str">
        <f>IFERROR(IF(A448&lt;&gt;"",VLOOKUP(Alunos!A448,Exame!A3:D1000,4, FALSE),""), "")</f>
        <v/>
      </c>
      <c r="C448" s="2" t="str">
        <f>IF(A448&lt;&gt;"",VLOOKUP(Alunos!A448,Agrupamentos!A3:C1000,2, FALSE),"")</f>
        <v/>
      </c>
      <c r="D448" s="2" t="str">
        <f>IFERROR(IF(A448&lt;&gt;"",VLOOKUP(Alunos!C448,'TP1'!A3:E1000,5, FALSE),""),"")</f>
        <v/>
      </c>
      <c r="E448" s="2" t="str">
        <f>IF(A448&lt;&gt;"",VLOOKUP(Alunos!A448,Agrupamentos!A3:C1000,3, FALSE),"")</f>
        <v/>
      </c>
      <c r="F448" s="2" t="str">
        <f>IFERROR(IF(A448&lt;&gt;"",VLOOKUP(Alunos!E448,'TP2'!A3:D1000,4, FALSE),""),"")</f>
        <v/>
      </c>
      <c r="G448" s="2" t="str">
        <f>IF(A448&lt;&gt;"", SUMIF(B1:F1,"&lt;&gt;",B448:F448),"")</f>
        <v/>
      </c>
      <c r="H448" s="2" t="str">
        <f>IF(AND(A448&lt;&gt;"",G448&lt;&gt;""),ROUND(G448,0),"")</f>
        <v/>
      </c>
      <c r="I448" s="2" t="str">
        <f>IFERROR(IF(A448&lt;&gt;"",VLOOKUP(Alunos!A448,Recurso!A3:D1000,4, FALSE),""), "")</f>
        <v/>
      </c>
      <c r="J448" s="2" t="str">
        <f>IF(AND(A448&lt;&gt;"",I448&lt;&gt;""), SUMIFS(B448:I448,B1:I1,"&lt;&gt;",B2:I2,"&lt;&gt;Exame",B2:I2,"&lt;&gt;exame",B2:I2,"&lt;&gt;Nota",B2:I2,"&lt;&gt;Total"),"")</f>
        <v/>
      </c>
      <c r="K448" s="2" t="str">
        <f>IF(AND(A448&lt;&gt;"",J448&lt;&gt;""),ROUND(J448,0),"")</f>
        <v/>
      </c>
    </row>
    <row r="449" spans="2:11" x14ac:dyDescent="0.3">
      <c r="B449" s="2" t="str">
        <f>IFERROR(IF(A449&lt;&gt;"",VLOOKUP(Alunos!A449,Exame!A3:D1000,4, FALSE),""), "")</f>
        <v/>
      </c>
      <c r="C449" s="2" t="str">
        <f>IF(A449&lt;&gt;"",VLOOKUP(Alunos!A449,Agrupamentos!A3:C1000,2, FALSE),"")</f>
        <v/>
      </c>
      <c r="D449" s="2" t="str">
        <f>IFERROR(IF(A449&lt;&gt;"",VLOOKUP(Alunos!C449,'TP1'!A3:E1000,5, FALSE),""),"")</f>
        <v/>
      </c>
      <c r="E449" s="2" t="str">
        <f>IF(A449&lt;&gt;"",VLOOKUP(Alunos!A449,Agrupamentos!A3:C1000,3, FALSE),"")</f>
        <v/>
      </c>
      <c r="F449" s="2" t="str">
        <f>IFERROR(IF(A449&lt;&gt;"",VLOOKUP(Alunos!E449,'TP2'!A3:D1000,4, FALSE),""),"")</f>
        <v/>
      </c>
      <c r="G449" s="2" t="str">
        <f>IF(A449&lt;&gt;"", SUMIF(B1:F1,"&lt;&gt;",B449:F449),"")</f>
        <v/>
      </c>
      <c r="H449" s="2" t="str">
        <f>IF(AND(A449&lt;&gt;"",G449&lt;&gt;""),ROUND(G449,0),"")</f>
        <v/>
      </c>
      <c r="I449" s="2" t="str">
        <f>IFERROR(IF(A449&lt;&gt;"",VLOOKUP(Alunos!A449,Recurso!A3:D1000,4, FALSE),""), "")</f>
        <v/>
      </c>
      <c r="J449" s="2" t="str">
        <f>IF(AND(A449&lt;&gt;"",I449&lt;&gt;""), SUMIFS(B449:I449,B1:I1,"&lt;&gt;",B2:I2,"&lt;&gt;Exame",B2:I2,"&lt;&gt;exame",B2:I2,"&lt;&gt;Nota",B2:I2,"&lt;&gt;Total"),"")</f>
        <v/>
      </c>
      <c r="K449" s="2" t="str">
        <f>IF(AND(A449&lt;&gt;"",J449&lt;&gt;""),ROUND(J449,0),"")</f>
        <v/>
      </c>
    </row>
    <row r="450" spans="2:11" x14ac:dyDescent="0.3">
      <c r="B450" s="2" t="str">
        <f>IFERROR(IF(A450&lt;&gt;"",VLOOKUP(Alunos!A450,Exame!A3:D1000,4, FALSE),""), "")</f>
        <v/>
      </c>
      <c r="C450" s="2" t="str">
        <f>IF(A450&lt;&gt;"",VLOOKUP(Alunos!A450,Agrupamentos!A3:C1000,2, FALSE),"")</f>
        <v/>
      </c>
      <c r="D450" s="2" t="str">
        <f>IFERROR(IF(A450&lt;&gt;"",VLOOKUP(Alunos!C450,'TP1'!A3:E1000,5, FALSE),""),"")</f>
        <v/>
      </c>
      <c r="E450" s="2" t="str">
        <f>IF(A450&lt;&gt;"",VLOOKUP(Alunos!A450,Agrupamentos!A3:C1000,3, FALSE),"")</f>
        <v/>
      </c>
      <c r="F450" s="2" t="str">
        <f>IFERROR(IF(A450&lt;&gt;"",VLOOKUP(Alunos!E450,'TP2'!A3:D1000,4, FALSE),""),"")</f>
        <v/>
      </c>
      <c r="G450" s="2" t="str">
        <f>IF(A450&lt;&gt;"", SUMIF(B1:F1,"&lt;&gt;",B450:F450),"")</f>
        <v/>
      </c>
      <c r="H450" s="2" t="str">
        <f>IF(AND(A450&lt;&gt;"",G450&lt;&gt;""),ROUND(G450,0),"")</f>
        <v/>
      </c>
      <c r="I450" s="2" t="str">
        <f>IFERROR(IF(A450&lt;&gt;"",VLOOKUP(Alunos!A450,Recurso!A3:D1000,4, FALSE),""), "")</f>
        <v/>
      </c>
      <c r="J450" s="2" t="str">
        <f>IF(AND(A450&lt;&gt;"",I450&lt;&gt;""), SUMIFS(B450:I450,B1:I1,"&lt;&gt;",B2:I2,"&lt;&gt;Exame",B2:I2,"&lt;&gt;exame",B2:I2,"&lt;&gt;Nota",B2:I2,"&lt;&gt;Total"),"")</f>
        <v/>
      </c>
      <c r="K450" s="2" t="str">
        <f>IF(AND(A450&lt;&gt;"",J450&lt;&gt;""),ROUND(J450,0),"")</f>
        <v/>
      </c>
    </row>
    <row r="451" spans="2:11" x14ac:dyDescent="0.3">
      <c r="B451" s="2" t="str">
        <f>IFERROR(IF(A451&lt;&gt;"",VLOOKUP(Alunos!A451,Exame!A3:D1000,4, FALSE),""), "")</f>
        <v/>
      </c>
      <c r="C451" s="2" t="str">
        <f>IF(A451&lt;&gt;"",VLOOKUP(Alunos!A451,Agrupamentos!A3:C1000,2, FALSE),"")</f>
        <v/>
      </c>
      <c r="D451" s="2" t="str">
        <f>IFERROR(IF(A451&lt;&gt;"",VLOOKUP(Alunos!C451,'TP1'!A3:E1000,5, FALSE),""),"")</f>
        <v/>
      </c>
      <c r="E451" s="2" t="str">
        <f>IF(A451&lt;&gt;"",VLOOKUP(Alunos!A451,Agrupamentos!A3:C1000,3, FALSE),"")</f>
        <v/>
      </c>
      <c r="F451" s="2" t="str">
        <f>IFERROR(IF(A451&lt;&gt;"",VLOOKUP(Alunos!E451,'TP2'!A3:D1000,4, FALSE),""),"")</f>
        <v/>
      </c>
      <c r="G451" s="2" t="str">
        <f>IF(A451&lt;&gt;"", SUMIF(B1:F1,"&lt;&gt;",B451:F451),"")</f>
        <v/>
      </c>
      <c r="H451" s="2" t="str">
        <f>IF(AND(A451&lt;&gt;"",G451&lt;&gt;""),ROUND(G451,0),"")</f>
        <v/>
      </c>
      <c r="I451" s="2" t="str">
        <f>IFERROR(IF(A451&lt;&gt;"",VLOOKUP(Alunos!A451,Recurso!A3:D1000,4, FALSE),""), "")</f>
        <v/>
      </c>
      <c r="J451" s="2" t="str">
        <f>IF(AND(A451&lt;&gt;"",I451&lt;&gt;""), SUMIFS(B451:I451,B1:I1,"&lt;&gt;",B2:I2,"&lt;&gt;Exame",B2:I2,"&lt;&gt;exame",B2:I2,"&lt;&gt;Nota",B2:I2,"&lt;&gt;Total"),"")</f>
        <v/>
      </c>
      <c r="K451" s="2" t="str">
        <f>IF(AND(A451&lt;&gt;"",J451&lt;&gt;""),ROUND(J451,0),"")</f>
        <v/>
      </c>
    </row>
    <row r="452" spans="2:11" x14ac:dyDescent="0.3">
      <c r="B452" s="2" t="str">
        <f>IFERROR(IF(A452&lt;&gt;"",VLOOKUP(Alunos!A452,Exame!A3:D1000,4, FALSE),""), "")</f>
        <v/>
      </c>
      <c r="C452" s="2" t="str">
        <f>IF(A452&lt;&gt;"",VLOOKUP(Alunos!A452,Agrupamentos!A3:C1000,2, FALSE),"")</f>
        <v/>
      </c>
      <c r="D452" s="2" t="str">
        <f>IFERROR(IF(A452&lt;&gt;"",VLOOKUP(Alunos!C452,'TP1'!A3:E1000,5, FALSE),""),"")</f>
        <v/>
      </c>
      <c r="E452" s="2" t="str">
        <f>IF(A452&lt;&gt;"",VLOOKUP(Alunos!A452,Agrupamentos!A3:C1000,3, FALSE),"")</f>
        <v/>
      </c>
      <c r="F452" s="2" t="str">
        <f>IFERROR(IF(A452&lt;&gt;"",VLOOKUP(Alunos!E452,'TP2'!A3:D1000,4, FALSE),""),"")</f>
        <v/>
      </c>
      <c r="G452" s="2" t="str">
        <f>IF(A452&lt;&gt;"", SUMIF(B1:F1,"&lt;&gt;",B452:F452),"")</f>
        <v/>
      </c>
      <c r="H452" s="2" t="str">
        <f>IF(AND(A452&lt;&gt;"",G452&lt;&gt;""),ROUND(G452,0),"")</f>
        <v/>
      </c>
      <c r="I452" s="2" t="str">
        <f>IFERROR(IF(A452&lt;&gt;"",VLOOKUP(Alunos!A452,Recurso!A3:D1000,4, FALSE),""), "")</f>
        <v/>
      </c>
      <c r="J452" s="2" t="str">
        <f>IF(AND(A452&lt;&gt;"",I452&lt;&gt;""), SUMIFS(B452:I452,B1:I1,"&lt;&gt;",B2:I2,"&lt;&gt;Exame",B2:I2,"&lt;&gt;exame",B2:I2,"&lt;&gt;Nota",B2:I2,"&lt;&gt;Total"),"")</f>
        <v/>
      </c>
      <c r="K452" s="2" t="str">
        <f>IF(AND(A452&lt;&gt;"",J452&lt;&gt;""),ROUND(J452,0),"")</f>
        <v/>
      </c>
    </row>
    <row r="453" spans="2:11" x14ac:dyDescent="0.3">
      <c r="B453" s="2" t="str">
        <f>IFERROR(IF(A453&lt;&gt;"",VLOOKUP(Alunos!A453,Exame!A3:D1000,4, FALSE),""), "")</f>
        <v/>
      </c>
      <c r="C453" s="2" t="str">
        <f>IF(A453&lt;&gt;"",VLOOKUP(Alunos!A453,Agrupamentos!A3:C1000,2, FALSE),"")</f>
        <v/>
      </c>
      <c r="D453" s="2" t="str">
        <f>IFERROR(IF(A453&lt;&gt;"",VLOOKUP(Alunos!C453,'TP1'!A3:E1000,5, FALSE),""),"")</f>
        <v/>
      </c>
      <c r="E453" s="2" t="str">
        <f>IF(A453&lt;&gt;"",VLOOKUP(Alunos!A453,Agrupamentos!A3:C1000,3, FALSE),"")</f>
        <v/>
      </c>
      <c r="F453" s="2" t="str">
        <f>IFERROR(IF(A453&lt;&gt;"",VLOOKUP(Alunos!E453,'TP2'!A3:D1000,4, FALSE),""),"")</f>
        <v/>
      </c>
      <c r="G453" s="2" t="str">
        <f>IF(A453&lt;&gt;"", SUMIF(B1:F1,"&lt;&gt;",B453:F453),"")</f>
        <v/>
      </c>
      <c r="H453" s="2" t="str">
        <f>IF(AND(A453&lt;&gt;"",G453&lt;&gt;""),ROUND(G453,0),"")</f>
        <v/>
      </c>
      <c r="I453" s="2" t="str">
        <f>IFERROR(IF(A453&lt;&gt;"",VLOOKUP(Alunos!A453,Recurso!A3:D1000,4, FALSE),""), "")</f>
        <v/>
      </c>
      <c r="J453" s="2" t="str">
        <f>IF(AND(A453&lt;&gt;"",I453&lt;&gt;""), SUMIFS(B453:I453,B1:I1,"&lt;&gt;",B2:I2,"&lt;&gt;Exame",B2:I2,"&lt;&gt;exame",B2:I2,"&lt;&gt;Nota",B2:I2,"&lt;&gt;Total"),"")</f>
        <v/>
      </c>
      <c r="K453" s="2" t="str">
        <f>IF(AND(A453&lt;&gt;"",J453&lt;&gt;""),ROUND(J453,0),"")</f>
        <v/>
      </c>
    </row>
    <row r="454" spans="2:11" x14ac:dyDescent="0.3">
      <c r="B454" s="2" t="str">
        <f>IFERROR(IF(A454&lt;&gt;"",VLOOKUP(Alunos!A454,Exame!A3:D1000,4, FALSE),""), "")</f>
        <v/>
      </c>
      <c r="C454" s="2" t="str">
        <f>IF(A454&lt;&gt;"",VLOOKUP(Alunos!A454,Agrupamentos!A3:C1000,2, FALSE),"")</f>
        <v/>
      </c>
      <c r="D454" s="2" t="str">
        <f>IFERROR(IF(A454&lt;&gt;"",VLOOKUP(Alunos!C454,'TP1'!A3:E1000,5, FALSE),""),"")</f>
        <v/>
      </c>
      <c r="E454" s="2" t="str">
        <f>IF(A454&lt;&gt;"",VLOOKUP(Alunos!A454,Agrupamentos!A3:C1000,3, FALSE),"")</f>
        <v/>
      </c>
      <c r="F454" s="2" t="str">
        <f>IFERROR(IF(A454&lt;&gt;"",VLOOKUP(Alunos!E454,'TP2'!A3:D1000,4, FALSE),""),"")</f>
        <v/>
      </c>
      <c r="G454" s="2" t="str">
        <f>IF(A454&lt;&gt;"", SUMIF(B1:F1,"&lt;&gt;",B454:F454),"")</f>
        <v/>
      </c>
      <c r="H454" s="2" t="str">
        <f>IF(AND(A454&lt;&gt;"",G454&lt;&gt;""),ROUND(G454,0),"")</f>
        <v/>
      </c>
      <c r="I454" s="2" t="str">
        <f>IFERROR(IF(A454&lt;&gt;"",VLOOKUP(Alunos!A454,Recurso!A3:D1000,4, FALSE),""), "")</f>
        <v/>
      </c>
      <c r="J454" s="2" t="str">
        <f>IF(AND(A454&lt;&gt;"",I454&lt;&gt;""), SUMIFS(B454:I454,B1:I1,"&lt;&gt;",B2:I2,"&lt;&gt;Exame",B2:I2,"&lt;&gt;exame",B2:I2,"&lt;&gt;Nota",B2:I2,"&lt;&gt;Total"),"")</f>
        <v/>
      </c>
      <c r="K454" s="2" t="str">
        <f>IF(AND(A454&lt;&gt;"",J454&lt;&gt;""),ROUND(J454,0),"")</f>
        <v/>
      </c>
    </row>
    <row r="455" spans="2:11" x14ac:dyDescent="0.3">
      <c r="B455" s="2" t="str">
        <f>IFERROR(IF(A455&lt;&gt;"",VLOOKUP(Alunos!A455,Exame!A3:D1000,4, FALSE),""), "")</f>
        <v/>
      </c>
      <c r="C455" s="2" t="str">
        <f>IF(A455&lt;&gt;"",VLOOKUP(Alunos!A455,Agrupamentos!A3:C1000,2, FALSE),"")</f>
        <v/>
      </c>
      <c r="D455" s="2" t="str">
        <f>IFERROR(IF(A455&lt;&gt;"",VLOOKUP(Alunos!C455,'TP1'!A3:E1000,5, FALSE),""),"")</f>
        <v/>
      </c>
      <c r="E455" s="2" t="str">
        <f>IF(A455&lt;&gt;"",VLOOKUP(Alunos!A455,Agrupamentos!A3:C1000,3, FALSE),"")</f>
        <v/>
      </c>
      <c r="F455" s="2" t="str">
        <f>IFERROR(IF(A455&lt;&gt;"",VLOOKUP(Alunos!E455,'TP2'!A3:D1000,4, FALSE),""),"")</f>
        <v/>
      </c>
      <c r="G455" s="2" t="str">
        <f>IF(A455&lt;&gt;"", SUMIF(B1:F1,"&lt;&gt;",B455:F455),"")</f>
        <v/>
      </c>
      <c r="H455" s="2" t="str">
        <f>IF(AND(A455&lt;&gt;"",G455&lt;&gt;""),ROUND(G455,0),"")</f>
        <v/>
      </c>
      <c r="I455" s="2" t="str">
        <f>IFERROR(IF(A455&lt;&gt;"",VLOOKUP(Alunos!A455,Recurso!A3:D1000,4, FALSE),""), "")</f>
        <v/>
      </c>
      <c r="J455" s="2" t="str">
        <f>IF(AND(A455&lt;&gt;"",I455&lt;&gt;""), SUMIFS(B455:I455,B1:I1,"&lt;&gt;",B2:I2,"&lt;&gt;Exame",B2:I2,"&lt;&gt;exame",B2:I2,"&lt;&gt;Nota",B2:I2,"&lt;&gt;Total"),"")</f>
        <v/>
      </c>
      <c r="K455" s="2" t="str">
        <f>IF(AND(A455&lt;&gt;"",J455&lt;&gt;""),ROUND(J455,0),"")</f>
        <v/>
      </c>
    </row>
    <row r="456" spans="2:11" x14ac:dyDescent="0.3">
      <c r="B456" s="2" t="str">
        <f>IFERROR(IF(A456&lt;&gt;"",VLOOKUP(Alunos!A456,Exame!A3:D1000,4, FALSE),""), "")</f>
        <v/>
      </c>
      <c r="C456" s="2" t="str">
        <f>IF(A456&lt;&gt;"",VLOOKUP(Alunos!A456,Agrupamentos!A3:C1000,2, FALSE),"")</f>
        <v/>
      </c>
      <c r="D456" s="2" t="str">
        <f>IFERROR(IF(A456&lt;&gt;"",VLOOKUP(Alunos!C456,'TP1'!A3:E1000,5, FALSE),""),"")</f>
        <v/>
      </c>
      <c r="E456" s="2" t="str">
        <f>IF(A456&lt;&gt;"",VLOOKUP(Alunos!A456,Agrupamentos!A3:C1000,3, FALSE),"")</f>
        <v/>
      </c>
      <c r="F456" s="2" t="str">
        <f>IFERROR(IF(A456&lt;&gt;"",VLOOKUP(Alunos!E456,'TP2'!A3:D1000,4, FALSE),""),"")</f>
        <v/>
      </c>
      <c r="G456" s="2" t="str">
        <f>IF(A456&lt;&gt;"", SUMIF(B1:F1,"&lt;&gt;",B456:F456),"")</f>
        <v/>
      </c>
      <c r="H456" s="2" t="str">
        <f>IF(AND(A456&lt;&gt;"",G456&lt;&gt;""),ROUND(G456,0),"")</f>
        <v/>
      </c>
      <c r="I456" s="2" t="str">
        <f>IFERROR(IF(A456&lt;&gt;"",VLOOKUP(Alunos!A456,Recurso!A3:D1000,4, FALSE),""), "")</f>
        <v/>
      </c>
      <c r="J456" s="2" t="str">
        <f>IF(AND(A456&lt;&gt;"",I456&lt;&gt;""), SUMIFS(B456:I456,B1:I1,"&lt;&gt;",B2:I2,"&lt;&gt;Exame",B2:I2,"&lt;&gt;exame",B2:I2,"&lt;&gt;Nota",B2:I2,"&lt;&gt;Total"),"")</f>
        <v/>
      </c>
      <c r="K456" s="2" t="str">
        <f>IF(AND(A456&lt;&gt;"",J456&lt;&gt;""),ROUND(J456,0),"")</f>
        <v/>
      </c>
    </row>
    <row r="457" spans="2:11" x14ac:dyDescent="0.3">
      <c r="B457" s="2" t="str">
        <f>IFERROR(IF(A457&lt;&gt;"",VLOOKUP(Alunos!A457,Exame!A3:D1000,4, FALSE),""), "")</f>
        <v/>
      </c>
      <c r="C457" s="2" t="str">
        <f>IF(A457&lt;&gt;"",VLOOKUP(Alunos!A457,Agrupamentos!A3:C1000,2, FALSE),"")</f>
        <v/>
      </c>
      <c r="D457" s="2" t="str">
        <f>IFERROR(IF(A457&lt;&gt;"",VLOOKUP(Alunos!C457,'TP1'!A3:E1000,5, FALSE),""),"")</f>
        <v/>
      </c>
      <c r="E457" s="2" t="str">
        <f>IF(A457&lt;&gt;"",VLOOKUP(Alunos!A457,Agrupamentos!A3:C1000,3, FALSE),"")</f>
        <v/>
      </c>
      <c r="F457" s="2" t="str">
        <f>IFERROR(IF(A457&lt;&gt;"",VLOOKUP(Alunos!E457,'TP2'!A3:D1000,4, FALSE),""),"")</f>
        <v/>
      </c>
      <c r="G457" s="2" t="str">
        <f>IF(A457&lt;&gt;"", SUMIF(B1:F1,"&lt;&gt;",B457:F457),"")</f>
        <v/>
      </c>
      <c r="H457" s="2" t="str">
        <f>IF(AND(A457&lt;&gt;"",G457&lt;&gt;""),ROUND(G457,0),"")</f>
        <v/>
      </c>
      <c r="I457" s="2" t="str">
        <f>IFERROR(IF(A457&lt;&gt;"",VLOOKUP(Alunos!A457,Recurso!A3:D1000,4, FALSE),""), "")</f>
        <v/>
      </c>
      <c r="J457" s="2" t="str">
        <f>IF(AND(A457&lt;&gt;"",I457&lt;&gt;""), SUMIFS(B457:I457,B1:I1,"&lt;&gt;",B2:I2,"&lt;&gt;Exame",B2:I2,"&lt;&gt;exame",B2:I2,"&lt;&gt;Nota",B2:I2,"&lt;&gt;Total"),"")</f>
        <v/>
      </c>
      <c r="K457" s="2" t="str">
        <f>IF(AND(A457&lt;&gt;"",J457&lt;&gt;""),ROUND(J457,0),"")</f>
        <v/>
      </c>
    </row>
    <row r="458" spans="2:11" x14ac:dyDescent="0.3">
      <c r="B458" s="2" t="str">
        <f>IFERROR(IF(A458&lt;&gt;"",VLOOKUP(Alunos!A458,Exame!A3:D1000,4, FALSE),""), "")</f>
        <v/>
      </c>
      <c r="C458" s="2" t="str">
        <f>IF(A458&lt;&gt;"",VLOOKUP(Alunos!A458,Agrupamentos!A3:C1000,2, FALSE),"")</f>
        <v/>
      </c>
      <c r="D458" s="2" t="str">
        <f>IFERROR(IF(A458&lt;&gt;"",VLOOKUP(Alunos!C458,'TP1'!A3:E1000,5, FALSE),""),"")</f>
        <v/>
      </c>
      <c r="E458" s="2" t="str">
        <f>IF(A458&lt;&gt;"",VLOOKUP(Alunos!A458,Agrupamentos!A3:C1000,3, FALSE),"")</f>
        <v/>
      </c>
      <c r="F458" s="2" t="str">
        <f>IFERROR(IF(A458&lt;&gt;"",VLOOKUP(Alunos!E458,'TP2'!A3:D1000,4, FALSE),""),"")</f>
        <v/>
      </c>
      <c r="G458" s="2" t="str">
        <f>IF(A458&lt;&gt;"", SUMIF(B1:F1,"&lt;&gt;",B458:F458),"")</f>
        <v/>
      </c>
      <c r="H458" s="2" t="str">
        <f>IF(AND(A458&lt;&gt;"",G458&lt;&gt;""),ROUND(G458,0),"")</f>
        <v/>
      </c>
      <c r="I458" s="2" t="str">
        <f>IFERROR(IF(A458&lt;&gt;"",VLOOKUP(Alunos!A458,Recurso!A3:D1000,4, FALSE),""), "")</f>
        <v/>
      </c>
      <c r="J458" s="2" t="str">
        <f>IF(AND(A458&lt;&gt;"",I458&lt;&gt;""), SUMIFS(B458:I458,B1:I1,"&lt;&gt;",B2:I2,"&lt;&gt;Exame",B2:I2,"&lt;&gt;exame",B2:I2,"&lt;&gt;Nota",B2:I2,"&lt;&gt;Total"),"")</f>
        <v/>
      </c>
      <c r="K458" s="2" t="str">
        <f>IF(AND(A458&lt;&gt;"",J458&lt;&gt;""),ROUND(J458,0),"")</f>
        <v/>
      </c>
    </row>
    <row r="459" spans="2:11" x14ac:dyDescent="0.3">
      <c r="B459" s="2" t="str">
        <f>IFERROR(IF(A459&lt;&gt;"",VLOOKUP(Alunos!A459,Exame!A3:D1000,4, FALSE),""), "")</f>
        <v/>
      </c>
      <c r="C459" s="2" t="str">
        <f>IF(A459&lt;&gt;"",VLOOKUP(Alunos!A459,Agrupamentos!A3:C1000,2, FALSE),"")</f>
        <v/>
      </c>
      <c r="D459" s="2" t="str">
        <f>IFERROR(IF(A459&lt;&gt;"",VLOOKUP(Alunos!C459,'TP1'!A3:E1000,5, FALSE),""),"")</f>
        <v/>
      </c>
      <c r="E459" s="2" t="str">
        <f>IF(A459&lt;&gt;"",VLOOKUP(Alunos!A459,Agrupamentos!A3:C1000,3, FALSE),"")</f>
        <v/>
      </c>
      <c r="F459" s="2" t="str">
        <f>IFERROR(IF(A459&lt;&gt;"",VLOOKUP(Alunos!E459,'TP2'!A3:D1000,4, FALSE),""),"")</f>
        <v/>
      </c>
      <c r="G459" s="2" t="str">
        <f>IF(A459&lt;&gt;"", SUMIF(B1:F1,"&lt;&gt;",B459:F459),"")</f>
        <v/>
      </c>
      <c r="H459" s="2" t="str">
        <f>IF(AND(A459&lt;&gt;"",G459&lt;&gt;""),ROUND(G459,0),"")</f>
        <v/>
      </c>
      <c r="I459" s="2" t="str">
        <f>IFERROR(IF(A459&lt;&gt;"",VLOOKUP(Alunos!A459,Recurso!A3:D1000,4, FALSE),""), "")</f>
        <v/>
      </c>
      <c r="J459" s="2" t="str">
        <f>IF(AND(A459&lt;&gt;"",I459&lt;&gt;""), SUMIFS(B459:I459,B1:I1,"&lt;&gt;",B2:I2,"&lt;&gt;Exame",B2:I2,"&lt;&gt;exame",B2:I2,"&lt;&gt;Nota",B2:I2,"&lt;&gt;Total"),"")</f>
        <v/>
      </c>
      <c r="K459" s="2" t="str">
        <f>IF(AND(A459&lt;&gt;"",J459&lt;&gt;""),ROUND(J459,0),"")</f>
        <v/>
      </c>
    </row>
    <row r="460" spans="2:11" x14ac:dyDescent="0.3">
      <c r="B460" s="2" t="str">
        <f>IFERROR(IF(A460&lt;&gt;"",VLOOKUP(Alunos!A460,Exame!A3:D1000,4, FALSE),""), "")</f>
        <v/>
      </c>
      <c r="C460" s="2" t="str">
        <f>IF(A460&lt;&gt;"",VLOOKUP(Alunos!A460,Agrupamentos!A3:C1000,2, FALSE),"")</f>
        <v/>
      </c>
      <c r="D460" s="2" t="str">
        <f>IFERROR(IF(A460&lt;&gt;"",VLOOKUP(Alunos!C460,'TP1'!A3:E1000,5, FALSE),""),"")</f>
        <v/>
      </c>
      <c r="E460" s="2" t="str">
        <f>IF(A460&lt;&gt;"",VLOOKUP(Alunos!A460,Agrupamentos!A3:C1000,3, FALSE),"")</f>
        <v/>
      </c>
      <c r="F460" s="2" t="str">
        <f>IFERROR(IF(A460&lt;&gt;"",VLOOKUP(Alunos!E460,'TP2'!A3:D1000,4, FALSE),""),"")</f>
        <v/>
      </c>
      <c r="G460" s="2" t="str">
        <f>IF(A460&lt;&gt;"", SUMIF(B1:F1,"&lt;&gt;",B460:F460),"")</f>
        <v/>
      </c>
      <c r="H460" s="2" t="str">
        <f>IF(AND(A460&lt;&gt;"",G460&lt;&gt;""),ROUND(G460,0),"")</f>
        <v/>
      </c>
      <c r="I460" s="2" t="str">
        <f>IFERROR(IF(A460&lt;&gt;"",VLOOKUP(Alunos!A460,Recurso!A3:D1000,4, FALSE),""), "")</f>
        <v/>
      </c>
      <c r="J460" s="2" t="str">
        <f>IF(AND(A460&lt;&gt;"",I460&lt;&gt;""), SUMIFS(B460:I460,B1:I1,"&lt;&gt;",B2:I2,"&lt;&gt;Exame",B2:I2,"&lt;&gt;exame",B2:I2,"&lt;&gt;Nota",B2:I2,"&lt;&gt;Total"),"")</f>
        <v/>
      </c>
      <c r="K460" s="2" t="str">
        <f>IF(AND(A460&lt;&gt;"",J460&lt;&gt;""),ROUND(J460,0),"")</f>
        <v/>
      </c>
    </row>
    <row r="461" spans="2:11" x14ac:dyDescent="0.3">
      <c r="B461" s="2" t="str">
        <f>IFERROR(IF(A461&lt;&gt;"",VLOOKUP(Alunos!A461,Exame!A3:D1000,4, FALSE),""), "")</f>
        <v/>
      </c>
      <c r="C461" s="2" t="str">
        <f>IF(A461&lt;&gt;"",VLOOKUP(Alunos!A461,Agrupamentos!A3:C1000,2, FALSE),"")</f>
        <v/>
      </c>
      <c r="D461" s="2" t="str">
        <f>IFERROR(IF(A461&lt;&gt;"",VLOOKUP(Alunos!C461,'TP1'!A3:E1000,5, FALSE),""),"")</f>
        <v/>
      </c>
      <c r="E461" s="2" t="str">
        <f>IF(A461&lt;&gt;"",VLOOKUP(Alunos!A461,Agrupamentos!A3:C1000,3, FALSE),"")</f>
        <v/>
      </c>
      <c r="F461" s="2" t="str">
        <f>IFERROR(IF(A461&lt;&gt;"",VLOOKUP(Alunos!E461,'TP2'!A3:D1000,4, FALSE),""),"")</f>
        <v/>
      </c>
      <c r="G461" s="2" t="str">
        <f>IF(A461&lt;&gt;"", SUMIF(B1:F1,"&lt;&gt;",B461:F461),"")</f>
        <v/>
      </c>
      <c r="H461" s="2" t="str">
        <f>IF(AND(A461&lt;&gt;"",G461&lt;&gt;""),ROUND(G461,0),"")</f>
        <v/>
      </c>
      <c r="I461" s="2" t="str">
        <f>IFERROR(IF(A461&lt;&gt;"",VLOOKUP(Alunos!A461,Recurso!A3:D1000,4, FALSE),""), "")</f>
        <v/>
      </c>
      <c r="J461" s="2" t="str">
        <f>IF(AND(A461&lt;&gt;"",I461&lt;&gt;""), SUMIFS(B461:I461,B1:I1,"&lt;&gt;",B2:I2,"&lt;&gt;Exame",B2:I2,"&lt;&gt;exame",B2:I2,"&lt;&gt;Nota",B2:I2,"&lt;&gt;Total"),"")</f>
        <v/>
      </c>
      <c r="K461" s="2" t="str">
        <f>IF(AND(A461&lt;&gt;"",J461&lt;&gt;""),ROUND(J461,0),"")</f>
        <v/>
      </c>
    </row>
    <row r="462" spans="2:11" x14ac:dyDescent="0.3">
      <c r="B462" s="2" t="str">
        <f>IFERROR(IF(A462&lt;&gt;"",VLOOKUP(Alunos!A462,Exame!A3:D1000,4, FALSE),""), "")</f>
        <v/>
      </c>
      <c r="C462" s="2" t="str">
        <f>IF(A462&lt;&gt;"",VLOOKUP(Alunos!A462,Agrupamentos!A3:C1000,2, FALSE),"")</f>
        <v/>
      </c>
      <c r="D462" s="2" t="str">
        <f>IFERROR(IF(A462&lt;&gt;"",VLOOKUP(Alunos!C462,'TP1'!A3:E1000,5, FALSE),""),"")</f>
        <v/>
      </c>
      <c r="E462" s="2" t="str">
        <f>IF(A462&lt;&gt;"",VLOOKUP(Alunos!A462,Agrupamentos!A3:C1000,3, FALSE),"")</f>
        <v/>
      </c>
      <c r="F462" s="2" t="str">
        <f>IFERROR(IF(A462&lt;&gt;"",VLOOKUP(Alunos!E462,'TP2'!A3:D1000,4, FALSE),""),"")</f>
        <v/>
      </c>
      <c r="G462" s="2" t="str">
        <f>IF(A462&lt;&gt;"", SUMIF(B1:F1,"&lt;&gt;",B462:F462),"")</f>
        <v/>
      </c>
      <c r="H462" s="2" t="str">
        <f>IF(AND(A462&lt;&gt;"",G462&lt;&gt;""),ROUND(G462,0),"")</f>
        <v/>
      </c>
      <c r="I462" s="2" t="str">
        <f>IFERROR(IF(A462&lt;&gt;"",VLOOKUP(Alunos!A462,Recurso!A3:D1000,4, FALSE),""), "")</f>
        <v/>
      </c>
      <c r="J462" s="2" t="str">
        <f>IF(AND(A462&lt;&gt;"",I462&lt;&gt;""), SUMIFS(B462:I462,B1:I1,"&lt;&gt;",B2:I2,"&lt;&gt;Exame",B2:I2,"&lt;&gt;exame",B2:I2,"&lt;&gt;Nota",B2:I2,"&lt;&gt;Total"),"")</f>
        <v/>
      </c>
      <c r="K462" s="2" t="str">
        <f>IF(AND(A462&lt;&gt;"",J462&lt;&gt;""),ROUND(J462,0),"")</f>
        <v/>
      </c>
    </row>
    <row r="463" spans="2:11" x14ac:dyDescent="0.3">
      <c r="B463" s="2" t="str">
        <f>IFERROR(IF(A463&lt;&gt;"",VLOOKUP(Alunos!A463,Exame!A3:D1000,4, FALSE),""), "")</f>
        <v/>
      </c>
      <c r="C463" s="2" t="str">
        <f>IF(A463&lt;&gt;"",VLOOKUP(Alunos!A463,Agrupamentos!A3:C1000,2, FALSE),"")</f>
        <v/>
      </c>
      <c r="D463" s="2" t="str">
        <f>IFERROR(IF(A463&lt;&gt;"",VLOOKUP(Alunos!C463,'TP1'!A3:E1000,5, FALSE),""),"")</f>
        <v/>
      </c>
      <c r="E463" s="2" t="str">
        <f>IF(A463&lt;&gt;"",VLOOKUP(Alunos!A463,Agrupamentos!A3:C1000,3, FALSE),"")</f>
        <v/>
      </c>
      <c r="F463" s="2" t="str">
        <f>IFERROR(IF(A463&lt;&gt;"",VLOOKUP(Alunos!E463,'TP2'!A3:D1000,4, FALSE),""),"")</f>
        <v/>
      </c>
      <c r="G463" s="2" t="str">
        <f>IF(A463&lt;&gt;"", SUMIF(B1:F1,"&lt;&gt;",B463:F463),"")</f>
        <v/>
      </c>
      <c r="H463" s="2" t="str">
        <f>IF(AND(A463&lt;&gt;"",G463&lt;&gt;""),ROUND(G463,0),"")</f>
        <v/>
      </c>
      <c r="I463" s="2" t="str">
        <f>IFERROR(IF(A463&lt;&gt;"",VLOOKUP(Alunos!A463,Recurso!A3:D1000,4, FALSE),""), "")</f>
        <v/>
      </c>
      <c r="J463" s="2" t="str">
        <f>IF(AND(A463&lt;&gt;"",I463&lt;&gt;""), SUMIFS(B463:I463,B1:I1,"&lt;&gt;",B2:I2,"&lt;&gt;Exame",B2:I2,"&lt;&gt;exame",B2:I2,"&lt;&gt;Nota",B2:I2,"&lt;&gt;Total"),"")</f>
        <v/>
      </c>
      <c r="K463" s="2" t="str">
        <f>IF(AND(A463&lt;&gt;"",J463&lt;&gt;""),ROUND(J463,0),"")</f>
        <v/>
      </c>
    </row>
    <row r="464" spans="2:11" x14ac:dyDescent="0.3">
      <c r="B464" s="2" t="str">
        <f>IFERROR(IF(A464&lt;&gt;"",VLOOKUP(Alunos!A464,Exame!A3:D1000,4, FALSE),""), "")</f>
        <v/>
      </c>
      <c r="C464" s="2" t="str">
        <f>IF(A464&lt;&gt;"",VLOOKUP(Alunos!A464,Agrupamentos!A3:C1000,2, FALSE),"")</f>
        <v/>
      </c>
      <c r="D464" s="2" t="str">
        <f>IFERROR(IF(A464&lt;&gt;"",VLOOKUP(Alunos!C464,'TP1'!A3:E1000,5, FALSE),""),"")</f>
        <v/>
      </c>
      <c r="E464" s="2" t="str">
        <f>IF(A464&lt;&gt;"",VLOOKUP(Alunos!A464,Agrupamentos!A3:C1000,3, FALSE),"")</f>
        <v/>
      </c>
      <c r="F464" s="2" t="str">
        <f>IFERROR(IF(A464&lt;&gt;"",VLOOKUP(Alunos!E464,'TP2'!A3:D1000,4, FALSE),""),"")</f>
        <v/>
      </c>
      <c r="G464" s="2" t="str">
        <f>IF(A464&lt;&gt;"", SUMIF(B1:F1,"&lt;&gt;",B464:F464),"")</f>
        <v/>
      </c>
      <c r="H464" s="2" t="str">
        <f>IF(AND(A464&lt;&gt;"",G464&lt;&gt;""),ROUND(G464,0),"")</f>
        <v/>
      </c>
      <c r="I464" s="2" t="str">
        <f>IFERROR(IF(A464&lt;&gt;"",VLOOKUP(Alunos!A464,Recurso!A3:D1000,4, FALSE),""), "")</f>
        <v/>
      </c>
      <c r="J464" s="2" t="str">
        <f>IF(AND(A464&lt;&gt;"",I464&lt;&gt;""), SUMIFS(B464:I464,B1:I1,"&lt;&gt;",B2:I2,"&lt;&gt;Exame",B2:I2,"&lt;&gt;exame",B2:I2,"&lt;&gt;Nota",B2:I2,"&lt;&gt;Total"),"")</f>
        <v/>
      </c>
      <c r="K464" s="2" t="str">
        <f>IF(AND(A464&lt;&gt;"",J464&lt;&gt;""),ROUND(J464,0),"")</f>
        <v/>
      </c>
    </row>
    <row r="465" spans="2:11" x14ac:dyDescent="0.3">
      <c r="B465" s="2" t="str">
        <f>IFERROR(IF(A465&lt;&gt;"",VLOOKUP(Alunos!A465,Exame!A3:D1000,4, FALSE),""), "")</f>
        <v/>
      </c>
      <c r="C465" s="2" t="str">
        <f>IF(A465&lt;&gt;"",VLOOKUP(Alunos!A465,Agrupamentos!A3:C1000,2, FALSE),"")</f>
        <v/>
      </c>
      <c r="D465" s="2" t="str">
        <f>IFERROR(IF(A465&lt;&gt;"",VLOOKUP(Alunos!C465,'TP1'!A3:E1000,5, FALSE),""),"")</f>
        <v/>
      </c>
      <c r="E465" s="2" t="str">
        <f>IF(A465&lt;&gt;"",VLOOKUP(Alunos!A465,Agrupamentos!A3:C1000,3, FALSE),"")</f>
        <v/>
      </c>
      <c r="F465" s="2" t="str">
        <f>IFERROR(IF(A465&lt;&gt;"",VLOOKUP(Alunos!E465,'TP2'!A3:D1000,4, FALSE),""),"")</f>
        <v/>
      </c>
      <c r="G465" s="2" t="str">
        <f>IF(A465&lt;&gt;"", SUMIF(B1:F1,"&lt;&gt;",B465:F465),"")</f>
        <v/>
      </c>
      <c r="H465" s="2" t="str">
        <f>IF(AND(A465&lt;&gt;"",G465&lt;&gt;""),ROUND(G465,0),"")</f>
        <v/>
      </c>
      <c r="I465" s="2" t="str">
        <f>IFERROR(IF(A465&lt;&gt;"",VLOOKUP(Alunos!A465,Recurso!A3:D1000,4, FALSE),""), "")</f>
        <v/>
      </c>
      <c r="J465" s="2" t="str">
        <f>IF(AND(A465&lt;&gt;"",I465&lt;&gt;""), SUMIFS(B465:I465,B1:I1,"&lt;&gt;",B2:I2,"&lt;&gt;Exame",B2:I2,"&lt;&gt;exame",B2:I2,"&lt;&gt;Nota",B2:I2,"&lt;&gt;Total"),"")</f>
        <v/>
      </c>
      <c r="K465" s="2" t="str">
        <f>IF(AND(A465&lt;&gt;"",J465&lt;&gt;""),ROUND(J465,0),"")</f>
        <v/>
      </c>
    </row>
    <row r="466" spans="2:11" x14ac:dyDescent="0.3">
      <c r="B466" s="2" t="str">
        <f>IFERROR(IF(A466&lt;&gt;"",VLOOKUP(Alunos!A466,Exame!A3:D1000,4, FALSE),""), "")</f>
        <v/>
      </c>
      <c r="C466" s="2" t="str">
        <f>IF(A466&lt;&gt;"",VLOOKUP(Alunos!A466,Agrupamentos!A3:C1000,2, FALSE),"")</f>
        <v/>
      </c>
      <c r="D466" s="2" t="str">
        <f>IFERROR(IF(A466&lt;&gt;"",VLOOKUP(Alunos!C466,'TP1'!A3:E1000,5, FALSE),""),"")</f>
        <v/>
      </c>
      <c r="E466" s="2" t="str">
        <f>IF(A466&lt;&gt;"",VLOOKUP(Alunos!A466,Agrupamentos!A3:C1000,3, FALSE),"")</f>
        <v/>
      </c>
      <c r="F466" s="2" t="str">
        <f>IFERROR(IF(A466&lt;&gt;"",VLOOKUP(Alunos!E466,'TP2'!A3:D1000,4, FALSE),""),"")</f>
        <v/>
      </c>
      <c r="G466" s="2" t="str">
        <f>IF(A466&lt;&gt;"", SUMIF(B1:F1,"&lt;&gt;",B466:F466),"")</f>
        <v/>
      </c>
      <c r="H466" s="2" t="str">
        <f>IF(AND(A466&lt;&gt;"",G466&lt;&gt;""),ROUND(G466,0),"")</f>
        <v/>
      </c>
      <c r="I466" s="2" t="str">
        <f>IFERROR(IF(A466&lt;&gt;"",VLOOKUP(Alunos!A466,Recurso!A3:D1000,4, FALSE),""), "")</f>
        <v/>
      </c>
      <c r="J466" s="2" t="str">
        <f>IF(AND(A466&lt;&gt;"",I466&lt;&gt;""), SUMIFS(B466:I466,B1:I1,"&lt;&gt;",B2:I2,"&lt;&gt;Exame",B2:I2,"&lt;&gt;exame",B2:I2,"&lt;&gt;Nota",B2:I2,"&lt;&gt;Total"),"")</f>
        <v/>
      </c>
      <c r="K466" s="2" t="str">
        <f>IF(AND(A466&lt;&gt;"",J466&lt;&gt;""),ROUND(J466,0),"")</f>
        <v/>
      </c>
    </row>
    <row r="467" spans="2:11" x14ac:dyDescent="0.3">
      <c r="B467" s="2" t="str">
        <f>IFERROR(IF(A467&lt;&gt;"",VLOOKUP(Alunos!A467,Exame!A3:D1000,4, FALSE),""), "")</f>
        <v/>
      </c>
      <c r="C467" s="2" t="str">
        <f>IF(A467&lt;&gt;"",VLOOKUP(Alunos!A467,Agrupamentos!A3:C1000,2, FALSE),"")</f>
        <v/>
      </c>
      <c r="D467" s="2" t="str">
        <f>IFERROR(IF(A467&lt;&gt;"",VLOOKUP(Alunos!C467,'TP1'!A3:E1000,5, FALSE),""),"")</f>
        <v/>
      </c>
      <c r="E467" s="2" t="str">
        <f>IF(A467&lt;&gt;"",VLOOKUP(Alunos!A467,Agrupamentos!A3:C1000,3, FALSE),"")</f>
        <v/>
      </c>
      <c r="F467" s="2" t="str">
        <f>IFERROR(IF(A467&lt;&gt;"",VLOOKUP(Alunos!E467,'TP2'!A3:D1000,4, FALSE),""),"")</f>
        <v/>
      </c>
      <c r="G467" s="2" t="str">
        <f>IF(A467&lt;&gt;"", SUMIF(B1:F1,"&lt;&gt;",B467:F467),"")</f>
        <v/>
      </c>
      <c r="H467" s="2" t="str">
        <f>IF(AND(A467&lt;&gt;"",G467&lt;&gt;""),ROUND(G467,0),"")</f>
        <v/>
      </c>
      <c r="I467" s="2" t="str">
        <f>IFERROR(IF(A467&lt;&gt;"",VLOOKUP(Alunos!A467,Recurso!A3:D1000,4, FALSE),""), "")</f>
        <v/>
      </c>
      <c r="J467" s="2" t="str">
        <f>IF(AND(A467&lt;&gt;"",I467&lt;&gt;""), SUMIFS(B467:I467,B1:I1,"&lt;&gt;",B2:I2,"&lt;&gt;Exame",B2:I2,"&lt;&gt;exame",B2:I2,"&lt;&gt;Nota",B2:I2,"&lt;&gt;Total"),"")</f>
        <v/>
      </c>
      <c r="K467" s="2" t="str">
        <f>IF(AND(A467&lt;&gt;"",J467&lt;&gt;""),ROUND(J467,0),"")</f>
        <v/>
      </c>
    </row>
    <row r="468" spans="2:11" x14ac:dyDescent="0.3">
      <c r="B468" s="2" t="str">
        <f>IFERROR(IF(A468&lt;&gt;"",VLOOKUP(Alunos!A468,Exame!A3:D1000,4, FALSE),""), "")</f>
        <v/>
      </c>
      <c r="C468" s="2" t="str">
        <f>IF(A468&lt;&gt;"",VLOOKUP(Alunos!A468,Agrupamentos!A3:C1000,2, FALSE),"")</f>
        <v/>
      </c>
      <c r="D468" s="2" t="str">
        <f>IFERROR(IF(A468&lt;&gt;"",VLOOKUP(Alunos!C468,'TP1'!A3:E1000,5, FALSE),""),"")</f>
        <v/>
      </c>
      <c r="E468" s="2" t="str">
        <f>IF(A468&lt;&gt;"",VLOOKUP(Alunos!A468,Agrupamentos!A3:C1000,3, FALSE),"")</f>
        <v/>
      </c>
      <c r="F468" s="2" t="str">
        <f>IFERROR(IF(A468&lt;&gt;"",VLOOKUP(Alunos!E468,'TP2'!A3:D1000,4, FALSE),""),"")</f>
        <v/>
      </c>
      <c r="G468" s="2" t="str">
        <f>IF(A468&lt;&gt;"", SUMIF(B1:F1,"&lt;&gt;",B468:F468),"")</f>
        <v/>
      </c>
      <c r="H468" s="2" t="str">
        <f>IF(AND(A468&lt;&gt;"",G468&lt;&gt;""),ROUND(G468,0),"")</f>
        <v/>
      </c>
      <c r="I468" s="2" t="str">
        <f>IFERROR(IF(A468&lt;&gt;"",VLOOKUP(Alunos!A468,Recurso!A3:D1000,4, FALSE),""), "")</f>
        <v/>
      </c>
      <c r="J468" s="2" t="str">
        <f>IF(AND(A468&lt;&gt;"",I468&lt;&gt;""), SUMIFS(B468:I468,B1:I1,"&lt;&gt;",B2:I2,"&lt;&gt;Exame",B2:I2,"&lt;&gt;exame",B2:I2,"&lt;&gt;Nota",B2:I2,"&lt;&gt;Total"),"")</f>
        <v/>
      </c>
      <c r="K468" s="2" t="str">
        <f>IF(AND(A468&lt;&gt;"",J468&lt;&gt;""),ROUND(J468,0),"")</f>
        <v/>
      </c>
    </row>
    <row r="469" spans="2:11" x14ac:dyDescent="0.3">
      <c r="B469" s="2" t="str">
        <f>IFERROR(IF(A469&lt;&gt;"",VLOOKUP(Alunos!A469,Exame!A3:D1000,4, FALSE),""), "")</f>
        <v/>
      </c>
      <c r="C469" s="2" t="str">
        <f>IF(A469&lt;&gt;"",VLOOKUP(Alunos!A469,Agrupamentos!A3:C1000,2, FALSE),"")</f>
        <v/>
      </c>
      <c r="D469" s="2" t="str">
        <f>IFERROR(IF(A469&lt;&gt;"",VLOOKUP(Alunos!C469,'TP1'!A3:E1000,5, FALSE),""),"")</f>
        <v/>
      </c>
      <c r="E469" s="2" t="str">
        <f>IF(A469&lt;&gt;"",VLOOKUP(Alunos!A469,Agrupamentos!A3:C1000,3, FALSE),"")</f>
        <v/>
      </c>
      <c r="F469" s="2" t="str">
        <f>IFERROR(IF(A469&lt;&gt;"",VLOOKUP(Alunos!E469,'TP2'!A3:D1000,4, FALSE),""),"")</f>
        <v/>
      </c>
      <c r="G469" s="2" t="str">
        <f>IF(A469&lt;&gt;"", SUMIF(B1:F1,"&lt;&gt;",B469:F469),"")</f>
        <v/>
      </c>
      <c r="H469" s="2" t="str">
        <f>IF(AND(A469&lt;&gt;"",G469&lt;&gt;""),ROUND(G469,0),"")</f>
        <v/>
      </c>
      <c r="I469" s="2" t="str">
        <f>IFERROR(IF(A469&lt;&gt;"",VLOOKUP(Alunos!A469,Recurso!A3:D1000,4, FALSE),""), "")</f>
        <v/>
      </c>
      <c r="J469" s="2" t="str">
        <f>IF(AND(A469&lt;&gt;"",I469&lt;&gt;""), SUMIFS(B469:I469,B1:I1,"&lt;&gt;",B2:I2,"&lt;&gt;Exame",B2:I2,"&lt;&gt;exame",B2:I2,"&lt;&gt;Nota",B2:I2,"&lt;&gt;Total"),"")</f>
        <v/>
      </c>
      <c r="K469" s="2" t="str">
        <f>IF(AND(A469&lt;&gt;"",J469&lt;&gt;""),ROUND(J469,0),"")</f>
        <v/>
      </c>
    </row>
    <row r="470" spans="2:11" x14ac:dyDescent="0.3">
      <c r="B470" s="2" t="str">
        <f>IFERROR(IF(A470&lt;&gt;"",VLOOKUP(Alunos!A470,Exame!A3:D1000,4, FALSE),""), "")</f>
        <v/>
      </c>
      <c r="C470" s="2" t="str">
        <f>IF(A470&lt;&gt;"",VLOOKUP(Alunos!A470,Agrupamentos!A3:C1000,2, FALSE),"")</f>
        <v/>
      </c>
      <c r="D470" s="2" t="str">
        <f>IFERROR(IF(A470&lt;&gt;"",VLOOKUP(Alunos!C470,'TP1'!A3:E1000,5, FALSE),""),"")</f>
        <v/>
      </c>
      <c r="E470" s="2" t="str">
        <f>IF(A470&lt;&gt;"",VLOOKUP(Alunos!A470,Agrupamentos!A3:C1000,3, FALSE),"")</f>
        <v/>
      </c>
      <c r="F470" s="2" t="str">
        <f>IFERROR(IF(A470&lt;&gt;"",VLOOKUP(Alunos!E470,'TP2'!A3:D1000,4, FALSE),""),"")</f>
        <v/>
      </c>
      <c r="G470" s="2" t="str">
        <f>IF(A470&lt;&gt;"", SUMIF(B1:F1,"&lt;&gt;",B470:F470),"")</f>
        <v/>
      </c>
      <c r="H470" s="2" t="str">
        <f>IF(AND(A470&lt;&gt;"",G470&lt;&gt;""),ROUND(G470,0),"")</f>
        <v/>
      </c>
      <c r="I470" s="2" t="str">
        <f>IFERROR(IF(A470&lt;&gt;"",VLOOKUP(Alunos!A470,Recurso!A3:D1000,4, FALSE),""), "")</f>
        <v/>
      </c>
      <c r="J470" s="2" t="str">
        <f>IF(AND(A470&lt;&gt;"",I470&lt;&gt;""), SUMIFS(B470:I470,B1:I1,"&lt;&gt;",B2:I2,"&lt;&gt;Exame",B2:I2,"&lt;&gt;exame",B2:I2,"&lt;&gt;Nota",B2:I2,"&lt;&gt;Total"),"")</f>
        <v/>
      </c>
      <c r="K470" s="2" t="str">
        <f>IF(AND(A470&lt;&gt;"",J470&lt;&gt;""),ROUND(J470,0),"")</f>
        <v/>
      </c>
    </row>
    <row r="471" spans="2:11" x14ac:dyDescent="0.3">
      <c r="B471" s="2" t="str">
        <f>IFERROR(IF(A471&lt;&gt;"",VLOOKUP(Alunos!A471,Exame!A3:D1000,4, FALSE),""), "")</f>
        <v/>
      </c>
      <c r="C471" s="2" t="str">
        <f>IF(A471&lt;&gt;"",VLOOKUP(Alunos!A471,Agrupamentos!A3:C1000,2, FALSE),"")</f>
        <v/>
      </c>
      <c r="D471" s="2" t="str">
        <f>IFERROR(IF(A471&lt;&gt;"",VLOOKUP(Alunos!C471,'TP1'!A3:E1000,5, FALSE),""),"")</f>
        <v/>
      </c>
      <c r="E471" s="2" t="str">
        <f>IF(A471&lt;&gt;"",VLOOKUP(Alunos!A471,Agrupamentos!A3:C1000,3, FALSE),"")</f>
        <v/>
      </c>
      <c r="F471" s="2" t="str">
        <f>IFERROR(IF(A471&lt;&gt;"",VLOOKUP(Alunos!E471,'TP2'!A3:D1000,4, FALSE),""),"")</f>
        <v/>
      </c>
      <c r="G471" s="2" t="str">
        <f>IF(A471&lt;&gt;"", SUMIF(B1:F1,"&lt;&gt;",B471:F471),"")</f>
        <v/>
      </c>
      <c r="H471" s="2" t="str">
        <f>IF(AND(A471&lt;&gt;"",G471&lt;&gt;""),ROUND(G471,0),"")</f>
        <v/>
      </c>
      <c r="I471" s="2" t="str">
        <f>IFERROR(IF(A471&lt;&gt;"",VLOOKUP(Alunos!A471,Recurso!A3:D1000,4, FALSE),""), "")</f>
        <v/>
      </c>
      <c r="J471" s="2" t="str">
        <f>IF(AND(A471&lt;&gt;"",I471&lt;&gt;""), SUMIFS(B471:I471,B1:I1,"&lt;&gt;",B2:I2,"&lt;&gt;Exame",B2:I2,"&lt;&gt;exame",B2:I2,"&lt;&gt;Nota",B2:I2,"&lt;&gt;Total"),"")</f>
        <v/>
      </c>
      <c r="K471" s="2" t="str">
        <f>IF(AND(A471&lt;&gt;"",J471&lt;&gt;""),ROUND(J471,0),"")</f>
        <v/>
      </c>
    </row>
    <row r="472" spans="2:11" x14ac:dyDescent="0.3">
      <c r="B472" s="2" t="str">
        <f>IFERROR(IF(A472&lt;&gt;"",VLOOKUP(Alunos!A472,Exame!A3:D1000,4, FALSE),""), "")</f>
        <v/>
      </c>
      <c r="C472" s="2" t="str">
        <f>IF(A472&lt;&gt;"",VLOOKUP(Alunos!A472,Agrupamentos!A3:C1000,2, FALSE),"")</f>
        <v/>
      </c>
      <c r="D472" s="2" t="str">
        <f>IFERROR(IF(A472&lt;&gt;"",VLOOKUP(Alunos!C472,'TP1'!A3:E1000,5, FALSE),""),"")</f>
        <v/>
      </c>
      <c r="E472" s="2" t="str">
        <f>IF(A472&lt;&gt;"",VLOOKUP(Alunos!A472,Agrupamentos!A3:C1000,3, FALSE),"")</f>
        <v/>
      </c>
      <c r="F472" s="2" t="str">
        <f>IFERROR(IF(A472&lt;&gt;"",VLOOKUP(Alunos!E472,'TP2'!A3:D1000,4, FALSE),""),"")</f>
        <v/>
      </c>
      <c r="G472" s="2" t="str">
        <f>IF(A472&lt;&gt;"", SUMIF(B1:F1,"&lt;&gt;",B472:F472),"")</f>
        <v/>
      </c>
      <c r="H472" s="2" t="str">
        <f>IF(AND(A472&lt;&gt;"",G472&lt;&gt;""),ROUND(G472,0),"")</f>
        <v/>
      </c>
      <c r="I472" s="2" t="str">
        <f>IFERROR(IF(A472&lt;&gt;"",VLOOKUP(Alunos!A472,Recurso!A3:D1000,4, FALSE),""), "")</f>
        <v/>
      </c>
      <c r="J472" s="2" t="str">
        <f>IF(AND(A472&lt;&gt;"",I472&lt;&gt;""), SUMIFS(B472:I472,B1:I1,"&lt;&gt;",B2:I2,"&lt;&gt;Exame",B2:I2,"&lt;&gt;exame",B2:I2,"&lt;&gt;Nota",B2:I2,"&lt;&gt;Total"),"")</f>
        <v/>
      </c>
      <c r="K472" s="2" t="str">
        <f>IF(AND(A472&lt;&gt;"",J472&lt;&gt;""),ROUND(J472,0),"")</f>
        <v/>
      </c>
    </row>
    <row r="473" spans="2:11" x14ac:dyDescent="0.3">
      <c r="B473" s="2" t="str">
        <f>IFERROR(IF(A473&lt;&gt;"",VLOOKUP(Alunos!A473,Exame!A3:D1000,4, FALSE),""), "")</f>
        <v/>
      </c>
      <c r="C473" s="2" t="str">
        <f>IF(A473&lt;&gt;"",VLOOKUP(Alunos!A473,Agrupamentos!A3:C1000,2, FALSE),"")</f>
        <v/>
      </c>
      <c r="D473" s="2" t="str">
        <f>IFERROR(IF(A473&lt;&gt;"",VLOOKUP(Alunos!C473,'TP1'!A3:E1000,5, FALSE),""),"")</f>
        <v/>
      </c>
      <c r="E473" s="2" t="str">
        <f>IF(A473&lt;&gt;"",VLOOKUP(Alunos!A473,Agrupamentos!A3:C1000,3, FALSE),"")</f>
        <v/>
      </c>
      <c r="F473" s="2" t="str">
        <f>IFERROR(IF(A473&lt;&gt;"",VLOOKUP(Alunos!E473,'TP2'!A3:D1000,4, FALSE),""),"")</f>
        <v/>
      </c>
      <c r="G473" s="2" t="str">
        <f>IF(A473&lt;&gt;"", SUMIF(B1:F1,"&lt;&gt;",B473:F473),"")</f>
        <v/>
      </c>
      <c r="H473" s="2" t="str">
        <f>IF(AND(A473&lt;&gt;"",G473&lt;&gt;""),ROUND(G473,0),"")</f>
        <v/>
      </c>
      <c r="I473" s="2" t="str">
        <f>IFERROR(IF(A473&lt;&gt;"",VLOOKUP(Alunos!A473,Recurso!A3:D1000,4, FALSE),""), "")</f>
        <v/>
      </c>
      <c r="J473" s="2" t="str">
        <f>IF(AND(A473&lt;&gt;"",I473&lt;&gt;""), SUMIFS(B473:I473,B1:I1,"&lt;&gt;",B2:I2,"&lt;&gt;Exame",B2:I2,"&lt;&gt;exame",B2:I2,"&lt;&gt;Nota",B2:I2,"&lt;&gt;Total"),"")</f>
        <v/>
      </c>
      <c r="K473" s="2" t="str">
        <f>IF(AND(A473&lt;&gt;"",J473&lt;&gt;""),ROUND(J473,0),"")</f>
        <v/>
      </c>
    </row>
    <row r="474" spans="2:11" x14ac:dyDescent="0.3">
      <c r="B474" s="2" t="str">
        <f>IFERROR(IF(A474&lt;&gt;"",VLOOKUP(Alunos!A474,Exame!A3:D1000,4, FALSE),""), "")</f>
        <v/>
      </c>
      <c r="C474" s="2" t="str">
        <f>IF(A474&lt;&gt;"",VLOOKUP(Alunos!A474,Agrupamentos!A3:C1000,2, FALSE),"")</f>
        <v/>
      </c>
      <c r="D474" s="2" t="str">
        <f>IFERROR(IF(A474&lt;&gt;"",VLOOKUP(Alunos!C474,'TP1'!A3:E1000,5, FALSE),""),"")</f>
        <v/>
      </c>
      <c r="E474" s="2" t="str">
        <f>IF(A474&lt;&gt;"",VLOOKUP(Alunos!A474,Agrupamentos!A3:C1000,3, FALSE),"")</f>
        <v/>
      </c>
      <c r="F474" s="2" t="str">
        <f>IFERROR(IF(A474&lt;&gt;"",VLOOKUP(Alunos!E474,'TP2'!A3:D1000,4, FALSE),""),"")</f>
        <v/>
      </c>
      <c r="G474" s="2" t="str">
        <f>IF(A474&lt;&gt;"", SUMIF(B1:F1,"&lt;&gt;",B474:F474),"")</f>
        <v/>
      </c>
      <c r="H474" s="2" t="str">
        <f>IF(AND(A474&lt;&gt;"",G474&lt;&gt;""),ROUND(G474,0),"")</f>
        <v/>
      </c>
      <c r="I474" s="2" t="str">
        <f>IFERROR(IF(A474&lt;&gt;"",VLOOKUP(Alunos!A474,Recurso!A3:D1000,4, FALSE),""), "")</f>
        <v/>
      </c>
      <c r="J474" s="2" t="str">
        <f>IF(AND(A474&lt;&gt;"",I474&lt;&gt;""), SUMIFS(B474:I474,B1:I1,"&lt;&gt;",B2:I2,"&lt;&gt;Exame",B2:I2,"&lt;&gt;exame",B2:I2,"&lt;&gt;Nota",B2:I2,"&lt;&gt;Total"),"")</f>
        <v/>
      </c>
      <c r="K474" s="2" t="str">
        <f>IF(AND(A474&lt;&gt;"",J474&lt;&gt;""),ROUND(J474,0),"")</f>
        <v/>
      </c>
    </row>
    <row r="475" spans="2:11" x14ac:dyDescent="0.3">
      <c r="B475" s="2" t="str">
        <f>IFERROR(IF(A475&lt;&gt;"",VLOOKUP(Alunos!A475,Exame!A3:D1000,4, FALSE),""), "")</f>
        <v/>
      </c>
      <c r="C475" s="2" t="str">
        <f>IF(A475&lt;&gt;"",VLOOKUP(Alunos!A475,Agrupamentos!A3:C1000,2, FALSE),"")</f>
        <v/>
      </c>
      <c r="D475" s="2" t="str">
        <f>IFERROR(IF(A475&lt;&gt;"",VLOOKUP(Alunos!C475,'TP1'!A3:E1000,5, FALSE),""),"")</f>
        <v/>
      </c>
      <c r="E475" s="2" t="str">
        <f>IF(A475&lt;&gt;"",VLOOKUP(Alunos!A475,Agrupamentos!A3:C1000,3, FALSE),"")</f>
        <v/>
      </c>
      <c r="F475" s="2" t="str">
        <f>IFERROR(IF(A475&lt;&gt;"",VLOOKUP(Alunos!E475,'TP2'!A3:D1000,4, FALSE),""),"")</f>
        <v/>
      </c>
      <c r="G475" s="2" t="str">
        <f>IF(A475&lt;&gt;"", SUMIF(B1:F1,"&lt;&gt;",B475:F475),"")</f>
        <v/>
      </c>
      <c r="H475" s="2" t="str">
        <f>IF(AND(A475&lt;&gt;"",G475&lt;&gt;""),ROUND(G475,0),"")</f>
        <v/>
      </c>
      <c r="I475" s="2" t="str">
        <f>IFERROR(IF(A475&lt;&gt;"",VLOOKUP(Alunos!A475,Recurso!A3:D1000,4, FALSE),""), "")</f>
        <v/>
      </c>
      <c r="J475" s="2" t="str">
        <f>IF(AND(A475&lt;&gt;"",I475&lt;&gt;""), SUMIFS(B475:I475,B1:I1,"&lt;&gt;",B2:I2,"&lt;&gt;Exame",B2:I2,"&lt;&gt;exame",B2:I2,"&lt;&gt;Nota",B2:I2,"&lt;&gt;Total"),"")</f>
        <v/>
      </c>
      <c r="K475" s="2" t="str">
        <f>IF(AND(A475&lt;&gt;"",J475&lt;&gt;""),ROUND(J475,0),"")</f>
        <v/>
      </c>
    </row>
    <row r="476" spans="2:11" x14ac:dyDescent="0.3">
      <c r="B476" s="2" t="str">
        <f>IFERROR(IF(A476&lt;&gt;"",VLOOKUP(Alunos!A476,Exame!A3:D1000,4, FALSE),""), "")</f>
        <v/>
      </c>
      <c r="C476" s="2" t="str">
        <f>IF(A476&lt;&gt;"",VLOOKUP(Alunos!A476,Agrupamentos!A3:C1000,2, FALSE),"")</f>
        <v/>
      </c>
      <c r="D476" s="2" t="str">
        <f>IFERROR(IF(A476&lt;&gt;"",VLOOKUP(Alunos!C476,'TP1'!A3:E1000,5, FALSE),""),"")</f>
        <v/>
      </c>
      <c r="E476" s="2" t="str">
        <f>IF(A476&lt;&gt;"",VLOOKUP(Alunos!A476,Agrupamentos!A3:C1000,3, FALSE),"")</f>
        <v/>
      </c>
      <c r="F476" s="2" t="str">
        <f>IFERROR(IF(A476&lt;&gt;"",VLOOKUP(Alunos!E476,'TP2'!A3:D1000,4, FALSE),""),"")</f>
        <v/>
      </c>
      <c r="G476" s="2" t="str">
        <f>IF(A476&lt;&gt;"", SUMIF(B1:F1,"&lt;&gt;",B476:F476),"")</f>
        <v/>
      </c>
      <c r="H476" s="2" t="str">
        <f>IF(AND(A476&lt;&gt;"",G476&lt;&gt;""),ROUND(G476,0),"")</f>
        <v/>
      </c>
      <c r="I476" s="2" t="str">
        <f>IFERROR(IF(A476&lt;&gt;"",VLOOKUP(Alunos!A476,Recurso!A3:D1000,4, FALSE),""), "")</f>
        <v/>
      </c>
      <c r="J476" s="2" t="str">
        <f>IF(AND(A476&lt;&gt;"",I476&lt;&gt;""), SUMIFS(B476:I476,B1:I1,"&lt;&gt;",B2:I2,"&lt;&gt;Exame",B2:I2,"&lt;&gt;exame",B2:I2,"&lt;&gt;Nota",B2:I2,"&lt;&gt;Total"),"")</f>
        <v/>
      </c>
      <c r="K476" s="2" t="str">
        <f>IF(AND(A476&lt;&gt;"",J476&lt;&gt;""),ROUND(J476,0),"")</f>
        <v/>
      </c>
    </row>
    <row r="477" spans="2:11" x14ac:dyDescent="0.3">
      <c r="B477" s="2" t="str">
        <f>IFERROR(IF(A477&lt;&gt;"",VLOOKUP(Alunos!A477,Exame!A3:D1000,4, FALSE),""), "")</f>
        <v/>
      </c>
      <c r="C477" s="2" t="str">
        <f>IF(A477&lt;&gt;"",VLOOKUP(Alunos!A477,Agrupamentos!A3:C1000,2, FALSE),"")</f>
        <v/>
      </c>
      <c r="D477" s="2" t="str">
        <f>IFERROR(IF(A477&lt;&gt;"",VLOOKUP(Alunos!C477,'TP1'!A3:E1000,5, FALSE),""),"")</f>
        <v/>
      </c>
      <c r="E477" s="2" t="str">
        <f>IF(A477&lt;&gt;"",VLOOKUP(Alunos!A477,Agrupamentos!A3:C1000,3, FALSE),"")</f>
        <v/>
      </c>
      <c r="F477" s="2" t="str">
        <f>IFERROR(IF(A477&lt;&gt;"",VLOOKUP(Alunos!E477,'TP2'!A3:D1000,4, FALSE),""),"")</f>
        <v/>
      </c>
      <c r="G477" s="2" t="str">
        <f>IF(A477&lt;&gt;"", SUMIF(B1:F1,"&lt;&gt;",B477:F477),"")</f>
        <v/>
      </c>
      <c r="H477" s="2" t="str">
        <f>IF(AND(A477&lt;&gt;"",G477&lt;&gt;""),ROUND(G477,0),"")</f>
        <v/>
      </c>
      <c r="I477" s="2" t="str">
        <f>IFERROR(IF(A477&lt;&gt;"",VLOOKUP(Alunos!A477,Recurso!A3:D1000,4, FALSE),""), "")</f>
        <v/>
      </c>
      <c r="J477" s="2" t="str">
        <f>IF(AND(A477&lt;&gt;"",I477&lt;&gt;""), SUMIFS(B477:I477,B1:I1,"&lt;&gt;",B2:I2,"&lt;&gt;Exame",B2:I2,"&lt;&gt;exame",B2:I2,"&lt;&gt;Nota",B2:I2,"&lt;&gt;Total"),"")</f>
        <v/>
      </c>
      <c r="K477" s="2" t="str">
        <f>IF(AND(A477&lt;&gt;"",J477&lt;&gt;""),ROUND(J477,0),"")</f>
        <v/>
      </c>
    </row>
    <row r="478" spans="2:11" x14ac:dyDescent="0.3">
      <c r="B478" s="2" t="str">
        <f>IFERROR(IF(A478&lt;&gt;"",VLOOKUP(Alunos!A478,Exame!A3:D1000,4, FALSE),""), "")</f>
        <v/>
      </c>
      <c r="C478" s="2" t="str">
        <f>IF(A478&lt;&gt;"",VLOOKUP(Alunos!A478,Agrupamentos!A3:C1000,2, FALSE),"")</f>
        <v/>
      </c>
      <c r="D478" s="2" t="str">
        <f>IFERROR(IF(A478&lt;&gt;"",VLOOKUP(Alunos!C478,'TP1'!A3:E1000,5, FALSE),""),"")</f>
        <v/>
      </c>
      <c r="E478" s="2" t="str">
        <f>IF(A478&lt;&gt;"",VLOOKUP(Alunos!A478,Agrupamentos!A3:C1000,3, FALSE),"")</f>
        <v/>
      </c>
      <c r="F478" s="2" t="str">
        <f>IFERROR(IF(A478&lt;&gt;"",VLOOKUP(Alunos!E478,'TP2'!A3:D1000,4, FALSE),""),"")</f>
        <v/>
      </c>
      <c r="G478" s="2" t="str">
        <f>IF(A478&lt;&gt;"", SUMIF(B1:F1,"&lt;&gt;",B478:F478),"")</f>
        <v/>
      </c>
      <c r="H478" s="2" t="str">
        <f>IF(AND(A478&lt;&gt;"",G478&lt;&gt;""),ROUND(G478,0),"")</f>
        <v/>
      </c>
      <c r="I478" s="2" t="str">
        <f>IFERROR(IF(A478&lt;&gt;"",VLOOKUP(Alunos!A478,Recurso!A3:D1000,4, FALSE),""), "")</f>
        <v/>
      </c>
      <c r="J478" s="2" t="str">
        <f>IF(AND(A478&lt;&gt;"",I478&lt;&gt;""), SUMIFS(B478:I478,B1:I1,"&lt;&gt;",B2:I2,"&lt;&gt;Exame",B2:I2,"&lt;&gt;exame",B2:I2,"&lt;&gt;Nota",B2:I2,"&lt;&gt;Total"),"")</f>
        <v/>
      </c>
      <c r="K478" s="2" t="str">
        <f>IF(AND(A478&lt;&gt;"",J478&lt;&gt;""),ROUND(J478,0),"")</f>
        <v/>
      </c>
    </row>
    <row r="479" spans="2:11" x14ac:dyDescent="0.3">
      <c r="B479" s="2" t="str">
        <f>IFERROR(IF(A479&lt;&gt;"",VLOOKUP(Alunos!A479,Exame!A3:D1000,4, FALSE),""), "")</f>
        <v/>
      </c>
      <c r="C479" s="2" t="str">
        <f>IF(A479&lt;&gt;"",VLOOKUP(Alunos!A479,Agrupamentos!A3:C1000,2, FALSE),"")</f>
        <v/>
      </c>
      <c r="D479" s="2" t="str">
        <f>IFERROR(IF(A479&lt;&gt;"",VLOOKUP(Alunos!C479,'TP1'!A3:E1000,5, FALSE),""),"")</f>
        <v/>
      </c>
      <c r="E479" s="2" t="str">
        <f>IF(A479&lt;&gt;"",VLOOKUP(Alunos!A479,Agrupamentos!A3:C1000,3, FALSE),"")</f>
        <v/>
      </c>
      <c r="F479" s="2" t="str">
        <f>IFERROR(IF(A479&lt;&gt;"",VLOOKUP(Alunos!E479,'TP2'!A3:D1000,4, FALSE),""),"")</f>
        <v/>
      </c>
      <c r="G479" s="2" t="str">
        <f>IF(A479&lt;&gt;"", SUMIF(B1:F1,"&lt;&gt;",B479:F479),"")</f>
        <v/>
      </c>
      <c r="H479" s="2" t="str">
        <f>IF(AND(A479&lt;&gt;"",G479&lt;&gt;""),ROUND(G479,0),"")</f>
        <v/>
      </c>
      <c r="I479" s="2" t="str">
        <f>IFERROR(IF(A479&lt;&gt;"",VLOOKUP(Alunos!A479,Recurso!A3:D1000,4, FALSE),""), "")</f>
        <v/>
      </c>
      <c r="J479" s="2" t="str">
        <f>IF(AND(A479&lt;&gt;"",I479&lt;&gt;""), SUMIFS(B479:I479,B1:I1,"&lt;&gt;",B2:I2,"&lt;&gt;Exame",B2:I2,"&lt;&gt;exame",B2:I2,"&lt;&gt;Nota",B2:I2,"&lt;&gt;Total"),"")</f>
        <v/>
      </c>
      <c r="K479" s="2" t="str">
        <f>IF(AND(A479&lt;&gt;"",J479&lt;&gt;""),ROUND(J479,0),"")</f>
        <v/>
      </c>
    </row>
    <row r="480" spans="2:11" x14ac:dyDescent="0.3">
      <c r="B480" s="2" t="str">
        <f>IFERROR(IF(A480&lt;&gt;"",VLOOKUP(Alunos!A480,Exame!A3:D1000,4, FALSE),""), "")</f>
        <v/>
      </c>
      <c r="C480" s="2" t="str">
        <f>IF(A480&lt;&gt;"",VLOOKUP(Alunos!A480,Agrupamentos!A3:C1000,2, FALSE),"")</f>
        <v/>
      </c>
      <c r="D480" s="2" t="str">
        <f>IFERROR(IF(A480&lt;&gt;"",VLOOKUP(Alunos!C480,'TP1'!A3:E1000,5, FALSE),""),"")</f>
        <v/>
      </c>
      <c r="E480" s="2" t="str">
        <f>IF(A480&lt;&gt;"",VLOOKUP(Alunos!A480,Agrupamentos!A3:C1000,3, FALSE),"")</f>
        <v/>
      </c>
      <c r="F480" s="2" t="str">
        <f>IFERROR(IF(A480&lt;&gt;"",VLOOKUP(Alunos!E480,'TP2'!A3:D1000,4, FALSE),""),"")</f>
        <v/>
      </c>
      <c r="G480" s="2" t="str">
        <f>IF(A480&lt;&gt;"", SUMIF(B1:F1,"&lt;&gt;",B480:F480),"")</f>
        <v/>
      </c>
      <c r="H480" s="2" t="str">
        <f>IF(AND(A480&lt;&gt;"",G480&lt;&gt;""),ROUND(G480,0),"")</f>
        <v/>
      </c>
      <c r="I480" s="2" t="str">
        <f>IFERROR(IF(A480&lt;&gt;"",VLOOKUP(Alunos!A480,Recurso!A3:D1000,4, FALSE),""), "")</f>
        <v/>
      </c>
      <c r="J480" s="2" t="str">
        <f>IF(AND(A480&lt;&gt;"",I480&lt;&gt;""), SUMIFS(B480:I480,B1:I1,"&lt;&gt;",B2:I2,"&lt;&gt;Exame",B2:I2,"&lt;&gt;exame",B2:I2,"&lt;&gt;Nota",B2:I2,"&lt;&gt;Total"),"")</f>
        <v/>
      </c>
      <c r="K480" s="2" t="str">
        <f>IF(AND(A480&lt;&gt;"",J480&lt;&gt;""),ROUND(J480,0),"")</f>
        <v/>
      </c>
    </row>
    <row r="481" spans="2:11" x14ac:dyDescent="0.3">
      <c r="B481" s="2" t="str">
        <f>IFERROR(IF(A481&lt;&gt;"",VLOOKUP(Alunos!A481,Exame!A3:D1000,4, FALSE),""), "")</f>
        <v/>
      </c>
      <c r="C481" s="2" t="str">
        <f>IF(A481&lt;&gt;"",VLOOKUP(Alunos!A481,Agrupamentos!A3:C1000,2, FALSE),"")</f>
        <v/>
      </c>
      <c r="D481" s="2" t="str">
        <f>IFERROR(IF(A481&lt;&gt;"",VLOOKUP(Alunos!C481,'TP1'!A3:E1000,5, FALSE),""),"")</f>
        <v/>
      </c>
      <c r="E481" s="2" t="str">
        <f>IF(A481&lt;&gt;"",VLOOKUP(Alunos!A481,Agrupamentos!A3:C1000,3, FALSE),"")</f>
        <v/>
      </c>
      <c r="F481" s="2" t="str">
        <f>IFERROR(IF(A481&lt;&gt;"",VLOOKUP(Alunos!E481,'TP2'!A3:D1000,4, FALSE),""),"")</f>
        <v/>
      </c>
      <c r="G481" s="2" t="str">
        <f>IF(A481&lt;&gt;"", SUMIF(B1:F1,"&lt;&gt;",B481:F481),"")</f>
        <v/>
      </c>
      <c r="H481" s="2" t="str">
        <f>IF(AND(A481&lt;&gt;"",G481&lt;&gt;""),ROUND(G481,0),"")</f>
        <v/>
      </c>
      <c r="I481" s="2" t="str">
        <f>IFERROR(IF(A481&lt;&gt;"",VLOOKUP(Alunos!A481,Recurso!A3:D1000,4, FALSE),""), "")</f>
        <v/>
      </c>
      <c r="J481" s="2" t="str">
        <f>IF(AND(A481&lt;&gt;"",I481&lt;&gt;""), SUMIFS(B481:I481,B1:I1,"&lt;&gt;",B2:I2,"&lt;&gt;Exame",B2:I2,"&lt;&gt;exame",B2:I2,"&lt;&gt;Nota",B2:I2,"&lt;&gt;Total"),"")</f>
        <v/>
      </c>
      <c r="K481" s="2" t="str">
        <f>IF(AND(A481&lt;&gt;"",J481&lt;&gt;""),ROUND(J481,0),"")</f>
        <v/>
      </c>
    </row>
    <row r="482" spans="2:11" x14ac:dyDescent="0.3">
      <c r="B482" s="2" t="str">
        <f>IFERROR(IF(A482&lt;&gt;"",VLOOKUP(Alunos!A482,Exame!A3:D1000,4, FALSE),""), "")</f>
        <v/>
      </c>
      <c r="C482" s="2" t="str">
        <f>IF(A482&lt;&gt;"",VLOOKUP(Alunos!A482,Agrupamentos!A3:C1000,2, FALSE),"")</f>
        <v/>
      </c>
      <c r="D482" s="2" t="str">
        <f>IFERROR(IF(A482&lt;&gt;"",VLOOKUP(Alunos!C482,'TP1'!A3:E1000,5, FALSE),""),"")</f>
        <v/>
      </c>
      <c r="E482" s="2" t="str">
        <f>IF(A482&lt;&gt;"",VLOOKUP(Alunos!A482,Agrupamentos!A3:C1000,3, FALSE),"")</f>
        <v/>
      </c>
      <c r="F482" s="2" t="str">
        <f>IFERROR(IF(A482&lt;&gt;"",VLOOKUP(Alunos!E482,'TP2'!A3:D1000,4, FALSE),""),"")</f>
        <v/>
      </c>
      <c r="G482" s="2" t="str">
        <f>IF(A482&lt;&gt;"", SUMIF(B1:F1,"&lt;&gt;",B482:F482),"")</f>
        <v/>
      </c>
      <c r="H482" s="2" t="str">
        <f>IF(AND(A482&lt;&gt;"",G482&lt;&gt;""),ROUND(G482,0),"")</f>
        <v/>
      </c>
      <c r="I482" s="2" t="str">
        <f>IFERROR(IF(A482&lt;&gt;"",VLOOKUP(Alunos!A482,Recurso!A3:D1000,4, FALSE),""), "")</f>
        <v/>
      </c>
      <c r="J482" s="2" t="str">
        <f>IF(AND(A482&lt;&gt;"",I482&lt;&gt;""), SUMIFS(B482:I482,B1:I1,"&lt;&gt;",B2:I2,"&lt;&gt;Exame",B2:I2,"&lt;&gt;exame",B2:I2,"&lt;&gt;Nota",B2:I2,"&lt;&gt;Total"),"")</f>
        <v/>
      </c>
      <c r="K482" s="2" t="str">
        <f>IF(AND(A482&lt;&gt;"",J482&lt;&gt;""),ROUND(J482,0),"")</f>
        <v/>
      </c>
    </row>
    <row r="483" spans="2:11" x14ac:dyDescent="0.3">
      <c r="B483" s="2" t="str">
        <f>IFERROR(IF(A483&lt;&gt;"",VLOOKUP(Alunos!A483,Exame!A3:D1000,4, FALSE),""), "")</f>
        <v/>
      </c>
      <c r="C483" s="2" t="str">
        <f>IF(A483&lt;&gt;"",VLOOKUP(Alunos!A483,Agrupamentos!A3:C1000,2, FALSE),"")</f>
        <v/>
      </c>
      <c r="D483" s="2" t="str">
        <f>IFERROR(IF(A483&lt;&gt;"",VLOOKUP(Alunos!C483,'TP1'!A3:E1000,5, FALSE),""),"")</f>
        <v/>
      </c>
      <c r="E483" s="2" t="str">
        <f>IF(A483&lt;&gt;"",VLOOKUP(Alunos!A483,Agrupamentos!A3:C1000,3, FALSE),"")</f>
        <v/>
      </c>
      <c r="F483" s="2" t="str">
        <f>IFERROR(IF(A483&lt;&gt;"",VLOOKUP(Alunos!E483,'TP2'!A3:D1000,4, FALSE),""),"")</f>
        <v/>
      </c>
      <c r="G483" s="2" t="str">
        <f>IF(A483&lt;&gt;"", SUMIF(B1:F1,"&lt;&gt;",B483:F483),"")</f>
        <v/>
      </c>
      <c r="H483" s="2" t="str">
        <f>IF(AND(A483&lt;&gt;"",G483&lt;&gt;""),ROUND(G483,0),"")</f>
        <v/>
      </c>
      <c r="I483" s="2" t="str">
        <f>IFERROR(IF(A483&lt;&gt;"",VLOOKUP(Alunos!A483,Recurso!A3:D1000,4, FALSE),""), "")</f>
        <v/>
      </c>
      <c r="J483" s="2" t="str">
        <f>IF(AND(A483&lt;&gt;"",I483&lt;&gt;""), SUMIFS(B483:I483,B1:I1,"&lt;&gt;",B2:I2,"&lt;&gt;Exame",B2:I2,"&lt;&gt;exame",B2:I2,"&lt;&gt;Nota",B2:I2,"&lt;&gt;Total"),"")</f>
        <v/>
      </c>
      <c r="K483" s="2" t="str">
        <f>IF(AND(A483&lt;&gt;"",J483&lt;&gt;""),ROUND(J483,0),"")</f>
        <v/>
      </c>
    </row>
    <row r="484" spans="2:11" x14ac:dyDescent="0.3">
      <c r="B484" s="2" t="str">
        <f>IFERROR(IF(A484&lt;&gt;"",VLOOKUP(Alunos!A484,Exame!A3:D1000,4, FALSE),""), "")</f>
        <v/>
      </c>
      <c r="C484" s="2" t="str">
        <f>IF(A484&lt;&gt;"",VLOOKUP(Alunos!A484,Agrupamentos!A3:C1000,2, FALSE),"")</f>
        <v/>
      </c>
      <c r="D484" s="2" t="str">
        <f>IFERROR(IF(A484&lt;&gt;"",VLOOKUP(Alunos!C484,'TP1'!A3:E1000,5, FALSE),""),"")</f>
        <v/>
      </c>
      <c r="E484" s="2" t="str">
        <f>IF(A484&lt;&gt;"",VLOOKUP(Alunos!A484,Agrupamentos!A3:C1000,3, FALSE),"")</f>
        <v/>
      </c>
      <c r="F484" s="2" t="str">
        <f>IFERROR(IF(A484&lt;&gt;"",VLOOKUP(Alunos!E484,'TP2'!A3:D1000,4, FALSE),""),"")</f>
        <v/>
      </c>
      <c r="G484" s="2" t="str">
        <f>IF(A484&lt;&gt;"", SUMIF(B1:F1,"&lt;&gt;",B484:F484),"")</f>
        <v/>
      </c>
      <c r="H484" s="2" t="str">
        <f>IF(AND(A484&lt;&gt;"",G484&lt;&gt;""),ROUND(G484,0),"")</f>
        <v/>
      </c>
      <c r="I484" s="2" t="str">
        <f>IFERROR(IF(A484&lt;&gt;"",VLOOKUP(Alunos!A484,Recurso!A3:D1000,4, FALSE),""), "")</f>
        <v/>
      </c>
      <c r="J484" s="2" t="str">
        <f>IF(AND(A484&lt;&gt;"",I484&lt;&gt;""), SUMIFS(B484:I484,B1:I1,"&lt;&gt;",B2:I2,"&lt;&gt;Exame",B2:I2,"&lt;&gt;exame",B2:I2,"&lt;&gt;Nota",B2:I2,"&lt;&gt;Total"),"")</f>
        <v/>
      </c>
      <c r="K484" s="2" t="str">
        <f>IF(AND(A484&lt;&gt;"",J484&lt;&gt;""),ROUND(J484,0),"")</f>
        <v/>
      </c>
    </row>
    <row r="485" spans="2:11" x14ac:dyDescent="0.3">
      <c r="B485" s="2" t="str">
        <f>IFERROR(IF(A485&lt;&gt;"",VLOOKUP(Alunos!A485,Exame!A3:D1000,4, FALSE),""), "")</f>
        <v/>
      </c>
      <c r="C485" s="2" t="str">
        <f>IF(A485&lt;&gt;"",VLOOKUP(Alunos!A485,Agrupamentos!A3:C1000,2, FALSE),"")</f>
        <v/>
      </c>
      <c r="D485" s="2" t="str">
        <f>IFERROR(IF(A485&lt;&gt;"",VLOOKUP(Alunos!C485,'TP1'!A3:E1000,5, FALSE),""),"")</f>
        <v/>
      </c>
      <c r="E485" s="2" t="str">
        <f>IF(A485&lt;&gt;"",VLOOKUP(Alunos!A485,Agrupamentos!A3:C1000,3, FALSE),"")</f>
        <v/>
      </c>
      <c r="F485" s="2" t="str">
        <f>IFERROR(IF(A485&lt;&gt;"",VLOOKUP(Alunos!E485,'TP2'!A3:D1000,4, FALSE),""),"")</f>
        <v/>
      </c>
      <c r="G485" s="2" t="str">
        <f>IF(A485&lt;&gt;"", SUMIF(B1:F1,"&lt;&gt;",B485:F485),"")</f>
        <v/>
      </c>
      <c r="H485" s="2" t="str">
        <f>IF(AND(A485&lt;&gt;"",G485&lt;&gt;""),ROUND(G485,0),"")</f>
        <v/>
      </c>
      <c r="I485" s="2" t="str">
        <f>IFERROR(IF(A485&lt;&gt;"",VLOOKUP(Alunos!A485,Recurso!A3:D1000,4, FALSE),""), "")</f>
        <v/>
      </c>
      <c r="J485" s="2" t="str">
        <f>IF(AND(A485&lt;&gt;"",I485&lt;&gt;""), SUMIFS(B485:I485,B1:I1,"&lt;&gt;",B2:I2,"&lt;&gt;Exame",B2:I2,"&lt;&gt;exame",B2:I2,"&lt;&gt;Nota",B2:I2,"&lt;&gt;Total"),"")</f>
        <v/>
      </c>
      <c r="K485" s="2" t="str">
        <f>IF(AND(A485&lt;&gt;"",J485&lt;&gt;""),ROUND(J485,0),"")</f>
        <v/>
      </c>
    </row>
    <row r="486" spans="2:11" x14ac:dyDescent="0.3">
      <c r="B486" s="2" t="str">
        <f>IFERROR(IF(A486&lt;&gt;"",VLOOKUP(Alunos!A486,Exame!A3:D1000,4, FALSE),""), "")</f>
        <v/>
      </c>
      <c r="C486" s="2" t="str">
        <f>IF(A486&lt;&gt;"",VLOOKUP(Alunos!A486,Agrupamentos!A3:C1000,2, FALSE),"")</f>
        <v/>
      </c>
      <c r="D486" s="2" t="str">
        <f>IFERROR(IF(A486&lt;&gt;"",VLOOKUP(Alunos!C486,'TP1'!A3:E1000,5, FALSE),""),"")</f>
        <v/>
      </c>
      <c r="E486" s="2" t="str">
        <f>IF(A486&lt;&gt;"",VLOOKUP(Alunos!A486,Agrupamentos!A3:C1000,3, FALSE),"")</f>
        <v/>
      </c>
      <c r="F486" s="2" t="str">
        <f>IFERROR(IF(A486&lt;&gt;"",VLOOKUP(Alunos!E486,'TP2'!A3:D1000,4, FALSE),""),"")</f>
        <v/>
      </c>
      <c r="G486" s="2" t="str">
        <f>IF(A486&lt;&gt;"", SUMIF(B1:F1,"&lt;&gt;",B486:F486),"")</f>
        <v/>
      </c>
      <c r="H486" s="2" t="str">
        <f>IF(AND(A486&lt;&gt;"",G486&lt;&gt;""),ROUND(G486,0),"")</f>
        <v/>
      </c>
      <c r="I486" s="2" t="str">
        <f>IFERROR(IF(A486&lt;&gt;"",VLOOKUP(Alunos!A486,Recurso!A3:D1000,4, FALSE),""), "")</f>
        <v/>
      </c>
      <c r="J486" s="2" t="str">
        <f>IF(AND(A486&lt;&gt;"",I486&lt;&gt;""), SUMIFS(B486:I486,B1:I1,"&lt;&gt;",B2:I2,"&lt;&gt;Exame",B2:I2,"&lt;&gt;exame",B2:I2,"&lt;&gt;Nota",B2:I2,"&lt;&gt;Total"),"")</f>
        <v/>
      </c>
      <c r="K486" s="2" t="str">
        <f>IF(AND(A486&lt;&gt;"",J486&lt;&gt;""),ROUND(J486,0),"")</f>
        <v/>
      </c>
    </row>
    <row r="487" spans="2:11" x14ac:dyDescent="0.3">
      <c r="B487" s="2" t="str">
        <f>IFERROR(IF(A487&lt;&gt;"",VLOOKUP(Alunos!A487,Exame!A3:D1000,4, FALSE),""), "")</f>
        <v/>
      </c>
      <c r="C487" s="2" t="str">
        <f>IF(A487&lt;&gt;"",VLOOKUP(Alunos!A487,Agrupamentos!A3:C1000,2, FALSE),"")</f>
        <v/>
      </c>
      <c r="D487" s="2" t="str">
        <f>IFERROR(IF(A487&lt;&gt;"",VLOOKUP(Alunos!C487,'TP1'!A3:E1000,5, FALSE),""),"")</f>
        <v/>
      </c>
      <c r="E487" s="2" t="str">
        <f>IF(A487&lt;&gt;"",VLOOKUP(Alunos!A487,Agrupamentos!A3:C1000,3, FALSE),"")</f>
        <v/>
      </c>
      <c r="F487" s="2" t="str">
        <f>IFERROR(IF(A487&lt;&gt;"",VLOOKUP(Alunos!E487,'TP2'!A3:D1000,4, FALSE),""),"")</f>
        <v/>
      </c>
      <c r="G487" s="2" t="str">
        <f>IF(A487&lt;&gt;"", SUMIF(B1:F1,"&lt;&gt;",B487:F487),"")</f>
        <v/>
      </c>
      <c r="H487" s="2" t="str">
        <f>IF(AND(A487&lt;&gt;"",G487&lt;&gt;""),ROUND(G487,0),"")</f>
        <v/>
      </c>
      <c r="I487" s="2" t="str">
        <f>IFERROR(IF(A487&lt;&gt;"",VLOOKUP(Alunos!A487,Recurso!A3:D1000,4, FALSE),""), "")</f>
        <v/>
      </c>
      <c r="J487" s="2" t="str">
        <f>IF(AND(A487&lt;&gt;"",I487&lt;&gt;""), SUMIFS(B487:I487,B1:I1,"&lt;&gt;",B2:I2,"&lt;&gt;Exame",B2:I2,"&lt;&gt;exame",B2:I2,"&lt;&gt;Nota",B2:I2,"&lt;&gt;Total"),"")</f>
        <v/>
      </c>
      <c r="K487" s="2" t="str">
        <f>IF(AND(A487&lt;&gt;"",J487&lt;&gt;""),ROUND(J487,0),"")</f>
        <v/>
      </c>
    </row>
    <row r="488" spans="2:11" x14ac:dyDescent="0.3">
      <c r="B488" s="2" t="str">
        <f>IFERROR(IF(A488&lt;&gt;"",VLOOKUP(Alunos!A488,Exame!A3:D1000,4, FALSE),""), "")</f>
        <v/>
      </c>
      <c r="C488" s="2" t="str">
        <f>IF(A488&lt;&gt;"",VLOOKUP(Alunos!A488,Agrupamentos!A3:C1000,2, FALSE),"")</f>
        <v/>
      </c>
      <c r="D488" s="2" t="str">
        <f>IFERROR(IF(A488&lt;&gt;"",VLOOKUP(Alunos!C488,'TP1'!A3:E1000,5, FALSE),""),"")</f>
        <v/>
      </c>
      <c r="E488" s="2" t="str">
        <f>IF(A488&lt;&gt;"",VLOOKUP(Alunos!A488,Agrupamentos!A3:C1000,3, FALSE),"")</f>
        <v/>
      </c>
      <c r="F488" s="2" t="str">
        <f>IFERROR(IF(A488&lt;&gt;"",VLOOKUP(Alunos!E488,'TP2'!A3:D1000,4, FALSE),""),"")</f>
        <v/>
      </c>
      <c r="G488" s="2" t="str">
        <f>IF(A488&lt;&gt;"", SUMIF(B1:F1,"&lt;&gt;",B488:F488),"")</f>
        <v/>
      </c>
      <c r="H488" s="2" t="str">
        <f>IF(AND(A488&lt;&gt;"",G488&lt;&gt;""),ROUND(G488,0),"")</f>
        <v/>
      </c>
      <c r="I488" s="2" t="str">
        <f>IFERROR(IF(A488&lt;&gt;"",VLOOKUP(Alunos!A488,Recurso!A3:D1000,4, FALSE),""), "")</f>
        <v/>
      </c>
      <c r="J488" s="2" t="str">
        <f>IF(AND(A488&lt;&gt;"",I488&lt;&gt;""), SUMIFS(B488:I488,B1:I1,"&lt;&gt;",B2:I2,"&lt;&gt;Exame",B2:I2,"&lt;&gt;exame",B2:I2,"&lt;&gt;Nota",B2:I2,"&lt;&gt;Total"),"")</f>
        <v/>
      </c>
      <c r="K488" s="2" t="str">
        <f>IF(AND(A488&lt;&gt;"",J488&lt;&gt;""),ROUND(J488,0),"")</f>
        <v/>
      </c>
    </row>
    <row r="489" spans="2:11" x14ac:dyDescent="0.3">
      <c r="B489" s="2" t="str">
        <f>IFERROR(IF(A489&lt;&gt;"",VLOOKUP(Alunos!A489,Exame!A3:D1000,4, FALSE),""), "")</f>
        <v/>
      </c>
      <c r="C489" s="2" t="str">
        <f>IF(A489&lt;&gt;"",VLOOKUP(Alunos!A489,Agrupamentos!A3:C1000,2, FALSE),"")</f>
        <v/>
      </c>
      <c r="D489" s="2" t="str">
        <f>IFERROR(IF(A489&lt;&gt;"",VLOOKUP(Alunos!C489,'TP1'!A3:E1000,5, FALSE),""),"")</f>
        <v/>
      </c>
      <c r="E489" s="2" t="str">
        <f>IF(A489&lt;&gt;"",VLOOKUP(Alunos!A489,Agrupamentos!A3:C1000,3, FALSE),"")</f>
        <v/>
      </c>
      <c r="F489" s="2" t="str">
        <f>IFERROR(IF(A489&lt;&gt;"",VLOOKUP(Alunos!E489,'TP2'!A3:D1000,4, FALSE),""),"")</f>
        <v/>
      </c>
      <c r="G489" s="2" t="str">
        <f>IF(A489&lt;&gt;"", SUMIF(B1:F1,"&lt;&gt;",B489:F489),"")</f>
        <v/>
      </c>
      <c r="H489" s="2" t="str">
        <f>IF(AND(A489&lt;&gt;"",G489&lt;&gt;""),ROUND(G489,0),"")</f>
        <v/>
      </c>
      <c r="I489" s="2" t="str">
        <f>IFERROR(IF(A489&lt;&gt;"",VLOOKUP(Alunos!A489,Recurso!A3:D1000,4, FALSE),""), "")</f>
        <v/>
      </c>
      <c r="J489" s="2" t="str">
        <f>IF(AND(A489&lt;&gt;"",I489&lt;&gt;""), SUMIFS(B489:I489,B1:I1,"&lt;&gt;",B2:I2,"&lt;&gt;Exame",B2:I2,"&lt;&gt;exame",B2:I2,"&lt;&gt;Nota",B2:I2,"&lt;&gt;Total"),"")</f>
        <v/>
      </c>
      <c r="K489" s="2" t="str">
        <f>IF(AND(A489&lt;&gt;"",J489&lt;&gt;""),ROUND(J489,0),"")</f>
        <v/>
      </c>
    </row>
    <row r="490" spans="2:11" x14ac:dyDescent="0.3">
      <c r="B490" s="2" t="str">
        <f>IFERROR(IF(A490&lt;&gt;"",VLOOKUP(Alunos!A490,Exame!A3:D1000,4, FALSE),""), "")</f>
        <v/>
      </c>
      <c r="C490" s="2" t="str">
        <f>IF(A490&lt;&gt;"",VLOOKUP(Alunos!A490,Agrupamentos!A3:C1000,2, FALSE),"")</f>
        <v/>
      </c>
      <c r="D490" s="2" t="str">
        <f>IFERROR(IF(A490&lt;&gt;"",VLOOKUP(Alunos!C490,'TP1'!A3:E1000,5, FALSE),""),"")</f>
        <v/>
      </c>
      <c r="E490" s="2" t="str">
        <f>IF(A490&lt;&gt;"",VLOOKUP(Alunos!A490,Agrupamentos!A3:C1000,3, FALSE),"")</f>
        <v/>
      </c>
      <c r="F490" s="2" t="str">
        <f>IFERROR(IF(A490&lt;&gt;"",VLOOKUP(Alunos!E490,'TP2'!A3:D1000,4, FALSE),""),"")</f>
        <v/>
      </c>
      <c r="G490" s="2" t="str">
        <f>IF(A490&lt;&gt;"", SUMIF(B1:F1,"&lt;&gt;",B490:F490),"")</f>
        <v/>
      </c>
      <c r="H490" s="2" t="str">
        <f>IF(AND(A490&lt;&gt;"",G490&lt;&gt;""),ROUND(G490,0),"")</f>
        <v/>
      </c>
      <c r="I490" s="2" t="str">
        <f>IFERROR(IF(A490&lt;&gt;"",VLOOKUP(Alunos!A490,Recurso!A3:D1000,4, FALSE),""), "")</f>
        <v/>
      </c>
      <c r="J490" s="2" t="str">
        <f>IF(AND(A490&lt;&gt;"",I490&lt;&gt;""), SUMIFS(B490:I490,B1:I1,"&lt;&gt;",B2:I2,"&lt;&gt;Exame",B2:I2,"&lt;&gt;exame",B2:I2,"&lt;&gt;Nota",B2:I2,"&lt;&gt;Total"),"")</f>
        <v/>
      </c>
      <c r="K490" s="2" t="str">
        <f>IF(AND(A490&lt;&gt;"",J490&lt;&gt;""),ROUND(J490,0),"")</f>
        <v/>
      </c>
    </row>
    <row r="491" spans="2:11" x14ac:dyDescent="0.3">
      <c r="B491" s="2" t="str">
        <f>IFERROR(IF(A491&lt;&gt;"",VLOOKUP(Alunos!A491,Exame!A3:D1000,4, FALSE),""), "")</f>
        <v/>
      </c>
      <c r="C491" s="2" t="str">
        <f>IF(A491&lt;&gt;"",VLOOKUP(Alunos!A491,Agrupamentos!A3:C1000,2, FALSE),"")</f>
        <v/>
      </c>
      <c r="D491" s="2" t="str">
        <f>IFERROR(IF(A491&lt;&gt;"",VLOOKUP(Alunos!C491,'TP1'!A3:E1000,5, FALSE),""),"")</f>
        <v/>
      </c>
      <c r="E491" s="2" t="str">
        <f>IF(A491&lt;&gt;"",VLOOKUP(Alunos!A491,Agrupamentos!A3:C1000,3, FALSE),"")</f>
        <v/>
      </c>
      <c r="F491" s="2" t="str">
        <f>IFERROR(IF(A491&lt;&gt;"",VLOOKUP(Alunos!E491,'TP2'!A3:D1000,4, FALSE),""),"")</f>
        <v/>
      </c>
      <c r="G491" s="2" t="str">
        <f>IF(A491&lt;&gt;"", SUMIF(B1:F1,"&lt;&gt;",B491:F491),"")</f>
        <v/>
      </c>
      <c r="H491" s="2" t="str">
        <f>IF(AND(A491&lt;&gt;"",G491&lt;&gt;""),ROUND(G491,0),"")</f>
        <v/>
      </c>
      <c r="I491" s="2" t="str">
        <f>IFERROR(IF(A491&lt;&gt;"",VLOOKUP(Alunos!A491,Recurso!A3:D1000,4, FALSE),""), "")</f>
        <v/>
      </c>
      <c r="J491" s="2" t="str">
        <f>IF(AND(A491&lt;&gt;"",I491&lt;&gt;""), SUMIFS(B491:I491,B1:I1,"&lt;&gt;",B2:I2,"&lt;&gt;Exame",B2:I2,"&lt;&gt;exame",B2:I2,"&lt;&gt;Nota",B2:I2,"&lt;&gt;Total"),"")</f>
        <v/>
      </c>
      <c r="K491" s="2" t="str">
        <f>IF(AND(A491&lt;&gt;"",J491&lt;&gt;""),ROUND(J491,0),"")</f>
        <v/>
      </c>
    </row>
    <row r="492" spans="2:11" x14ac:dyDescent="0.3">
      <c r="B492" s="2" t="str">
        <f>IFERROR(IF(A492&lt;&gt;"",VLOOKUP(Alunos!A492,Exame!A3:D1000,4, FALSE),""), "")</f>
        <v/>
      </c>
      <c r="C492" s="2" t="str">
        <f>IF(A492&lt;&gt;"",VLOOKUP(Alunos!A492,Agrupamentos!A3:C1000,2, FALSE),"")</f>
        <v/>
      </c>
      <c r="D492" s="2" t="str">
        <f>IFERROR(IF(A492&lt;&gt;"",VLOOKUP(Alunos!C492,'TP1'!A3:E1000,5, FALSE),""),"")</f>
        <v/>
      </c>
      <c r="E492" s="2" t="str">
        <f>IF(A492&lt;&gt;"",VLOOKUP(Alunos!A492,Agrupamentos!A3:C1000,3, FALSE),"")</f>
        <v/>
      </c>
      <c r="F492" s="2" t="str">
        <f>IFERROR(IF(A492&lt;&gt;"",VLOOKUP(Alunos!E492,'TP2'!A3:D1000,4, FALSE),""),"")</f>
        <v/>
      </c>
      <c r="G492" s="2" t="str">
        <f>IF(A492&lt;&gt;"", SUMIF(B1:F1,"&lt;&gt;",B492:F492),"")</f>
        <v/>
      </c>
      <c r="H492" s="2" t="str">
        <f>IF(AND(A492&lt;&gt;"",G492&lt;&gt;""),ROUND(G492,0),"")</f>
        <v/>
      </c>
      <c r="I492" s="2" t="str">
        <f>IFERROR(IF(A492&lt;&gt;"",VLOOKUP(Alunos!A492,Recurso!A3:D1000,4, FALSE),""), "")</f>
        <v/>
      </c>
      <c r="J492" s="2" t="str">
        <f>IF(AND(A492&lt;&gt;"",I492&lt;&gt;""), SUMIFS(B492:I492,B1:I1,"&lt;&gt;",B2:I2,"&lt;&gt;Exame",B2:I2,"&lt;&gt;exame",B2:I2,"&lt;&gt;Nota",B2:I2,"&lt;&gt;Total"),"")</f>
        <v/>
      </c>
      <c r="K492" s="2" t="str">
        <f>IF(AND(A492&lt;&gt;"",J492&lt;&gt;""),ROUND(J492,0),"")</f>
        <v/>
      </c>
    </row>
    <row r="493" spans="2:11" x14ac:dyDescent="0.3">
      <c r="B493" s="2" t="str">
        <f>IFERROR(IF(A493&lt;&gt;"",VLOOKUP(Alunos!A493,Exame!A3:D1000,4, FALSE),""), "")</f>
        <v/>
      </c>
      <c r="C493" s="2" t="str">
        <f>IF(A493&lt;&gt;"",VLOOKUP(Alunos!A493,Agrupamentos!A3:C1000,2, FALSE),"")</f>
        <v/>
      </c>
      <c r="D493" s="2" t="str">
        <f>IFERROR(IF(A493&lt;&gt;"",VLOOKUP(Alunos!C493,'TP1'!A3:E1000,5, FALSE),""),"")</f>
        <v/>
      </c>
      <c r="E493" s="2" t="str">
        <f>IF(A493&lt;&gt;"",VLOOKUP(Alunos!A493,Agrupamentos!A3:C1000,3, FALSE),"")</f>
        <v/>
      </c>
      <c r="F493" s="2" t="str">
        <f>IFERROR(IF(A493&lt;&gt;"",VLOOKUP(Alunos!E493,'TP2'!A3:D1000,4, FALSE),""),"")</f>
        <v/>
      </c>
      <c r="G493" s="2" t="str">
        <f>IF(A493&lt;&gt;"", SUMIF(B1:F1,"&lt;&gt;",B493:F493),"")</f>
        <v/>
      </c>
      <c r="H493" s="2" t="str">
        <f>IF(AND(A493&lt;&gt;"",G493&lt;&gt;""),ROUND(G493,0),"")</f>
        <v/>
      </c>
      <c r="I493" s="2" t="str">
        <f>IFERROR(IF(A493&lt;&gt;"",VLOOKUP(Alunos!A493,Recurso!A3:D1000,4, FALSE),""), "")</f>
        <v/>
      </c>
      <c r="J493" s="2" t="str">
        <f>IF(AND(A493&lt;&gt;"",I493&lt;&gt;""), SUMIFS(B493:I493,B1:I1,"&lt;&gt;",B2:I2,"&lt;&gt;Exame",B2:I2,"&lt;&gt;exame",B2:I2,"&lt;&gt;Nota",B2:I2,"&lt;&gt;Total"),"")</f>
        <v/>
      </c>
      <c r="K493" s="2" t="str">
        <f>IF(AND(A493&lt;&gt;"",J493&lt;&gt;""),ROUND(J493,0),"")</f>
        <v/>
      </c>
    </row>
    <row r="494" spans="2:11" x14ac:dyDescent="0.3">
      <c r="B494" s="2" t="str">
        <f>IFERROR(IF(A494&lt;&gt;"",VLOOKUP(Alunos!A494,Exame!A3:D1000,4, FALSE),""), "")</f>
        <v/>
      </c>
      <c r="C494" s="2" t="str">
        <f>IF(A494&lt;&gt;"",VLOOKUP(Alunos!A494,Agrupamentos!A3:C1000,2, FALSE),"")</f>
        <v/>
      </c>
      <c r="D494" s="2" t="str">
        <f>IFERROR(IF(A494&lt;&gt;"",VLOOKUP(Alunos!C494,'TP1'!A3:E1000,5, FALSE),""),"")</f>
        <v/>
      </c>
      <c r="E494" s="2" t="str">
        <f>IF(A494&lt;&gt;"",VLOOKUP(Alunos!A494,Agrupamentos!A3:C1000,3, FALSE),"")</f>
        <v/>
      </c>
      <c r="F494" s="2" t="str">
        <f>IFERROR(IF(A494&lt;&gt;"",VLOOKUP(Alunos!E494,'TP2'!A3:D1000,4, FALSE),""),"")</f>
        <v/>
      </c>
      <c r="G494" s="2" t="str">
        <f>IF(A494&lt;&gt;"", SUMIF(B1:F1,"&lt;&gt;",B494:F494),"")</f>
        <v/>
      </c>
      <c r="H494" s="2" t="str">
        <f>IF(AND(A494&lt;&gt;"",G494&lt;&gt;""),ROUND(G494,0),"")</f>
        <v/>
      </c>
      <c r="I494" s="2" t="str">
        <f>IFERROR(IF(A494&lt;&gt;"",VLOOKUP(Alunos!A494,Recurso!A3:D1000,4, FALSE),""), "")</f>
        <v/>
      </c>
      <c r="J494" s="2" t="str">
        <f>IF(AND(A494&lt;&gt;"",I494&lt;&gt;""), SUMIFS(B494:I494,B1:I1,"&lt;&gt;",B2:I2,"&lt;&gt;Exame",B2:I2,"&lt;&gt;exame",B2:I2,"&lt;&gt;Nota",B2:I2,"&lt;&gt;Total"),"")</f>
        <v/>
      </c>
      <c r="K494" s="2" t="str">
        <f>IF(AND(A494&lt;&gt;"",J494&lt;&gt;""),ROUND(J494,0),"")</f>
        <v/>
      </c>
    </row>
    <row r="495" spans="2:11" x14ac:dyDescent="0.3">
      <c r="B495" s="2" t="str">
        <f>IFERROR(IF(A495&lt;&gt;"",VLOOKUP(Alunos!A495,Exame!A3:D1000,4, FALSE),""), "")</f>
        <v/>
      </c>
      <c r="C495" s="2" t="str">
        <f>IF(A495&lt;&gt;"",VLOOKUP(Alunos!A495,Agrupamentos!A3:C1000,2, FALSE),"")</f>
        <v/>
      </c>
      <c r="D495" s="2" t="str">
        <f>IFERROR(IF(A495&lt;&gt;"",VLOOKUP(Alunos!C495,'TP1'!A3:E1000,5, FALSE),""),"")</f>
        <v/>
      </c>
      <c r="E495" s="2" t="str">
        <f>IF(A495&lt;&gt;"",VLOOKUP(Alunos!A495,Agrupamentos!A3:C1000,3, FALSE),"")</f>
        <v/>
      </c>
      <c r="F495" s="2" t="str">
        <f>IFERROR(IF(A495&lt;&gt;"",VLOOKUP(Alunos!E495,'TP2'!A3:D1000,4, FALSE),""),"")</f>
        <v/>
      </c>
      <c r="G495" s="2" t="str">
        <f>IF(A495&lt;&gt;"", SUMIF(B1:F1,"&lt;&gt;",B495:F495),"")</f>
        <v/>
      </c>
      <c r="H495" s="2" t="str">
        <f>IF(AND(A495&lt;&gt;"",G495&lt;&gt;""),ROUND(G495,0),"")</f>
        <v/>
      </c>
      <c r="I495" s="2" t="str">
        <f>IFERROR(IF(A495&lt;&gt;"",VLOOKUP(Alunos!A495,Recurso!A3:D1000,4, FALSE),""), "")</f>
        <v/>
      </c>
      <c r="J495" s="2" t="str">
        <f>IF(AND(A495&lt;&gt;"",I495&lt;&gt;""), SUMIFS(B495:I495,B1:I1,"&lt;&gt;",B2:I2,"&lt;&gt;Exame",B2:I2,"&lt;&gt;exame",B2:I2,"&lt;&gt;Nota",B2:I2,"&lt;&gt;Total"),"")</f>
        <v/>
      </c>
      <c r="K495" s="2" t="str">
        <f>IF(AND(A495&lt;&gt;"",J495&lt;&gt;""),ROUND(J495,0),"")</f>
        <v/>
      </c>
    </row>
    <row r="496" spans="2:11" x14ac:dyDescent="0.3">
      <c r="B496" s="2" t="str">
        <f>IFERROR(IF(A496&lt;&gt;"",VLOOKUP(Alunos!A496,Exame!A3:D1000,4, FALSE),""), "")</f>
        <v/>
      </c>
      <c r="C496" s="2" t="str">
        <f>IF(A496&lt;&gt;"",VLOOKUP(Alunos!A496,Agrupamentos!A3:C1000,2, FALSE),"")</f>
        <v/>
      </c>
      <c r="D496" s="2" t="str">
        <f>IFERROR(IF(A496&lt;&gt;"",VLOOKUP(Alunos!C496,'TP1'!A3:E1000,5, FALSE),""),"")</f>
        <v/>
      </c>
      <c r="E496" s="2" t="str">
        <f>IF(A496&lt;&gt;"",VLOOKUP(Alunos!A496,Agrupamentos!A3:C1000,3, FALSE),"")</f>
        <v/>
      </c>
      <c r="F496" s="2" t="str">
        <f>IFERROR(IF(A496&lt;&gt;"",VLOOKUP(Alunos!E496,'TP2'!A3:D1000,4, FALSE),""),"")</f>
        <v/>
      </c>
      <c r="G496" s="2" t="str">
        <f>IF(A496&lt;&gt;"", SUMIF(B1:F1,"&lt;&gt;",B496:F496),"")</f>
        <v/>
      </c>
      <c r="H496" s="2" t="str">
        <f>IF(AND(A496&lt;&gt;"",G496&lt;&gt;""),ROUND(G496,0),"")</f>
        <v/>
      </c>
      <c r="I496" s="2" t="str">
        <f>IFERROR(IF(A496&lt;&gt;"",VLOOKUP(Alunos!A496,Recurso!A3:D1000,4, FALSE),""), "")</f>
        <v/>
      </c>
      <c r="J496" s="2" t="str">
        <f>IF(AND(A496&lt;&gt;"",I496&lt;&gt;""), SUMIFS(B496:I496,B1:I1,"&lt;&gt;",B2:I2,"&lt;&gt;Exame",B2:I2,"&lt;&gt;exame",B2:I2,"&lt;&gt;Nota",B2:I2,"&lt;&gt;Total"),"")</f>
        <v/>
      </c>
      <c r="K496" s="2" t="str">
        <f>IF(AND(A496&lt;&gt;"",J496&lt;&gt;""),ROUND(J496,0),"")</f>
        <v/>
      </c>
    </row>
    <row r="497" spans="2:11" x14ac:dyDescent="0.3">
      <c r="B497" s="2" t="str">
        <f>IFERROR(IF(A497&lt;&gt;"",VLOOKUP(Alunos!A497,Exame!A3:D1000,4, FALSE),""), "")</f>
        <v/>
      </c>
      <c r="C497" s="2" t="str">
        <f>IF(A497&lt;&gt;"",VLOOKUP(Alunos!A497,Agrupamentos!A3:C1000,2, FALSE),"")</f>
        <v/>
      </c>
      <c r="D497" s="2" t="str">
        <f>IFERROR(IF(A497&lt;&gt;"",VLOOKUP(Alunos!C497,'TP1'!A3:E1000,5, FALSE),""),"")</f>
        <v/>
      </c>
      <c r="E497" s="2" t="str">
        <f>IF(A497&lt;&gt;"",VLOOKUP(Alunos!A497,Agrupamentos!A3:C1000,3, FALSE),"")</f>
        <v/>
      </c>
      <c r="F497" s="2" t="str">
        <f>IFERROR(IF(A497&lt;&gt;"",VLOOKUP(Alunos!E497,'TP2'!A3:D1000,4, FALSE),""),"")</f>
        <v/>
      </c>
      <c r="G497" s="2" t="str">
        <f>IF(A497&lt;&gt;"", SUMIF(B1:F1,"&lt;&gt;",B497:F497),"")</f>
        <v/>
      </c>
      <c r="H497" s="2" t="str">
        <f>IF(AND(A497&lt;&gt;"",G497&lt;&gt;""),ROUND(G497,0),"")</f>
        <v/>
      </c>
      <c r="I497" s="2" t="str">
        <f>IFERROR(IF(A497&lt;&gt;"",VLOOKUP(Alunos!A497,Recurso!A3:D1000,4, FALSE),""), "")</f>
        <v/>
      </c>
      <c r="J497" s="2" t="str">
        <f>IF(AND(A497&lt;&gt;"",I497&lt;&gt;""), SUMIFS(B497:I497,B1:I1,"&lt;&gt;",B2:I2,"&lt;&gt;Exame",B2:I2,"&lt;&gt;exame",B2:I2,"&lt;&gt;Nota",B2:I2,"&lt;&gt;Total"),"")</f>
        <v/>
      </c>
      <c r="K497" s="2" t="str">
        <f>IF(AND(A497&lt;&gt;"",J497&lt;&gt;""),ROUND(J497,0),"")</f>
        <v/>
      </c>
    </row>
    <row r="498" spans="2:11" x14ac:dyDescent="0.3">
      <c r="B498" s="2" t="str">
        <f>IFERROR(IF(A498&lt;&gt;"",VLOOKUP(Alunos!A498,Exame!A3:D1000,4, FALSE),""), "")</f>
        <v/>
      </c>
      <c r="C498" s="2" t="str">
        <f>IF(A498&lt;&gt;"",VLOOKUP(Alunos!A498,Agrupamentos!A3:C1000,2, FALSE),"")</f>
        <v/>
      </c>
      <c r="D498" s="2" t="str">
        <f>IFERROR(IF(A498&lt;&gt;"",VLOOKUP(Alunos!C498,'TP1'!A3:E1000,5, FALSE),""),"")</f>
        <v/>
      </c>
      <c r="E498" s="2" t="str">
        <f>IF(A498&lt;&gt;"",VLOOKUP(Alunos!A498,Agrupamentos!A3:C1000,3, FALSE),"")</f>
        <v/>
      </c>
      <c r="F498" s="2" t="str">
        <f>IFERROR(IF(A498&lt;&gt;"",VLOOKUP(Alunos!E498,'TP2'!A3:D1000,4, FALSE),""),"")</f>
        <v/>
      </c>
      <c r="G498" s="2" t="str">
        <f>IF(A498&lt;&gt;"", SUMIF(B1:F1,"&lt;&gt;",B498:F498),"")</f>
        <v/>
      </c>
      <c r="H498" s="2" t="str">
        <f>IF(AND(A498&lt;&gt;"",G498&lt;&gt;""),ROUND(G498,0),"")</f>
        <v/>
      </c>
      <c r="I498" s="2" t="str">
        <f>IFERROR(IF(A498&lt;&gt;"",VLOOKUP(Alunos!A498,Recurso!A3:D1000,4, FALSE),""), "")</f>
        <v/>
      </c>
      <c r="J498" s="2" t="str">
        <f>IF(AND(A498&lt;&gt;"",I498&lt;&gt;""), SUMIFS(B498:I498,B1:I1,"&lt;&gt;",B2:I2,"&lt;&gt;Exame",B2:I2,"&lt;&gt;exame",B2:I2,"&lt;&gt;Nota",B2:I2,"&lt;&gt;Total"),"")</f>
        <v/>
      </c>
      <c r="K498" s="2" t="str">
        <f>IF(AND(A498&lt;&gt;"",J498&lt;&gt;""),ROUND(J498,0),"")</f>
        <v/>
      </c>
    </row>
    <row r="499" spans="2:11" x14ac:dyDescent="0.3">
      <c r="B499" s="2" t="str">
        <f>IFERROR(IF(A499&lt;&gt;"",VLOOKUP(Alunos!A499,Exame!A3:D1000,4, FALSE),""), "")</f>
        <v/>
      </c>
      <c r="C499" s="2" t="str">
        <f>IF(A499&lt;&gt;"",VLOOKUP(Alunos!A499,Agrupamentos!A3:C1000,2, FALSE),"")</f>
        <v/>
      </c>
      <c r="D499" s="2" t="str">
        <f>IFERROR(IF(A499&lt;&gt;"",VLOOKUP(Alunos!C499,'TP1'!A3:E1000,5, FALSE),""),"")</f>
        <v/>
      </c>
      <c r="E499" s="2" t="str">
        <f>IF(A499&lt;&gt;"",VLOOKUP(Alunos!A499,Agrupamentos!A3:C1000,3, FALSE),"")</f>
        <v/>
      </c>
      <c r="F499" s="2" t="str">
        <f>IFERROR(IF(A499&lt;&gt;"",VLOOKUP(Alunos!E499,'TP2'!A3:D1000,4, FALSE),""),"")</f>
        <v/>
      </c>
      <c r="G499" s="2" t="str">
        <f>IF(A499&lt;&gt;"", SUMIF(B1:F1,"&lt;&gt;",B499:F499),"")</f>
        <v/>
      </c>
      <c r="H499" s="2" t="str">
        <f>IF(AND(A499&lt;&gt;"",G499&lt;&gt;""),ROUND(G499,0),"")</f>
        <v/>
      </c>
      <c r="I499" s="2" t="str">
        <f>IFERROR(IF(A499&lt;&gt;"",VLOOKUP(Alunos!A499,Recurso!A3:D1000,4, FALSE),""), "")</f>
        <v/>
      </c>
      <c r="J499" s="2" t="str">
        <f>IF(AND(A499&lt;&gt;"",I499&lt;&gt;""), SUMIFS(B499:I499,B1:I1,"&lt;&gt;",B2:I2,"&lt;&gt;Exame",B2:I2,"&lt;&gt;exame",B2:I2,"&lt;&gt;Nota",B2:I2,"&lt;&gt;Total"),"")</f>
        <v/>
      </c>
      <c r="K499" s="2" t="str">
        <f>IF(AND(A499&lt;&gt;"",J499&lt;&gt;""),ROUND(J499,0),"")</f>
        <v/>
      </c>
    </row>
    <row r="500" spans="2:11" x14ac:dyDescent="0.3">
      <c r="B500" s="2" t="str">
        <f>IFERROR(IF(A500&lt;&gt;"",VLOOKUP(Alunos!A500,Exame!A3:D1000,4, FALSE),""), "")</f>
        <v/>
      </c>
      <c r="C500" s="2" t="str">
        <f>IF(A500&lt;&gt;"",VLOOKUP(Alunos!A500,Agrupamentos!A3:C1000,2, FALSE),"")</f>
        <v/>
      </c>
      <c r="D500" s="2" t="str">
        <f>IFERROR(IF(A500&lt;&gt;"",VLOOKUP(Alunos!C500,'TP1'!A3:E1000,5, FALSE),""),"")</f>
        <v/>
      </c>
      <c r="E500" s="2" t="str">
        <f>IF(A500&lt;&gt;"",VLOOKUP(Alunos!A500,Agrupamentos!A3:C1000,3, FALSE),"")</f>
        <v/>
      </c>
      <c r="F500" s="2" t="str">
        <f>IFERROR(IF(A500&lt;&gt;"",VLOOKUP(Alunos!E500,'TP2'!A3:D1000,4, FALSE),""),"")</f>
        <v/>
      </c>
      <c r="G500" s="2" t="str">
        <f>IF(A500&lt;&gt;"", SUMIF(B1:F1,"&lt;&gt;",B500:F500),"")</f>
        <v/>
      </c>
      <c r="H500" s="2" t="str">
        <f>IF(AND(A500&lt;&gt;"",G500&lt;&gt;""),ROUND(G500,0),"")</f>
        <v/>
      </c>
      <c r="I500" s="2" t="str">
        <f>IFERROR(IF(A500&lt;&gt;"",VLOOKUP(Alunos!A500,Recurso!A3:D1000,4, FALSE),""), "")</f>
        <v/>
      </c>
      <c r="J500" s="2" t="str">
        <f>IF(AND(A500&lt;&gt;"",I500&lt;&gt;""), SUMIFS(B500:I500,B1:I1,"&lt;&gt;",B2:I2,"&lt;&gt;Exame",B2:I2,"&lt;&gt;exame",B2:I2,"&lt;&gt;Nota",B2:I2,"&lt;&gt;Total"),"")</f>
        <v/>
      </c>
      <c r="K500" s="2" t="str">
        <f>IF(AND(A500&lt;&gt;"",J500&lt;&gt;""),ROUND(J500,0),"")</f>
        <v/>
      </c>
    </row>
    <row r="501" spans="2:11" x14ac:dyDescent="0.3">
      <c r="B501" s="2" t="str">
        <f>IFERROR(IF(A501&lt;&gt;"",VLOOKUP(Alunos!A501,Exame!A3:D1000,4, FALSE),""), "")</f>
        <v/>
      </c>
      <c r="C501" s="2" t="str">
        <f>IF(A501&lt;&gt;"",VLOOKUP(Alunos!A501,Agrupamentos!A3:C1000,2, FALSE),"")</f>
        <v/>
      </c>
      <c r="D501" s="2" t="str">
        <f>IFERROR(IF(A501&lt;&gt;"",VLOOKUP(Alunos!C501,'TP1'!A3:E1000,5, FALSE),""),"")</f>
        <v/>
      </c>
      <c r="E501" s="2" t="str">
        <f>IF(A501&lt;&gt;"",VLOOKUP(Alunos!A501,Agrupamentos!A3:C1000,3, FALSE),"")</f>
        <v/>
      </c>
      <c r="F501" s="2" t="str">
        <f>IFERROR(IF(A501&lt;&gt;"",VLOOKUP(Alunos!E501,'TP2'!A3:D1000,4, FALSE),""),"")</f>
        <v/>
      </c>
      <c r="G501" s="2" t="str">
        <f>IF(A501&lt;&gt;"", SUMIF(B1:F1,"&lt;&gt;",B501:F501),"")</f>
        <v/>
      </c>
      <c r="H501" s="2" t="str">
        <f>IF(AND(A501&lt;&gt;"",G501&lt;&gt;""),ROUND(G501,0),"")</f>
        <v/>
      </c>
      <c r="I501" s="2" t="str">
        <f>IFERROR(IF(A501&lt;&gt;"",VLOOKUP(Alunos!A501,Recurso!A3:D1000,4, FALSE),""), "")</f>
        <v/>
      </c>
      <c r="J501" s="2" t="str">
        <f>IF(AND(A501&lt;&gt;"",I501&lt;&gt;""), SUMIFS(B501:I501,B1:I1,"&lt;&gt;",B2:I2,"&lt;&gt;Exame",B2:I2,"&lt;&gt;exame",B2:I2,"&lt;&gt;Nota",B2:I2,"&lt;&gt;Total"),"")</f>
        <v/>
      </c>
      <c r="K501" s="2" t="str">
        <f>IF(AND(A501&lt;&gt;"",J501&lt;&gt;""),ROUND(J501,0),"")</f>
        <v/>
      </c>
    </row>
    <row r="502" spans="2:11" x14ac:dyDescent="0.3">
      <c r="B502" s="2" t="str">
        <f>IFERROR(IF(A502&lt;&gt;"",VLOOKUP(Alunos!A502,Exame!A3:D1000,4, FALSE),""), "")</f>
        <v/>
      </c>
      <c r="C502" s="2" t="str">
        <f>IF(A502&lt;&gt;"",VLOOKUP(Alunos!A502,Agrupamentos!A3:C1000,2, FALSE),"")</f>
        <v/>
      </c>
      <c r="D502" s="2" t="str">
        <f>IFERROR(IF(A502&lt;&gt;"",VLOOKUP(Alunos!C502,'TP1'!A3:E1000,5, FALSE),""),"")</f>
        <v/>
      </c>
      <c r="E502" s="2" t="str">
        <f>IF(A502&lt;&gt;"",VLOOKUP(Alunos!A502,Agrupamentos!A3:C1000,3, FALSE),"")</f>
        <v/>
      </c>
      <c r="F502" s="2" t="str">
        <f>IFERROR(IF(A502&lt;&gt;"",VLOOKUP(Alunos!E502,'TP2'!A3:D1000,4, FALSE),""),"")</f>
        <v/>
      </c>
      <c r="G502" s="2" t="str">
        <f>IF(A502&lt;&gt;"", SUMIF(B1:F1,"&lt;&gt;",B502:F502),"")</f>
        <v/>
      </c>
      <c r="H502" s="2" t="str">
        <f>IF(AND(A502&lt;&gt;"",G502&lt;&gt;""),ROUND(G502,0),"")</f>
        <v/>
      </c>
      <c r="I502" s="2" t="str">
        <f>IFERROR(IF(A502&lt;&gt;"",VLOOKUP(Alunos!A502,Recurso!A3:D1000,4, FALSE),""), "")</f>
        <v/>
      </c>
      <c r="J502" s="2" t="str">
        <f>IF(AND(A502&lt;&gt;"",I502&lt;&gt;""), SUMIFS(B502:I502,B1:I1,"&lt;&gt;",B2:I2,"&lt;&gt;Exame",B2:I2,"&lt;&gt;exame",B2:I2,"&lt;&gt;Nota",B2:I2,"&lt;&gt;Total"),"")</f>
        <v/>
      </c>
      <c r="K502" s="2" t="str">
        <f>IF(AND(A502&lt;&gt;"",J502&lt;&gt;""),ROUND(J502,0),"")</f>
        <v/>
      </c>
    </row>
    <row r="503" spans="2:11" x14ac:dyDescent="0.3">
      <c r="B503" s="2" t="str">
        <f>IFERROR(IF(A503&lt;&gt;"",VLOOKUP(Alunos!A503,Exame!A3:D1000,4, FALSE),""), "")</f>
        <v/>
      </c>
      <c r="C503" s="2" t="str">
        <f>IF(A503&lt;&gt;"",VLOOKUP(Alunos!A503,Agrupamentos!A3:C1000,2, FALSE),"")</f>
        <v/>
      </c>
      <c r="D503" s="2" t="str">
        <f>IFERROR(IF(A503&lt;&gt;"",VLOOKUP(Alunos!C503,'TP1'!A3:E1000,5, FALSE),""),"")</f>
        <v/>
      </c>
      <c r="E503" s="2" t="str">
        <f>IF(A503&lt;&gt;"",VLOOKUP(Alunos!A503,Agrupamentos!A3:C1000,3, FALSE),"")</f>
        <v/>
      </c>
      <c r="F503" s="2" t="str">
        <f>IFERROR(IF(A503&lt;&gt;"",VLOOKUP(Alunos!E503,'TP2'!A3:D1000,4, FALSE),""),"")</f>
        <v/>
      </c>
      <c r="G503" s="2" t="str">
        <f>IF(A503&lt;&gt;"", SUMIF(B1:F1,"&lt;&gt;",B503:F503),"")</f>
        <v/>
      </c>
      <c r="H503" s="2" t="str">
        <f>IF(AND(A503&lt;&gt;"",G503&lt;&gt;""),ROUND(G503,0),"")</f>
        <v/>
      </c>
      <c r="I503" s="2" t="str">
        <f>IFERROR(IF(A503&lt;&gt;"",VLOOKUP(Alunos!A503,Recurso!A3:D1000,4, FALSE),""), "")</f>
        <v/>
      </c>
      <c r="J503" s="2" t="str">
        <f>IF(AND(A503&lt;&gt;"",I503&lt;&gt;""), SUMIFS(B503:I503,B1:I1,"&lt;&gt;",B2:I2,"&lt;&gt;Exame",B2:I2,"&lt;&gt;exame",B2:I2,"&lt;&gt;Nota",B2:I2,"&lt;&gt;Total"),"")</f>
        <v/>
      </c>
      <c r="K503" s="2" t="str">
        <f>IF(AND(A503&lt;&gt;"",J503&lt;&gt;""),ROUND(J503,0),"")</f>
        <v/>
      </c>
    </row>
    <row r="504" spans="2:11" x14ac:dyDescent="0.3">
      <c r="B504" s="2" t="str">
        <f>IFERROR(IF(A504&lt;&gt;"",VLOOKUP(Alunos!A504,Exame!A3:D1000,4, FALSE),""), "")</f>
        <v/>
      </c>
      <c r="C504" s="2" t="str">
        <f>IF(A504&lt;&gt;"",VLOOKUP(Alunos!A504,Agrupamentos!A3:C1000,2, FALSE),"")</f>
        <v/>
      </c>
      <c r="D504" s="2" t="str">
        <f>IFERROR(IF(A504&lt;&gt;"",VLOOKUP(Alunos!C504,'TP1'!A3:E1000,5, FALSE),""),"")</f>
        <v/>
      </c>
      <c r="E504" s="2" t="str">
        <f>IF(A504&lt;&gt;"",VLOOKUP(Alunos!A504,Agrupamentos!A3:C1000,3, FALSE),"")</f>
        <v/>
      </c>
      <c r="F504" s="2" t="str">
        <f>IFERROR(IF(A504&lt;&gt;"",VLOOKUP(Alunos!E504,'TP2'!A3:D1000,4, FALSE),""),"")</f>
        <v/>
      </c>
      <c r="G504" s="2" t="str">
        <f>IF(A504&lt;&gt;"", SUMIF(B1:F1,"&lt;&gt;",B504:F504),"")</f>
        <v/>
      </c>
      <c r="H504" s="2" t="str">
        <f>IF(AND(A504&lt;&gt;"",G504&lt;&gt;""),ROUND(G504,0),"")</f>
        <v/>
      </c>
      <c r="I504" s="2" t="str">
        <f>IFERROR(IF(A504&lt;&gt;"",VLOOKUP(Alunos!A504,Recurso!A3:D1000,4, FALSE),""), "")</f>
        <v/>
      </c>
      <c r="J504" s="2" t="str">
        <f>IF(AND(A504&lt;&gt;"",I504&lt;&gt;""), SUMIFS(B504:I504,B1:I1,"&lt;&gt;",B2:I2,"&lt;&gt;Exame",B2:I2,"&lt;&gt;exame",B2:I2,"&lt;&gt;Nota",B2:I2,"&lt;&gt;Total"),"")</f>
        <v/>
      </c>
      <c r="K504" s="2" t="str">
        <f>IF(AND(A504&lt;&gt;"",J504&lt;&gt;""),ROUND(J504,0),"")</f>
        <v/>
      </c>
    </row>
    <row r="505" spans="2:11" x14ac:dyDescent="0.3">
      <c r="B505" s="2" t="str">
        <f>IFERROR(IF(A505&lt;&gt;"",VLOOKUP(Alunos!A505,Exame!A3:D1000,4, FALSE),""), "")</f>
        <v/>
      </c>
      <c r="C505" s="2" t="str">
        <f>IF(A505&lt;&gt;"",VLOOKUP(Alunos!A505,Agrupamentos!A3:C1000,2, FALSE),"")</f>
        <v/>
      </c>
      <c r="D505" s="2" t="str">
        <f>IFERROR(IF(A505&lt;&gt;"",VLOOKUP(Alunos!C505,'TP1'!A3:E1000,5, FALSE),""),"")</f>
        <v/>
      </c>
      <c r="E505" s="2" t="str">
        <f>IF(A505&lt;&gt;"",VLOOKUP(Alunos!A505,Agrupamentos!A3:C1000,3, FALSE),"")</f>
        <v/>
      </c>
      <c r="F505" s="2" t="str">
        <f>IFERROR(IF(A505&lt;&gt;"",VLOOKUP(Alunos!E505,'TP2'!A3:D1000,4, FALSE),""),"")</f>
        <v/>
      </c>
      <c r="G505" s="2" t="str">
        <f>IF(A505&lt;&gt;"", SUMIF(B1:F1,"&lt;&gt;",B505:F505),"")</f>
        <v/>
      </c>
      <c r="H505" s="2" t="str">
        <f>IF(AND(A505&lt;&gt;"",G505&lt;&gt;""),ROUND(G505,0),"")</f>
        <v/>
      </c>
      <c r="I505" s="2" t="str">
        <f>IFERROR(IF(A505&lt;&gt;"",VLOOKUP(Alunos!A505,Recurso!A3:D1000,4, FALSE),""), "")</f>
        <v/>
      </c>
      <c r="J505" s="2" t="str">
        <f>IF(AND(A505&lt;&gt;"",I505&lt;&gt;""), SUMIFS(B505:I505,B1:I1,"&lt;&gt;",B2:I2,"&lt;&gt;Exame",B2:I2,"&lt;&gt;exame",B2:I2,"&lt;&gt;Nota",B2:I2,"&lt;&gt;Total"),"")</f>
        <v/>
      </c>
      <c r="K505" s="2" t="str">
        <f>IF(AND(A505&lt;&gt;"",J505&lt;&gt;""),ROUND(J505,0),"")</f>
        <v/>
      </c>
    </row>
    <row r="506" spans="2:11" x14ac:dyDescent="0.3">
      <c r="B506" s="2" t="str">
        <f>IFERROR(IF(A506&lt;&gt;"",VLOOKUP(Alunos!A506,Exame!A3:D1000,4, FALSE),""), "")</f>
        <v/>
      </c>
      <c r="C506" s="2" t="str">
        <f>IF(A506&lt;&gt;"",VLOOKUP(Alunos!A506,Agrupamentos!A3:C1000,2, FALSE),"")</f>
        <v/>
      </c>
      <c r="D506" s="2" t="str">
        <f>IFERROR(IF(A506&lt;&gt;"",VLOOKUP(Alunos!C506,'TP1'!A3:E1000,5, FALSE),""),"")</f>
        <v/>
      </c>
      <c r="E506" s="2" t="str">
        <f>IF(A506&lt;&gt;"",VLOOKUP(Alunos!A506,Agrupamentos!A3:C1000,3, FALSE),"")</f>
        <v/>
      </c>
      <c r="F506" s="2" t="str">
        <f>IFERROR(IF(A506&lt;&gt;"",VLOOKUP(Alunos!E506,'TP2'!A3:D1000,4, FALSE),""),"")</f>
        <v/>
      </c>
      <c r="G506" s="2" t="str">
        <f>IF(A506&lt;&gt;"", SUMIF(B1:F1,"&lt;&gt;",B506:F506),"")</f>
        <v/>
      </c>
      <c r="H506" s="2" t="str">
        <f>IF(AND(A506&lt;&gt;"",G506&lt;&gt;""),ROUND(G506,0),"")</f>
        <v/>
      </c>
      <c r="I506" s="2" t="str">
        <f>IFERROR(IF(A506&lt;&gt;"",VLOOKUP(Alunos!A506,Recurso!A3:D1000,4, FALSE),""), "")</f>
        <v/>
      </c>
      <c r="J506" s="2" t="str">
        <f>IF(AND(A506&lt;&gt;"",I506&lt;&gt;""), SUMIFS(B506:I506,B1:I1,"&lt;&gt;",B2:I2,"&lt;&gt;Exame",B2:I2,"&lt;&gt;exame",B2:I2,"&lt;&gt;Nota",B2:I2,"&lt;&gt;Total"),"")</f>
        <v/>
      </c>
      <c r="K506" s="2" t="str">
        <f>IF(AND(A506&lt;&gt;"",J506&lt;&gt;""),ROUND(J506,0),"")</f>
        <v/>
      </c>
    </row>
    <row r="507" spans="2:11" x14ac:dyDescent="0.3">
      <c r="B507" s="2" t="str">
        <f>IFERROR(IF(A507&lt;&gt;"",VLOOKUP(Alunos!A507,Exame!A3:D1000,4, FALSE),""), "")</f>
        <v/>
      </c>
      <c r="C507" s="2" t="str">
        <f>IF(A507&lt;&gt;"",VLOOKUP(Alunos!A507,Agrupamentos!A3:C1000,2, FALSE),"")</f>
        <v/>
      </c>
      <c r="D507" s="2" t="str">
        <f>IFERROR(IF(A507&lt;&gt;"",VLOOKUP(Alunos!C507,'TP1'!A3:E1000,5, FALSE),""),"")</f>
        <v/>
      </c>
      <c r="E507" s="2" t="str">
        <f>IF(A507&lt;&gt;"",VLOOKUP(Alunos!A507,Agrupamentos!A3:C1000,3, FALSE),"")</f>
        <v/>
      </c>
      <c r="F507" s="2" t="str">
        <f>IFERROR(IF(A507&lt;&gt;"",VLOOKUP(Alunos!E507,'TP2'!A3:D1000,4, FALSE),""),"")</f>
        <v/>
      </c>
      <c r="G507" s="2" t="str">
        <f>IF(A507&lt;&gt;"", SUMIF(B1:F1,"&lt;&gt;",B507:F507),"")</f>
        <v/>
      </c>
      <c r="H507" s="2" t="str">
        <f>IF(AND(A507&lt;&gt;"",G507&lt;&gt;""),ROUND(G507,0),"")</f>
        <v/>
      </c>
      <c r="I507" s="2" t="str">
        <f>IFERROR(IF(A507&lt;&gt;"",VLOOKUP(Alunos!A507,Recurso!A3:D1000,4, FALSE),""), "")</f>
        <v/>
      </c>
      <c r="J507" s="2" t="str">
        <f>IF(AND(A507&lt;&gt;"",I507&lt;&gt;""), SUMIFS(B507:I507,B1:I1,"&lt;&gt;",B2:I2,"&lt;&gt;Exame",B2:I2,"&lt;&gt;exame",B2:I2,"&lt;&gt;Nota",B2:I2,"&lt;&gt;Total"),"")</f>
        <v/>
      </c>
      <c r="K507" s="2" t="str">
        <f>IF(AND(A507&lt;&gt;"",J507&lt;&gt;""),ROUND(J507,0),"")</f>
        <v/>
      </c>
    </row>
    <row r="508" spans="2:11" x14ac:dyDescent="0.3">
      <c r="B508" s="2" t="str">
        <f>IFERROR(IF(A508&lt;&gt;"",VLOOKUP(Alunos!A508,Exame!A3:D1000,4, FALSE),""), "")</f>
        <v/>
      </c>
      <c r="C508" s="2" t="str">
        <f>IF(A508&lt;&gt;"",VLOOKUP(Alunos!A508,Agrupamentos!A3:C1000,2, FALSE),"")</f>
        <v/>
      </c>
      <c r="D508" s="2" t="str">
        <f>IFERROR(IF(A508&lt;&gt;"",VLOOKUP(Alunos!C508,'TP1'!A3:E1000,5, FALSE),""),"")</f>
        <v/>
      </c>
      <c r="E508" s="2" t="str">
        <f>IF(A508&lt;&gt;"",VLOOKUP(Alunos!A508,Agrupamentos!A3:C1000,3, FALSE),"")</f>
        <v/>
      </c>
      <c r="F508" s="2" t="str">
        <f>IFERROR(IF(A508&lt;&gt;"",VLOOKUP(Alunos!E508,'TP2'!A3:D1000,4, FALSE),""),"")</f>
        <v/>
      </c>
      <c r="G508" s="2" t="str">
        <f>IF(A508&lt;&gt;"", SUMIF(B1:F1,"&lt;&gt;",B508:F508),"")</f>
        <v/>
      </c>
      <c r="H508" s="2" t="str">
        <f>IF(AND(A508&lt;&gt;"",G508&lt;&gt;""),ROUND(G508,0),"")</f>
        <v/>
      </c>
      <c r="I508" s="2" t="str">
        <f>IFERROR(IF(A508&lt;&gt;"",VLOOKUP(Alunos!A508,Recurso!A3:D1000,4, FALSE),""), "")</f>
        <v/>
      </c>
      <c r="J508" s="2" t="str">
        <f>IF(AND(A508&lt;&gt;"",I508&lt;&gt;""), SUMIFS(B508:I508,B1:I1,"&lt;&gt;",B2:I2,"&lt;&gt;Exame",B2:I2,"&lt;&gt;exame",B2:I2,"&lt;&gt;Nota",B2:I2,"&lt;&gt;Total"),"")</f>
        <v/>
      </c>
      <c r="K508" s="2" t="str">
        <f>IF(AND(A508&lt;&gt;"",J508&lt;&gt;""),ROUND(J508,0),"")</f>
        <v/>
      </c>
    </row>
    <row r="509" spans="2:11" x14ac:dyDescent="0.3">
      <c r="B509" s="2" t="str">
        <f>IFERROR(IF(A509&lt;&gt;"",VLOOKUP(Alunos!A509,Exame!A3:D1000,4, FALSE),""), "")</f>
        <v/>
      </c>
      <c r="C509" s="2" t="str">
        <f>IF(A509&lt;&gt;"",VLOOKUP(Alunos!A509,Agrupamentos!A3:C1000,2, FALSE),"")</f>
        <v/>
      </c>
      <c r="D509" s="2" t="str">
        <f>IFERROR(IF(A509&lt;&gt;"",VLOOKUP(Alunos!C509,'TP1'!A3:E1000,5, FALSE),""),"")</f>
        <v/>
      </c>
      <c r="E509" s="2" t="str">
        <f>IF(A509&lt;&gt;"",VLOOKUP(Alunos!A509,Agrupamentos!A3:C1000,3, FALSE),"")</f>
        <v/>
      </c>
      <c r="F509" s="2" t="str">
        <f>IFERROR(IF(A509&lt;&gt;"",VLOOKUP(Alunos!E509,'TP2'!A3:D1000,4, FALSE),""),"")</f>
        <v/>
      </c>
      <c r="G509" s="2" t="str">
        <f>IF(A509&lt;&gt;"", SUMIF(B1:F1,"&lt;&gt;",B509:F509),"")</f>
        <v/>
      </c>
      <c r="H509" s="2" t="str">
        <f>IF(AND(A509&lt;&gt;"",G509&lt;&gt;""),ROUND(G509,0),"")</f>
        <v/>
      </c>
      <c r="I509" s="2" t="str">
        <f>IFERROR(IF(A509&lt;&gt;"",VLOOKUP(Alunos!A509,Recurso!A3:D1000,4, FALSE),""), "")</f>
        <v/>
      </c>
      <c r="J509" s="2" t="str">
        <f>IF(AND(A509&lt;&gt;"",I509&lt;&gt;""), SUMIFS(B509:I509,B1:I1,"&lt;&gt;",B2:I2,"&lt;&gt;Exame",B2:I2,"&lt;&gt;exame",B2:I2,"&lt;&gt;Nota",B2:I2,"&lt;&gt;Total"),"")</f>
        <v/>
      </c>
      <c r="K509" s="2" t="str">
        <f>IF(AND(A509&lt;&gt;"",J509&lt;&gt;""),ROUND(J509,0),"")</f>
        <v/>
      </c>
    </row>
    <row r="510" spans="2:11" x14ac:dyDescent="0.3">
      <c r="B510" s="2" t="str">
        <f>IFERROR(IF(A510&lt;&gt;"",VLOOKUP(Alunos!A510,Exame!A3:D1000,4, FALSE),""), "")</f>
        <v/>
      </c>
      <c r="C510" s="2" t="str">
        <f>IF(A510&lt;&gt;"",VLOOKUP(Alunos!A510,Agrupamentos!A3:C1000,2, FALSE),"")</f>
        <v/>
      </c>
      <c r="D510" s="2" t="str">
        <f>IFERROR(IF(A510&lt;&gt;"",VLOOKUP(Alunos!C510,'TP1'!A3:E1000,5, FALSE),""),"")</f>
        <v/>
      </c>
      <c r="E510" s="2" t="str">
        <f>IF(A510&lt;&gt;"",VLOOKUP(Alunos!A510,Agrupamentos!A3:C1000,3, FALSE),"")</f>
        <v/>
      </c>
      <c r="F510" s="2" t="str">
        <f>IFERROR(IF(A510&lt;&gt;"",VLOOKUP(Alunos!E510,'TP2'!A3:D1000,4, FALSE),""),"")</f>
        <v/>
      </c>
      <c r="G510" s="2" t="str">
        <f>IF(A510&lt;&gt;"", SUMIF(B1:F1,"&lt;&gt;",B510:F510),"")</f>
        <v/>
      </c>
      <c r="H510" s="2" t="str">
        <f>IF(AND(A510&lt;&gt;"",G510&lt;&gt;""),ROUND(G510,0),"")</f>
        <v/>
      </c>
      <c r="I510" s="2" t="str">
        <f>IFERROR(IF(A510&lt;&gt;"",VLOOKUP(Alunos!A510,Recurso!A3:D1000,4, FALSE),""), "")</f>
        <v/>
      </c>
      <c r="J510" s="2" t="str">
        <f>IF(AND(A510&lt;&gt;"",I510&lt;&gt;""), SUMIFS(B510:I510,B1:I1,"&lt;&gt;",B2:I2,"&lt;&gt;Exame",B2:I2,"&lt;&gt;exame",B2:I2,"&lt;&gt;Nota",B2:I2,"&lt;&gt;Total"),"")</f>
        <v/>
      </c>
      <c r="K510" s="2" t="str">
        <f>IF(AND(A510&lt;&gt;"",J510&lt;&gt;""),ROUND(J510,0),"")</f>
        <v/>
      </c>
    </row>
    <row r="511" spans="2:11" x14ac:dyDescent="0.3">
      <c r="B511" s="2" t="str">
        <f>IFERROR(IF(A511&lt;&gt;"",VLOOKUP(Alunos!A511,Exame!A3:D1000,4, FALSE),""), "")</f>
        <v/>
      </c>
      <c r="C511" s="2" t="str">
        <f>IF(A511&lt;&gt;"",VLOOKUP(Alunos!A511,Agrupamentos!A3:C1000,2, FALSE),"")</f>
        <v/>
      </c>
      <c r="D511" s="2" t="str">
        <f>IFERROR(IF(A511&lt;&gt;"",VLOOKUP(Alunos!C511,'TP1'!A3:E1000,5, FALSE),""),"")</f>
        <v/>
      </c>
      <c r="E511" s="2" t="str">
        <f>IF(A511&lt;&gt;"",VLOOKUP(Alunos!A511,Agrupamentos!A3:C1000,3, FALSE),"")</f>
        <v/>
      </c>
      <c r="F511" s="2" t="str">
        <f>IFERROR(IF(A511&lt;&gt;"",VLOOKUP(Alunos!E511,'TP2'!A3:D1000,4, FALSE),""),"")</f>
        <v/>
      </c>
      <c r="G511" s="2" t="str">
        <f>IF(A511&lt;&gt;"", SUMIF(B1:F1,"&lt;&gt;",B511:F511),"")</f>
        <v/>
      </c>
      <c r="H511" s="2" t="str">
        <f>IF(AND(A511&lt;&gt;"",G511&lt;&gt;""),ROUND(G511,0),"")</f>
        <v/>
      </c>
      <c r="I511" s="2" t="str">
        <f>IFERROR(IF(A511&lt;&gt;"",VLOOKUP(Alunos!A511,Recurso!A3:D1000,4, FALSE),""), "")</f>
        <v/>
      </c>
      <c r="J511" s="2" t="str">
        <f>IF(AND(A511&lt;&gt;"",I511&lt;&gt;""), SUMIFS(B511:I511,B1:I1,"&lt;&gt;",B2:I2,"&lt;&gt;Exame",B2:I2,"&lt;&gt;exame",B2:I2,"&lt;&gt;Nota",B2:I2,"&lt;&gt;Total"),"")</f>
        <v/>
      </c>
      <c r="K511" s="2" t="str">
        <f>IF(AND(A511&lt;&gt;"",J511&lt;&gt;""),ROUND(J511,0),"")</f>
        <v/>
      </c>
    </row>
    <row r="512" spans="2:11" x14ac:dyDescent="0.3">
      <c r="B512" s="2" t="str">
        <f>IFERROR(IF(A512&lt;&gt;"",VLOOKUP(Alunos!A512,Exame!A3:D1000,4, FALSE),""), "")</f>
        <v/>
      </c>
      <c r="C512" s="2" t="str">
        <f>IF(A512&lt;&gt;"",VLOOKUP(Alunos!A512,Agrupamentos!A3:C1000,2, FALSE),"")</f>
        <v/>
      </c>
      <c r="D512" s="2" t="str">
        <f>IFERROR(IF(A512&lt;&gt;"",VLOOKUP(Alunos!C512,'TP1'!A3:E1000,5, FALSE),""),"")</f>
        <v/>
      </c>
      <c r="E512" s="2" t="str">
        <f>IF(A512&lt;&gt;"",VLOOKUP(Alunos!A512,Agrupamentos!A3:C1000,3, FALSE),"")</f>
        <v/>
      </c>
      <c r="F512" s="2" t="str">
        <f>IFERROR(IF(A512&lt;&gt;"",VLOOKUP(Alunos!E512,'TP2'!A3:D1000,4, FALSE),""),"")</f>
        <v/>
      </c>
      <c r="G512" s="2" t="str">
        <f>IF(A512&lt;&gt;"", SUMIF(B1:F1,"&lt;&gt;",B512:F512),"")</f>
        <v/>
      </c>
      <c r="H512" s="2" t="str">
        <f>IF(AND(A512&lt;&gt;"",G512&lt;&gt;""),ROUND(G512,0),"")</f>
        <v/>
      </c>
      <c r="I512" s="2" t="str">
        <f>IFERROR(IF(A512&lt;&gt;"",VLOOKUP(Alunos!A512,Recurso!A3:D1000,4, FALSE),""), "")</f>
        <v/>
      </c>
      <c r="J512" s="2" t="str">
        <f>IF(AND(A512&lt;&gt;"",I512&lt;&gt;""), SUMIFS(B512:I512,B1:I1,"&lt;&gt;",B2:I2,"&lt;&gt;Exame",B2:I2,"&lt;&gt;exame",B2:I2,"&lt;&gt;Nota",B2:I2,"&lt;&gt;Total"),"")</f>
        <v/>
      </c>
      <c r="K512" s="2" t="str">
        <f>IF(AND(A512&lt;&gt;"",J512&lt;&gt;""),ROUND(J512,0),"")</f>
        <v/>
      </c>
    </row>
    <row r="513" spans="2:11" x14ac:dyDescent="0.3">
      <c r="B513" s="2" t="str">
        <f>IFERROR(IF(A513&lt;&gt;"",VLOOKUP(Alunos!A513,Exame!A3:D1000,4, FALSE),""), "")</f>
        <v/>
      </c>
      <c r="C513" s="2" t="str">
        <f>IF(A513&lt;&gt;"",VLOOKUP(Alunos!A513,Agrupamentos!A3:C1000,2, FALSE),"")</f>
        <v/>
      </c>
      <c r="D513" s="2" t="str">
        <f>IFERROR(IF(A513&lt;&gt;"",VLOOKUP(Alunos!C513,'TP1'!A3:E1000,5, FALSE),""),"")</f>
        <v/>
      </c>
      <c r="E513" s="2" t="str">
        <f>IF(A513&lt;&gt;"",VLOOKUP(Alunos!A513,Agrupamentos!A3:C1000,3, FALSE),"")</f>
        <v/>
      </c>
      <c r="F513" s="2" t="str">
        <f>IFERROR(IF(A513&lt;&gt;"",VLOOKUP(Alunos!E513,'TP2'!A3:D1000,4, FALSE),""),"")</f>
        <v/>
      </c>
      <c r="G513" s="2" t="str">
        <f>IF(A513&lt;&gt;"", SUMIF(B1:F1,"&lt;&gt;",B513:F513),"")</f>
        <v/>
      </c>
      <c r="H513" s="2" t="str">
        <f>IF(AND(A513&lt;&gt;"",G513&lt;&gt;""),ROUND(G513,0),"")</f>
        <v/>
      </c>
      <c r="I513" s="2" t="str">
        <f>IFERROR(IF(A513&lt;&gt;"",VLOOKUP(Alunos!A513,Recurso!A3:D1000,4, FALSE),""), "")</f>
        <v/>
      </c>
      <c r="J513" s="2" t="str">
        <f>IF(AND(A513&lt;&gt;"",I513&lt;&gt;""), SUMIFS(B513:I513,B1:I1,"&lt;&gt;",B2:I2,"&lt;&gt;Exame",B2:I2,"&lt;&gt;exame",B2:I2,"&lt;&gt;Nota",B2:I2,"&lt;&gt;Total"),"")</f>
        <v/>
      </c>
      <c r="K513" s="2" t="str">
        <f>IF(AND(A513&lt;&gt;"",J513&lt;&gt;""),ROUND(J513,0),"")</f>
        <v/>
      </c>
    </row>
    <row r="514" spans="2:11" x14ac:dyDescent="0.3">
      <c r="B514" s="2" t="str">
        <f>IFERROR(IF(A514&lt;&gt;"",VLOOKUP(Alunos!A514,Exame!A3:D1000,4, FALSE),""), "")</f>
        <v/>
      </c>
      <c r="C514" s="2" t="str">
        <f>IF(A514&lt;&gt;"",VLOOKUP(Alunos!A514,Agrupamentos!A3:C1000,2, FALSE),"")</f>
        <v/>
      </c>
      <c r="D514" s="2" t="str">
        <f>IFERROR(IF(A514&lt;&gt;"",VLOOKUP(Alunos!C514,'TP1'!A3:E1000,5, FALSE),""),"")</f>
        <v/>
      </c>
      <c r="E514" s="2" t="str">
        <f>IF(A514&lt;&gt;"",VLOOKUP(Alunos!A514,Agrupamentos!A3:C1000,3, FALSE),"")</f>
        <v/>
      </c>
      <c r="F514" s="2" t="str">
        <f>IFERROR(IF(A514&lt;&gt;"",VLOOKUP(Alunos!E514,'TP2'!A3:D1000,4, FALSE),""),"")</f>
        <v/>
      </c>
      <c r="G514" s="2" t="str">
        <f>IF(A514&lt;&gt;"", SUMIF(B1:F1,"&lt;&gt;",B514:F514),"")</f>
        <v/>
      </c>
      <c r="H514" s="2" t="str">
        <f>IF(AND(A514&lt;&gt;"",G514&lt;&gt;""),ROUND(G514,0),"")</f>
        <v/>
      </c>
      <c r="I514" s="2" t="str">
        <f>IFERROR(IF(A514&lt;&gt;"",VLOOKUP(Alunos!A514,Recurso!A3:D1000,4, FALSE),""), "")</f>
        <v/>
      </c>
      <c r="J514" s="2" t="str">
        <f>IF(AND(A514&lt;&gt;"",I514&lt;&gt;""), SUMIFS(B514:I514,B1:I1,"&lt;&gt;",B2:I2,"&lt;&gt;Exame",B2:I2,"&lt;&gt;exame",B2:I2,"&lt;&gt;Nota",B2:I2,"&lt;&gt;Total"),"")</f>
        <v/>
      </c>
      <c r="K514" s="2" t="str">
        <f>IF(AND(A514&lt;&gt;"",J514&lt;&gt;""),ROUND(J514,0),"")</f>
        <v/>
      </c>
    </row>
    <row r="515" spans="2:11" x14ac:dyDescent="0.3">
      <c r="B515" s="2" t="str">
        <f>IFERROR(IF(A515&lt;&gt;"",VLOOKUP(Alunos!A515,Exame!A3:D1000,4, FALSE),""), "")</f>
        <v/>
      </c>
      <c r="C515" s="2" t="str">
        <f>IF(A515&lt;&gt;"",VLOOKUP(Alunos!A515,Agrupamentos!A3:C1000,2, FALSE),"")</f>
        <v/>
      </c>
      <c r="D515" s="2" t="str">
        <f>IFERROR(IF(A515&lt;&gt;"",VLOOKUP(Alunos!C515,'TP1'!A3:E1000,5, FALSE),""),"")</f>
        <v/>
      </c>
      <c r="E515" s="2" t="str">
        <f>IF(A515&lt;&gt;"",VLOOKUP(Alunos!A515,Agrupamentos!A3:C1000,3, FALSE),"")</f>
        <v/>
      </c>
      <c r="F515" s="2" t="str">
        <f>IFERROR(IF(A515&lt;&gt;"",VLOOKUP(Alunos!E515,'TP2'!A3:D1000,4, FALSE),""),"")</f>
        <v/>
      </c>
      <c r="G515" s="2" t="str">
        <f>IF(A515&lt;&gt;"", SUMIF(B1:F1,"&lt;&gt;",B515:F515),"")</f>
        <v/>
      </c>
      <c r="H515" s="2" t="str">
        <f>IF(AND(A515&lt;&gt;"",G515&lt;&gt;""),ROUND(G515,0),"")</f>
        <v/>
      </c>
      <c r="I515" s="2" t="str">
        <f>IFERROR(IF(A515&lt;&gt;"",VLOOKUP(Alunos!A515,Recurso!A3:D1000,4, FALSE),""), "")</f>
        <v/>
      </c>
      <c r="J515" s="2" t="str">
        <f>IF(AND(A515&lt;&gt;"",I515&lt;&gt;""), SUMIFS(B515:I515,B1:I1,"&lt;&gt;",B2:I2,"&lt;&gt;Exame",B2:I2,"&lt;&gt;exame",B2:I2,"&lt;&gt;Nota",B2:I2,"&lt;&gt;Total"),"")</f>
        <v/>
      </c>
      <c r="K515" s="2" t="str">
        <f>IF(AND(A515&lt;&gt;"",J515&lt;&gt;""),ROUND(J515,0),"")</f>
        <v/>
      </c>
    </row>
    <row r="516" spans="2:11" x14ac:dyDescent="0.3">
      <c r="B516" s="2" t="str">
        <f>IFERROR(IF(A516&lt;&gt;"",VLOOKUP(Alunos!A516,Exame!A3:D1000,4, FALSE),""), "")</f>
        <v/>
      </c>
      <c r="C516" s="2" t="str">
        <f>IF(A516&lt;&gt;"",VLOOKUP(Alunos!A516,Agrupamentos!A3:C1000,2, FALSE),"")</f>
        <v/>
      </c>
      <c r="D516" s="2" t="str">
        <f>IFERROR(IF(A516&lt;&gt;"",VLOOKUP(Alunos!C516,'TP1'!A3:E1000,5, FALSE),""),"")</f>
        <v/>
      </c>
      <c r="E516" s="2" t="str">
        <f>IF(A516&lt;&gt;"",VLOOKUP(Alunos!A516,Agrupamentos!A3:C1000,3, FALSE),"")</f>
        <v/>
      </c>
      <c r="F516" s="2" t="str">
        <f>IFERROR(IF(A516&lt;&gt;"",VLOOKUP(Alunos!E516,'TP2'!A3:D1000,4, FALSE),""),"")</f>
        <v/>
      </c>
      <c r="G516" s="2" t="str">
        <f>IF(A516&lt;&gt;"", SUMIF(B1:F1,"&lt;&gt;",B516:F516),"")</f>
        <v/>
      </c>
      <c r="H516" s="2" t="str">
        <f>IF(AND(A516&lt;&gt;"",G516&lt;&gt;""),ROUND(G516,0),"")</f>
        <v/>
      </c>
      <c r="I516" s="2" t="str">
        <f>IFERROR(IF(A516&lt;&gt;"",VLOOKUP(Alunos!A516,Recurso!A3:D1000,4, FALSE),""), "")</f>
        <v/>
      </c>
      <c r="J516" s="2" t="str">
        <f>IF(AND(A516&lt;&gt;"",I516&lt;&gt;""), SUMIFS(B516:I516,B1:I1,"&lt;&gt;",B2:I2,"&lt;&gt;Exame",B2:I2,"&lt;&gt;exame",B2:I2,"&lt;&gt;Nota",B2:I2,"&lt;&gt;Total"),"")</f>
        <v/>
      </c>
      <c r="K516" s="2" t="str">
        <f>IF(AND(A516&lt;&gt;"",J516&lt;&gt;""),ROUND(J516,0),"")</f>
        <v/>
      </c>
    </row>
    <row r="517" spans="2:11" x14ac:dyDescent="0.3">
      <c r="B517" s="2" t="str">
        <f>IFERROR(IF(A517&lt;&gt;"",VLOOKUP(Alunos!A517,Exame!A3:D1000,4, FALSE),""), "")</f>
        <v/>
      </c>
      <c r="C517" s="2" t="str">
        <f>IF(A517&lt;&gt;"",VLOOKUP(Alunos!A517,Agrupamentos!A3:C1000,2, FALSE),"")</f>
        <v/>
      </c>
      <c r="D517" s="2" t="str">
        <f>IFERROR(IF(A517&lt;&gt;"",VLOOKUP(Alunos!C517,'TP1'!A3:E1000,5, FALSE),""),"")</f>
        <v/>
      </c>
      <c r="E517" s="2" t="str">
        <f>IF(A517&lt;&gt;"",VLOOKUP(Alunos!A517,Agrupamentos!A3:C1000,3, FALSE),"")</f>
        <v/>
      </c>
      <c r="F517" s="2" t="str">
        <f>IFERROR(IF(A517&lt;&gt;"",VLOOKUP(Alunos!E517,'TP2'!A3:D1000,4, FALSE),""),"")</f>
        <v/>
      </c>
      <c r="G517" s="2" t="str">
        <f>IF(A517&lt;&gt;"", SUMIF(B1:F1,"&lt;&gt;",B517:F517),"")</f>
        <v/>
      </c>
      <c r="H517" s="2" t="str">
        <f>IF(AND(A517&lt;&gt;"",G517&lt;&gt;""),ROUND(G517,0),"")</f>
        <v/>
      </c>
      <c r="I517" s="2" t="str">
        <f>IFERROR(IF(A517&lt;&gt;"",VLOOKUP(Alunos!A517,Recurso!A3:D1000,4, FALSE),""), "")</f>
        <v/>
      </c>
      <c r="J517" s="2" t="str">
        <f>IF(AND(A517&lt;&gt;"",I517&lt;&gt;""), SUMIFS(B517:I517,B1:I1,"&lt;&gt;",B2:I2,"&lt;&gt;Exame",B2:I2,"&lt;&gt;exame",B2:I2,"&lt;&gt;Nota",B2:I2,"&lt;&gt;Total"),"")</f>
        <v/>
      </c>
      <c r="K517" s="2" t="str">
        <f>IF(AND(A517&lt;&gt;"",J517&lt;&gt;""),ROUND(J517,0),"")</f>
        <v/>
      </c>
    </row>
    <row r="518" spans="2:11" x14ac:dyDescent="0.3">
      <c r="B518" s="2" t="str">
        <f>IFERROR(IF(A518&lt;&gt;"",VLOOKUP(Alunos!A518,Exame!A3:D1000,4, FALSE),""), "")</f>
        <v/>
      </c>
      <c r="C518" s="2" t="str">
        <f>IF(A518&lt;&gt;"",VLOOKUP(Alunos!A518,Agrupamentos!A3:C1000,2, FALSE),"")</f>
        <v/>
      </c>
      <c r="D518" s="2" t="str">
        <f>IFERROR(IF(A518&lt;&gt;"",VLOOKUP(Alunos!C518,'TP1'!A3:E1000,5, FALSE),""),"")</f>
        <v/>
      </c>
      <c r="E518" s="2" t="str">
        <f>IF(A518&lt;&gt;"",VLOOKUP(Alunos!A518,Agrupamentos!A3:C1000,3, FALSE),"")</f>
        <v/>
      </c>
      <c r="F518" s="2" t="str">
        <f>IFERROR(IF(A518&lt;&gt;"",VLOOKUP(Alunos!E518,'TP2'!A3:D1000,4, FALSE),""),"")</f>
        <v/>
      </c>
      <c r="G518" s="2" t="str">
        <f>IF(A518&lt;&gt;"", SUMIF(B1:F1,"&lt;&gt;",B518:F518),"")</f>
        <v/>
      </c>
      <c r="H518" s="2" t="str">
        <f>IF(AND(A518&lt;&gt;"",G518&lt;&gt;""),ROUND(G518,0),"")</f>
        <v/>
      </c>
      <c r="I518" s="2" t="str">
        <f>IFERROR(IF(A518&lt;&gt;"",VLOOKUP(Alunos!A518,Recurso!A3:D1000,4, FALSE),""), "")</f>
        <v/>
      </c>
      <c r="J518" s="2" t="str">
        <f>IF(AND(A518&lt;&gt;"",I518&lt;&gt;""), SUMIFS(B518:I518,B1:I1,"&lt;&gt;",B2:I2,"&lt;&gt;Exame",B2:I2,"&lt;&gt;exame",B2:I2,"&lt;&gt;Nota",B2:I2,"&lt;&gt;Total"),"")</f>
        <v/>
      </c>
      <c r="K518" s="2" t="str">
        <f>IF(AND(A518&lt;&gt;"",J518&lt;&gt;""),ROUND(J518,0),"")</f>
        <v/>
      </c>
    </row>
    <row r="519" spans="2:11" x14ac:dyDescent="0.3">
      <c r="B519" s="2" t="str">
        <f>IFERROR(IF(A519&lt;&gt;"",VLOOKUP(Alunos!A519,Exame!A3:D1000,4, FALSE),""), "")</f>
        <v/>
      </c>
      <c r="C519" s="2" t="str">
        <f>IF(A519&lt;&gt;"",VLOOKUP(Alunos!A519,Agrupamentos!A3:C1000,2, FALSE),"")</f>
        <v/>
      </c>
      <c r="D519" s="2" t="str">
        <f>IFERROR(IF(A519&lt;&gt;"",VLOOKUP(Alunos!C519,'TP1'!A3:E1000,5, FALSE),""),"")</f>
        <v/>
      </c>
      <c r="E519" s="2" t="str">
        <f>IF(A519&lt;&gt;"",VLOOKUP(Alunos!A519,Agrupamentos!A3:C1000,3, FALSE),"")</f>
        <v/>
      </c>
      <c r="F519" s="2" t="str">
        <f>IFERROR(IF(A519&lt;&gt;"",VLOOKUP(Alunos!E519,'TP2'!A3:D1000,4, FALSE),""),"")</f>
        <v/>
      </c>
      <c r="G519" s="2" t="str">
        <f>IF(A519&lt;&gt;"", SUMIF(B1:F1,"&lt;&gt;",B519:F519),"")</f>
        <v/>
      </c>
      <c r="H519" s="2" t="str">
        <f>IF(AND(A519&lt;&gt;"",G519&lt;&gt;""),ROUND(G519,0),"")</f>
        <v/>
      </c>
      <c r="I519" s="2" t="str">
        <f>IFERROR(IF(A519&lt;&gt;"",VLOOKUP(Alunos!A519,Recurso!A3:D1000,4, FALSE),""), "")</f>
        <v/>
      </c>
      <c r="J519" s="2" t="str">
        <f>IF(AND(A519&lt;&gt;"",I519&lt;&gt;""), SUMIFS(B519:I519,B1:I1,"&lt;&gt;",B2:I2,"&lt;&gt;Exame",B2:I2,"&lt;&gt;exame",B2:I2,"&lt;&gt;Nota",B2:I2,"&lt;&gt;Total"),"")</f>
        <v/>
      </c>
      <c r="K519" s="2" t="str">
        <f>IF(AND(A519&lt;&gt;"",J519&lt;&gt;""),ROUND(J519,0),"")</f>
        <v/>
      </c>
    </row>
    <row r="520" spans="2:11" x14ac:dyDescent="0.3">
      <c r="B520" s="2" t="str">
        <f>IFERROR(IF(A520&lt;&gt;"",VLOOKUP(Alunos!A520,Exame!A3:D1000,4, FALSE),""), "")</f>
        <v/>
      </c>
      <c r="C520" s="2" t="str">
        <f>IF(A520&lt;&gt;"",VLOOKUP(Alunos!A520,Agrupamentos!A3:C1000,2, FALSE),"")</f>
        <v/>
      </c>
      <c r="D520" s="2" t="str">
        <f>IFERROR(IF(A520&lt;&gt;"",VLOOKUP(Alunos!C520,'TP1'!A3:E1000,5, FALSE),""),"")</f>
        <v/>
      </c>
      <c r="E520" s="2" t="str">
        <f>IF(A520&lt;&gt;"",VLOOKUP(Alunos!A520,Agrupamentos!A3:C1000,3, FALSE),"")</f>
        <v/>
      </c>
      <c r="F520" s="2" t="str">
        <f>IFERROR(IF(A520&lt;&gt;"",VLOOKUP(Alunos!E520,'TP2'!A3:D1000,4, FALSE),""),"")</f>
        <v/>
      </c>
      <c r="G520" s="2" t="str">
        <f>IF(A520&lt;&gt;"", SUMIF(B1:F1,"&lt;&gt;",B520:F520),"")</f>
        <v/>
      </c>
      <c r="H520" s="2" t="str">
        <f>IF(AND(A520&lt;&gt;"",G520&lt;&gt;""),ROUND(G520,0),"")</f>
        <v/>
      </c>
      <c r="I520" s="2" t="str">
        <f>IFERROR(IF(A520&lt;&gt;"",VLOOKUP(Alunos!A520,Recurso!A3:D1000,4, FALSE),""), "")</f>
        <v/>
      </c>
      <c r="J520" s="2" t="str">
        <f>IF(AND(A520&lt;&gt;"",I520&lt;&gt;""), SUMIFS(B520:I520,B1:I1,"&lt;&gt;",B2:I2,"&lt;&gt;Exame",B2:I2,"&lt;&gt;exame",B2:I2,"&lt;&gt;Nota",B2:I2,"&lt;&gt;Total"),"")</f>
        <v/>
      </c>
      <c r="K520" s="2" t="str">
        <f>IF(AND(A520&lt;&gt;"",J520&lt;&gt;""),ROUND(J520,0),"")</f>
        <v/>
      </c>
    </row>
    <row r="521" spans="2:11" x14ac:dyDescent="0.3">
      <c r="B521" s="2" t="str">
        <f>IFERROR(IF(A521&lt;&gt;"",VLOOKUP(Alunos!A521,Exame!A3:D1000,4, FALSE),""), "")</f>
        <v/>
      </c>
      <c r="C521" s="2" t="str">
        <f>IF(A521&lt;&gt;"",VLOOKUP(Alunos!A521,Agrupamentos!A3:C1000,2, FALSE),"")</f>
        <v/>
      </c>
      <c r="D521" s="2" t="str">
        <f>IFERROR(IF(A521&lt;&gt;"",VLOOKUP(Alunos!C521,'TP1'!A3:E1000,5, FALSE),""),"")</f>
        <v/>
      </c>
      <c r="E521" s="2" t="str">
        <f>IF(A521&lt;&gt;"",VLOOKUP(Alunos!A521,Agrupamentos!A3:C1000,3, FALSE),"")</f>
        <v/>
      </c>
      <c r="F521" s="2" t="str">
        <f>IFERROR(IF(A521&lt;&gt;"",VLOOKUP(Alunos!E521,'TP2'!A3:D1000,4, FALSE),""),"")</f>
        <v/>
      </c>
      <c r="G521" s="2" t="str">
        <f>IF(A521&lt;&gt;"", SUMIF(B1:F1,"&lt;&gt;",B521:F521),"")</f>
        <v/>
      </c>
      <c r="H521" s="2" t="str">
        <f>IF(AND(A521&lt;&gt;"",G521&lt;&gt;""),ROUND(G521,0),"")</f>
        <v/>
      </c>
      <c r="I521" s="2" t="str">
        <f>IFERROR(IF(A521&lt;&gt;"",VLOOKUP(Alunos!A521,Recurso!A3:D1000,4, FALSE),""), "")</f>
        <v/>
      </c>
      <c r="J521" s="2" t="str">
        <f>IF(AND(A521&lt;&gt;"",I521&lt;&gt;""), SUMIFS(B521:I521,B1:I1,"&lt;&gt;",B2:I2,"&lt;&gt;Exame",B2:I2,"&lt;&gt;exame",B2:I2,"&lt;&gt;Nota",B2:I2,"&lt;&gt;Total"),"")</f>
        <v/>
      </c>
      <c r="K521" s="2" t="str">
        <f>IF(AND(A521&lt;&gt;"",J521&lt;&gt;""),ROUND(J521,0),"")</f>
        <v/>
      </c>
    </row>
    <row r="522" spans="2:11" x14ac:dyDescent="0.3">
      <c r="B522" s="2" t="str">
        <f>IFERROR(IF(A522&lt;&gt;"",VLOOKUP(Alunos!A522,Exame!A3:D1000,4, FALSE),""), "")</f>
        <v/>
      </c>
      <c r="C522" s="2" t="str">
        <f>IF(A522&lt;&gt;"",VLOOKUP(Alunos!A522,Agrupamentos!A3:C1000,2, FALSE),"")</f>
        <v/>
      </c>
      <c r="D522" s="2" t="str">
        <f>IFERROR(IF(A522&lt;&gt;"",VLOOKUP(Alunos!C522,'TP1'!A3:E1000,5, FALSE),""),"")</f>
        <v/>
      </c>
      <c r="E522" s="2" t="str">
        <f>IF(A522&lt;&gt;"",VLOOKUP(Alunos!A522,Agrupamentos!A3:C1000,3, FALSE),"")</f>
        <v/>
      </c>
      <c r="F522" s="2" t="str">
        <f>IFERROR(IF(A522&lt;&gt;"",VLOOKUP(Alunos!E522,'TP2'!A3:D1000,4, FALSE),""),"")</f>
        <v/>
      </c>
      <c r="G522" s="2" t="str">
        <f>IF(A522&lt;&gt;"", SUMIF(B1:F1,"&lt;&gt;",B522:F522),"")</f>
        <v/>
      </c>
      <c r="H522" s="2" t="str">
        <f>IF(AND(A522&lt;&gt;"",G522&lt;&gt;""),ROUND(G522,0),"")</f>
        <v/>
      </c>
      <c r="I522" s="2" t="str">
        <f>IFERROR(IF(A522&lt;&gt;"",VLOOKUP(Alunos!A522,Recurso!A3:D1000,4, FALSE),""), "")</f>
        <v/>
      </c>
      <c r="J522" s="2" t="str">
        <f>IF(AND(A522&lt;&gt;"",I522&lt;&gt;""), SUMIFS(B522:I522,B1:I1,"&lt;&gt;",B2:I2,"&lt;&gt;Exame",B2:I2,"&lt;&gt;exame",B2:I2,"&lt;&gt;Nota",B2:I2,"&lt;&gt;Total"),"")</f>
        <v/>
      </c>
      <c r="K522" s="2" t="str">
        <f>IF(AND(A522&lt;&gt;"",J522&lt;&gt;""),ROUND(J522,0),"")</f>
        <v/>
      </c>
    </row>
    <row r="523" spans="2:11" x14ac:dyDescent="0.3">
      <c r="B523" s="2" t="str">
        <f>IFERROR(IF(A523&lt;&gt;"",VLOOKUP(Alunos!A523,Exame!A3:D1000,4, FALSE),""), "")</f>
        <v/>
      </c>
      <c r="C523" s="2" t="str">
        <f>IF(A523&lt;&gt;"",VLOOKUP(Alunos!A523,Agrupamentos!A3:C1000,2, FALSE),"")</f>
        <v/>
      </c>
      <c r="D523" s="2" t="str">
        <f>IFERROR(IF(A523&lt;&gt;"",VLOOKUP(Alunos!C523,'TP1'!A3:E1000,5, FALSE),""),"")</f>
        <v/>
      </c>
      <c r="E523" s="2" t="str">
        <f>IF(A523&lt;&gt;"",VLOOKUP(Alunos!A523,Agrupamentos!A3:C1000,3, FALSE),"")</f>
        <v/>
      </c>
      <c r="F523" s="2" t="str">
        <f>IFERROR(IF(A523&lt;&gt;"",VLOOKUP(Alunos!E523,'TP2'!A3:D1000,4, FALSE),""),"")</f>
        <v/>
      </c>
      <c r="G523" s="2" t="str">
        <f>IF(A523&lt;&gt;"", SUMIF(B1:F1,"&lt;&gt;",B523:F523),"")</f>
        <v/>
      </c>
      <c r="H523" s="2" t="str">
        <f>IF(AND(A523&lt;&gt;"",G523&lt;&gt;""),ROUND(G523,0),"")</f>
        <v/>
      </c>
      <c r="I523" s="2" t="str">
        <f>IFERROR(IF(A523&lt;&gt;"",VLOOKUP(Alunos!A523,Recurso!A3:D1000,4, FALSE),""), "")</f>
        <v/>
      </c>
      <c r="J523" s="2" t="str">
        <f>IF(AND(A523&lt;&gt;"",I523&lt;&gt;""), SUMIFS(B523:I523,B1:I1,"&lt;&gt;",B2:I2,"&lt;&gt;Exame",B2:I2,"&lt;&gt;exame",B2:I2,"&lt;&gt;Nota",B2:I2,"&lt;&gt;Total"),"")</f>
        <v/>
      </c>
      <c r="K523" s="2" t="str">
        <f>IF(AND(A523&lt;&gt;"",J523&lt;&gt;""),ROUND(J523,0),"")</f>
        <v/>
      </c>
    </row>
    <row r="524" spans="2:11" x14ac:dyDescent="0.3">
      <c r="B524" s="2" t="str">
        <f>IFERROR(IF(A524&lt;&gt;"",VLOOKUP(Alunos!A524,Exame!A3:D1000,4, FALSE),""), "")</f>
        <v/>
      </c>
      <c r="C524" s="2" t="str">
        <f>IF(A524&lt;&gt;"",VLOOKUP(Alunos!A524,Agrupamentos!A3:C1000,2, FALSE),"")</f>
        <v/>
      </c>
      <c r="D524" s="2" t="str">
        <f>IFERROR(IF(A524&lt;&gt;"",VLOOKUP(Alunos!C524,'TP1'!A3:E1000,5, FALSE),""),"")</f>
        <v/>
      </c>
      <c r="E524" s="2" t="str">
        <f>IF(A524&lt;&gt;"",VLOOKUP(Alunos!A524,Agrupamentos!A3:C1000,3, FALSE),"")</f>
        <v/>
      </c>
      <c r="F524" s="2" t="str">
        <f>IFERROR(IF(A524&lt;&gt;"",VLOOKUP(Alunos!E524,'TP2'!A3:D1000,4, FALSE),""),"")</f>
        <v/>
      </c>
      <c r="G524" s="2" t="str">
        <f>IF(A524&lt;&gt;"", SUMIF(B1:F1,"&lt;&gt;",B524:F524),"")</f>
        <v/>
      </c>
      <c r="H524" s="2" t="str">
        <f>IF(AND(A524&lt;&gt;"",G524&lt;&gt;""),ROUND(G524,0),"")</f>
        <v/>
      </c>
      <c r="I524" s="2" t="str">
        <f>IFERROR(IF(A524&lt;&gt;"",VLOOKUP(Alunos!A524,Recurso!A3:D1000,4, FALSE),""), "")</f>
        <v/>
      </c>
      <c r="J524" s="2" t="str">
        <f>IF(AND(A524&lt;&gt;"",I524&lt;&gt;""), SUMIFS(B524:I524,B1:I1,"&lt;&gt;",B2:I2,"&lt;&gt;Exame",B2:I2,"&lt;&gt;exame",B2:I2,"&lt;&gt;Nota",B2:I2,"&lt;&gt;Total"),"")</f>
        <v/>
      </c>
      <c r="K524" s="2" t="str">
        <f>IF(AND(A524&lt;&gt;"",J524&lt;&gt;""),ROUND(J524,0),"")</f>
        <v/>
      </c>
    </row>
    <row r="525" spans="2:11" x14ac:dyDescent="0.3">
      <c r="B525" s="2" t="str">
        <f>IFERROR(IF(A525&lt;&gt;"",VLOOKUP(Alunos!A525,Exame!A3:D1000,4, FALSE),""), "")</f>
        <v/>
      </c>
      <c r="C525" s="2" t="str">
        <f>IF(A525&lt;&gt;"",VLOOKUP(Alunos!A525,Agrupamentos!A3:C1000,2, FALSE),"")</f>
        <v/>
      </c>
      <c r="D525" s="2" t="str">
        <f>IFERROR(IF(A525&lt;&gt;"",VLOOKUP(Alunos!C525,'TP1'!A3:E1000,5, FALSE),""),"")</f>
        <v/>
      </c>
      <c r="E525" s="2" t="str">
        <f>IF(A525&lt;&gt;"",VLOOKUP(Alunos!A525,Agrupamentos!A3:C1000,3, FALSE),"")</f>
        <v/>
      </c>
      <c r="F525" s="2" t="str">
        <f>IFERROR(IF(A525&lt;&gt;"",VLOOKUP(Alunos!E525,'TP2'!A3:D1000,4, FALSE),""),"")</f>
        <v/>
      </c>
      <c r="G525" s="2" t="str">
        <f>IF(A525&lt;&gt;"", SUMIF(B1:F1,"&lt;&gt;",B525:F525),"")</f>
        <v/>
      </c>
      <c r="H525" s="2" t="str">
        <f>IF(AND(A525&lt;&gt;"",G525&lt;&gt;""),ROUND(G525,0),"")</f>
        <v/>
      </c>
      <c r="I525" s="2" t="str">
        <f>IFERROR(IF(A525&lt;&gt;"",VLOOKUP(Alunos!A525,Recurso!A3:D1000,4, FALSE),""), "")</f>
        <v/>
      </c>
      <c r="J525" s="2" t="str">
        <f>IF(AND(A525&lt;&gt;"",I525&lt;&gt;""), SUMIFS(B525:I525,B1:I1,"&lt;&gt;",B2:I2,"&lt;&gt;Exame",B2:I2,"&lt;&gt;exame",B2:I2,"&lt;&gt;Nota",B2:I2,"&lt;&gt;Total"),"")</f>
        <v/>
      </c>
      <c r="K525" s="2" t="str">
        <f>IF(AND(A525&lt;&gt;"",J525&lt;&gt;""),ROUND(J525,0),"")</f>
        <v/>
      </c>
    </row>
    <row r="526" spans="2:11" x14ac:dyDescent="0.3">
      <c r="B526" s="2" t="str">
        <f>IFERROR(IF(A526&lt;&gt;"",VLOOKUP(Alunos!A526,Exame!A3:D1000,4, FALSE),""), "")</f>
        <v/>
      </c>
      <c r="C526" s="2" t="str">
        <f>IF(A526&lt;&gt;"",VLOOKUP(Alunos!A526,Agrupamentos!A3:C1000,2, FALSE),"")</f>
        <v/>
      </c>
      <c r="D526" s="2" t="str">
        <f>IFERROR(IF(A526&lt;&gt;"",VLOOKUP(Alunos!C526,'TP1'!A3:E1000,5, FALSE),""),"")</f>
        <v/>
      </c>
      <c r="E526" s="2" t="str">
        <f>IF(A526&lt;&gt;"",VLOOKUP(Alunos!A526,Agrupamentos!A3:C1000,3, FALSE),"")</f>
        <v/>
      </c>
      <c r="F526" s="2" t="str">
        <f>IFERROR(IF(A526&lt;&gt;"",VLOOKUP(Alunos!E526,'TP2'!A3:D1000,4, FALSE),""),"")</f>
        <v/>
      </c>
      <c r="G526" s="2" t="str">
        <f>IF(A526&lt;&gt;"", SUMIF(B1:F1,"&lt;&gt;",B526:F526),"")</f>
        <v/>
      </c>
      <c r="H526" s="2" t="str">
        <f>IF(AND(A526&lt;&gt;"",G526&lt;&gt;""),ROUND(G526,0),"")</f>
        <v/>
      </c>
      <c r="I526" s="2" t="str">
        <f>IFERROR(IF(A526&lt;&gt;"",VLOOKUP(Alunos!A526,Recurso!A3:D1000,4, FALSE),""), "")</f>
        <v/>
      </c>
      <c r="J526" s="2" t="str">
        <f>IF(AND(A526&lt;&gt;"",I526&lt;&gt;""), SUMIFS(B526:I526,B1:I1,"&lt;&gt;",B2:I2,"&lt;&gt;Exame",B2:I2,"&lt;&gt;exame",B2:I2,"&lt;&gt;Nota",B2:I2,"&lt;&gt;Total"),"")</f>
        <v/>
      </c>
      <c r="K526" s="2" t="str">
        <f>IF(AND(A526&lt;&gt;"",J526&lt;&gt;""),ROUND(J526,0),"")</f>
        <v/>
      </c>
    </row>
    <row r="527" spans="2:11" x14ac:dyDescent="0.3">
      <c r="B527" s="2" t="str">
        <f>IFERROR(IF(A527&lt;&gt;"",VLOOKUP(Alunos!A527,Exame!A3:D1000,4, FALSE),""), "")</f>
        <v/>
      </c>
      <c r="C527" s="2" t="str">
        <f>IF(A527&lt;&gt;"",VLOOKUP(Alunos!A527,Agrupamentos!A3:C1000,2, FALSE),"")</f>
        <v/>
      </c>
      <c r="D527" s="2" t="str">
        <f>IFERROR(IF(A527&lt;&gt;"",VLOOKUP(Alunos!C527,'TP1'!A3:E1000,5, FALSE),""),"")</f>
        <v/>
      </c>
      <c r="E527" s="2" t="str">
        <f>IF(A527&lt;&gt;"",VLOOKUP(Alunos!A527,Agrupamentos!A3:C1000,3, FALSE),"")</f>
        <v/>
      </c>
      <c r="F527" s="2" t="str">
        <f>IFERROR(IF(A527&lt;&gt;"",VLOOKUP(Alunos!E527,'TP2'!A3:D1000,4, FALSE),""),"")</f>
        <v/>
      </c>
      <c r="G527" s="2" t="str">
        <f>IF(A527&lt;&gt;"", SUMIF(B1:F1,"&lt;&gt;",B527:F527),"")</f>
        <v/>
      </c>
      <c r="H527" s="2" t="str">
        <f>IF(AND(A527&lt;&gt;"",G527&lt;&gt;""),ROUND(G527,0),"")</f>
        <v/>
      </c>
      <c r="I527" s="2" t="str">
        <f>IFERROR(IF(A527&lt;&gt;"",VLOOKUP(Alunos!A527,Recurso!A3:D1000,4, FALSE),""), "")</f>
        <v/>
      </c>
      <c r="J527" s="2" t="str">
        <f>IF(AND(A527&lt;&gt;"",I527&lt;&gt;""), SUMIFS(B527:I527,B1:I1,"&lt;&gt;",B2:I2,"&lt;&gt;Exame",B2:I2,"&lt;&gt;exame",B2:I2,"&lt;&gt;Nota",B2:I2,"&lt;&gt;Total"),"")</f>
        <v/>
      </c>
      <c r="K527" s="2" t="str">
        <f>IF(AND(A527&lt;&gt;"",J527&lt;&gt;""),ROUND(J527,0),"")</f>
        <v/>
      </c>
    </row>
    <row r="528" spans="2:11" x14ac:dyDescent="0.3">
      <c r="B528" s="2" t="str">
        <f>IFERROR(IF(A528&lt;&gt;"",VLOOKUP(Alunos!A528,Exame!A3:D1000,4, FALSE),""), "")</f>
        <v/>
      </c>
      <c r="C528" s="2" t="str">
        <f>IF(A528&lt;&gt;"",VLOOKUP(Alunos!A528,Agrupamentos!A3:C1000,2, FALSE),"")</f>
        <v/>
      </c>
      <c r="D528" s="2" t="str">
        <f>IFERROR(IF(A528&lt;&gt;"",VLOOKUP(Alunos!C528,'TP1'!A3:E1000,5, FALSE),""),"")</f>
        <v/>
      </c>
      <c r="E528" s="2" t="str">
        <f>IF(A528&lt;&gt;"",VLOOKUP(Alunos!A528,Agrupamentos!A3:C1000,3, FALSE),"")</f>
        <v/>
      </c>
      <c r="F528" s="2" t="str">
        <f>IFERROR(IF(A528&lt;&gt;"",VLOOKUP(Alunos!E528,'TP2'!A3:D1000,4, FALSE),""),"")</f>
        <v/>
      </c>
      <c r="G528" s="2" t="str">
        <f>IF(A528&lt;&gt;"", SUMIF(B1:F1,"&lt;&gt;",B528:F528),"")</f>
        <v/>
      </c>
      <c r="H528" s="2" t="str">
        <f>IF(AND(A528&lt;&gt;"",G528&lt;&gt;""),ROUND(G528,0),"")</f>
        <v/>
      </c>
      <c r="I528" s="2" t="str">
        <f>IFERROR(IF(A528&lt;&gt;"",VLOOKUP(Alunos!A528,Recurso!A3:D1000,4, FALSE),""), "")</f>
        <v/>
      </c>
      <c r="J528" s="2" t="str">
        <f>IF(AND(A528&lt;&gt;"",I528&lt;&gt;""), SUMIFS(B528:I528,B1:I1,"&lt;&gt;",B2:I2,"&lt;&gt;Exame",B2:I2,"&lt;&gt;exame",B2:I2,"&lt;&gt;Nota",B2:I2,"&lt;&gt;Total"),"")</f>
        <v/>
      </c>
      <c r="K528" s="2" t="str">
        <f>IF(AND(A528&lt;&gt;"",J528&lt;&gt;""),ROUND(J528,0),"")</f>
        <v/>
      </c>
    </row>
    <row r="529" spans="2:11" x14ac:dyDescent="0.3">
      <c r="B529" s="2" t="str">
        <f>IFERROR(IF(A529&lt;&gt;"",VLOOKUP(Alunos!A529,Exame!A3:D1000,4, FALSE),""), "")</f>
        <v/>
      </c>
      <c r="C529" s="2" t="str">
        <f>IF(A529&lt;&gt;"",VLOOKUP(Alunos!A529,Agrupamentos!A3:C1000,2, FALSE),"")</f>
        <v/>
      </c>
      <c r="D529" s="2" t="str">
        <f>IFERROR(IF(A529&lt;&gt;"",VLOOKUP(Alunos!C529,'TP1'!A3:E1000,5, FALSE),""),"")</f>
        <v/>
      </c>
      <c r="E529" s="2" t="str">
        <f>IF(A529&lt;&gt;"",VLOOKUP(Alunos!A529,Agrupamentos!A3:C1000,3, FALSE),"")</f>
        <v/>
      </c>
      <c r="F529" s="2" t="str">
        <f>IFERROR(IF(A529&lt;&gt;"",VLOOKUP(Alunos!E529,'TP2'!A3:D1000,4, FALSE),""),"")</f>
        <v/>
      </c>
      <c r="G529" s="2" t="str">
        <f>IF(A529&lt;&gt;"", SUMIF(B1:F1,"&lt;&gt;",B529:F529),"")</f>
        <v/>
      </c>
      <c r="H529" s="2" t="str">
        <f>IF(AND(A529&lt;&gt;"",G529&lt;&gt;""),ROUND(G529,0),"")</f>
        <v/>
      </c>
      <c r="I529" s="2" t="str">
        <f>IFERROR(IF(A529&lt;&gt;"",VLOOKUP(Alunos!A529,Recurso!A3:D1000,4, FALSE),""), "")</f>
        <v/>
      </c>
      <c r="J529" s="2" t="str">
        <f>IF(AND(A529&lt;&gt;"",I529&lt;&gt;""), SUMIFS(B529:I529,B1:I1,"&lt;&gt;",B2:I2,"&lt;&gt;Exame",B2:I2,"&lt;&gt;exame",B2:I2,"&lt;&gt;Nota",B2:I2,"&lt;&gt;Total"),"")</f>
        <v/>
      </c>
      <c r="K529" s="2" t="str">
        <f>IF(AND(A529&lt;&gt;"",J529&lt;&gt;""),ROUND(J529,0),"")</f>
        <v/>
      </c>
    </row>
    <row r="530" spans="2:11" x14ac:dyDescent="0.3">
      <c r="B530" s="2" t="str">
        <f>IFERROR(IF(A530&lt;&gt;"",VLOOKUP(Alunos!A530,Exame!A3:D1000,4, FALSE),""), "")</f>
        <v/>
      </c>
      <c r="C530" s="2" t="str">
        <f>IF(A530&lt;&gt;"",VLOOKUP(Alunos!A530,Agrupamentos!A3:C1000,2, FALSE),"")</f>
        <v/>
      </c>
      <c r="D530" s="2" t="str">
        <f>IFERROR(IF(A530&lt;&gt;"",VLOOKUP(Alunos!C530,'TP1'!A3:E1000,5, FALSE),""),"")</f>
        <v/>
      </c>
      <c r="E530" s="2" t="str">
        <f>IF(A530&lt;&gt;"",VLOOKUP(Alunos!A530,Agrupamentos!A3:C1000,3, FALSE),"")</f>
        <v/>
      </c>
      <c r="F530" s="2" t="str">
        <f>IFERROR(IF(A530&lt;&gt;"",VLOOKUP(Alunos!E530,'TP2'!A3:D1000,4, FALSE),""),"")</f>
        <v/>
      </c>
      <c r="G530" s="2" t="str">
        <f>IF(A530&lt;&gt;"", SUMIF(B1:F1,"&lt;&gt;",B530:F530),"")</f>
        <v/>
      </c>
      <c r="H530" s="2" t="str">
        <f>IF(AND(A530&lt;&gt;"",G530&lt;&gt;""),ROUND(G530,0),"")</f>
        <v/>
      </c>
      <c r="I530" s="2" t="str">
        <f>IFERROR(IF(A530&lt;&gt;"",VLOOKUP(Alunos!A530,Recurso!A3:D1000,4, FALSE),""), "")</f>
        <v/>
      </c>
      <c r="J530" s="2" t="str">
        <f>IF(AND(A530&lt;&gt;"",I530&lt;&gt;""), SUMIFS(B530:I530,B1:I1,"&lt;&gt;",B2:I2,"&lt;&gt;Exame",B2:I2,"&lt;&gt;exame",B2:I2,"&lt;&gt;Nota",B2:I2,"&lt;&gt;Total"),"")</f>
        <v/>
      </c>
      <c r="K530" s="2" t="str">
        <f>IF(AND(A530&lt;&gt;"",J530&lt;&gt;""),ROUND(J530,0),"")</f>
        <v/>
      </c>
    </row>
    <row r="531" spans="2:11" x14ac:dyDescent="0.3">
      <c r="B531" s="2" t="str">
        <f>IFERROR(IF(A531&lt;&gt;"",VLOOKUP(Alunos!A531,Exame!A3:D1000,4, FALSE),""), "")</f>
        <v/>
      </c>
      <c r="C531" s="2" t="str">
        <f>IF(A531&lt;&gt;"",VLOOKUP(Alunos!A531,Agrupamentos!A3:C1000,2, FALSE),"")</f>
        <v/>
      </c>
      <c r="D531" s="2" t="str">
        <f>IFERROR(IF(A531&lt;&gt;"",VLOOKUP(Alunos!C531,'TP1'!A3:E1000,5, FALSE),""),"")</f>
        <v/>
      </c>
      <c r="E531" s="2" t="str">
        <f>IF(A531&lt;&gt;"",VLOOKUP(Alunos!A531,Agrupamentos!A3:C1000,3, FALSE),"")</f>
        <v/>
      </c>
      <c r="F531" s="2" t="str">
        <f>IFERROR(IF(A531&lt;&gt;"",VLOOKUP(Alunos!E531,'TP2'!A3:D1000,4, FALSE),""),"")</f>
        <v/>
      </c>
      <c r="G531" s="2" t="str">
        <f>IF(A531&lt;&gt;"", SUMIF(B1:F1,"&lt;&gt;",B531:F531),"")</f>
        <v/>
      </c>
      <c r="H531" s="2" t="str">
        <f>IF(AND(A531&lt;&gt;"",G531&lt;&gt;""),ROUND(G531,0),"")</f>
        <v/>
      </c>
      <c r="I531" s="2" t="str">
        <f>IFERROR(IF(A531&lt;&gt;"",VLOOKUP(Alunos!A531,Recurso!A3:D1000,4, FALSE),""), "")</f>
        <v/>
      </c>
      <c r="J531" s="2" t="str">
        <f>IF(AND(A531&lt;&gt;"",I531&lt;&gt;""), SUMIFS(B531:I531,B1:I1,"&lt;&gt;",B2:I2,"&lt;&gt;Exame",B2:I2,"&lt;&gt;exame",B2:I2,"&lt;&gt;Nota",B2:I2,"&lt;&gt;Total"),"")</f>
        <v/>
      </c>
      <c r="K531" s="2" t="str">
        <f>IF(AND(A531&lt;&gt;"",J531&lt;&gt;""),ROUND(J531,0),"")</f>
        <v/>
      </c>
    </row>
    <row r="532" spans="2:11" x14ac:dyDescent="0.3">
      <c r="B532" s="2" t="str">
        <f>IFERROR(IF(A532&lt;&gt;"",VLOOKUP(Alunos!A532,Exame!A3:D1000,4, FALSE),""), "")</f>
        <v/>
      </c>
      <c r="C532" s="2" t="str">
        <f>IF(A532&lt;&gt;"",VLOOKUP(Alunos!A532,Agrupamentos!A3:C1000,2, FALSE),"")</f>
        <v/>
      </c>
      <c r="D532" s="2" t="str">
        <f>IFERROR(IF(A532&lt;&gt;"",VLOOKUP(Alunos!C532,'TP1'!A3:E1000,5, FALSE),""),"")</f>
        <v/>
      </c>
      <c r="E532" s="2" t="str">
        <f>IF(A532&lt;&gt;"",VLOOKUP(Alunos!A532,Agrupamentos!A3:C1000,3, FALSE),"")</f>
        <v/>
      </c>
      <c r="F532" s="2" t="str">
        <f>IFERROR(IF(A532&lt;&gt;"",VLOOKUP(Alunos!E532,'TP2'!A3:D1000,4, FALSE),""),"")</f>
        <v/>
      </c>
      <c r="G532" s="2" t="str">
        <f>IF(A532&lt;&gt;"", SUMIF(B1:F1,"&lt;&gt;",B532:F532),"")</f>
        <v/>
      </c>
      <c r="H532" s="2" t="str">
        <f>IF(AND(A532&lt;&gt;"",G532&lt;&gt;""),ROUND(G532,0),"")</f>
        <v/>
      </c>
      <c r="I532" s="2" t="str">
        <f>IFERROR(IF(A532&lt;&gt;"",VLOOKUP(Alunos!A532,Recurso!A3:D1000,4, FALSE),""), "")</f>
        <v/>
      </c>
      <c r="J532" s="2" t="str">
        <f>IF(AND(A532&lt;&gt;"",I532&lt;&gt;""), SUMIFS(B532:I532,B1:I1,"&lt;&gt;",B2:I2,"&lt;&gt;Exame",B2:I2,"&lt;&gt;exame",B2:I2,"&lt;&gt;Nota",B2:I2,"&lt;&gt;Total"),"")</f>
        <v/>
      </c>
      <c r="K532" s="2" t="str">
        <f>IF(AND(A532&lt;&gt;"",J532&lt;&gt;""),ROUND(J532,0),"")</f>
        <v/>
      </c>
    </row>
    <row r="533" spans="2:11" x14ac:dyDescent="0.3">
      <c r="B533" s="2" t="str">
        <f>IFERROR(IF(A533&lt;&gt;"",VLOOKUP(Alunos!A533,Exame!A3:D1000,4, FALSE),""), "")</f>
        <v/>
      </c>
      <c r="C533" s="2" t="str">
        <f>IF(A533&lt;&gt;"",VLOOKUP(Alunos!A533,Agrupamentos!A3:C1000,2, FALSE),"")</f>
        <v/>
      </c>
      <c r="D533" s="2" t="str">
        <f>IFERROR(IF(A533&lt;&gt;"",VLOOKUP(Alunos!C533,'TP1'!A3:E1000,5, FALSE),""),"")</f>
        <v/>
      </c>
      <c r="E533" s="2" t="str">
        <f>IF(A533&lt;&gt;"",VLOOKUP(Alunos!A533,Agrupamentos!A3:C1000,3, FALSE),"")</f>
        <v/>
      </c>
      <c r="F533" s="2" t="str">
        <f>IFERROR(IF(A533&lt;&gt;"",VLOOKUP(Alunos!E533,'TP2'!A3:D1000,4, FALSE),""),"")</f>
        <v/>
      </c>
      <c r="G533" s="2" t="str">
        <f>IF(A533&lt;&gt;"", SUMIF(B1:F1,"&lt;&gt;",B533:F533),"")</f>
        <v/>
      </c>
      <c r="H533" s="2" t="str">
        <f>IF(AND(A533&lt;&gt;"",G533&lt;&gt;""),ROUND(G533,0),"")</f>
        <v/>
      </c>
      <c r="I533" s="2" t="str">
        <f>IFERROR(IF(A533&lt;&gt;"",VLOOKUP(Alunos!A533,Recurso!A3:D1000,4, FALSE),""), "")</f>
        <v/>
      </c>
      <c r="J533" s="2" t="str">
        <f>IF(AND(A533&lt;&gt;"",I533&lt;&gt;""), SUMIFS(B533:I533,B1:I1,"&lt;&gt;",B2:I2,"&lt;&gt;Exame",B2:I2,"&lt;&gt;exame",B2:I2,"&lt;&gt;Nota",B2:I2,"&lt;&gt;Total"),"")</f>
        <v/>
      </c>
      <c r="K533" s="2" t="str">
        <f>IF(AND(A533&lt;&gt;"",J533&lt;&gt;""),ROUND(J533,0),"")</f>
        <v/>
      </c>
    </row>
    <row r="534" spans="2:11" x14ac:dyDescent="0.3">
      <c r="B534" s="2" t="str">
        <f>IFERROR(IF(A534&lt;&gt;"",VLOOKUP(Alunos!A534,Exame!A3:D1000,4, FALSE),""), "")</f>
        <v/>
      </c>
      <c r="C534" s="2" t="str">
        <f>IF(A534&lt;&gt;"",VLOOKUP(Alunos!A534,Agrupamentos!A3:C1000,2, FALSE),"")</f>
        <v/>
      </c>
      <c r="D534" s="2" t="str">
        <f>IFERROR(IF(A534&lt;&gt;"",VLOOKUP(Alunos!C534,'TP1'!A3:E1000,5, FALSE),""),"")</f>
        <v/>
      </c>
      <c r="E534" s="2" t="str">
        <f>IF(A534&lt;&gt;"",VLOOKUP(Alunos!A534,Agrupamentos!A3:C1000,3, FALSE),"")</f>
        <v/>
      </c>
      <c r="F534" s="2" t="str">
        <f>IFERROR(IF(A534&lt;&gt;"",VLOOKUP(Alunos!E534,'TP2'!A3:D1000,4, FALSE),""),"")</f>
        <v/>
      </c>
      <c r="G534" s="2" t="str">
        <f>IF(A534&lt;&gt;"", SUMIF(B1:F1,"&lt;&gt;",B534:F534),"")</f>
        <v/>
      </c>
      <c r="H534" s="2" t="str">
        <f>IF(AND(A534&lt;&gt;"",G534&lt;&gt;""),ROUND(G534,0),"")</f>
        <v/>
      </c>
      <c r="I534" s="2" t="str">
        <f>IFERROR(IF(A534&lt;&gt;"",VLOOKUP(Alunos!A534,Recurso!A3:D1000,4, FALSE),""), "")</f>
        <v/>
      </c>
      <c r="J534" s="2" t="str">
        <f>IF(AND(A534&lt;&gt;"",I534&lt;&gt;""), SUMIFS(B534:I534,B1:I1,"&lt;&gt;",B2:I2,"&lt;&gt;Exame",B2:I2,"&lt;&gt;exame",B2:I2,"&lt;&gt;Nota",B2:I2,"&lt;&gt;Total"),"")</f>
        <v/>
      </c>
      <c r="K534" s="2" t="str">
        <f>IF(AND(A534&lt;&gt;"",J534&lt;&gt;""),ROUND(J534,0),"")</f>
        <v/>
      </c>
    </row>
    <row r="535" spans="2:11" x14ac:dyDescent="0.3">
      <c r="B535" s="2" t="str">
        <f>IFERROR(IF(A535&lt;&gt;"",VLOOKUP(Alunos!A535,Exame!A3:D1000,4, FALSE),""), "")</f>
        <v/>
      </c>
      <c r="C535" s="2" t="str">
        <f>IF(A535&lt;&gt;"",VLOOKUP(Alunos!A535,Agrupamentos!A3:C1000,2, FALSE),"")</f>
        <v/>
      </c>
      <c r="D535" s="2" t="str">
        <f>IFERROR(IF(A535&lt;&gt;"",VLOOKUP(Alunos!C535,'TP1'!A3:E1000,5, FALSE),""),"")</f>
        <v/>
      </c>
      <c r="E535" s="2" t="str">
        <f>IF(A535&lt;&gt;"",VLOOKUP(Alunos!A535,Agrupamentos!A3:C1000,3, FALSE),"")</f>
        <v/>
      </c>
      <c r="F535" s="2" t="str">
        <f>IFERROR(IF(A535&lt;&gt;"",VLOOKUP(Alunos!E535,'TP2'!A3:D1000,4, FALSE),""),"")</f>
        <v/>
      </c>
      <c r="G535" s="2" t="str">
        <f>IF(A535&lt;&gt;"", SUMIF(B1:F1,"&lt;&gt;",B535:F535),"")</f>
        <v/>
      </c>
      <c r="H535" s="2" t="str">
        <f>IF(AND(A535&lt;&gt;"",G535&lt;&gt;""),ROUND(G535,0),"")</f>
        <v/>
      </c>
      <c r="I535" s="2" t="str">
        <f>IFERROR(IF(A535&lt;&gt;"",VLOOKUP(Alunos!A535,Recurso!A3:D1000,4, FALSE),""), "")</f>
        <v/>
      </c>
      <c r="J535" s="2" t="str">
        <f>IF(AND(A535&lt;&gt;"",I535&lt;&gt;""), SUMIFS(B535:I535,B1:I1,"&lt;&gt;",B2:I2,"&lt;&gt;Exame",B2:I2,"&lt;&gt;exame",B2:I2,"&lt;&gt;Nota",B2:I2,"&lt;&gt;Total"),"")</f>
        <v/>
      </c>
      <c r="K535" s="2" t="str">
        <f>IF(AND(A535&lt;&gt;"",J535&lt;&gt;""),ROUND(J535,0),"")</f>
        <v/>
      </c>
    </row>
    <row r="536" spans="2:11" x14ac:dyDescent="0.3">
      <c r="B536" s="2" t="str">
        <f>IFERROR(IF(A536&lt;&gt;"",VLOOKUP(Alunos!A536,Exame!A3:D1000,4, FALSE),""), "")</f>
        <v/>
      </c>
      <c r="C536" s="2" t="str">
        <f>IF(A536&lt;&gt;"",VLOOKUP(Alunos!A536,Agrupamentos!A3:C1000,2, FALSE),"")</f>
        <v/>
      </c>
      <c r="D536" s="2" t="str">
        <f>IFERROR(IF(A536&lt;&gt;"",VLOOKUP(Alunos!C536,'TP1'!A3:E1000,5, FALSE),""),"")</f>
        <v/>
      </c>
      <c r="E536" s="2" t="str">
        <f>IF(A536&lt;&gt;"",VLOOKUP(Alunos!A536,Agrupamentos!A3:C1000,3, FALSE),"")</f>
        <v/>
      </c>
      <c r="F536" s="2" t="str">
        <f>IFERROR(IF(A536&lt;&gt;"",VLOOKUP(Alunos!E536,'TP2'!A3:D1000,4, FALSE),""),"")</f>
        <v/>
      </c>
      <c r="G536" s="2" t="str">
        <f>IF(A536&lt;&gt;"", SUMIF(B1:F1,"&lt;&gt;",B536:F536),"")</f>
        <v/>
      </c>
      <c r="H536" s="2" t="str">
        <f>IF(AND(A536&lt;&gt;"",G536&lt;&gt;""),ROUND(G536,0),"")</f>
        <v/>
      </c>
      <c r="I536" s="2" t="str">
        <f>IFERROR(IF(A536&lt;&gt;"",VLOOKUP(Alunos!A536,Recurso!A3:D1000,4, FALSE),""), "")</f>
        <v/>
      </c>
      <c r="J536" s="2" t="str">
        <f>IF(AND(A536&lt;&gt;"",I536&lt;&gt;""), SUMIFS(B536:I536,B1:I1,"&lt;&gt;",B2:I2,"&lt;&gt;Exame",B2:I2,"&lt;&gt;exame",B2:I2,"&lt;&gt;Nota",B2:I2,"&lt;&gt;Total"),"")</f>
        <v/>
      </c>
      <c r="K536" s="2" t="str">
        <f>IF(AND(A536&lt;&gt;"",J536&lt;&gt;""),ROUND(J536,0),"")</f>
        <v/>
      </c>
    </row>
    <row r="537" spans="2:11" x14ac:dyDescent="0.3">
      <c r="B537" s="2" t="str">
        <f>IFERROR(IF(A537&lt;&gt;"",VLOOKUP(Alunos!A537,Exame!A3:D1000,4, FALSE),""), "")</f>
        <v/>
      </c>
      <c r="C537" s="2" t="str">
        <f>IF(A537&lt;&gt;"",VLOOKUP(Alunos!A537,Agrupamentos!A3:C1000,2, FALSE),"")</f>
        <v/>
      </c>
      <c r="D537" s="2" t="str">
        <f>IFERROR(IF(A537&lt;&gt;"",VLOOKUP(Alunos!C537,'TP1'!A3:E1000,5, FALSE),""),"")</f>
        <v/>
      </c>
      <c r="E537" s="2" t="str">
        <f>IF(A537&lt;&gt;"",VLOOKUP(Alunos!A537,Agrupamentos!A3:C1000,3, FALSE),"")</f>
        <v/>
      </c>
      <c r="F537" s="2" t="str">
        <f>IFERROR(IF(A537&lt;&gt;"",VLOOKUP(Alunos!E537,'TP2'!A3:D1000,4, FALSE),""),"")</f>
        <v/>
      </c>
      <c r="G537" s="2" t="str">
        <f>IF(A537&lt;&gt;"", SUMIF(B1:F1,"&lt;&gt;",B537:F537),"")</f>
        <v/>
      </c>
      <c r="H537" s="2" t="str">
        <f>IF(AND(A537&lt;&gt;"",G537&lt;&gt;""),ROUND(G537,0),"")</f>
        <v/>
      </c>
      <c r="I537" s="2" t="str">
        <f>IFERROR(IF(A537&lt;&gt;"",VLOOKUP(Alunos!A537,Recurso!A3:D1000,4, FALSE),""), "")</f>
        <v/>
      </c>
      <c r="J537" s="2" t="str">
        <f>IF(AND(A537&lt;&gt;"",I537&lt;&gt;""), SUMIFS(B537:I537,B1:I1,"&lt;&gt;",B2:I2,"&lt;&gt;Exame",B2:I2,"&lt;&gt;exame",B2:I2,"&lt;&gt;Nota",B2:I2,"&lt;&gt;Total"),"")</f>
        <v/>
      </c>
      <c r="K537" s="2" t="str">
        <f>IF(AND(A537&lt;&gt;"",J537&lt;&gt;""),ROUND(J537,0),"")</f>
        <v/>
      </c>
    </row>
    <row r="538" spans="2:11" x14ac:dyDescent="0.3">
      <c r="B538" s="2" t="str">
        <f>IFERROR(IF(A538&lt;&gt;"",VLOOKUP(Alunos!A538,Exame!A3:D1000,4, FALSE),""), "")</f>
        <v/>
      </c>
      <c r="C538" s="2" t="str">
        <f>IF(A538&lt;&gt;"",VLOOKUP(Alunos!A538,Agrupamentos!A3:C1000,2, FALSE),"")</f>
        <v/>
      </c>
      <c r="D538" s="2" t="str">
        <f>IFERROR(IF(A538&lt;&gt;"",VLOOKUP(Alunos!C538,'TP1'!A3:E1000,5, FALSE),""),"")</f>
        <v/>
      </c>
      <c r="E538" s="2" t="str">
        <f>IF(A538&lt;&gt;"",VLOOKUP(Alunos!A538,Agrupamentos!A3:C1000,3, FALSE),"")</f>
        <v/>
      </c>
      <c r="F538" s="2" t="str">
        <f>IFERROR(IF(A538&lt;&gt;"",VLOOKUP(Alunos!E538,'TP2'!A3:D1000,4, FALSE),""),"")</f>
        <v/>
      </c>
      <c r="G538" s="2" t="str">
        <f>IF(A538&lt;&gt;"", SUMIF(B1:F1,"&lt;&gt;",B538:F538),"")</f>
        <v/>
      </c>
      <c r="H538" s="2" t="str">
        <f>IF(AND(A538&lt;&gt;"",G538&lt;&gt;""),ROUND(G538,0),"")</f>
        <v/>
      </c>
      <c r="I538" s="2" t="str">
        <f>IFERROR(IF(A538&lt;&gt;"",VLOOKUP(Alunos!A538,Recurso!A3:D1000,4, FALSE),""), "")</f>
        <v/>
      </c>
      <c r="J538" s="2" t="str">
        <f>IF(AND(A538&lt;&gt;"",I538&lt;&gt;""), SUMIFS(B538:I538,B1:I1,"&lt;&gt;",B2:I2,"&lt;&gt;Exame",B2:I2,"&lt;&gt;exame",B2:I2,"&lt;&gt;Nota",B2:I2,"&lt;&gt;Total"),"")</f>
        <v/>
      </c>
      <c r="K538" s="2" t="str">
        <f>IF(AND(A538&lt;&gt;"",J538&lt;&gt;""),ROUND(J538,0),"")</f>
        <v/>
      </c>
    </row>
    <row r="539" spans="2:11" x14ac:dyDescent="0.3">
      <c r="B539" s="2" t="str">
        <f>IFERROR(IF(A539&lt;&gt;"",VLOOKUP(Alunos!A539,Exame!A3:D1000,4, FALSE),""), "")</f>
        <v/>
      </c>
      <c r="C539" s="2" t="str">
        <f>IF(A539&lt;&gt;"",VLOOKUP(Alunos!A539,Agrupamentos!A3:C1000,2, FALSE),"")</f>
        <v/>
      </c>
      <c r="D539" s="2" t="str">
        <f>IFERROR(IF(A539&lt;&gt;"",VLOOKUP(Alunos!C539,'TP1'!A3:E1000,5, FALSE),""),"")</f>
        <v/>
      </c>
      <c r="E539" s="2" t="str">
        <f>IF(A539&lt;&gt;"",VLOOKUP(Alunos!A539,Agrupamentos!A3:C1000,3, FALSE),"")</f>
        <v/>
      </c>
      <c r="F539" s="2" t="str">
        <f>IFERROR(IF(A539&lt;&gt;"",VLOOKUP(Alunos!E539,'TP2'!A3:D1000,4, FALSE),""),"")</f>
        <v/>
      </c>
      <c r="G539" s="2" t="str">
        <f>IF(A539&lt;&gt;"", SUMIF(B1:F1,"&lt;&gt;",B539:F539),"")</f>
        <v/>
      </c>
      <c r="H539" s="2" t="str">
        <f>IF(AND(A539&lt;&gt;"",G539&lt;&gt;""),ROUND(G539,0),"")</f>
        <v/>
      </c>
      <c r="I539" s="2" t="str">
        <f>IFERROR(IF(A539&lt;&gt;"",VLOOKUP(Alunos!A539,Recurso!A3:D1000,4, FALSE),""), "")</f>
        <v/>
      </c>
      <c r="J539" s="2" t="str">
        <f>IF(AND(A539&lt;&gt;"",I539&lt;&gt;""), SUMIFS(B539:I539,B1:I1,"&lt;&gt;",B2:I2,"&lt;&gt;Exame",B2:I2,"&lt;&gt;exame",B2:I2,"&lt;&gt;Nota",B2:I2,"&lt;&gt;Total"),"")</f>
        <v/>
      </c>
      <c r="K539" s="2" t="str">
        <f>IF(AND(A539&lt;&gt;"",J539&lt;&gt;""),ROUND(J539,0),"")</f>
        <v/>
      </c>
    </row>
    <row r="540" spans="2:11" x14ac:dyDescent="0.3">
      <c r="B540" s="2" t="str">
        <f>IFERROR(IF(A540&lt;&gt;"",VLOOKUP(Alunos!A540,Exame!A3:D1000,4, FALSE),""), "")</f>
        <v/>
      </c>
      <c r="C540" s="2" t="str">
        <f>IF(A540&lt;&gt;"",VLOOKUP(Alunos!A540,Agrupamentos!A3:C1000,2, FALSE),"")</f>
        <v/>
      </c>
      <c r="D540" s="2" t="str">
        <f>IFERROR(IF(A540&lt;&gt;"",VLOOKUP(Alunos!C540,'TP1'!A3:E1000,5, FALSE),""),"")</f>
        <v/>
      </c>
      <c r="E540" s="2" t="str">
        <f>IF(A540&lt;&gt;"",VLOOKUP(Alunos!A540,Agrupamentos!A3:C1000,3, FALSE),"")</f>
        <v/>
      </c>
      <c r="F540" s="2" t="str">
        <f>IFERROR(IF(A540&lt;&gt;"",VLOOKUP(Alunos!E540,'TP2'!A3:D1000,4, FALSE),""),"")</f>
        <v/>
      </c>
      <c r="G540" s="2" t="str">
        <f>IF(A540&lt;&gt;"", SUMIF(B1:F1,"&lt;&gt;",B540:F540),"")</f>
        <v/>
      </c>
      <c r="H540" s="2" t="str">
        <f>IF(AND(A540&lt;&gt;"",G540&lt;&gt;""),ROUND(G540,0),"")</f>
        <v/>
      </c>
      <c r="I540" s="2" t="str">
        <f>IFERROR(IF(A540&lt;&gt;"",VLOOKUP(Alunos!A540,Recurso!A3:D1000,4, FALSE),""), "")</f>
        <v/>
      </c>
      <c r="J540" s="2" t="str">
        <f>IF(AND(A540&lt;&gt;"",I540&lt;&gt;""), SUMIFS(B540:I540,B1:I1,"&lt;&gt;",B2:I2,"&lt;&gt;Exame",B2:I2,"&lt;&gt;exame",B2:I2,"&lt;&gt;Nota",B2:I2,"&lt;&gt;Total"),"")</f>
        <v/>
      </c>
      <c r="K540" s="2" t="str">
        <f>IF(AND(A540&lt;&gt;"",J540&lt;&gt;""),ROUND(J540,0),"")</f>
        <v/>
      </c>
    </row>
    <row r="541" spans="2:11" x14ac:dyDescent="0.3">
      <c r="B541" s="2" t="str">
        <f>IFERROR(IF(A541&lt;&gt;"",VLOOKUP(Alunos!A541,Exame!A3:D1000,4, FALSE),""), "")</f>
        <v/>
      </c>
      <c r="C541" s="2" t="str">
        <f>IF(A541&lt;&gt;"",VLOOKUP(Alunos!A541,Agrupamentos!A3:C1000,2, FALSE),"")</f>
        <v/>
      </c>
      <c r="D541" s="2" t="str">
        <f>IFERROR(IF(A541&lt;&gt;"",VLOOKUP(Alunos!C541,'TP1'!A3:E1000,5, FALSE),""),"")</f>
        <v/>
      </c>
      <c r="E541" s="2" t="str">
        <f>IF(A541&lt;&gt;"",VLOOKUP(Alunos!A541,Agrupamentos!A3:C1000,3, FALSE),"")</f>
        <v/>
      </c>
      <c r="F541" s="2" t="str">
        <f>IFERROR(IF(A541&lt;&gt;"",VLOOKUP(Alunos!E541,'TP2'!A3:D1000,4, FALSE),""),"")</f>
        <v/>
      </c>
      <c r="G541" s="2" t="str">
        <f>IF(A541&lt;&gt;"", SUMIF(B1:F1,"&lt;&gt;",B541:F541),"")</f>
        <v/>
      </c>
      <c r="H541" s="2" t="str">
        <f>IF(AND(A541&lt;&gt;"",G541&lt;&gt;""),ROUND(G541,0),"")</f>
        <v/>
      </c>
      <c r="I541" s="2" t="str">
        <f>IFERROR(IF(A541&lt;&gt;"",VLOOKUP(Alunos!A541,Recurso!A3:D1000,4, FALSE),""), "")</f>
        <v/>
      </c>
      <c r="J541" s="2" t="str">
        <f>IF(AND(A541&lt;&gt;"",I541&lt;&gt;""), SUMIFS(B541:I541,B1:I1,"&lt;&gt;",B2:I2,"&lt;&gt;Exame",B2:I2,"&lt;&gt;exame",B2:I2,"&lt;&gt;Nota",B2:I2,"&lt;&gt;Total"),"")</f>
        <v/>
      </c>
      <c r="K541" s="2" t="str">
        <f>IF(AND(A541&lt;&gt;"",J541&lt;&gt;""),ROUND(J541,0),"")</f>
        <v/>
      </c>
    </row>
    <row r="542" spans="2:11" x14ac:dyDescent="0.3">
      <c r="B542" s="2" t="str">
        <f>IFERROR(IF(A542&lt;&gt;"",VLOOKUP(Alunos!A542,Exame!A3:D1000,4, FALSE),""), "")</f>
        <v/>
      </c>
      <c r="C542" s="2" t="str">
        <f>IF(A542&lt;&gt;"",VLOOKUP(Alunos!A542,Agrupamentos!A3:C1000,2, FALSE),"")</f>
        <v/>
      </c>
      <c r="D542" s="2" t="str">
        <f>IFERROR(IF(A542&lt;&gt;"",VLOOKUP(Alunos!C542,'TP1'!A3:E1000,5, FALSE),""),"")</f>
        <v/>
      </c>
      <c r="E542" s="2" t="str">
        <f>IF(A542&lt;&gt;"",VLOOKUP(Alunos!A542,Agrupamentos!A3:C1000,3, FALSE),"")</f>
        <v/>
      </c>
      <c r="F542" s="2" t="str">
        <f>IFERROR(IF(A542&lt;&gt;"",VLOOKUP(Alunos!E542,'TP2'!A3:D1000,4, FALSE),""),"")</f>
        <v/>
      </c>
      <c r="G542" s="2" t="str">
        <f>IF(A542&lt;&gt;"", SUMIF(B1:F1,"&lt;&gt;",B542:F542),"")</f>
        <v/>
      </c>
      <c r="H542" s="2" t="str">
        <f>IF(AND(A542&lt;&gt;"",G542&lt;&gt;""),ROUND(G542,0),"")</f>
        <v/>
      </c>
      <c r="I542" s="2" t="str">
        <f>IFERROR(IF(A542&lt;&gt;"",VLOOKUP(Alunos!A542,Recurso!A3:D1000,4, FALSE),""), "")</f>
        <v/>
      </c>
      <c r="J542" s="2" t="str">
        <f>IF(AND(A542&lt;&gt;"",I542&lt;&gt;""), SUMIFS(B542:I542,B1:I1,"&lt;&gt;",B2:I2,"&lt;&gt;Exame",B2:I2,"&lt;&gt;exame",B2:I2,"&lt;&gt;Nota",B2:I2,"&lt;&gt;Total"),"")</f>
        <v/>
      </c>
      <c r="K542" s="2" t="str">
        <f>IF(AND(A542&lt;&gt;"",J542&lt;&gt;""),ROUND(J542,0),"")</f>
        <v/>
      </c>
    </row>
    <row r="543" spans="2:11" x14ac:dyDescent="0.3">
      <c r="B543" s="2" t="str">
        <f>IFERROR(IF(A543&lt;&gt;"",VLOOKUP(Alunos!A543,Exame!A3:D1000,4, FALSE),""), "")</f>
        <v/>
      </c>
      <c r="C543" s="2" t="str">
        <f>IF(A543&lt;&gt;"",VLOOKUP(Alunos!A543,Agrupamentos!A3:C1000,2, FALSE),"")</f>
        <v/>
      </c>
      <c r="D543" s="2" t="str">
        <f>IFERROR(IF(A543&lt;&gt;"",VLOOKUP(Alunos!C543,'TP1'!A3:E1000,5, FALSE),""),"")</f>
        <v/>
      </c>
      <c r="E543" s="2" t="str">
        <f>IF(A543&lt;&gt;"",VLOOKUP(Alunos!A543,Agrupamentos!A3:C1000,3, FALSE),"")</f>
        <v/>
      </c>
      <c r="F543" s="2" t="str">
        <f>IFERROR(IF(A543&lt;&gt;"",VLOOKUP(Alunos!E543,'TP2'!A3:D1000,4, FALSE),""),"")</f>
        <v/>
      </c>
      <c r="G543" s="2" t="str">
        <f>IF(A543&lt;&gt;"", SUMIF(B1:F1,"&lt;&gt;",B543:F543),"")</f>
        <v/>
      </c>
      <c r="H543" s="2" t="str">
        <f>IF(AND(A543&lt;&gt;"",G543&lt;&gt;""),ROUND(G543,0),"")</f>
        <v/>
      </c>
      <c r="I543" s="2" t="str">
        <f>IFERROR(IF(A543&lt;&gt;"",VLOOKUP(Alunos!A543,Recurso!A3:D1000,4, FALSE),""), "")</f>
        <v/>
      </c>
      <c r="J543" s="2" t="str">
        <f>IF(AND(A543&lt;&gt;"",I543&lt;&gt;""), SUMIFS(B543:I543,B1:I1,"&lt;&gt;",B2:I2,"&lt;&gt;Exame",B2:I2,"&lt;&gt;exame",B2:I2,"&lt;&gt;Nota",B2:I2,"&lt;&gt;Total"),"")</f>
        <v/>
      </c>
      <c r="K543" s="2" t="str">
        <f>IF(AND(A543&lt;&gt;"",J543&lt;&gt;""),ROUND(J543,0),"")</f>
        <v/>
      </c>
    </row>
    <row r="544" spans="2:11" x14ac:dyDescent="0.3">
      <c r="B544" s="2" t="str">
        <f>IFERROR(IF(A544&lt;&gt;"",VLOOKUP(Alunos!A544,Exame!A3:D1000,4, FALSE),""), "")</f>
        <v/>
      </c>
      <c r="C544" s="2" t="str">
        <f>IF(A544&lt;&gt;"",VLOOKUP(Alunos!A544,Agrupamentos!A3:C1000,2, FALSE),"")</f>
        <v/>
      </c>
      <c r="D544" s="2" t="str">
        <f>IFERROR(IF(A544&lt;&gt;"",VLOOKUP(Alunos!C544,'TP1'!A3:E1000,5, FALSE),""),"")</f>
        <v/>
      </c>
      <c r="E544" s="2" t="str">
        <f>IF(A544&lt;&gt;"",VLOOKUP(Alunos!A544,Agrupamentos!A3:C1000,3, FALSE),"")</f>
        <v/>
      </c>
      <c r="F544" s="2" t="str">
        <f>IFERROR(IF(A544&lt;&gt;"",VLOOKUP(Alunos!E544,'TP2'!A3:D1000,4, FALSE),""),"")</f>
        <v/>
      </c>
      <c r="G544" s="2" t="str">
        <f>IF(A544&lt;&gt;"", SUMIF(B1:F1,"&lt;&gt;",B544:F544),"")</f>
        <v/>
      </c>
      <c r="H544" s="2" t="str">
        <f>IF(AND(A544&lt;&gt;"",G544&lt;&gt;""),ROUND(G544,0),"")</f>
        <v/>
      </c>
      <c r="I544" s="2" t="str">
        <f>IFERROR(IF(A544&lt;&gt;"",VLOOKUP(Alunos!A544,Recurso!A3:D1000,4, FALSE),""), "")</f>
        <v/>
      </c>
      <c r="J544" s="2" t="str">
        <f>IF(AND(A544&lt;&gt;"",I544&lt;&gt;""), SUMIFS(B544:I544,B1:I1,"&lt;&gt;",B2:I2,"&lt;&gt;Exame",B2:I2,"&lt;&gt;exame",B2:I2,"&lt;&gt;Nota",B2:I2,"&lt;&gt;Total"),"")</f>
        <v/>
      </c>
      <c r="K544" s="2" t="str">
        <f>IF(AND(A544&lt;&gt;"",J544&lt;&gt;""),ROUND(J544,0),"")</f>
        <v/>
      </c>
    </row>
    <row r="545" spans="2:11" x14ac:dyDescent="0.3">
      <c r="B545" s="2" t="str">
        <f>IFERROR(IF(A545&lt;&gt;"",VLOOKUP(Alunos!A545,Exame!A3:D1000,4, FALSE),""), "")</f>
        <v/>
      </c>
      <c r="C545" s="2" t="str">
        <f>IF(A545&lt;&gt;"",VLOOKUP(Alunos!A545,Agrupamentos!A3:C1000,2, FALSE),"")</f>
        <v/>
      </c>
      <c r="D545" s="2" t="str">
        <f>IFERROR(IF(A545&lt;&gt;"",VLOOKUP(Alunos!C545,'TP1'!A3:E1000,5, FALSE),""),"")</f>
        <v/>
      </c>
      <c r="E545" s="2" t="str">
        <f>IF(A545&lt;&gt;"",VLOOKUP(Alunos!A545,Agrupamentos!A3:C1000,3, FALSE),"")</f>
        <v/>
      </c>
      <c r="F545" s="2" t="str">
        <f>IFERROR(IF(A545&lt;&gt;"",VLOOKUP(Alunos!E545,'TP2'!A3:D1000,4, FALSE),""),"")</f>
        <v/>
      </c>
      <c r="G545" s="2" t="str">
        <f>IF(A545&lt;&gt;"", SUMIF(B1:F1,"&lt;&gt;",B545:F545),"")</f>
        <v/>
      </c>
      <c r="H545" s="2" t="str">
        <f>IF(AND(A545&lt;&gt;"",G545&lt;&gt;""),ROUND(G545,0),"")</f>
        <v/>
      </c>
      <c r="I545" s="2" t="str">
        <f>IFERROR(IF(A545&lt;&gt;"",VLOOKUP(Alunos!A545,Recurso!A3:D1000,4, FALSE),""), "")</f>
        <v/>
      </c>
      <c r="J545" s="2" t="str">
        <f>IF(AND(A545&lt;&gt;"",I545&lt;&gt;""), SUMIFS(B545:I545,B1:I1,"&lt;&gt;",B2:I2,"&lt;&gt;Exame",B2:I2,"&lt;&gt;exame",B2:I2,"&lt;&gt;Nota",B2:I2,"&lt;&gt;Total"),"")</f>
        <v/>
      </c>
      <c r="K545" s="2" t="str">
        <f>IF(AND(A545&lt;&gt;"",J545&lt;&gt;""),ROUND(J545,0),"")</f>
        <v/>
      </c>
    </row>
    <row r="546" spans="2:11" x14ac:dyDescent="0.3">
      <c r="B546" s="2" t="str">
        <f>IFERROR(IF(A546&lt;&gt;"",VLOOKUP(Alunos!A546,Exame!A3:D1000,4, FALSE),""), "")</f>
        <v/>
      </c>
      <c r="C546" s="2" t="str">
        <f>IF(A546&lt;&gt;"",VLOOKUP(Alunos!A546,Agrupamentos!A3:C1000,2, FALSE),"")</f>
        <v/>
      </c>
      <c r="D546" s="2" t="str">
        <f>IFERROR(IF(A546&lt;&gt;"",VLOOKUP(Alunos!C546,'TP1'!A3:E1000,5, FALSE),""),"")</f>
        <v/>
      </c>
      <c r="E546" s="2" t="str">
        <f>IF(A546&lt;&gt;"",VLOOKUP(Alunos!A546,Agrupamentos!A3:C1000,3, FALSE),"")</f>
        <v/>
      </c>
      <c r="F546" s="2" t="str">
        <f>IFERROR(IF(A546&lt;&gt;"",VLOOKUP(Alunos!E546,'TP2'!A3:D1000,4, FALSE),""),"")</f>
        <v/>
      </c>
      <c r="G546" s="2" t="str">
        <f>IF(A546&lt;&gt;"", SUMIF(B1:F1,"&lt;&gt;",B546:F546),"")</f>
        <v/>
      </c>
      <c r="H546" s="2" t="str">
        <f>IF(AND(A546&lt;&gt;"",G546&lt;&gt;""),ROUND(G546,0),"")</f>
        <v/>
      </c>
      <c r="I546" s="2" t="str">
        <f>IFERROR(IF(A546&lt;&gt;"",VLOOKUP(Alunos!A546,Recurso!A3:D1000,4, FALSE),""), "")</f>
        <v/>
      </c>
      <c r="J546" s="2" t="str">
        <f>IF(AND(A546&lt;&gt;"",I546&lt;&gt;""), SUMIFS(B546:I546,B1:I1,"&lt;&gt;",B2:I2,"&lt;&gt;Exame",B2:I2,"&lt;&gt;exame",B2:I2,"&lt;&gt;Nota",B2:I2,"&lt;&gt;Total"),"")</f>
        <v/>
      </c>
      <c r="K546" s="2" t="str">
        <f>IF(AND(A546&lt;&gt;"",J546&lt;&gt;""),ROUND(J546,0),"")</f>
        <v/>
      </c>
    </row>
    <row r="547" spans="2:11" x14ac:dyDescent="0.3">
      <c r="B547" s="2" t="str">
        <f>IFERROR(IF(A547&lt;&gt;"",VLOOKUP(Alunos!A547,Exame!A3:D1000,4, FALSE),""), "")</f>
        <v/>
      </c>
      <c r="C547" s="2" t="str">
        <f>IF(A547&lt;&gt;"",VLOOKUP(Alunos!A547,Agrupamentos!A3:C1000,2, FALSE),"")</f>
        <v/>
      </c>
      <c r="D547" s="2" t="str">
        <f>IFERROR(IF(A547&lt;&gt;"",VLOOKUP(Alunos!C547,'TP1'!A3:E1000,5, FALSE),""),"")</f>
        <v/>
      </c>
      <c r="E547" s="2" t="str">
        <f>IF(A547&lt;&gt;"",VLOOKUP(Alunos!A547,Agrupamentos!A3:C1000,3, FALSE),"")</f>
        <v/>
      </c>
      <c r="F547" s="2" t="str">
        <f>IFERROR(IF(A547&lt;&gt;"",VLOOKUP(Alunos!E547,'TP2'!A3:D1000,4, FALSE),""),"")</f>
        <v/>
      </c>
      <c r="G547" s="2" t="str">
        <f>IF(A547&lt;&gt;"", SUMIF(B1:F1,"&lt;&gt;",B547:F547),"")</f>
        <v/>
      </c>
      <c r="H547" s="2" t="str">
        <f>IF(AND(A547&lt;&gt;"",G547&lt;&gt;""),ROUND(G547,0),"")</f>
        <v/>
      </c>
      <c r="I547" s="2" t="str">
        <f>IFERROR(IF(A547&lt;&gt;"",VLOOKUP(Alunos!A547,Recurso!A3:D1000,4, FALSE),""), "")</f>
        <v/>
      </c>
      <c r="J547" s="2" t="str">
        <f>IF(AND(A547&lt;&gt;"",I547&lt;&gt;""), SUMIFS(B547:I547,B1:I1,"&lt;&gt;",B2:I2,"&lt;&gt;Exame",B2:I2,"&lt;&gt;exame",B2:I2,"&lt;&gt;Nota",B2:I2,"&lt;&gt;Total"),"")</f>
        <v/>
      </c>
      <c r="K547" s="2" t="str">
        <f>IF(AND(A547&lt;&gt;"",J547&lt;&gt;""),ROUND(J547,0),"")</f>
        <v/>
      </c>
    </row>
    <row r="548" spans="2:11" x14ac:dyDescent="0.3">
      <c r="B548" s="2" t="str">
        <f>IFERROR(IF(A548&lt;&gt;"",VLOOKUP(Alunos!A548,Exame!A3:D1000,4, FALSE),""), "")</f>
        <v/>
      </c>
      <c r="C548" s="2" t="str">
        <f>IF(A548&lt;&gt;"",VLOOKUP(Alunos!A548,Agrupamentos!A3:C1000,2, FALSE),"")</f>
        <v/>
      </c>
      <c r="D548" s="2" t="str">
        <f>IFERROR(IF(A548&lt;&gt;"",VLOOKUP(Alunos!C548,'TP1'!A3:E1000,5, FALSE),""),"")</f>
        <v/>
      </c>
      <c r="E548" s="2" t="str">
        <f>IF(A548&lt;&gt;"",VLOOKUP(Alunos!A548,Agrupamentos!A3:C1000,3, FALSE),"")</f>
        <v/>
      </c>
      <c r="F548" s="2" t="str">
        <f>IFERROR(IF(A548&lt;&gt;"",VLOOKUP(Alunos!E548,'TP2'!A3:D1000,4, FALSE),""),"")</f>
        <v/>
      </c>
      <c r="G548" s="2" t="str">
        <f>IF(A548&lt;&gt;"", SUMIF(B1:F1,"&lt;&gt;",B548:F548),"")</f>
        <v/>
      </c>
      <c r="H548" s="2" t="str">
        <f>IF(AND(A548&lt;&gt;"",G548&lt;&gt;""),ROUND(G548,0),"")</f>
        <v/>
      </c>
      <c r="I548" s="2" t="str">
        <f>IFERROR(IF(A548&lt;&gt;"",VLOOKUP(Alunos!A548,Recurso!A3:D1000,4, FALSE),""), "")</f>
        <v/>
      </c>
      <c r="J548" s="2" t="str">
        <f>IF(AND(A548&lt;&gt;"",I548&lt;&gt;""), SUMIFS(B548:I548,B1:I1,"&lt;&gt;",B2:I2,"&lt;&gt;Exame",B2:I2,"&lt;&gt;exame",B2:I2,"&lt;&gt;Nota",B2:I2,"&lt;&gt;Total"),"")</f>
        <v/>
      </c>
      <c r="K548" s="2" t="str">
        <f>IF(AND(A548&lt;&gt;"",J548&lt;&gt;""),ROUND(J548,0),"")</f>
        <v/>
      </c>
    </row>
    <row r="549" spans="2:11" x14ac:dyDescent="0.3">
      <c r="B549" s="2" t="str">
        <f>IFERROR(IF(A549&lt;&gt;"",VLOOKUP(Alunos!A549,Exame!A3:D1000,4, FALSE),""), "")</f>
        <v/>
      </c>
      <c r="C549" s="2" t="str">
        <f>IF(A549&lt;&gt;"",VLOOKUP(Alunos!A549,Agrupamentos!A3:C1000,2, FALSE),"")</f>
        <v/>
      </c>
      <c r="D549" s="2" t="str">
        <f>IFERROR(IF(A549&lt;&gt;"",VLOOKUP(Alunos!C549,'TP1'!A3:E1000,5, FALSE),""),"")</f>
        <v/>
      </c>
      <c r="E549" s="2" t="str">
        <f>IF(A549&lt;&gt;"",VLOOKUP(Alunos!A549,Agrupamentos!A3:C1000,3, FALSE),"")</f>
        <v/>
      </c>
      <c r="F549" s="2" t="str">
        <f>IFERROR(IF(A549&lt;&gt;"",VLOOKUP(Alunos!E549,'TP2'!A3:D1000,4, FALSE),""),"")</f>
        <v/>
      </c>
      <c r="G549" s="2" t="str">
        <f>IF(A549&lt;&gt;"", SUMIF(B1:F1,"&lt;&gt;",B549:F549),"")</f>
        <v/>
      </c>
      <c r="H549" s="2" t="str">
        <f>IF(AND(A549&lt;&gt;"",G549&lt;&gt;""),ROUND(G549,0),"")</f>
        <v/>
      </c>
      <c r="I549" s="2" t="str">
        <f>IFERROR(IF(A549&lt;&gt;"",VLOOKUP(Alunos!A549,Recurso!A3:D1000,4, FALSE),""), "")</f>
        <v/>
      </c>
      <c r="J549" s="2" t="str">
        <f>IF(AND(A549&lt;&gt;"",I549&lt;&gt;""), SUMIFS(B549:I549,B1:I1,"&lt;&gt;",B2:I2,"&lt;&gt;Exame",B2:I2,"&lt;&gt;exame",B2:I2,"&lt;&gt;Nota",B2:I2,"&lt;&gt;Total"),"")</f>
        <v/>
      </c>
      <c r="K549" s="2" t="str">
        <f>IF(AND(A549&lt;&gt;"",J549&lt;&gt;""),ROUND(J549,0),"")</f>
        <v/>
      </c>
    </row>
    <row r="550" spans="2:11" x14ac:dyDescent="0.3">
      <c r="B550" s="2" t="str">
        <f>IFERROR(IF(A550&lt;&gt;"",VLOOKUP(Alunos!A550,Exame!A3:D1000,4, FALSE),""), "")</f>
        <v/>
      </c>
      <c r="C550" s="2" t="str">
        <f>IF(A550&lt;&gt;"",VLOOKUP(Alunos!A550,Agrupamentos!A3:C1000,2, FALSE),"")</f>
        <v/>
      </c>
      <c r="D550" s="2" t="str">
        <f>IFERROR(IF(A550&lt;&gt;"",VLOOKUP(Alunos!C550,'TP1'!A3:E1000,5, FALSE),""),"")</f>
        <v/>
      </c>
      <c r="E550" s="2" t="str">
        <f>IF(A550&lt;&gt;"",VLOOKUP(Alunos!A550,Agrupamentos!A3:C1000,3, FALSE),"")</f>
        <v/>
      </c>
      <c r="F550" s="2" t="str">
        <f>IFERROR(IF(A550&lt;&gt;"",VLOOKUP(Alunos!E550,'TP2'!A3:D1000,4, FALSE),""),"")</f>
        <v/>
      </c>
      <c r="G550" s="2" t="str">
        <f>IF(A550&lt;&gt;"", SUMIF(B1:F1,"&lt;&gt;",B550:F550),"")</f>
        <v/>
      </c>
      <c r="H550" s="2" t="str">
        <f>IF(AND(A550&lt;&gt;"",G550&lt;&gt;""),ROUND(G550,0),"")</f>
        <v/>
      </c>
      <c r="I550" s="2" t="str">
        <f>IFERROR(IF(A550&lt;&gt;"",VLOOKUP(Alunos!A550,Recurso!A3:D1000,4, FALSE),""), "")</f>
        <v/>
      </c>
      <c r="J550" s="2" t="str">
        <f>IF(AND(A550&lt;&gt;"",I550&lt;&gt;""), SUMIFS(B550:I550,B1:I1,"&lt;&gt;",B2:I2,"&lt;&gt;Exame",B2:I2,"&lt;&gt;exame",B2:I2,"&lt;&gt;Nota",B2:I2,"&lt;&gt;Total"),"")</f>
        <v/>
      </c>
      <c r="K550" s="2" t="str">
        <f>IF(AND(A550&lt;&gt;"",J550&lt;&gt;""),ROUND(J550,0),"")</f>
        <v/>
      </c>
    </row>
    <row r="551" spans="2:11" x14ac:dyDescent="0.3">
      <c r="B551" s="2" t="str">
        <f>IFERROR(IF(A551&lt;&gt;"",VLOOKUP(Alunos!A551,Exame!A3:D1000,4, FALSE),""), "")</f>
        <v/>
      </c>
      <c r="C551" s="2" t="str">
        <f>IF(A551&lt;&gt;"",VLOOKUP(Alunos!A551,Agrupamentos!A3:C1000,2, FALSE),"")</f>
        <v/>
      </c>
      <c r="D551" s="2" t="str">
        <f>IFERROR(IF(A551&lt;&gt;"",VLOOKUP(Alunos!C551,'TP1'!A3:E1000,5, FALSE),""),"")</f>
        <v/>
      </c>
      <c r="E551" s="2" t="str">
        <f>IF(A551&lt;&gt;"",VLOOKUP(Alunos!A551,Agrupamentos!A3:C1000,3, FALSE),"")</f>
        <v/>
      </c>
      <c r="F551" s="2" t="str">
        <f>IFERROR(IF(A551&lt;&gt;"",VLOOKUP(Alunos!E551,'TP2'!A3:D1000,4, FALSE),""),"")</f>
        <v/>
      </c>
      <c r="G551" s="2" t="str">
        <f>IF(A551&lt;&gt;"", SUMIF(B1:F1,"&lt;&gt;",B551:F551),"")</f>
        <v/>
      </c>
      <c r="H551" s="2" t="str">
        <f>IF(AND(A551&lt;&gt;"",G551&lt;&gt;""),ROUND(G551,0),"")</f>
        <v/>
      </c>
      <c r="I551" s="2" t="str">
        <f>IFERROR(IF(A551&lt;&gt;"",VLOOKUP(Alunos!A551,Recurso!A3:D1000,4, FALSE),""), "")</f>
        <v/>
      </c>
      <c r="J551" s="2" t="str">
        <f>IF(AND(A551&lt;&gt;"",I551&lt;&gt;""), SUMIFS(B551:I551,B1:I1,"&lt;&gt;",B2:I2,"&lt;&gt;Exame",B2:I2,"&lt;&gt;exame",B2:I2,"&lt;&gt;Nota",B2:I2,"&lt;&gt;Total"),"")</f>
        <v/>
      </c>
      <c r="K551" s="2" t="str">
        <f>IF(AND(A551&lt;&gt;"",J551&lt;&gt;""),ROUND(J551,0),"")</f>
        <v/>
      </c>
    </row>
    <row r="552" spans="2:11" x14ac:dyDescent="0.3">
      <c r="B552" s="2" t="str">
        <f>IFERROR(IF(A552&lt;&gt;"",VLOOKUP(Alunos!A552,Exame!A3:D1000,4, FALSE),""), "")</f>
        <v/>
      </c>
      <c r="C552" s="2" t="str">
        <f>IF(A552&lt;&gt;"",VLOOKUP(Alunos!A552,Agrupamentos!A3:C1000,2, FALSE),"")</f>
        <v/>
      </c>
      <c r="D552" s="2" t="str">
        <f>IFERROR(IF(A552&lt;&gt;"",VLOOKUP(Alunos!C552,'TP1'!A3:E1000,5, FALSE),""),"")</f>
        <v/>
      </c>
      <c r="E552" s="2" t="str">
        <f>IF(A552&lt;&gt;"",VLOOKUP(Alunos!A552,Agrupamentos!A3:C1000,3, FALSE),"")</f>
        <v/>
      </c>
      <c r="F552" s="2" t="str">
        <f>IFERROR(IF(A552&lt;&gt;"",VLOOKUP(Alunos!E552,'TP2'!A3:D1000,4, FALSE),""),"")</f>
        <v/>
      </c>
      <c r="G552" s="2" t="str">
        <f>IF(A552&lt;&gt;"", SUMIF(B1:F1,"&lt;&gt;",B552:F552),"")</f>
        <v/>
      </c>
      <c r="H552" s="2" t="str">
        <f>IF(AND(A552&lt;&gt;"",G552&lt;&gt;""),ROUND(G552,0),"")</f>
        <v/>
      </c>
      <c r="I552" s="2" t="str">
        <f>IFERROR(IF(A552&lt;&gt;"",VLOOKUP(Alunos!A552,Recurso!A3:D1000,4, FALSE),""), "")</f>
        <v/>
      </c>
      <c r="J552" s="2" t="str">
        <f>IF(AND(A552&lt;&gt;"",I552&lt;&gt;""), SUMIFS(B552:I552,B1:I1,"&lt;&gt;",B2:I2,"&lt;&gt;Exame",B2:I2,"&lt;&gt;exame",B2:I2,"&lt;&gt;Nota",B2:I2,"&lt;&gt;Total"),"")</f>
        <v/>
      </c>
      <c r="K552" s="2" t="str">
        <f>IF(AND(A552&lt;&gt;"",J552&lt;&gt;""),ROUND(J552,0),"")</f>
        <v/>
      </c>
    </row>
    <row r="553" spans="2:11" x14ac:dyDescent="0.3">
      <c r="B553" s="2" t="str">
        <f>IFERROR(IF(A553&lt;&gt;"",VLOOKUP(Alunos!A553,Exame!A3:D1000,4, FALSE),""), "")</f>
        <v/>
      </c>
      <c r="C553" s="2" t="str">
        <f>IF(A553&lt;&gt;"",VLOOKUP(Alunos!A553,Agrupamentos!A3:C1000,2, FALSE),"")</f>
        <v/>
      </c>
      <c r="D553" s="2" t="str">
        <f>IFERROR(IF(A553&lt;&gt;"",VLOOKUP(Alunos!C553,'TP1'!A3:E1000,5, FALSE),""),"")</f>
        <v/>
      </c>
      <c r="E553" s="2" t="str">
        <f>IF(A553&lt;&gt;"",VLOOKUP(Alunos!A553,Agrupamentos!A3:C1000,3, FALSE),"")</f>
        <v/>
      </c>
      <c r="F553" s="2" t="str">
        <f>IFERROR(IF(A553&lt;&gt;"",VLOOKUP(Alunos!E553,'TP2'!A3:D1000,4, FALSE),""),"")</f>
        <v/>
      </c>
      <c r="G553" s="2" t="str">
        <f>IF(A553&lt;&gt;"", SUMIF(B1:F1,"&lt;&gt;",B553:F553),"")</f>
        <v/>
      </c>
      <c r="H553" s="2" t="str">
        <f>IF(AND(A553&lt;&gt;"",G553&lt;&gt;""),ROUND(G553,0),"")</f>
        <v/>
      </c>
      <c r="I553" s="2" t="str">
        <f>IFERROR(IF(A553&lt;&gt;"",VLOOKUP(Alunos!A553,Recurso!A3:D1000,4, FALSE),""), "")</f>
        <v/>
      </c>
      <c r="J553" s="2" t="str">
        <f>IF(AND(A553&lt;&gt;"",I553&lt;&gt;""), SUMIFS(B553:I553,B1:I1,"&lt;&gt;",B2:I2,"&lt;&gt;Exame",B2:I2,"&lt;&gt;exame",B2:I2,"&lt;&gt;Nota",B2:I2,"&lt;&gt;Total"),"")</f>
        <v/>
      </c>
      <c r="K553" s="2" t="str">
        <f>IF(AND(A553&lt;&gt;"",J553&lt;&gt;""),ROUND(J553,0),"")</f>
        <v/>
      </c>
    </row>
    <row r="554" spans="2:11" x14ac:dyDescent="0.3">
      <c r="B554" s="2" t="str">
        <f>IFERROR(IF(A554&lt;&gt;"",VLOOKUP(Alunos!A554,Exame!A3:D1000,4, FALSE),""), "")</f>
        <v/>
      </c>
      <c r="C554" s="2" t="str">
        <f>IF(A554&lt;&gt;"",VLOOKUP(Alunos!A554,Agrupamentos!A3:C1000,2, FALSE),"")</f>
        <v/>
      </c>
      <c r="D554" s="2" t="str">
        <f>IFERROR(IF(A554&lt;&gt;"",VLOOKUP(Alunos!C554,'TP1'!A3:E1000,5, FALSE),""),"")</f>
        <v/>
      </c>
      <c r="E554" s="2" t="str">
        <f>IF(A554&lt;&gt;"",VLOOKUP(Alunos!A554,Agrupamentos!A3:C1000,3, FALSE),"")</f>
        <v/>
      </c>
      <c r="F554" s="2" t="str">
        <f>IFERROR(IF(A554&lt;&gt;"",VLOOKUP(Alunos!E554,'TP2'!A3:D1000,4, FALSE),""),"")</f>
        <v/>
      </c>
      <c r="G554" s="2" t="str">
        <f>IF(A554&lt;&gt;"", SUMIF(B1:F1,"&lt;&gt;",B554:F554),"")</f>
        <v/>
      </c>
      <c r="H554" s="2" t="str">
        <f>IF(AND(A554&lt;&gt;"",G554&lt;&gt;""),ROUND(G554,0),"")</f>
        <v/>
      </c>
      <c r="I554" s="2" t="str">
        <f>IFERROR(IF(A554&lt;&gt;"",VLOOKUP(Alunos!A554,Recurso!A3:D1000,4, FALSE),""), "")</f>
        <v/>
      </c>
      <c r="J554" s="2" t="str">
        <f>IF(AND(A554&lt;&gt;"",I554&lt;&gt;""), SUMIFS(B554:I554,B1:I1,"&lt;&gt;",B2:I2,"&lt;&gt;Exame",B2:I2,"&lt;&gt;exame",B2:I2,"&lt;&gt;Nota",B2:I2,"&lt;&gt;Total"),"")</f>
        <v/>
      </c>
      <c r="K554" s="2" t="str">
        <f>IF(AND(A554&lt;&gt;"",J554&lt;&gt;""),ROUND(J554,0),"")</f>
        <v/>
      </c>
    </row>
    <row r="555" spans="2:11" x14ac:dyDescent="0.3">
      <c r="B555" s="2" t="str">
        <f>IFERROR(IF(A555&lt;&gt;"",VLOOKUP(Alunos!A555,Exame!A3:D1000,4, FALSE),""), "")</f>
        <v/>
      </c>
      <c r="C555" s="2" t="str">
        <f>IF(A555&lt;&gt;"",VLOOKUP(Alunos!A555,Agrupamentos!A3:C1000,2, FALSE),"")</f>
        <v/>
      </c>
      <c r="D555" s="2" t="str">
        <f>IFERROR(IF(A555&lt;&gt;"",VLOOKUP(Alunos!C555,'TP1'!A3:E1000,5, FALSE),""),"")</f>
        <v/>
      </c>
      <c r="E555" s="2" t="str">
        <f>IF(A555&lt;&gt;"",VLOOKUP(Alunos!A555,Agrupamentos!A3:C1000,3, FALSE),"")</f>
        <v/>
      </c>
      <c r="F555" s="2" t="str">
        <f>IFERROR(IF(A555&lt;&gt;"",VLOOKUP(Alunos!E555,'TP2'!A3:D1000,4, FALSE),""),"")</f>
        <v/>
      </c>
      <c r="G555" s="2" t="str">
        <f>IF(A555&lt;&gt;"", SUMIF(B1:F1,"&lt;&gt;",B555:F555),"")</f>
        <v/>
      </c>
      <c r="H555" s="2" t="str">
        <f>IF(AND(A555&lt;&gt;"",G555&lt;&gt;""),ROUND(G555,0),"")</f>
        <v/>
      </c>
      <c r="I555" s="2" t="str">
        <f>IFERROR(IF(A555&lt;&gt;"",VLOOKUP(Alunos!A555,Recurso!A3:D1000,4, FALSE),""), "")</f>
        <v/>
      </c>
      <c r="J555" s="2" t="str">
        <f>IF(AND(A555&lt;&gt;"",I555&lt;&gt;""), SUMIFS(B555:I555,B1:I1,"&lt;&gt;",B2:I2,"&lt;&gt;Exame",B2:I2,"&lt;&gt;exame",B2:I2,"&lt;&gt;Nota",B2:I2,"&lt;&gt;Total"),"")</f>
        <v/>
      </c>
      <c r="K555" s="2" t="str">
        <f>IF(AND(A555&lt;&gt;"",J555&lt;&gt;""),ROUND(J555,0),"")</f>
        <v/>
      </c>
    </row>
    <row r="556" spans="2:11" x14ac:dyDescent="0.3">
      <c r="B556" s="2" t="str">
        <f>IFERROR(IF(A556&lt;&gt;"",VLOOKUP(Alunos!A556,Exame!A3:D1000,4, FALSE),""), "")</f>
        <v/>
      </c>
      <c r="C556" s="2" t="str">
        <f>IF(A556&lt;&gt;"",VLOOKUP(Alunos!A556,Agrupamentos!A3:C1000,2, FALSE),"")</f>
        <v/>
      </c>
      <c r="D556" s="2" t="str">
        <f>IFERROR(IF(A556&lt;&gt;"",VLOOKUP(Alunos!C556,'TP1'!A3:E1000,5, FALSE),""),"")</f>
        <v/>
      </c>
      <c r="E556" s="2" t="str">
        <f>IF(A556&lt;&gt;"",VLOOKUP(Alunos!A556,Agrupamentos!A3:C1000,3, FALSE),"")</f>
        <v/>
      </c>
      <c r="F556" s="2" t="str">
        <f>IFERROR(IF(A556&lt;&gt;"",VLOOKUP(Alunos!E556,'TP2'!A3:D1000,4, FALSE),""),"")</f>
        <v/>
      </c>
      <c r="G556" s="2" t="str">
        <f>IF(A556&lt;&gt;"", SUMIF(B1:F1,"&lt;&gt;",B556:F556),"")</f>
        <v/>
      </c>
      <c r="H556" s="2" t="str">
        <f>IF(AND(A556&lt;&gt;"",G556&lt;&gt;""),ROUND(G556,0),"")</f>
        <v/>
      </c>
      <c r="I556" s="2" t="str">
        <f>IFERROR(IF(A556&lt;&gt;"",VLOOKUP(Alunos!A556,Recurso!A3:D1000,4, FALSE),""), "")</f>
        <v/>
      </c>
      <c r="J556" s="2" t="str">
        <f>IF(AND(A556&lt;&gt;"",I556&lt;&gt;""), SUMIFS(B556:I556,B1:I1,"&lt;&gt;",B2:I2,"&lt;&gt;Exame",B2:I2,"&lt;&gt;exame",B2:I2,"&lt;&gt;Nota",B2:I2,"&lt;&gt;Total"),"")</f>
        <v/>
      </c>
      <c r="K556" s="2" t="str">
        <f>IF(AND(A556&lt;&gt;"",J556&lt;&gt;""),ROUND(J556,0),"")</f>
        <v/>
      </c>
    </row>
    <row r="557" spans="2:11" x14ac:dyDescent="0.3">
      <c r="B557" s="2" t="str">
        <f>IFERROR(IF(A557&lt;&gt;"",VLOOKUP(Alunos!A557,Exame!A3:D1000,4, FALSE),""), "")</f>
        <v/>
      </c>
      <c r="C557" s="2" t="str">
        <f>IF(A557&lt;&gt;"",VLOOKUP(Alunos!A557,Agrupamentos!A3:C1000,2, FALSE),"")</f>
        <v/>
      </c>
      <c r="D557" s="2" t="str">
        <f>IFERROR(IF(A557&lt;&gt;"",VLOOKUP(Alunos!C557,'TP1'!A3:E1000,5, FALSE),""),"")</f>
        <v/>
      </c>
      <c r="E557" s="2" t="str">
        <f>IF(A557&lt;&gt;"",VLOOKUP(Alunos!A557,Agrupamentos!A3:C1000,3, FALSE),"")</f>
        <v/>
      </c>
      <c r="F557" s="2" t="str">
        <f>IFERROR(IF(A557&lt;&gt;"",VLOOKUP(Alunos!E557,'TP2'!A3:D1000,4, FALSE),""),"")</f>
        <v/>
      </c>
      <c r="G557" s="2" t="str">
        <f>IF(A557&lt;&gt;"", SUMIF(B1:F1,"&lt;&gt;",B557:F557),"")</f>
        <v/>
      </c>
      <c r="H557" s="2" t="str">
        <f>IF(AND(A557&lt;&gt;"",G557&lt;&gt;""),ROUND(G557,0),"")</f>
        <v/>
      </c>
      <c r="I557" s="2" t="str">
        <f>IFERROR(IF(A557&lt;&gt;"",VLOOKUP(Alunos!A557,Recurso!A3:D1000,4, FALSE),""), "")</f>
        <v/>
      </c>
      <c r="J557" s="2" t="str">
        <f>IF(AND(A557&lt;&gt;"",I557&lt;&gt;""), SUMIFS(B557:I557,B1:I1,"&lt;&gt;",B2:I2,"&lt;&gt;Exame",B2:I2,"&lt;&gt;exame",B2:I2,"&lt;&gt;Nota",B2:I2,"&lt;&gt;Total"),"")</f>
        <v/>
      </c>
      <c r="K557" s="2" t="str">
        <f>IF(AND(A557&lt;&gt;"",J557&lt;&gt;""),ROUND(J557,0),"")</f>
        <v/>
      </c>
    </row>
    <row r="558" spans="2:11" x14ac:dyDescent="0.3">
      <c r="B558" s="2" t="str">
        <f>IFERROR(IF(A558&lt;&gt;"",VLOOKUP(Alunos!A558,Exame!A3:D1000,4, FALSE),""), "")</f>
        <v/>
      </c>
      <c r="C558" s="2" t="str">
        <f>IF(A558&lt;&gt;"",VLOOKUP(Alunos!A558,Agrupamentos!A3:C1000,2, FALSE),"")</f>
        <v/>
      </c>
      <c r="D558" s="2" t="str">
        <f>IFERROR(IF(A558&lt;&gt;"",VLOOKUP(Alunos!C558,'TP1'!A3:E1000,5, FALSE),""),"")</f>
        <v/>
      </c>
      <c r="E558" s="2" t="str">
        <f>IF(A558&lt;&gt;"",VLOOKUP(Alunos!A558,Agrupamentos!A3:C1000,3, FALSE),"")</f>
        <v/>
      </c>
      <c r="F558" s="2" t="str">
        <f>IFERROR(IF(A558&lt;&gt;"",VLOOKUP(Alunos!E558,'TP2'!A3:D1000,4, FALSE),""),"")</f>
        <v/>
      </c>
      <c r="G558" s="2" t="str">
        <f>IF(A558&lt;&gt;"", SUMIF(B1:F1,"&lt;&gt;",B558:F558),"")</f>
        <v/>
      </c>
      <c r="H558" s="2" t="str">
        <f>IF(AND(A558&lt;&gt;"",G558&lt;&gt;""),ROUND(G558,0),"")</f>
        <v/>
      </c>
      <c r="I558" s="2" t="str">
        <f>IFERROR(IF(A558&lt;&gt;"",VLOOKUP(Alunos!A558,Recurso!A3:D1000,4, FALSE),""), "")</f>
        <v/>
      </c>
      <c r="J558" s="2" t="str">
        <f>IF(AND(A558&lt;&gt;"",I558&lt;&gt;""), SUMIFS(B558:I558,B1:I1,"&lt;&gt;",B2:I2,"&lt;&gt;Exame",B2:I2,"&lt;&gt;exame",B2:I2,"&lt;&gt;Nota",B2:I2,"&lt;&gt;Total"),"")</f>
        <v/>
      </c>
      <c r="K558" s="2" t="str">
        <f>IF(AND(A558&lt;&gt;"",J558&lt;&gt;""),ROUND(J558,0),"")</f>
        <v/>
      </c>
    </row>
    <row r="559" spans="2:11" x14ac:dyDescent="0.3">
      <c r="B559" s="2" t="str">
        <f>IFERROR(IF(A559&lt;&gt;"",VLOOKUP(Alunos!A559,Exame!A3:D1000,4, FALSE),""), "")</f>
        <v/>
      </c>
      <c r="C559" s="2" t="str">
        <f>IF(A559&lt;&gt;"",VLOOKUP(Alunos!A559,Agrupamentos!A3:C1000,2, FALSE),"")</f>
        <v/>
      </c>
      <c r="D559" s="2" t="str">
        <f>IFERROR(IF(A559&lt;&gt;"",VLOOKUP(Alunos!C559,'TP1'!A3:E1000,5, FALSE),""),"")</f>
        <v/>
      </c>
      <c r="E559" s="2" t="str">
        <f>IF(A559&lt;&gt;"",VLOOKUP(Alunos!A559,Agrupamentos!A3:C1000,3, FALSE),"")</f>
        <v/>
      </c>
      <c r="F559" s="2" t="str">
        <f>IFERROR(IF(A559&lt;&gt;"",VLOOKUP(Alunos!E559,'TP2'!A3:D1000,4, FALSE),""),"")</f>
        <v/>
      </c>
      <c r="G559" s="2" t="str">
        <f>IF(A559&lt;&gt;"", SUMIF(B1:F1,"&lt;&gt;",B559:F559),"")</f>
        <v/>
      </c>
      <c r="H559" s="2" t="str">
        <f>IF(AND(A559&lt;&gt;"",G559&lt;&gt;""),ROUND(G559,0),"")</f>
        <v/>
      </c>
      <c r="I559" s="2" t="str">
        <f>IFERROR(IF(A559&lt;&gt;"",VLOOKUP(Alunos!A559,Recurso!A3:D1000,4, FALSE),""), "")</f>
        <v/>
      </c>
      <c r="J559" s="2" t="str">
        <f>IF(AND(A559&lt;&gt;"",I559&lt;&gt;""), SUMIFS(B559:I559,B1:I1,"&lt;&gt;",B2:I2,"&lt;&gt;Exame",B2:I2,"&lt;&gt;exame",B2:I2,"&lt;&gt;Nota",B2:I2,"&lt;&gt;Total"),"")</f>
        <v/>
      </c>
      <c r="K559" s="2" t="str">
        <f>IF(AND(A559&lt;&gt;"",J559&lt;&gt;""),ROUND(J559,0),"")</f>
        <v/>
      </c>
    </row>
    <row r="560" spans="2:11" x14ac:dyDescent="0.3">
      <c r="B560" s="2" t="str">
        <f>IFERROR(IF(A560&lt;&gt;"",VLOOKUP(Alunos!A560,Exame!A3:D1000,4, FALSE),""), "")</f>
        <v/>
      </c>
      <c r="C560" s="2" t="str">
        <f>IF(A560&lt;&gt;"",VLOOKUP(Alunos!A560,Agrupamentos!A3:C1000,2, FALSE),"")</f>
        <v/>
      </c>
      <c r="D560" s="2" t="str">
        <f>IFERROR(IF(A560&lt;&gt;"",VLOOKUP(Alunos!C560,'TP1'!A3:E1000,5, FALSE),""),"")</f>
        <v/>
      </c>
      <c r="E560" s="2" t="str">
        <f>IF(A560&lt;&gt;"",VLOOKUP(Alunos!A560,Agrupamentos!A3:C1000,3, FALSE),"")</f>
        <v/>
      </c>
      <c r="F560" s="2" t="str">
        <f>IFERROR(IF(A560&lt;&gt;"",VLOOKUP(Alunos!E560,'TP2'!A3:D1000,4, FALSE),""),"")</f>
        <v/>
      </c>
      <c r="G560" s="2" t="str">
        <f>IF(A560&lt;&gt;"", SUMIF(B1:F1,"&lt;&gt;",B560:F560),"")</f>
        <v/>
      </c>
      <c r="H560" s="2" t="str">
        <f>IF(AND(A560&lt;&gt;"",G560&lt;&gt;""),ROUND(G560,0),"")</f>
        <v/>
      </c>
      <c r="I560" s="2" t="str">
        <f>IFERROR(IF(A560&lt;&gt;"",VLOOKUP(Alunos!A560,Recurso!A3:D1000,4, FALSE),""), "")</f>
        <v/>
      </c>
      <c r="J560" s="2" t="str">
        <f>IF(AND(A560&lt;&gt;"",I560&lt;&gt;""), SUMIFS(B560:I560,B1:I1,"&lt;&gt;",B2:I2,"&lt;&gt;Exame",B2:I2,"&lt;&gt;exame",B2:I2,"&lt;&gt;Nota",B2:I2,"&lt;&gt;Total"),"")</f>
        <v/>
      </c>
      <c r="K560" s="2" t="str">
        <f>IF(AND(A560&lt;&gt;"",J560&lt;&gt;""),ROUND(J560,0),"")</f>
        <v/>
      </c>
    </row>
    <row r="561" spans="2:11" x14ac:dyDescent="0.3">
      <c r="B561" s="2" t="str">
        <f>IFERROR(IF(A561&lt;&gt;"",VLOOKUP(Alunos!A561,Exame!A3:D1000,4, FALSE),""), "")</f>
        <v/>
      </c>
      <c r="C561" s="2" t="str">
        <f>IF(A561&lt;&gt;"",VLOOKUP(Alunos!A561,Agrupamentos!A3:C1000,2, FALSE),"")</f>
        <v/>
      </c>
      <c r="D561" s="2" t="str">
        <f>IFERROR(IF(A561&lt;&gt;"",VLOOKUP(Alunos!C561,'TP1'!A3:E1000,5, FALSE),""),"")</f>
        <v/>
      </c>
      <c r="E561" s="2" t="str">
        <f>IF(A561&lt;&gt;"",VLOOKUP(Alunos!A561,Agrupamentos!A3:C1000,3, FALSE),"")</f>
        <v/>
      </c>
      <c r="F561" s="2" t="str">
        <f>IFERROR(IF(A561&lt;&gt;"",VLOOKUP(Alunos!E561,'TP2'!A3:D1000,4, FALSE),""),"")</f>
        <v/>
      </c>
      <c r="G561" s="2" t="str">
        <f>IF(A561&lt;&gt;"", SUMIF(B1:F1,"&lt;&gt;",B561:F561),"")</f>
        <v/>
      </c>
      <c r="H561" s="2" t="str">
        <f>IF(AND(A561&lt;&gt;"",G561&lt;&gt;""),ROUND(G561,0),"")</f>
        <v/>
      </c>
      <c r="I561" s="2" t="str">
        <f>IFERROR(IF(A561&lt;&gt;"",VLOOKUP(Alunos!A561,Recurso!A3:D1000,4, FALSE),""), "")</f>
        <v/>
      </c>
      <c r="J561" s="2" t="str">
        <f>IF(AND(A561&lt;&gt;"",I561&lt;&gt;""), SUMIFS(B561:I561,B1:I1,"&lt;&gt;",B2:I2,"&lt;&gt;Exame",B2:I2,"&lt;&gt;exame",B2:I2,"&lt;&gt;Nota",B2:I2,"&lt;&gt;Total"),"")</f>
        <v/>
      </c>
      <c r="K561" s="2" t="str">
        <f>IF(AND(A561&lt;&gt;"",J561&lt;&gt;""),ROUND(J561,0),"")</f>
        <v/>
      </c>
    </row>
    <row r="562" spans="2:11" x14ac:dyDescent="0.3">
      <c r="B562" s="2" t="str">
        <f>IFERROR(IF(A562&lt;&gt;"",VLOOKUP(Alunos!A562,Exame!A3:D1000,4, FALSE),""), "")</f>
        <v/>
      </c>
      <c r="C562" s="2" t="str">
        <f>IF(A562&lt;&gt;"",VLOOKUP(Alunos!A562,Agrupamentos!A3:C1000,2, FALSE),"")</f>
        <v/>
      </c>
      <c r="D562" s="2" t="str">
        <f>IFERROR(IF(A562&lt;&gt;"",VLOOKUP(Alunos!C562,'TP1'!A3:E1000,5, FALSE),""),"")</f>
        <v/>
      </c>
      <c r="E562" s="2" t="str">
        <f>IF(A562&lt;&gt;"",VLOOKUP(Alunos!A562,Agrupamentos!A3:C1000,3, FALSE),"")</f>
        <v/>
      </c>
      <c r="F562" s="2" t="str">
        <f>IFERROR(IF(A562&lt;&gt;"",VLOOKUP(Alunos!E562,'TP2'!A3:D1000,4, FALSE),""),"")</f>
        <v/>
      </c>
      <c r="G562" s="2" t="str">
        <f>IF(A562&lt;&gt;"", SUMIF(B1:F1,"&lt;&gt;",B562:F562),"")</f>
        <v/>
      </c>
      <c r="H562" s="2" t="str">
        <f>IF(AND(A562&lt;&gt;"",G562&lt;&gt;""),ROUND(G562,0),"")</f>
        <v/>
      </c>
      <c r="I562" s="2" t="str">
        <f>IFERROR(IF(A562&lt;&gt;"",VLOOKUP(Alunos!A562,Recurso!A3:D1000,4, FALSE),""), "")</f>
        <v/>
      </c>
      <c r="J562" s="2" t="str">
        <f>IF(AND(A562&lt;&gt;"",I562&lt;&gt;""), SUMIFS(B562:I562,B1:I1,"&lt;&gt;",B2:I2,"&lt;&gt;Exame",B2:I2,"&lt;&gt;exame",B2:I2,"&lt;&gt;Nota",B2:I2,"&lt;&gt;Total"),"")</f>
        <v/>
      </c>
      <c r="K562" s="2" t="str">
        <f>IF(AND(A562&lt;&gt;"",J562&lt;&gt;""),ROUND(J562,0),"")</f>
        <v/>
      </c>
    </row>
    <row r="563" spans="2:11" x14ac:dyDescent="0.3">
      <c r="B563" s="2" t="str">
        <f>IFERROR(IF(A563&lt;&gt;"",VLOOKUP(Alunos!A563,Exame!A3:D1000,4, FALSE),""), "")</f>
        <v/>
      </c>
      <c r="C563" s="2" t="str">
        <f>IF(A563&lt;&gt;"",VLOOKUP(Alunos!A563,Agrupamentos!A3:C1000,2, FALSE),"")</f>
        <v/>
      </c>
      <c r="D563" s="2" t="str">
        <f>IFERROR(IF(A563&lt;&gt;"",VLOOKUP(Alunos!C563,'TP1'!A3:E1000,5, FALSE),""),"")</f>
        <v/>
      </c>
      <c r="E563" s="2" t="str">
        <f>IF(A563&lt;&gt;"",VLOOKUP(Alunos!A563,Agrupamentos!A3:C1000,3, FALSE),"")</f>
        <v/>
      </c>
      <c r="F563" s="2" t="str">
        <f>IFERROR(IF(A563&lt;&gt;"",VLOOKUP(Alunos!E563,'TP2'!A3:D1000,4, FALSE),""),"")</f>
        <v/>
      </c>
      <c r="G563" s="2" t="str">
        <f>IF(A563&lt;&gt;"", SUMIF(B1:F1,"&lt;&gt;",B563:F563),"")</f>
        <v/>
      </c>
      <c r="H563" s="2" t="str">
        <f>IF(AND(A563&lt;&gt;"",G563&lt;&gt;""),ROUND(G563,0),"")</f>
        <v/>
      </c>
      <c r="I563" s="2" t="str">
        <f>IFERROR(IF(A563&lt;&gt;"",VLOOKUP(Alunos!A563,Recurso!A3:D1000,4, FALSE),""), "")</f>
        <v/>
      </c>
      <c r="J563" s="2" t="str">
        <f>IF(AND(A563&lt;&gt;"",I563&lt;&gt;""), SUMIFS(B563:I563,B1:I1,"&lt;&gt;",B2:I2,"&lt;&gt;Exame",B2:I2,"&lt;&gt;exame",B2:I2,"&lt;&gt;Nota",B2:I2,"&lt;&gt;Total"),"")</f>
        <v/>
      </c>
      <c r="K563" s="2" t="str">
        <f>IF(AND(A563&lt;&gt;"",J563&lt;&gt;""),ROUND(J563,0),"")</f>
        <v/>
      </c>
    </row>
    <row r="564" spans="2:11" x14ac:dyDescent="0.3">
      <c r="B564" s="2" t="str">
        <f>IFERROR(IF(A564&lt;&gt;"",VLOOKUP(Alunos!A564,Exame!A3:D1000,4, FALSE),""), "")</f>
        <v/>
      </c>
      <c r="C564" s="2" t="str">
        <f>IF(A564&lt;&gt;"",VLOOKUP(Alunos!A564,Agrupamentos!A3:C1000,2, FALSE),"")</f>
        <v/>
      </c>
      <c r="D564" s="2" t="str">
        <f>IFERROR(IF(A564&lt;&gt;"",VLOOKUP(Alunos!C564,'TP1'!A3:E1000,5, FALSE),""),"")</f>
        <v/>
      </c>
      <c r="E564" s="2" t="str">
        <f>IF(A564&lt;&gt;"",VLOOKUP(Alunos!A564,Agrupamentos!A3:C1000,3, FALSE),"")</f>
        <v/>
      </c>
      <c r="F564" s="2" t="str">
        <f>IFERROR(IF(A564&lt;&gt;"",VLOOKUP(Alunos!E564,'TP2'!A3:D1000,4, FALSE),""),"")</f>
        <v/>
      </c>
      <c r="G564" s="2" t="str">
        <f>IF(A564&lt;&gt;"", SUMIF(B1:F1,"&lt;&gt;",B564:F564),"")</f>
        <v/>
      </c>
      <c r="H564" s="2" t="str">
        <f>IF(AND(A564&lt;&gt;"",G564&lt;&gt;""),ROUND(G564,0),"")</f>
        <v/>
      </c>
      <c r="I564" s="2" t="str">
        <f>IFERROR(IF(A564&lt;&gt;"",VLOOKUP(Alunos!A564,Recurso!A3:D1000,4, FALSE),""), "")</f>
        <v/>
      </c>
      <c r="J564" s="2" t="str">
        <f>IF(AND(A564&lt;&gt;"",I564&lt;&gt;""), SUMIFS(B564:I564,B1:I1,"&lt;&gt;",B2:I2,"&lt;&gt;Exame",B2:I2,"&lt;&gt;exame",B2:I2,"&lt;&gt;Nota",B2:I2,"&lt;&gt;Total"),"")</f>
        <v/>
      </c>
      <c r="K564" s="2" t="str">
        <f>IF(AND(A564&lt;&gt;"",J564&lt;&gt;""),ROUND(J564,0),"")</f>
        <v/>
      </c>
    </row>
    <row r="565" spans="2:11" x14ac:dyDescent="0.3">
      <c r="B565" s="2" t="str">
        <f>IFERROR(IF(A565&lt;&gt;"",VLOOKUP(Alunos!A565,Exame!A3:D1000,4, FALSE),""), "")</f>
        <v/>
      </c>
      <c r="C565" s="2" t="str">
        <f>IF(A565&lt;&gt;"",VLOOKUP(Alunos!A565,Agrupamentos!A3:C1000,2, FALSE),"")</f>
        <v/>
      </c>
      <c r="D565" s="2" t="str">
        <f>IFERROR(IF(A565&lt;&gt;"",VLOOKUP(Alunos!C565,'TP1'!A3:E1000,5, FALSE),""),"")</f>
        <v/>
      </c>
      <c r="E565" s="2" t="str">
        <f>IF(A565&lt;&gt;"",VLOOKUP(Alunos!A565,Agrupamentos!A3:C1000,3, FALSE),"")</f>
        <v/>
      </c>
      <c r="F565" s="2" t="str">
        <f>IFERROR(IF(A565&lt;&gt;"",VLOOKUP(Alunos!E565,'TP2'!A3:D1000,4, FALSE),""),"")</f>
        <v/>
      </c>
      <c r="G565" s="2" t="str">
        <f>IF(A565&lt;&gt;"", SUMIF(B1:F1,"&lt;&gt;",B565:F565),"")</f>
        <v/>
      </c>
      <c r="H565" s="2" t="str">
        <f>IF(AND(A565&lt;&gt;"",G565&lt;&gt;""),ROUND(G565,0),"")</f>
        <v/>
      </c>
      <c r="I565" s="2" t="str">
        <f>IFERROR(IF(A565&lt;&gt;"",VLOOKUP(Alunos!A565,Recurso!A3:D1000,4, FALSE),""), "")</f>
        <v/>
      </c>
      <c r="J565" s="2" t="str">
        <f>IF(AND(A565&lt;&gt;"",I565&lt;&gt;""), SUMIFS(B565:I565,B1:I1,"&lt;&gt;",B2:I2,"&lt;&gt;Exame",B2:I2,"&lt;&gt;exame",B2:I2,"&lt;&gt;Nota",B2:I2,"&lt;&gt;Total"),"")</f>
        <v/>
      </c>
      <c r="K565" s="2" t="str">
        <f>IF(AND(A565&lt;&gt;"",J565&lt;&gt;""),ROUND(J565,0),"")</f>
        <v/>
      </c>
    </row>
    <row r="566" spans="2:11" x14ac:dyDescent="0.3">
      <c r="B566" s="2" t="str">
        <f>IFERROR(IF(A566&lt;&gt;"",VLOOKUP(Alunos!A566,Exame!A3:D1000,4, FALSE),""), "")</f>
        <v/>
      </c>
      <c r="C566" s="2" t="str">
        <f>IF(A566&lt;&gt;"",VLOOKUP(Alunos!A566,Agrupamentos!A3:C1000,2, FALSE),"")</f>
        <v/>
      </c>
      <c r="D566" s="2" t="str">
        <f>IFERROR(IF(A566&lt;&gt;"",VLOOKUP(Alunos!C566,'TP1'!A3:E1000,5, FALSE),""),"")</f>
        <v/>
      </c>
      <c r="E566" s="2" t="str">
        <f>IF(A566&lt;&gt;"",VLOOKUP(Alunos!A566,Agrupamentos!A3:C1000,3, FALSE),"")</f>
        <v/>
      </c>
      <c r="F566" s="2" t="str">
        <f>IFERROR(IF(A566&lt;&gt;"",VLOOKUP(Alunos!E566,'TP2'!A3:D1000,4, FALSE),""),"")</f>
        <v/>
      </c>
      <c r="G566" s="2" t="str">
        <f>IF(A566&lt;&gt;"", SUMIF(B1:F1,"&lt;&gt;",B566:F566),"")</f>
        <v/>
      </c>
      <c r="H566" s="2" t="str">
        <f>IF(AND(A566&lt;&gt;"",G566&lt;&gt;""),ROUND(G566,0),"")</f>
        <v/>
      </c>
      <c r="I566" s="2" t="str">
        <f>IFERROR(IF(A566&lt;&gt;"",VLOOKUP(Alunos!A566,Recurso!A3:D1000,4, FALSE),""), "")</f>
        <v/>
      </c>
      <c r="J566" s="2" t="str">
        <f>IF(AND(A566&lt;&gt;"",I566&lt;&gt;""), SUMIFS(B566:I566,B1:I1,"&lt;&gt;",B2:I2,"&lt;&gt;Exame",B2:I2,"&lt;&gt;exame",B2:I2,"&lt;&gt;Nota",B2:I2,"&lt;&gt;Total"),"")</f>
        <v/>
      </c>
      <c r="K566" s="2" t="str">
        <f>IF(AND(A566&lt;&gt;"",J566&lt;&gt;""),ROUND(J566,0),"")</f>
        <v/>
      </c>
    </row>
    <row r="567" spans="2:11" x14ac:dyDescent="0.3">
      <c r="B567" s="2" t="str">
        <f>IFERROR(IF(A567&lt;&gt;"",VLOOKUP(Alunos!A567,Exame!A3:D1000,4, FALSE),""), "")</f>
        <v/>
      </c>
      <c r="C567" s="2" t="str">
        <f>IF(A567&lt;&gt;"",VLOOKUP(Alunos!A567,Agrupamentos!A3:C1000,2, FALSE),"")</f>
        <v/>
      </c>
      <c r="D567" s="2" t="str">
        <f>IFERROR(IF(A567&lt;&gt;"",VLOOKUP(Alunos!C567,'TP1'!A3:E1000,5, FALSE),""),"")</f>
        <v/>
      </c>
      <c r="E567" s="2" t="str">
        <f>IF(A567&lt;&gt;"",VLOOKUP(Alunos!A567,Agrupamentos!A3:C1000,3, FALSE),"")</f>
        <v/>
      </c>
      <c r="F567" s="2" t="str">
        <f>IFERROR(IF(A567&lt;&gt;"",VLOOKUP(Alunos!E567,'TP2'!A3:D1000,4, FALSE),""),"")</f>
        <v/>
      </c>
      <c r="G567" s="2" t="str">
        <f>IF(A567&lt;&gt;"", SUMIF(B1:F1,"&lt;&gt;",B567:F567),"")</f>
        <v/>
      </c>
      <c r="H567" s="2" t="str">
        <f>IF(AND(A567&lt;&gt;"",G567&lt;&gt;""),ROUND(G567,0),"")</f>
        <v/>
      </c>
      <c r="I567" s="2" t="str">
        <f>IFERROR(IF(A567&lt;&gt;"",VLOOKUP(Alunos!A567,Recurso!A3:D1000,4, FALSE),""), "")</f>
        <v/>
      </c>
      <c r="J567" s="2" t="str">
        <f>IF(AND(A567&lt;&gt;"",I567&lt;&gt;""), SUMIFS(B567:I567,B1:I1,"&lt;&gt;",B2:I2,"&lt;&gt;Exame",B2:I2,"&lt;&gt;exame",B2:I2,"&lt;&gt;Nota",B2:I2,"&lt;&gt;Total"),"")</f>
        <v/>
      </c>
      <c r="K567" s="2" t="str">
        <f>IF(AND(A567&lt;&gt;"",J567&lt;&gt;""),ROUND(J567,0),"")</f>
        <v/>
      </c>
    </row>
    <row r="568" spans="2:11" x14ac:dyDescent="0.3">
      <c r="B568" s="2" t="str">
        <f>IFERROR(IF(A568&lt;&gt;"",VLOOKUP(Alunos!A568,Exame!A3:D1000,4, FALSE),""), "")</f>
        <v/>
      </c>
      <c r="C568" s="2" t="str">
        <f>IF(A568&lt;&gt;"",VLOOKUP(Alunos!A568,Agrupamentos!A3:C1000,2, FALSE),"")</f>
        <v/>
      </c>
      <c r="D568" s="2" t="str">
        <f>IFERROR(IF(A568&lt;&gt;"",VLOOKUP(Alunos!C568,'TP1'!A3:E1000,5, FALSE),""),"")</f>
        <v/>
      </c>
      <c r="E568" s="2" t="str">
        <f>IF(A568&lt;&gt;"",VLOOKUP(Alunos!A568,Agrupamentos!A3:C1000,3, FALSE),"")</f>
        <v/>
      </c>
      <c r="F568" s="2" t="str">
        <f>IFERROR(IF(A568&lt;&gt;"",VLOOKUP(Alunos!E568,'TP2'!A3:D1000,4, FALSE),""),"")</f>
        <v/>
      </c>
      <c r="G568" s="2" t="str">
        <f>IF(A568&lt;&gt;"", SUMIF(B1:F1,"&lt;&gt;",B568:F568),"")</f>
        <v/>
      </c>
      <c r="H568" s="2" t="str">
        <f>IF(AND(A568&lt;&gt;"",G568&lt;&gt;""),ROUND(G568,0),"")</f>
        <v/>
      </c>
      <c r="I568" s="2" t="str">
        <f>IFERROR(IF(A568&lt;&gt;"",VLOOKUP(Alunos!A568,Recurso!A3:D1000,4, FALSE),""), "")</f>
        <v/>
      </c>
      <c r="J568" s="2" t="str">
        <f>IF(AND(A568&lt;&gt;"",I568&lt;&gt;""), SUMIFS(B568:I568,B1:I1,"&lt;&gt;",B2:I2,"&lt;&gt;Exame",B2:I2,"&lt;&gt;exame",B2:I2,"&lt;&gt;Nota",B2:I2,"&lt;&gt;Total"),"")</f>
        <v/>
      </c>
      <c r="K568" s="2" t="str">
        <f>IF(AND(A568&lt;&gt;"",J568&lt;&gt;""),ROUND(J568,0),"")</f>
        <v/>
      </c>
    </row>
    <row r="569" spans="2:11" x14ac:dyDescent="0.3">
      <c r="B569" s="2" t="str">
        <f>IFERROR(IF(A569&lt;&gt;"",VLOOKUP(Alunos!A569,Exame!A3:D1000,4, FALSE),""), "")</f>
        <v/>
      </c>
      <c r="C569" s="2" t="str">
        <f>IF(A569&lt;&gt;"",VLOOKUP(Alunos!A569,Agrupamentos!A3:C1000,2, FALSE),"")</f>
        <v/>
      </c>
      <c r="D569" s="2" t="str">
        <f>IFERROR(IF(A569&lt;&gt;"",VLOOKUP(Alunos!C569,'TP1'!A3:E1000,5, FALSE),""),"")</f>
        <v/>
      </c>
      <c r="E569" s="2" t="str">
        <f>IF(A569&lt;&gt;"",VLOOKUP(Alunos!A569,Agrupamentos!A3:C1000,3, FALSE),"")</f>
        <v/>
      </c>
      <c r="F569" s="2" t="str">
        <f>IFERROR(IF(A569&lt;&gt;"",VLOOKUP(Alunos!E569,'TP2'!A3:D1000,4, FALSE),""),"")</f>
        <v/>
      </c>
      <c r="G569" s="2" t="str">
        <f>IF(A569&lt;&gt;"", SUMIF(B1:F1,"&lt;&gt;",B569:F569),"")</f>
        <v/>
      </c>
      <c r="H569" s="2" t="str">
        <f>IF(AND(A569&lt;&gt;"",G569&lt;&gt;""),ROUND(G569,0),"")</f>
        <v/>
      </c>
      <c r="I569" s="2" t="str">
        <f>IFERROR(IF(A569&lt;&gt;"",VLOOKUP(Alunos!A569,Recurso!A3:D1000,4, FALSE),""), "")</f>
        <v/>
      </c>
      <c r="J569" s="2" t="str">
        <f>IF(AND(A569&lt;&gt;"",I569&lt;&gt;""), SUMIFS(B569:I569,B1:I1,"&lt;&gt;",B2:I2,"&lt;&gt;Exame",B2:I2,"&lt;&gt;exame",B2:I2,"&lt;&gt;Nota",B2:I2,"&lt;&gt;Total"),"")</f>
        <v/>
      </c>
      <c r="K569" s="2" t="str">
        <f>IF(AND(A569&lt;&gt;"",J569&lt;&gt;""),ROUND(J569,0),"")</f>
        <v/>
      </c>
    </row>
    <row r="570" spans="2:11" x14ac:dyDescent="0.3">
      <c r="B570" s="2" t="str">
        <f>IFERROR(IF(A570&lt;&gt;"",VLOOKUP(Alunos!A570,Exame!A3:D1000,4, FALSE),""), "")</f>
        <v/>
      </c>
      <c r="C570" s="2" t="str">
        <f>IF(A570&lt;&gt;"",VLOOKUP(Alunos!A570,Agrupamentos!A3:C1000,2, FALSE),"")</f>
        <v/>
      </c>
      <c r="D570" s="2" t="str">
        <f>IFERROR(IF(A570&lt;&gt;"",VLOOKUP(Alunos!C570,'TP1'!A3:E1000,5, FALSE),""),"")</f>
        <v/>
      </c>
      <c r="E570" s="2" t="str">
        <f>IF(A570&lt;&gt;"",VLOOKUP(Alunos!A570,Agrupamentos!A3:C1000,3, FALSE),"")</f>
        <v/>
      </c>
      <c r="F570" s="2" t="str">
        <f>IFERROR(IF(A570&lt;&gt;"",VLOOKUP(Alunos!E570,'TP2'!A3:D1000,4, FALSE),""),"")</f>
        <v/>
      </c>
      <c r="G570" s="2" t="str">
        <f>IF(A570&lt;&gt;"", SUMIF(B1:F1,"&lt;&gt;",B570:F570),"")</f>
        <v/>
      </c>
      <c r="H570" s="2" t="str">
        <f>IF(AND(A570&lt;&gt;"",G570&lt;&gt;""),ROUND(G570,0),"")</f>
        <v/>
      </c>
      <c r="I570" s="2" t="str">
        <f>IFERROR(IF(A570&lt;&gt;"",VLOOKUP(Alunos!A570,Recurso!A3:D1000,4, FALSE),""), "")</f>
        <v/>
      </c>
      <c r="J570" s="2" t="str">
        <f>IF(AND(A570&lt;&gt;"",I570&lt;&gt;""), SUMIFS(B570:I570,B1:I1,"&lt;&gt;",B2:I2,"&lt;&gt;Exame",B2:I2,"&lt;&gt;exame",B2:I2,"&lt;&gt;Nota",B2:I2,"&lt;&gt;Total"),"")</f>
        <v/>
      </c>
      <c r="K570" s="2" t="str">
        <f>IF(AND(A570&lt;&gt;"",J570&lt;&gt;""),ROUND(J570,0),"")</f>
        <v/>
      </c>
    </row>
    <row r="571" spans="2:11" x14ac:dyDescent="0.3">
      <c r="B571" s="2" t="str">
        <f>IFERROR(IF(A571&lt;&gt;"",VLOOKUP(Alunos!A571,Exame!A3:D1000,4, FALSE),""), "")</f>
        <v/>
      </c>
      <c r="C571" s="2" t="str">
        <f>IF(A571&lt;&gt;"",VLOOKUP(Alunos!A571,Agrupamentos!A3:C1000,2, FALSE),"")</f>
        <v/>
      </c>
      <c r="D571" s="2" t="str">
        <f>IFERROR(IF(A571&lt;&gt;"",VLOOKUP(Alunos!C571,'TP1'!A3:E1000,5, FALSE),""),"")</f>
        <v/>
      </c>
      <c r="E571" s="2" t="str">
        <f>IF(A571&lt;&gt;"",VLOOKUP(Alunos!A571,Agrupamentos!A3:C1000,3, FALSE),"")</f>
        <v/>
      </c>
      <c r="F571" s="2" t="str">
        <f>IFERROR(IF(A571&lt;&gt;"",VLOOKUP(Alunos!E571,'TP2'!A3:D1000,4, FALSE),""),"")</f>
        <v/>
      </c>
      <c r="G571" s="2" t="str">
        <f>IF(A571&lt;&gt;"", SUMIF(B1:F1,"&lt;&gt;",B571:F571),"")</f>
        <v/>
      </c>
      <c r="H571" s="2" t="str">
        <f>IF(AND(A571&lt;&gt;"",G571&lt;&gt;""),ROUND(G571,0),"")</f>
        <v/>
      </c>
      <c r="I571" s="2" t="str">
        <f>IFERROR(IF(A571&lt;&gt;"",VLOOKUP(Alunos!A571,Recurso!A3:D1000,4, FALSE),""), "")</f>
        <v/>
      </c>
      <c r="J571" s="2" t="str">
        <f>IF(AND(A571&lt;&gt;"",I571&lt;&gt;""), SUMIFS(B571:I571,B1:I1,"&lt;&gt;",B2:I2,"&lt;&gt;Exame",B2:I2,"&lt;&gt;exame",B2:I2,"&lt;&gt;Nota",B2:I2,"&lt;&gt;Total"),"")</f>
        <v/>
      </c>
      <c r="K571" s="2" t="str">
        <f>IF(AND(A571&lt;&gt;"",J571&lt;&gt;""),ROUND(J571,0),"")</f>
        <v/>
      </c>
    </row>
    <row r="572" spans="2:11" x14ac:dyDescent="0.3">
      <c r="B572" s="2" t="str">
        <f>IFERROR(IF(A572&lt;&gt;"",VLOOKUP(Alunos!A572,Exame!A3:D1000,4, FALSE),""), "")</f>
        <v/>
      </c>
      <c r="C572" s="2" t="str">
        <f>IF(A572&lt;&gt;"",VLOOKUP(Alunos!A572,Agrupamentos!A3:C1000,2, FALSE),"")</f>
        <v/>
      </c>
      <c r="D572" s="2" t="str">
        <f>IFERROR(IF(A572&lt;&gt;"",VLOOKUP(Alunos!C572,'TP1'!A3:E1000,5, FALSE),""),"")</f>
        <v/>
      </c>
      <c r="E572" s="2" t="str">
        <f>IF(A572&lt;&gt;"",VLOOKUP(Alunos!A572,Agrupamentos!A3:C1000,3, FALSE),"")</f>
        <v/>
      </c>
      <c r="F572" s="2" t="str">
        <f>IFERROR(IF(A572&lt;&gt;"",VLOOKUP(Alunos!E572,'TP2'!A3:D1000,4, FALSE),""),"")</f>
        <v/>
      </c>
      <c r="G572" s="2" t="str">
        <f>IF(A572&lt;&gt;"", SUMIF(B1:F1,"&lt;&gt;",B572:F572),"")</f>
        <v/>
      </c>
      <c r="H572" s="2" t="str">
        <f>IF(AND(A572&lt;&gt;"",G572&lt;&gt;""),ROUND(G572,0),"")</f>
        <v/>
      </c>
      <c r="I572" s="2" t="str">
        <f>IFERROR(IF(A572&lt;&gt;"",VLOOKUP(Alunos!A572,Recurso!A3:D1000,4, FALSE),""), "")</f>
        <v/>
      </c>
      <c r="J572" s="2" t="str">
        <f>IF(AND(A572&lt;&gt;"",I572&lt;&gt;""), SUMIFS(B572:I572,B1:I1,"&lt;&gt;",B2:I2,"&lt;&gt;Exame",B2:I2,"&lt;&gt;exame",B2:I2,"&lt;&gt;Nota",B2:I2,"&lt;&gt;Total"),"")</f>
        <v/>
      </c>
      <c r="K572" s="2" t="str">
        <f>IF(AND(A572&lt;&gt;"",J572&lt;&gt;""),ROUND(J572,0),"")</f>
        <v/>
      </c>
    </row>
    <row r="573" spans="2:11" x14ac:dyDescent="0.3">
      <c r="B573" s="2" t="str">
        <f>IFERROR(IF(A573&lt;&gt;"",VLOOKUP(Alunos!A573,Exame!A3:D1000,4, FALSE),""), "")</f>
        <v/>
      </c>
      <c r="C573" s="2" t="str">
        <f>IF(A573&lt;&gt;"",VLOOKUP(Alunos!A573,Agrupamentos!A3:C1000,2, FALSE),"")</f>
        <v/>
      </c>
      <c r="D573" s="2" t="str">
        <f>IFERROR(IF(A573&lt;&gt;"",VLOOKUP(Alunos!C573,'TP1'!A3:E1000,5, FALSE),""),"")</f>
        <v/>
      </c>
      <c r="E573" s="2" t="str">
        <f>IF(A573&lt;&gt;"",VLOOKUP(Alunos!A573,Agrupamentos!A3:C1000,3, FALSE),"")</f>
        <v/>
      </c>
      <c r="F573" s="2" t="str">
        <f>IFERROR(IF(A573&lt;&gt;"",VLOOKUP(Alunos!E573,'TP2'!A3:D1000,4, FALSE),""),"")</f>
        <v/>
      </c>
      <c r="G573" s="2" t="str">
        <f>IF(A573&lt;&gt;"", SUMIF(B1:F1,"&lt;&gt;",B573:F573),"")</f>
        <v/>
      </c>
      <c r="H573" s="2" t="str">
        <f>IF(AND(A573&lt;&gt;"",G573&lt;&gt;""),ROUND(G573,0),"")</f>
        <v/>
      </c>
      <c r="I573" s="2" t="str">
        <f>IFERROR(IF(A573&lt;&gt;"",VLOOKUP(Alunos!A573,Recurso!A3:D1000,4, FALSE),""), "")</f>
        <v/>
      </c>
      <c r="J573" s="2" t="str">
        <f>IF(AND(A573&lt;&gt;"",I573&lt;&gt;""), SUMIFS(B573:I573,B1:I1,"&lt;&gt;",B2:I2,"&lt;&gt;Exame",B2:I2,"&lt;&gt;exame",B2:I2,"&lt;&gt;Nota",B2:I2,"&lt;&gt;Total"),"")</f>
        <v/>
      </c>
      <c r="K573" s="2" t="str">
        <f>IF(AND(A573&lt;&gt;"",J573&lt;&gt;""),ROUND(J573,0),"")</f>
        <v/>
      </c>
    </row>
    <row r="574" spans="2:11" x14ac:dyDescent="0.3">
      <c r="B574" s="2" t="str">
        <f>IFERROR(IF(A574&lt;&gt;"",VLOOKUP(Alunos!A574,Exame!A3:D1000,4, FALSE),""), "")</f>
        <v/>
      </c>
      <c r="C574" s="2" t="str">
        <f>IF(A574&lt;&gt;"",VLOOKUP(Alunos!A574,Agrupamentos!A3:C1000,2, FALSE),"")</f>
        <v/>
      </c>
      <c r="D574" s="2" t="str">
        <f>IFERROR(IF(A574&lt;&gt;"",VLOOKUP(Alunos!C574,'TP1'!A3:E1000,5, FALSE),""),"")</f>
        <v/>
      </c>
      <c r="E574" s="2" t="str">
        <f>IF(A574&lt;&gt;"",VLOOKUP(Alunos!A574,Agrupamentos!A3:C1000,3, FALSE),"")</f>
        <v/>
      </c>
      <c r="F574" s="2" t="str">
        <f>IFERROR(IF(A574&lt;&gt;"",VLOOKUP(Alunos!E574,'TP2'!A3:D1000,4, FALSE),""),"")</f>
        <v/>
      </c>
      <c r="G574" s="2" t="str">
        <f>IF(A574&lt;&gt;"", SUMIF(B1:F1,"&lt;&gt;",B574:F574),"")</f>
        <v/>
      </c>
      <c r="H574" s="2" t="str">
        <f>IF(AND(A574&lt;&gt;"",G574&lt;&gt;""),ROUND(G574,0),"")</f>
        <v/>
      </c>
      <c r="I574" s="2" t="str">
        <f>IFERROR(IF(A574&lt;&gt;"",VLOOKUP(Alunos!A574,Recurso!A3:D1000,4, FALSE),""), "")</f>
        <v/>
      </c>
      <c r="J574" s="2" t="str">
        <f>IF(AND(A574&lt;&gt;"",I574&lt;&gt;""), SUMIFS(B574:I574,B1:I1,"&lt;&gt;",B2:I2,"&lt;&gt;Exame",B2:I2,"&lt;&gt;exame",B2:I2,"&lt;&gt;Nota",B2:I2,"&lt;&gt;Total"),"")</f>
        <v/>
      </c>
      <c r="K574" s="2" t="str">
        <f>IF(AND(A574&lt;&gt;"",J574&lt;&gt;""),ROUND(J574,0),"")</f>
        <v/>
      </c>
    </row>
    <row r="575" spans="2:11" x14ac:dyDescent="0.3">
      <c r="B575" s="2" t="str">
        <f>IFERROR(IF(A575&lt;&gt;"",VLOOKUP(Alunos!A575,Exame!A3:D1000,4, FALSE),""), "")</f>
        <v/>
      </c>
      <c r="C575" s="2" t="str">
        <f>IF(A575&lt;&gt;"",VLOOKUP(Alunos!A575,Agrupamentos!A3:C1000,2, FALSE),"")</f>
        <v/>
      </c>
      <c r="D575" s="2" t="str">
        <f>IFERROR(IF(A575&lt;&gt;"",VLOOKUP(Alunos!C575,'TP1'!A3:E1000,5, FALSE),""),"")</f>
        <v/>
      </c>
      <c r="E575" s="2" t="str">
        <f>IF(A575&lt;&gt;"",VLOOKUP(Alunos!A575,Agrupamentos!A3:C1000,3, FALSE),"")</f>
        <v/>
      </c>
      <c r="F575" s="2" t="str">
        <f>IFERROR(IF(A575&lt;&gt;"",VLOOKUP(Alunos!E575,'TP2'!A3:D1000,4, FALSE),""),"")</f>
        <v/>
      </c>
      <c r="G575" s="2" t="str">
        <f>IF(A575&lt;&gt;"", SUMIF(B1:F1,"&lt;&gt;",B575:F575),"")</f>
        <v/>
      </c>
      <c r="H575" s="2" t="str">
        <f>IF(AND(A575&lt;&gt;"",G575&lt;&gt;""),ROUND(G575,0),"")</f>
        <v/>
      </c>
      <c r="I575" s="2" t="str">
        <f>IFERROR(IF(A575&lt;&gt;"",VLOOKUP(Alunos!A575,Recurso!A3:D1000,4, FALSE),""), "")</f>
        <v/>
      </c>
      <c r="J575" s="2" t="str">
        <f>IF(AND(A575&lt;&gt;"",I575&lt;&gt;""), SUMIFS(B575:I575,B1:I1,"&lt;&gt;",B2:I2,"&lt;&gt;Exame",B2:I2,"&lt;&gt;exame",B2:I2,"&lt;&gt;Nota",B2:I2,"&lt;&gt;Total"),"")</f>
        <v/>
      </c>
      <c r="K575" s="2" t="str">
        <f>IF(AND(A575&lt;&gt;"",J575&lt;&gt;""),ROUND(J575,0),"")</f>
        <v/>
      </c>
    </row>
    <row r="576" spans="2:11" x14ac:dyDescent="0.3">
      <c r="B576" s="2" t="str">
        <f>IFERROR(IF(A576&lt;&gt;"",VLOOKUP(Alunos!A576,Exame!A3:D1000,4, FALSE),""), "")</f>
        <v/>
      </c>
      <c r="C576" s="2" t="str">
        <f>IF(A576&lt;&gt;"",VLOOKUP(Alunos!A576,Agrupamentos!A3:C1000,2, FALSE),"")</f>
        <v/>
      </c>
      <c r="D576" s="2" t="str">
        <f>IFERROR(IF(A576&lt;&gt;"",VLOOKUP(Alunos!C576,'TP1'!A3:E1000,5, FALSE),""),"")</f>
        <v/>
      </c>
      <c r="E576" s="2" t="str">
        <f>IF(A576&lt;&gt;"",VLOOKUP(Alunos!A576,Agrupamentos!A3:C1000,3, FALSE),"")</f>
        <v/>
      </c>
      <c r="F576" s="2" t="str">
        <f>IFERROR(IF(A576&lt;&gt;"",VLOOKUP(Alunos!E576,'TP2'!A3:D1000,4, FALSE),""),"")</f>
        <v/>
      </c>
      <c r="G576" s="2" t="str">
        <f>IF(A576&lt;&gt;"", SUMIF(B1:F1,"&lt;&gt;",B576:F576),"")</f>
        <v/>
      </c>
      <c r="H576" s="2" t="str">
        <f>IF(AND(A576&lt;&gt;"",G576&lt;&gt;""),ROUND(G576,0),"")</f>
        <v/>
      </c>
      <c r="I576" s="2" t="str">
        <f>IFERROR(IF(A576&lt;&gt;"",VLOOKUP(Alunos!A576,Recurso!A3:D1000,4, FALSE),""), "")</f>
        <v/>
      </c>
      <c r="J576" s="2" t="str">
        <f>IF(AND(A576&lt;&gt;"",I576&lt;&gt;""), SUMIFS(B576:I576,B1:I1,"&lt;&gt;",B2:I2,"&lt;&gt;Exame",B2:I2,"&lt;&gt;exame",B2:I2,"&lt;&gt;Nota",B2:I2,"&lt;&gt;Total"),"")</f>
        <v/>
      </c>
      <c r="K576" s="2" t="str">
        <f>IF(AND(A576&lt;&gt;"",J576&lt;&gt;""),ROUND(J576,0),"")</f>
        <v/>
      </c>
    </row>
    <row r="577" spans="2:11" x14ac:dyDescent="0.3">
      <c r="B577" s="2" t="str">
        <f>IFERROR(IF(A577&lt;&gt;"",VLOOKUP(Alunos!A577,Exame!A3:D1000,4, FALSE),""), "")</f>
        <v/>
      </c>
      <c r="C577" s="2" t="str">
        <f>IF(A577&lt;&gt;"",VLOOKUP(Alunos!A577,Agrupamentos!A3:C1000,2, FALSE),"")</f>
        <v/>
      </c>
      <c r="D577" s="2" t="str">
        <f>IFERROR(IF(A577&lt;&gt;"",VLOOKUP(Alunos!C577,'TP1'!A3:E1000,5, FALSE),""),"")</f>
        <v/>
      </c>
      <c r="E577" s="2" t="str">
        <f>IF(A577&lt;&gt;"",VLOOKUP(Alunos!A577,Agrupamentos!A3:C1000,3, FALSE),"")</f>
        <v/>
      </c>
      <c r="F577" s="2" t="str">
        <f>IFERROR(IF(A577&lt;&gt;"",VLOOKUP(Alunos!E577,'TP2'!A3:D1000,4, FALSE),""),"")</f>
        <v/>
      </c>
      <c r="G577" s="2" t="str">
        <f>IF(A577&lt;&gt;"", SUMIF(B1:F1,"&lt;&gt;",B577:F577),"")</f>
        <v/>
      </c>
      <c r="H577" s="2" t="str">
        <f>IF(AND(A577&lt;&gt;"",G577&lt;&gt;""),ROUND(G577,0),"")</f>
        <v/>
      </c>
      <c r="I577" s="2" t="str">
        <f>IFERROR(IF(A577&lt;&gt;"",VLOOKUP(Alunos!A577,Recurso!A3:D1000,4, FALSE),""), "")</f>
        <v/>
      </c>
      <c r="J577" s="2" t="str">
        <f>IF(AND(A577&lt;&gt;"",I577&lt;&gt;""), SUMIFS(B577:I577,B1:I1,"&lt;&gt;",B2:I2,"&lt;&gt;Exame",B2:I2,"&lt;&gt;exame",B2:I2,"&lt;&gt;Nota",B2:I2,"&lt;&gt;Total"),"")</f>
        <v/>
      </c>
      <c r="K577" s="2" t="str">
        <f>IF(AND(A577&lt;&gt;"",J577&lt;&gt;""),ROUND(J577,0),"")</f>
        <v/>
      </c>
    </row>
    <row r="578" spans="2:11" x14ac:dyDescent="0.3">
      <c r="B578" s="2" t="str">
        <f>IFERROR(IF(A578&lt;&gt;"",VLOOKUP(Alunos!A578,Exame!A3:D1000,4, FALSE),""), "")</f>
        <v/>
      </c>
      <c r="C578" s="2" t="str">
        <f>IF(A578&lt;&gt;"",VLOOKUP(Alunos!A578,Agrupamentos!A3:C1000,2, FALSE),"")</f>
        <v/>
      </c>
      <c r="D578" s="2" t="str">
        <f>IFERROR(IF(A578&lt;&gt;"",VLOOKUP(Alunos!C578,'TP1'!A3:E1000,5, FALSE),""),"")</f>
        <v/>
      </c>
      <c r="E578" s="2" t="str">
        <f>IF(A578&lt;&gt;"",VLOOKUP(Alunos!A578,Agrupamentos!A3:C1000,3, FALSE),"")</f>
        <v/>
      </c>
      <c r="F578" s="2" t="str">
        <f>IFERROR(IF(A578&lt;&gt;"",VLOOKUP(Alunos!E578,'TP2'!A3:D1000,4, FALSE),""),"")</f>
        <v/>
      </c>
      <c r="G578" s="2" t="str">
        <f>IF(A578&lt;&gt;"", SUMIF(B1:F1,"&lt;&gt;",B578:F578),"")</f>
        <v/>
      </c>
      <c r="H578" s="2" t="str">
        <f>IF(AND(A578&lt;&gt;"",G578&lt;&gt;""),ROUND(G578,0),"")</f>
        <v/>
      </c>
      <c r="I578" s="2" t="str">
        <f>IFERROR(IF(A578&lt;&gt;"",VLOOKUP(Alunos!A578,Recurso!A3:D1000,4, FALSE),""), "")</f>
        <v/>
      </c>
      <c r="J578" s="2" t="str">
        <f>IF(AND(A578&lt;&gt;"",I578&lt;&gt;""), SUMIFS(B578:I578,B1:I1,"&lt;&gt;",B2:I2,"&lt;&gt;Exame",B2:I2,"&lt;&gt;exame",B2:I2,"&lt;&gt;Nota",B2:I2,"&lt;&gt;Total"),"")</f>
        <v/>
      </c>
      <c r="K578" s="2" t="str">
        <f>IF(AND(A578&lt;&gt;"",J578&lt;&gt;""),ROUND(J578,0),"")</f>
        <v/>
      </c>
    </row>
    <row r="579" spans="2:11" x14ac:dyDescent="0.3">
      <c r="B579" s="2" t="str">
        <f>IFERROR(IF(A579&lt;&gt;"",VLOOKUP(Alunos!A579,Exame!A3:D1000,4, FALSE),""), "")</f>
        <v/>
      </c>
      <c r="C579" s="2" t="str">
        <f>IF(A579&lt;&gt;"",VLOOKUP(Alunos!A579,Agrupamentos!A3:C1000,2, FALSE),"")</f>
        <v/>
      </c>
      <c r="D579" s="2" t="str">
        <f>IFERROR(IF(A579&lt;&gt;"",VLOOKUP(Alunos!C579,'TP1'!A3:E1000,5, FALSE),""),"")</f>
        <v/>
      </c>
      <c r="E579" s="2" t="str">
        <f>IF(A579&lt;&gt;"",VLOOKUP(Alunos!A579,Agrupamentos!A3:C1000,3, FALSE),"")</f>
        <v/>
      </c>
      <c r="F579" s="2" t="str">
        <f>IFERROR(IF(A579&lt;&gt;"",VLOOKUP(Alunos!E579,'TP2'!A3:D1000,4, FALSE),""),"")</f>
        <v/>
      </c>
      <c r="G579" s="2" t="str">
        <f>IF(A579&lt;&gt;"", SUMIF(B1:F1,"&lt;&gt;",B579:F579),"")</f>
        <v/>
      </c>
      <c r="H579" s="2" t="str">
        <f>IF(AND(A579&lt;&gt;"",G579&lt;&gt;""),ROUND(G579,0),"")</f>
        <v/>
      </c>
      <c r="I579" s="2" t="str">
        <f>IFERROR(IF(A579&lt;&gt;"",VLOOKUP(Alunos!A579,Recurso!A3:D1000,4, FALSE),""), "")</f>
        <v/>
      </c>
      <c r="J579" s="2" t="str">
        <f>IF(AND(A579&lt;&gt;"",I579&lt;&gt;""), SUMIFS(B579:I579,B1:I1,"&lt;&gt;",B2:I2,"&lt;&gt;Exame",B2:I2,"&lt;&gt;exame",B2:I2,"&lt;&gt;Nota",B2:I2,"&lt;&gt;Total"),"")</f>
        <v/>
      </c>
      <c r="K579" s="2" t="str">
        <f>IF(AND(A579&lt;&gt;"",J579&lt;&gt;""),ROUND(J579,0),"")</f>
        <v/>
      </c>
    </row>
    <row r="580" spans="2:11" x14ac:dyDescent="0.3">
      <c r="B580" s="2" t="str">
        <f>IFERROR(IF(A580&lt;&gt;"",VLOOKUP(Alunos!A580,Exame!A3:D1000,4, FALSE),""), "")</f>
        <v/>
      </c>
      <c r="C580" s="2" t="str">
        <f>IF(A580&lt;&gt;"",VLOOKUP(Alunos!A580,Agrupamentos!A3:C1000,2, FALSE),"")</f>
        <v/>
      </c>
      <c r="D580" s="2" t="str">
        <f>IFERROR(IF(A580&lt;&gt;"",VLOOKUP(Alunos!C580,'TP1'!A3:E1000,5, FALSE),""),"")</f>
        <v/>
      </c>
      <c r="E580" s="2" t="str">
        <f>IF(A580&lt;&gt;"",VLOOKUP(Alunos!A580,Agrupamentos!A3:C1000,3, FALSE),"")</f>
        <v/>
      </c>
      <c r="F580" s="2" t="str">
        <f>IFERROR(IF(A580&lt;&gt;"",VLOOKUP(Alunos!E580,'TP2'!A3:D1000,4, FALSE),""),"")</f>
        <v/>
      </c>
      <c r="G580" s="2" t="str">
        <f>IF(A580&lt;&gt;"", SUMIF(B1:F1,"&lt;&gt;",B580:F580),"")</f>
        <v/>
      </c>
      <c r="H580" s="2" t="str">
        <f>IF(AND(A580&lt;&gt;"",G580&lt;&gt;""),ROUND(G580,0),"")</f>
        <v/>
      </c>
      <c r="I580" s="2" t="str">
        <f>IFERROR(IF(A580&lt;&gt;"",VLOOKUP(Alunos!A580,Recurso!A3:D1000,4, FALSE),""), "")</f>
        <v/>
      </c>
      <c r="J580" s="2" t="str">
        <f>IF(AND(A580&lt;&gt;"",I580&lt;&gt;""), SUMIFS(B580:I580,B1:I1,"&lt;&gt;",B2:I2,"&lt;&gt;Exame",B2:I2,"&lt;&gt;exame",B2:I2,"&lt;&gt;Nota",B2:I2,"&lt;&gt;Total"),"")</f>
        <v/>
      </c>
      <c r="K580" s="2" t="str">
        <f>IF(AND(A580&lt;&gt;"",J580&lt;&gt;""),ROUND(J580,0),"")</f>
        <v/>
      </c>
    </row>
    <row r="581" spans="2:11" x14ac:dyDescent="0.3">
      <c r="B581" s="2" t="str">
        <f>IFERROR(IF(A581&lt;&gt;"",VLOOKUP(Alunos!A581,Exame!A3:D1000,4, FALSE),""), "")</f>
        <v/>
      </c>
      <c r="C581" s="2" t="str">
        <f>IF(A581&lt;&gt;"",VLOOKUP(Alunos!A581,Agrupamentos!A3:C1000,2, FALSE),"")</f>
        <v/>
      </c>
      <c r="D581" s="2" t="str">
        <f>IFERROR(IF(A581&lt;&gt;"",VLOOKUP(Alunos!C581,'TP1'!A3:E1000,5, FALSE),""),"")</f>
        <v/>
      </c>
      <c r="E581" s="2" t="str">
        <f>IF(A581&lt;&gt;"",VLOOKUP(Alunos!A581,Agrupamentos!A3:C1000,3, FALSE),"")</f>
        <v/>
      </c>
      <c r="F581" s="2" t="str">
        <f>IFERROR(IF(A581&lt;&gt;"",VLOOKUP(Alunos!E581,'TP2'!A3:D1000,4, FALSE),""),"")</f>
        <v/>
      </c>
      <c r="G581" s="2" t="str">
        <f>IF(A581&lt;&gt;"", SUMIF(B1:F1,"&lt;&gt;",B581:F581),"")</f>
        <v/>
      </c>
      <c r="H581" s="2" t="str">
        <f>IF(AND(A581&lt;&gt;"",G581&lt;&gt;""),ROUND(G581,0),"")</f>
        <v/>
      </c>
      <c r="I581" s="2" t="str">
        <f>IFERROR(IF(A581&lt;&gt;"",VLOOKUP(Alunos!A581,Recurso!A3:D1000,4, FALSE),""), "")</f>
        <v/>
      </c>
      <c r="J581" s="2" t="str">
        <f>IF(AND(A581&lt;&gt;"",I581&lt;&gt;""), SUMIFS(B581:I581,B1:I1,"&lt;&gt;",B2:I2,"&lt;&gt;Exame",B2:I2,"&lt;&gt;exame",B2:I2,"&lt;&gt;Nota",B2:I2,"&lt;&gt;Total"),"")</f>
        <v/>
      </c>
      <c r="K581" s="2" t="str">
        <f>IF(AND(A581&lt;&gt;"",J581&lt;&gt;""),ROUND(J581,0),"")</f>
        <v/>
      </c>
    </row>
    <row r="582" spans="2:11" x14ac:dyDescent="0.3">
      <c r="B582" s="2" t="str">
        <f>IFERROR(IF(A582&lt;&gt;"",VLOOKUP(Alunos!A582,Exame!A3:D1000,4, FALSE),""), "")</f>
        <v/>
      </c>
      <c r="C582" s="2" t="str">
        <f>IF(A582&lt;&gt;"",VLOOKUP(Alunos!A582,Agrupamentos!A3:C1000,2, FALSE),"")</f>
        <v/>
      </c>
      <c r="D582" s="2" t="str">
        <f>IFERROR(IF(A582&lt;&gt;"",VLOOKUP(Alunos!C582,'TP1'!A3:E1000,5, FALSE),""),"")</f>
        <v/>
      </c>
      <c r="E582" s="2" t="str">
        <f>IF(A582&lt;&gt;"",VLOOKUP(Alunos!A582,Agrupamentos!A3:C1000,3, FALSE),"")</f>
        <v/>
      </c>
      <c r="F582" s="2" t="str">
        <f>IFERROR(IF(A582&lt;&gt;"",VLOOKUP(Alunos!E582,'TP2'!A3:D1000,4, FALSE),""),"")</f>
        <v/>
      </c>
      <c r="G582" s="2" t="str">
        <f>IF(A582&lt;&gt;"", SUMIF(B1:F1,"&lt;&gt;",B582:F582),"")</f>
        <v/>
      </c>
      <c r="H582" s="2" t="str">
        <f>IF(AND(A582&lt;&gt;"",G582&lt;&gt;""),ROUND(G582,0),"")</f>
        <v/>
      </c>
      <c r="I582" s="2" t="str">
        <f>IFERROR(IF(A582&lt;&gt;"",VLOOKUP(Alunos!A582,Recurso!A3:D1000,4, FALSE),""), "")</f>
        <v/>
      </c>
      <c r="J582" s="2" t="str">
        <f>IF(AND(A582&lt;&gt;"",I582&lt;&gt;""), SUMIFS(B582:I582,B1:I1,"&lt;&gt;",B2:I2,"&lt;&gt;Exame",B2:I2,"&lt;&gt;exame",B2:I2,"&lt;&gt;Nota",B2:I2,"&lt;&gt;Total"),"")</f>
        <v/>
      </c>
      <c r="K582" s="2" t="str">
        <f>IF(AND(A582&lt;&gt;"",J582&lt;&gt;""),ROUND(J582,0),"")</f>
        <v/>
      </c>
    </row>
    <row r="583" spans="2:11" x14ac:dyDescent="0.3">
      <c r="B583" s="2" t="str">
        <f>IFERROR(IF(A583&lt;&gt;"",VLOOKUP(Alunos!A583,Exame!A3:D1000,4, FALSE),""), "")</f>
        <v/>
      </c>
      <c r="C583" s="2" t="str">
        <f>IF(A583&lt;&gt;"",VLOOKUP(Alunos!A583,Agrupamentos!A3:C1000,2, FALSE),"")</f>
        <v/>
      </c>
      <c r="D583" s="2" t="str">
        <f>IFERROR(IF(A583&lt;&gt;"",VLOOKUP(Alunos!C583,'TP1'!A3:E1000,5, FALSE),""),"")</f>
        <v/>
      </c>
      <c r="E583" s="2" t="str">
        <f>IF(A583&lt;&gt;"",VLOOKUP(Alunos!A583,Agrupamentos!A3:C1000,3, FALSE),"")</f>
        <v/>
      </c>
      <c r="F583" s="2" t="str">
        <f>IFERROR(IF(A583&lt;&gt;"",VLOOKUP(Alunos!E583,'TP2'!A3:D1000,4, FALSE),""),"")</f>
        <v/>
      </c>
      <c r="G583" s="2" t="str">
        <f>IF(A583&lt;&gt;"", SUMIF(B1:F1,"&lt;&gt;",B583:F583),"")</f>
        <v/>
      </c>
      <c r="H583" s="2" t="str">
        <f>IF(AND(A583&lt;&gt;"",G583&lt;&gt;""),ROUND(G583,0),"")</f>
        <v/>
      </c>
      <c r="I583" s="2" t="str">
        <f>IFERROR(IF(A583&lt;&gt;"",VLOOKUP(Alunos!A583,Recurso!A3:D1000,4, FALSE),""), "")</f>
        <v/>
      </c>
      <c r="J583" s="2" t="str">
        <f>IF(AND(A583&lt;&gt;"",I583&lt;&gt;""), SUMIFS(B583:I583,B1:I1,"&lt;&gt;",B2:I2,"&lt;&gt;Exame",B2:I2,"&lt;&gt;exame",B2:I2,"&lt;&gt;Nota",B2:I2,"&lt;&gt;Total"),"")</f>
        <v/>
      </c>
      <c r="K583" s="2" t="str">
        <f>IF(AND(A583&lt;&gt;"",J583&lt;&gt;""),ROUND(J583,0),"")</f>
        <v/>
      </c>
    </row>
    <row r="584" spans="2:11" x14ac:dyDescent="0.3">
      <c r="B584" s="2" t="str">
        <f>IFERROR(IF(A584&lt;&gt;"",VLOOKUP(Alunos!A584,Exame!A3:D1000,4, FALSE),""), "")</f>
        <v/>
      </c>
      <c r="C584" s="2" t="str">
        <f>IF(A584&lt;&gt;"",VLOOKUP(Alunos!A584,Agrupamentos!A3:C1000,2, FALSE),"")</f>
        <v/>
      </c>
      <c r="D584" s="2" t="str">
        <f>IFERROR(IF(A584&lt;&gt;"",VLOOKUP(Alunos!C584,'TP1'!A3:E1000,5, FALSE),""),"")</f>
        <v/>
      </c>
      <c r="E584" s="2" t="str">
        <f>IF(A584&lt;&gt;"",VLOOKUP(Alunos!A584,Agrupamentos!A3:C1000,3, FALSE),"")</f>
        <v/>
      </c>
      <c r="F584" s="2" t="str">
        <f>IFERROR(IF(A584&lt;&gt;"",VLOOKUP(Alunos!E584,'TP2'!A3:D1000,4, FALSE),""),"")</f>
        <v/>
      </c>
      <c r="G584" s="2" t="str">
        <f>IF(A584&lt;&gt;"", SUMIF(B1:F1,"&lt;&gt;",B584:F584),"")</f>
        <v/>
      </c>
      <c r="H584" s="2" t="str">
        <f>IF(AND(A584&lt;&gt;"",G584&lt;&gt;""),ROUND(G584,0),"")</f>
        <v/>
      </c>
      <c r="I584" s="2" t="str">
        <f>IFERROR(IF(A584&lt;&gt;"",VLOOKUP(Alunos!A584,Recurso!A3:D1000,4, FALSE),""), "")</f>
        <v/>
      </c>
      <c r="J584" s="2" t="str">
        <f>IF(AND(A584&lt;&gt;"",I584&lt;&gt;""), SUMIFS(B584:I584,B1:I1,"&lt;&gt;",B2:I2,"&lt;&gt;Exame",B2:I2,"&lt;&gt;exame",B2:I2,"&lt;&gt;Nota",B2:I2,"&lt;&gt;Total"),"")</f>
        <v/>
      </c>
      <c r="K584" s="2" t="str">
        <f>IF(AND(A584&lt;&gt;"",J584&lt;&gt;""),ROUND(J584,0),"")</f>
        <v/>
      </c>
    </row>
    <row r="585" spans="2:11" x14ac:dyDescent="0.3">
      <c r="B585" s="2" t="str">
        <f>IFERROR(IF(A585&lt;&gt;"",VLOOKUP(Alunos!A585,Exame!A3:D1000,4, FALSE),""), "")</f>
        <v/>
      </c>
      <c r="C585" s="2" t="str">
        <f>IF(A585&lt;&gt;"",VLOOKUP(Alunos!A585,Agrupamentos!A3:C1000,2, FALSE),"")</f>
        <v/>
      </c>
      <c r="D585" s="2" t="str">
        <f>IFERROR(IF(A585&lt;&gt;"",VLOOKUP(Alunos!C585,'TP1'!A3:E1000,5, FALSE),""),"")</f>
        <v/>
      </c>
      <c r="E585" s="2" t="str">
        <f>IF(A585&lt;&gt;"",VLOOKUP(Alunos!A585,Agrupamentos!A3:C1000,3, FALSE),"")</f>
        <v/>
      </c>
      <c r="F585" s="2" t="str">
        <f>IFERROR(IF(A585&lt;&gt;"",VLOOKUP(Alunos!E585,'TP2'!A3:D1000,4, FALSE),""),"")</f>
        <v/>
      </c>
      <c r="G585" s="2" t="str">
        <f>IF(A585&lt;&gt;"", SUMIF(B1:F1,"&lt;&gt;",B585:F585),"")</f>
        <v/>
      </c>
      <c r="H585" s="2" t="str">
        <f>IF(AND(A585&lt;&gt;"",G585&lt;&gt;""),ROUND(G585,0),"")</f>
        <v/>
      </c>
      <c r="I585" s="2" t="str">
        <f>IFERROR(IF(A585&lt;&gt;"",VLOOKUP(Alunos!A585,Recurso!A3:D1000,4, FALSE),""), "")</f>
        <v/>
      </c>
      <c r="J585" s="2" t="str">
        <f>IF(AND(A585&lt;&gt;"",I585&lt;&gt;""), SUMIFS(B585:I585,B1:I1,"&lt;&gt;",B2:I2,"&lt;&gt;Exame",B2:I2,"&lt;&gt;exame",B2:I2,"&lt;&gt;Nota",B2:I2,"&lt;&gt;Total"),"")</f>
        <v/>
      </c>
      <c r="K585" s="2" t="str">
        <f>IF(AND(A585&lt;&gt;"",J585&lt;&gt;""),ROUND(J585,0),"")</f>
        <v/>
      </c>
    </row>
    <row r="586" spans="2:11" x14ac:dyDescent="0.3">
      <c r="B586" s="2" t="str">
        <f>IFERROR(IF(A586&lt;&gt;"",VLOOKUP(Alunos!A586,Exame!A3:D1000,4, FALSE),""), "")</f>
        <v/>
      </c>
      <c r="C586" s="2" t="str">
        <f>IF(A586&lt;&gt;"",VLOOKUP(Alunos!A586,Agrupamentos!A3:C1000,2, FALSE),"")</f>
        <v/>
      </c>
      <c r="D586" s="2" t="str">
        <f>IFERROR(IF(A586&lt;&gt;"",VLOOKUP(Alunos!C586,'TP1'!A3:E1000,5, FALSE),""),"")</f>
        <v/>
      </c>
      <c r="E586" s="2" t="str">
        <f>IF(A586&lt;&gt;"",VLOOKUP(Alunos!A586,Agrupamentos!A3:C1000,3, FALSE),"")</f>
        <v/>
      </c>
      <c r="F586" s="2" t="str">
        <f>IFERROR(IF(A586&lt;&gt;"",VLOOKUP(Alunos!E586,'TP2'!A3:D1000,4, FALSE),""),"")</f>
        <v/>
      </c>
      <c r="G586" s="2" t="str">
        <f>IF(A586&lt;&gt;"", SUMIF(B1:F1,"&lt;&gt;",B586:F586),"")</f>
        <v/>
      </c>
      <c r="H586" s="2" t="str">
        <f>IF(AND(A586&lt;&gt;"",G586&lt;&gt;""),ROUND(G586,0),"")</f>
        <v/>
      </c>
      <c r="I586" s="2" t="str">
        <f>IFERROR(IF(A586&lt;&gt;"",VLOOKUP(Alunos!A586,Recurso!A3:D1000,4, FALSE),""), "")</f>
        <v/>
      </c>
      <c r="J586" s="2" t="str">
        <f>IF(AND(A586&lt;&gt;"",I586&lt;&gt;""), SUMIFS(B586:I586,B1:I1,"&lt;&gt;",B2:I2,"&lt;&gt;Exame",B2:I2,"&lt;&gt;exame",B2:I2,"&lt;&gt;Nota",B2:I2,"&lt;&gt;Total"),"")</f>
        <v/>
      </c>
      <c r="K586" s="2" t="str">
        <f>IF(AND(A586&lt;&gt;"",J586&lt;&gt;""),ROUND(J586,0),"")</f>
        <v/>
      </c>
    </row>
    <row r="587" spans="2:11" x14ac:dyDescent="0.3">
      <c r="B587" s="2" t="str">
        <f>IFERROR(IF(A587&lt;&gt;"",VLOOKUP(Alunos!A587,Exame!A3:D1000,4, FALSE),""), "")</f>
        <v/>
      </c>
      <c r="C587" s="2" t="str">
        <f>IF(A587&lt;&gt;"",VLOOKUP(Alunos!A587,Agrupamentos!A3:C1000,2, FALSE),"")</f>
        <v/>
      </c>
      <c r="D587" s="2" t="str">
        <f>IFERROR(IF(A587&lt;&gt;"",VLOOKUP(Alunos!C587,'TP1'!A3:E1000,5, FALSE),""),"")</f>
        <v/>
      </c>
      <c r="E587" s="2" t="str">
        <f>IF(A587&lt;&gt;"",VLOOKUP(Alunos!A587,Agrupamentos!A3:C1000,3, FALSE),"")</f>
        <v/>
      </c>
      <c r="F587" s="2" t="str">
        <f>IFERROR(IF(A587&lt;&gt;"",VLOOKUP(Alunos!E587,'TP2'!A3:D1000,4, FALSE),""),"")</f>
        <v/>
      </c>
      <c r="G587" s="2" t="str">
        <f>IF(A587&lt;&gt;"", SUMIF(B1:F1,"&lt;&gt;",B587:F587),"")</f>
        <v/>
      </c>
      <c r="H587" s="2" t="str">
        <f>IF(AND(A587&lt;&gt;"",G587&lt;&gt;""),ROUND(G587,0),"")</f>
        <v/>
      </c>
      <c r="I587" s="2" t="str">
        <f>IFERROR(IF(A587&lt;&gt;"",VLOOKUP(Alunos!A587,Recurso!A3:D1000,4, FALSE),""), "")</f>
        <v/>
      </c>
      <c r="J587" s="2" t="str">
        <f>IF(AND(A587&lt;&gt;"",I587&lt;&gt;""), SUMIFS(B587:I587,B1:I1,"&lt;&gt;",B2:I2,"&lt;&gt;Exame",B2:I2,"&lt;&gt;exame",B2:I2,"&lt;&gt;Nota",B2:I2,"&lt;&gt;Total"),"")</f>
        <v/>
      </c>
      <c r="K587" s="2" t="str">
        <f>IF(AND(A587&lt;&gt;"",J587&lt;&gt;""),ROUND(J587,0),"")</f>
        <v/>
      </c>
    </row>
    <row r="588" spans="2:11" x14ac:dyDescent="0.3">
      <c r="B588" s="2" t="str">
        <f>IFERROR(IF(A588&lt;&gt;"",VLOOKUP(Alunos!A588,Exame!A3:D1000,4, FALSE),""), "")</f>
        <v/>
      </c>
      <c r="C588" s="2" t="str">
        <f>IF(A588&lt;&gt;"",VLOOKUP(Alunos!A588,Agrupamentos!A3:C1000,2, FALSE),"")</f>
        <v/>
      </c>
      <c r="D588" s="2" t="str">
        <f>IFERROR(IF(A588&lt;&gt;"",VLOOKUP(Alunos!C588,'TP1'!A3:E1000,5, FALSE),""),"")</f>
        <v/>
      </c>
      <c r="E588" s="2" t="str">
        <f>IF(A588&lt;&gt;"",VLOOKUP(Alunos!A588,Agrupamentos!A3:C1000,3, FALSE),"")</f>
        <v/>
      </c>
      <c r="F588" s="2" t="str">
        <f>IFERROR(IF(A588&lt;&gt;"",VLOOKUP(Alunos!E588,'TP2'!A3:D1000,4, FALSE),""),"")</f>
        <v/>
      </c>
      <c r="G588" s="2" t="str">
        <f>IF(A588&lt;&gt;"", SUMIF(B1:F1,"&lt;&gt;",B588:F588),"")</f>
        <v/>
      </c>
      <c r="H588" s="2" t="str">
        <f>IF(AND(A588&lt;&gt;"",G588&lt;&gt;""),ROUND(G588,0),"")</f>
        <v/>
      </c>
      <c r="I588" s="2" t="str">
        <f>IFERROR(IF(A588&lt;&gt;"",VLOOKUP(Alunos!A588,Recurso!A3:D1000,4, FALSE),""), "")</f>
        <v/>
      </c>
      <c r="J588" s="2" t="str">
        <f>IF(AND(A588&lt;&gt;"",I588&lt;&gt;""), SUMIFS(B588:I588,B1:I1,"&lt;&gt;",B2:I2,"&lt;&gt;Exame",B2:I2,"&lt;&gt;exame",B2:I2,"&lt;&gt;Nota",B2:I2,"&lt;&gt;Total"),"")</f>
        <v/>
      </c>
      <c r="K588" s="2" t="str">
        <f>IF(AND(A588&lt;&gt;"",J588&lt;&gt;""),ROUND(J588,0),"")</f>
        <v/>
      </c>
    </row>
    <row r="589" spans="2:11" x14ac:dyDescent="0.3">
      <c r="B589" s="2" t="str">
        <f>IFERROR(IF(A589&lt;&gt;"",VLOOKUP(Alunos!A589,Exame!A3:D1000,4, FALSE),""), "")</f>
        <v/>
      </c>
      <c r="C589" s="2" t="str">
        <f>IF(A589&lt;&gt;"",VLOOKUP(Alunos!A589,Agrupamentos!A3:C1000,2, FALSE),"")</f>
        <v/>
      </c>
      <c r="D589" s="2" t="str">
        <f>IFERROR(IF(A589&lt;&gt;"",VLOOKUP(Alunos!C589,'TP1'!A3:E1000,5, FALSE),""),"")</f>
        <v/>
      </c>
      <c r="E589" s="2" t="str">
        <f>IF(A589&lt;&gt;"",VLOOKUP(Alunos!A589,Agrupamentos!A3:C1000,3, FALSE),"")</f>
        <v/>
      </c>
      <c r="F589" s="2" t="str">
        <f>IFERROR(IF(A589&lt;&gt;"",VLOOKUP(Alunos!E589,'TP2'!A3:D1000,4, FALSE),""),"")</f>
        <v/>
      </c>
      <c r="G589" s="2" t="str">
        <f>IF(A589&lt;&gt;"", SUMIF(B1:F1,"&lt;&gt;",B589:F589),"")</f>
        <v/>
      </c>
      <c r="H589" s="2" t="str">
        <f>IF(AND(A589&lt;&gt;"",G589&lt;&gt;""),ROUND(G589,0),"")</f>
        <v/>
      </c>
      <c r="I589" s="2" t="str">
        <f>IFERROR(IF(A589&lt;&gt;"",VLOOKUP(Alunos!A589,Recurso!A3:D1000,4, FALSE),""), "")</f>
        <v/>
      </c>
      <c r="J589" s="2" t="str">
        <f>IF(AND(A589&lt;&gt;"",I589&lt;&gt;""), SUMIFS(B589:I589,B1:I1,"&lt;&gt;",B2:I2,"&lt;&gt;Exame",B2:I2,"&lt;&gt;exame",B2:I2,"&lt;&gt;Nota",B2:I2,"&lt;&gt;Total"),"")</f>
        <v/>
      </c>
      <c r="K589" s="2" t="str">
        <f>IF(AND(A589&lt;&gt;"",J589&lt;&gt;""),ROUND(J589,0),"")</f>
        <v/>
      </c>
    </row>
    <row r="590" spans="2:11" x14ac:dyDescent="0.3">
      <c r="B590" s="2" t="str">
        <f>IFERROR(IF(A590&lt;&gt;"",VLOOKUP(Alunos!A590,Exame!A3:D1000,4, FALSE),""), "")</f>
        <v/>
      </c>
      <c r="C590" s="2" t="str">
        <f>IF(A590&lt;&gt;"",VLOOKUP(Alunos!A590,Agrupamentos!A3:C1000,2, FALSE),"")</f>
        <v/>
      </c>
      <c r="D590" s="2" t="str">
        <f>IFERROR(IF(A590&lt;&gt;"",VLOOKUP(Alunos!C590,'TP1'!A3:E1000,5, FALSE),""),"")</f>
        <v/>
      </c>
      <c r="E590" s="2" t="str">
        <f>IF(A590&lt;&gt;"",VLOOKUP(Alunos!A590,Agrupamentos!A3:C1000,3, FALSE),"")</f>
        <v/>
      </c>
      <c r="F590" s="2" t="str">
        <f>IFERROR(IF(A590&lt;&gt;"",VLOOKUP(Alunos!E590,'TP2'!A3:D1000,4, FALSE),""),"")</f>
        <v/>
      </c>
      <c r="G590" s="2" t="str">
        <f>IF(A590&lt;&gt;"", SUMIF(B1:F1,"&lt;&gt;",B590:F590),"")</f>
        <v/>
      </c>
      <c r="H590" s="2" t="str">
        <f>IF(AND(A590&lt;&gt;"",G590&lt;&gt;""),ROUND(G590,0),"")</f>
        <v/>
      </c>
      <c r="I590" s="2" t="str">
        <f>IFERROR(IF(A590&lt;&gt;"",VLOOKUP(Alunos!A590,Recurso!A3:D1000,4, FALSE),""), "")</f>
        <v/>
      </c>
      <c r="J590" s="2" t="str">
        <f>IF(AND(A590&lt;&gt;"",I590&lt;&gt;""), SUMIFS(B590:I590,B1:I1,"&lt;&gt;",B2:I2,"&lt;&gt;Exame",B2:I2,"&lt;&gt;exame",B2:I2,"&lt;&gt;Nota",B2:I2,"&lt;&gt;Total"),"")</f>
        <v/>
      </c>
      <c r="K590" s="2" t="str">
        <f>IF(AND(A590&lt;&gt;"",J590&lt;&gt;""),ROUND(J590,0),"")</f>
        <v/>
      </c>
    </row>
    <row r="591" spans="2:11" x14ac:dyDescent="0.3">
      <c r="B591" s="2" t="str">
        <f>IFERROR(IF(A591&lt;&gt;"",VLOOKUP(Alunos!A591,Exame!A3:D1000,4, FALSE),""), "")</f>
        <v/>
      </c>
      <c r="C591" s="2" t="str">
        <f>IF(A591&lt;&gt;"",VLOOKUP(Alunos!A591,Agrupamentos!A3:C1000,2, FALSE),"")</f>
        <v/>
      </c>
      <c r="D591" s="2" t="str">
        <f>IFERROR(IF(A591&lt;&gt;"",VLOOKUP(Alunos!C591,'TP1'!A3:E1000,5, FALSE),""),"")</f>
        <v/>
      </c>
      <c r="E591" s="2" t="str">
        <f>IF(A591&lt;&gt;"",VLOOKUP(Alunos!A591,Agrupamentos!A3:C1000,3, FALSE),"")</f>
        <v/>
      </c>
      <c r="F591" s="2" t="str">
        <f>IFERROR(IF(A591&lt;&gt;"",VLOOKUP(Alunos!E591,'TP2'!A3:D1000,4, FALSE),""),"")</f>
        <v/>
      </c>
      <c r="G591" s="2" t="str">
        <f>IF(A591&lt;&gt;"", SUMIF(B1:F1,"&lt;&gt;",B591:F591),"")</f>
        <v/>
      </c>
      <c r="H591" s="2" t="str">
        <f>IF(AND(A591&lt;&gt;"",G591&lt;&gt;""),ROUND(G591,0),"")</f>
        <v/>
      </c>
      <c r="I591" s="2" t="str">
        <f>IFERROR(IF(A591&lt;&gt;"",VLOOKUP(Alunos!A591,Recurso!A3:D1000,4, FALSE),""), "")</f>
        <v/>
      </c>
      <c r="J591" s="2" t="str">
        <f>IF(AND(A591&lt;&gt;"",I591&lt;&gt;""), SUMIFS(B591:I591,B1:I1,"&lt;&gt;",B2:I2,"&lt;&gt;Exame",B2:I2,"&lt;&gt;exame",B2:I2,"&lt;&gt;Nota",B2:I2,"&lt;&gt;Total"),"")</f>
        <v/>
      </c>
      <c r="K591" s="2" t="str">
        <f>IF(AND(A591&lt;&gt;"",J591&lt;&gt;""),ROUND(J591,0),"")</f>
        <v/>
      </c>
    </row>
    <row r="592" spans="2:11" x14ac:dyDescent="0.3">
      <c r="B592" s="2" t="str">
        <f>IFERROR(IF(A592&lt;&gt;"",VLOOKUP(Alunos!A592,Exame!A3:D1000,4, FALSE),""), "")</f>
        <v/>
      </c>
      <c r="C592" s="2" t="str">
        <f>IF(A592&lt;&gt;"",VLOOKUP(Alunos!A592,Agrupamentos!A3:C1000,2, FALSE),"")</f>
        <v/>
      </c>
      <c r="D592" s="2" t="str">
        <f>IFERROR(IF(A592&lt;&gt;"",VLOOKUP(Alunos!C592,'TP1'!A3:E1000,5, FALSE),""),"")</f>
        <v/>
      </c>
      <c r="E592" s="2" t="str">
        <f>IF(A592&lt;&gt;"",VLOOKUP(Alunos!A592,Agrupamentos!A3:C1000,3, FALSE),"")</f>
        <v/>
      </c>
      <c r="F592" s="2" t="str">
        <f>IFERROR(IF(A592&lt;&gt;"",VLOOKUP(Alunos!E592,'TP2'!A3:D1000,4, FALSE),""),"")</f>
        <v/>
      </c>
      <c r="G592" s="2" t="str">
        <f>IF(A592&lt;&gt;"", SUMIF(B1:F1,"&lt;&gt;",B592:F592),"")</f>
        <v/>
      </c>
      <c r="H592" s="2" t="str">
        <f>IF(AND(A592&lt;&gt;"",G592&lt;&gt;""),ROUND(G592,0),"")</f>
        <v/>
      </c>
      <c r="I592" s="2" t="str">
        <f>IFERROR(IF(A592&lt;&gt;"",VLOOKUP(Alunos!A592,Recurso!A3:D1000,4, FALSE),""), "")</f>
        <v/>
      </c>
      <c r="J592" s="2" t="str">
        <f>IF(AND(A592&lt;&gt;"",I592&lt;&gt;""), SUMIFS(B592:I592,B1:I1,"&lt;&gt;",B2:I2,"&lt;&gt;Exame",B2:I2,"&lt;&gt;exame",B2:I2,"&lt;&gt;Nota",B2:I2,"&lt;&gt;Total"),"")</f>
        <v/>
      </c>
      <c r="K592" s="2" t="str">
        <f>IF(AND(A592&lt;&gt;"",J592&lt;&gt;""),ROUND(J592,0),"")</f>
        <v/>
      </c>
    </row>
    <row r="593" spans="2:11" x14ac:dyDescent="0.3">
      <c r="B593" s="2" t="str">
        <f>IFERROR(IF(A593&lt;&gt;"",VLOOKUP(Alunos!A593,Exame!A3:D1000,4, FALSE),""), "")</f>
        <v/>
      </c>
      <c r="C593" s="2" t="str">
        <f>IF(A593&lt;&gt;"",VLOOKUP(Alunos!A593,Agrupamentos!A3:C1000,2, FALSE),"")</f>
        <v/>
      </c>
      <c r="D593" s="2" t="str">
        <f>IFERROR(IF(A593&lt;&gt;"",VLOOKUP(Alunos!C593,'TP1'!A3:E1000,5, FALSE),""),"")</f>
        <v/>
      </c>
      <c r="E593" s="2" t="str">
        <f>IF(A593&lt;&gt;"",VLOOKUP(Alunos!A593,Agrupamentos!A3:C1000,3, FALSE),"")</f>
        <v/>
      </c>
      <c r="F593" s="2" t="str">
        <f>IFERROR(IF(A593&lt;&gt;"",VLOOKUP(Alunos!E593,'TP2'!A3:D1000,4, FALSE),""),"")</f>
        <v/>
      </c>
      <c r="G593" s="2" t="str">
        <f>IF(A593&lt;&gt;"", SUMIF(B1:F1,"&lt;&gt;",B593:F593),"")</f>
        <v/>
      </c>
      <c r="H593" s="2" t="str">
        <f>IF(AND(A593&lt;&gt;"",G593&lt;&gt;""),ROUND(G593,0),"")</f>
        <v/>
      </c>
      <c r="I593" s="2" t="str">
        <f>IFERROR(IF(A593&lt;&gt;"",VLOOKUP(Alunos!A593,Recurso!A3:D1000,4, FALSE),""), "")</f>
        <v/>
      </c>
      <c r="J593" s="2" t="str">
        <f>IF(AND(A593&lt;&gt;"",I593&lt;&gt;""), SUMIFS(B593:I593,B1:I1,"&lt;&gt;",B2:I2,"&lt;&gt;Exame",B2:I2,"&lt;&gt;exame",B2:I2,"&lt;&gt;Nota",B2:I2,"&lt;&gt;Total"),"")</f>
        <v/>
      </c>
      <c r="K593" s="2" t="str">
        <f>IF(AND(A593&lt;&gt;"",J593&lt;&gt;""),ROUND(J593,0),"")</f>
        <v/>
      </c>
    </row>
    <row r="594" spans="2:11" x14ac:dyDescent="0.3">
      <c r="B594" s="2" t="str">
        <f>IFERROR(IF(A594&lt;&gt;"",VLOOKUP(Alunos!A594,Exame!A3:D1000,4, FALSE),""), "")</f>
        <v/>
      </c>
      <c r="C594" s="2" t="str">
        <f>IF(A594&lt;&gt;"",VLOOKUP(Alunos!A594,Agrupamentos!A3:C1000,2, FALSE),"")</f>
        <v/>
      </c>
      <c r="D594" s="2" t="str">
        <f>IFERROR(IF(A594&lt;&gt;"",VLOOKUP(Alunos!C594,'TP1'!A3:E1000,5, FALSE),""),"")</f>
        <v/>
      </c>
      <c r="E594" s="2" t="str">
        <f>IF(A594&lt;&gt;"",VLOOKUP(Alunos!A594,Agrupamentos!A3:C1000,3, FALSE),"")</f>
        <v/>
      </c>
      <c r="F594" s="2" t="str">
        <f>IFERROR(IF(A594&lt;&gt;"",VLOOKUP(Alunos!E594,'TP2'!A3:D1000,4, FALSE),""),"")</f>
        <v/>
      </c>
      <c r="G594" s="2" t="str">
        <f>IF(A594&lt;&gt;"", SUMIF(B1:F1,"&lt;&gt;",B594:F594),"")</f>
        <v/>
      </c>
      <c r="H594" s="2" t="str">
        <f>IF(AND(A594&lt;&gt;"",G594&lt;&gt;""),ROUND(G594,0),"")</f>
        <v/>
      </c>
      <c r="I594" s="2" t="str">
        <f>IFERROR(IF(A594&lt;&gt;"",VLOOKUP(Alunos!A594,Recurso!A3:D1000,4, FALSE),""), "")</f>
        <v/>
      </c>
      <c r="J594" s="2" t="str">
        <f>IF(AND(A594&lt;&gt;"",I594&lt;&gt;""), SUMIFS(B594:I594,B1:I1,"&lt;&gt;",B2:I2,"&lt;&gt;Exame",B2:I2,"&lt;&gt;exame",B2:I2,"&lt;&gt;Nota",B2:I2,"&lt;&gt;Total"),"")</f>
        <v/>
      </c>
      <c r="K594" s="2" t="str">
        <f>IF(AND(A594&lt;&gt;"",J594&lt;&gt;""),ROUND(J594,0),"")</f>
        <v/>
      </c>
    </row>
    <row r="595" spans="2:11" x14ac:dyDescent="0.3">
      <c r="B595" s="2" t="str">
        <f>IFERROR(IF(A595&lt;&gt;"",VLOOKUP(Alunos!A595,Exame!A3:D1000,4, FALSE),""), "")</f>
        <v/>
      </c>
      <c r="C595" s="2" t="str">
        <f>IF(A595&lt;&gt;"",VLOOKUP(Alunos!A595,Agrupamentos!A3:C1000,2, FALSE),"")</f>
        <v/>
      </c>
      <c r="D595" s="2" t="str">
        <f>IFERROR(IF(A595&lt;&gt;"",VLOOKUP(Alunos!C595,'TP1'!A3:E1000,5, FALSE),""),"")</f>
        <v/>
      </c>
      <c r="E595" s="2" t="str">
        <f>IF(A595&lt;&gt;"",VLOOKUP(Alunos!A595,Agrupamentos!A3:C1000,3, FALSE),"")</f>
        <v/>
      </c>
      <c r="F595" s="2" t="str">
        <f>IFERROR(IF(A595&lt;&gt;"",VLOOKUP(Alunos!E595,'TP2'!A3:D1000,4, FALSE),""),"")</f>
        <v/>
      </c>
      <c r="G595" s="2" t="str">
        <f>IF(A595&lt;&gt;"", SUMIF(B1:F1,"&lt;&gt;",B595:F595),"")</f>
        <v/>
      </c>
      <c r="H595" s="2" t="str">
        <f>IF(AND(A595&lt;&gt;"",G595&lt;&gt;""),ROUND(G595,0),"")</f>
        <v/>
      </c>
      <c r="I595" s="2" t="str">
        <f>IFERROR(IF(A595&lt;&gt;"",VLOOKUP(Alunos!A595,Recurso!A3:D1000,4, FALSE),""), "")</f>
        <v/>
      </c>
      <c r="J595" s="2" t="str">
        <f>IF(AND(A595&lt;&gt;"",I595&lt;&gt;""), SUMIFS(B595:I595,B1:I1,"&lt;&gt;",B2:I2,"&lt;&gt;Exame",B2:I2,"&lt;&gt;exame",B2:I2,"&lt;&gt;Nota",B2:I2,"&lt;&gt;Total"),"")</f>
        <v/>
      </c>
      <c r="K595" s="2" t="str">
        <f>IF(AND(A595&lt;&gt;"",J595&lt;&gt;""),ROUND(J595,0),"")</f>
        <v/>
      </c>
    </row>
    <row r="596" spans="2:11" x14ac:dyDescent="0.3">
      <c r="B596" s="2" t="str">
        <f>IFERROR(IF(A596&lt;&gt;"",VLOOKUP(Alunos!A596,Exame!A3:D1000,4, FALSE),""), "")</f>
        <v/>
      </c>
      <c r="C596" s="2" t="str">
        <f>IF(A596&lt;&gt;"",VLOOKUP(Alunos!A596,Agrupamentos!A3:C1000,2, FALSE),"")</f>
        <v/>
      </c>
      <c r="D596" s="2" t="str">
        <f>IFERROR(IF(A596&lt;&gt;"",VLOOKUP(Alunos!C596,'TP1'!A3:E1000,5, FALSE),""),"")</f>
        <v/>
      </c>
      <c r="E596" s="2" t="str">
        <f>IF(A596&lt;&gt;"",VLOOKUP(Alunos!A596,Agrupamentos!A3:C1000,3, FALSE),"")</f>
        <v/>
      </c>
      <c r="F596" s="2" t="str">
        <f>IFERROR(IF(A596&lt;&gt;"",VLOOKUP(Alunos!E596,'TP2'!A3:D1000,4, FALSE),""),"")</f>
        <v/>
      </c>
      <c r="G596" s="2" t="str">
        <f>IF(A596&lt;&gt;"", SUMIF(B1:F1,"&lt;&gt;",B596:F596),"")</f>
        <v/>
      </c>
      <c r="H596" s="2" t="str">
        <f>IF(AND(A596&lt;&gt;"",G596&lt;&gt;""),ROUND(G596,0),"")</f>
        <v/>
      </c>
      <c r="I596" s="2" t="str">
        <f>IFERROR(IF(A596&lt;&gt;"",VLOOKUP(Alunos!A596,Recurso!A3:D1000,4, FALSE),""), "")</f>
        <v/>
      </c>
      <c r="J596" s="2" t="str">
        <f>IF(AND(A596&lt;&gt;"",I596&lt;&gt;""), SUMIFS(B596:I596,B1:I1,"&lt;&gt;",B2:I2,"&lt;&gt;Exame",B2:I2,"&lt;&gt;exame",B2:I2,"&lt;&gt;Nota",B2:I2,"&lt;&gt;Total"),"")</f>
        <v/>
      </c>
      <c r="K596" s="2" t="str">
        <f>IF(AND(A596&lt;&gt;"",J596&lt;&gt;""),ROUND(J596,0),"")</f>
        <v/>
      </c>
    </row>
    <row r="597" spans="2:11" x14ac:dyDescent="0.3">
      <c r="B597" s="2" t="str">
        <f>IFERROR(IF(A597&lt;&gt;"",VLOOKUP(Alunos!A597,Exame!A3:D1000,4, FALSE),""), "")</f>
        <v/>
      </c>
      <c r="C597" s="2" t="str">
        <f>IF(A597&lt;&gt;"",VLOOKUP(Alunos!A597,Agrupamentos!A3:C1000,2, FALSE),"")</f>
        <v/>
      </c>
      <c r="D597" s="2" t="str">
        <f>IFERROR(IF(A597&lt;&gt;"",VLOOKUP(Alunos!C597,'TP1'!A3:E1000,5, FALSE),""),"")</f>
        <v/>
      </c>
      <c r="E597" s="2" t="str">
        <f>IF(A597&lt;&gt;"",VLOOKUP(Alunos!A597,Agrupamentos!A3:C1000,3, FALSE),"")</f>
        <v/>
      </c>
      <c r="F597" s="2" t="str">
        <f>IFERROR(IF(A597&lt;&gt;"",VLOOKUP(Alunos!E597,'TP2'!A3:D1000,4, FALSE),""),"")</f>
        <v/>
      </c>
      <c r="G597" s="2" t="str">
        <f>IF(A597&lt;&gt;"", SUMIF(B1:F1,"&lt;&gt;",B597:F597),"")</f>
        <v/>
      </c>
      <c r="H597" s="2" t="str">
        <f>IF(AND(A597&lt;&gt;"",G597&lt;&gt;""),ROUND(G597,0),"")</f>
        <v/>
      </c>
      <c r="I597" s="2" t="str">
        <f>IFERROR(IF(A597&lt;&gt;"",VLOOKUP(Alunos!A597,Recurso!A3:D1000,4, FALSE),""), "")</f>
        <v/>
      </c>
      <c r="J597" s="2" t="str">
        <f>IF(AND(A597&lt;&gt;"",I597&lt;&gt;""), SUMIFS(B597:I597,B1:I1,"&lt;&gt;",B2:I2,"&lt;&gt;Exame",B2:I2,"&lt;&gt;exame",B2:I2,"&lt;&gt;Nota",B2:I2,"&lt;&gt;Total"),"")</f>
        <v/>
      </c>
      <c r="K597" s="2" t="str">
        <f>IF(AND(A597&lt;&gt;"",J597&lt;&gt;""),ROUND(J597,0),"")</f>
        <v/>
      </c>
    </row>
    <row r="598" spans="2:11" x14ac:dyDescent="0.3">
      <c r="B598" s="2" t="str">
        <f>IFERROR(IF(A598&lt;&gt;"",VLOOKUP(Alunos!A598,Exame!A3:D1000,4, FALSE),""), "")</f>
        <v/>
      </c>
      <c r="C598" s="2" t="str">
        <f>IF(A598&lt;&gt;"",VLOOKUP(Alunos!A598,Agrupamentos!A3:C1000,2, FALSE),"")</f>
        <v/>
      </c>
      <c r="D598" s="2" t="str">
        <f>IFERROR(IF(A598&lt;&gt;"",VLOOKUP(Alunos!C598,'TP1'!A3:E1000,5, FALSE),""),"")</f>
        <v/>
      </c>
      <c r="E598" s="2" t="str">
        <f>IF(A598&lt;&gt;"",VLOOKUP(Alunos!A598,Agrupamentos!A3:C1000,3, FALSE),"")</f>
        <v/>
      </c>
      <c r="F598" s="2" t="str">
        <f>IFERROR(IF(A598&lt;&gt;"",VLOOKUP(Alunos!E598,'TP2'!A3:D1000,4, FALSE),""),"")</f>
        <v/>
      </c>
      <c r="G598" s="2" t="str">
        <f>IF(A598&lt;&gt;"", SUMIF(B1:F1,"&lt;&gt;",B598:F598),"")</f>
        <v/>
      </c>
      <c r="H598" s="2" t="str">
        <f>IF(AND(A598&lt;&gt;"",G598&lt;&gt;""),ROUND(G598,0),"")</f>
        <v/>
      </c>
      <c r="I598" s="2" t="str">
        <f>IFERROR(IF(A598&lt;&gt;"",VLOOKUP(Alunos!A598,Recurso!A3:D1000,4, FALSE),""), "")</f>
        <v/>
      </c>
      <c r="J598" s="2" t="str">
        <f>IF(AND(A598&lt;&gt;"",I598&lt;&gt;""), SUMIFS(B598:I598,B1:I1,"&lt;&gt;",B2:I2,"&lt;&gt;Exame",B2:I2,"&lt;&gt;exame",B2:I2,"&lt;&gt;Nota",B2:I2,"&lt;&gt;Total"),"")</f>
        <v/>
      </c>
      <c r="K598" s="2" t="str">
        <f>IF(AND(A598&lt;&gt;"",J598&lt;&gt;""),ROUND(J598,0),"")</f>
        <v/>
      </c>
    </row>
    <row r="599" spans="2:11" x14ac:dyDescent="0.3">
      <c r="B599" s="2" t="str">
        <f>IFERROR(IF(A599&lt;&gt;"",VLOOKUP(Alunos!A599,Exame!A3:D1000,4, FALSE),""), "")</f>
        <v/>
      </c>
      <c r="C599" s="2" t="str">
        <f>IF(A599&lt;&gt;"",VLOOKUP(Alunos!A599,Agrupamentos!A3:C1000,2, FALSE),"")</f>
        <v/>
      </c>
      <c r="D599" s="2" t="str">
        <f>IFERROR(IF(A599&lt;&gt;"",VLOOKUP(Alunos!C599,'TP1'!A3:E1000,5, FALSE),""),"")</f>
        <v/>
      </c>
      <c r="E599" s="2" t="str">
        <f>IF(A599&lt;&gt;"",VLOOKUP(Alunos!A599,Agrupamentos!A3:C1000,3, FALSE),"")</f>
        <v/>
      </c>
      <c r="F599" s="2" t="str">
        <f>IFERROR(IF(A599&lt;&gt;"",VLOOKUP(Alunos!E599,'TP2'!A3:D1000,4, FALSE),""),"")</f>
        <v/>
      </c>
      <c r="G599" s="2" t="str">
        <f>IF(A599&lt;&gt;"", SUMIF(B1:F1,"&lt;&gt;",B599:F599),"")</f>
        <v/>
      </c>
      <c r="H599" s="2" t="str">
        <f>IF(AND(A599&lt;&gt;"",G599&lt;&gt;""),ROUND(G599,0),"")</f>
        <v/>
      </c>
      <c r="I599" s="2" t="str">
        <f>IFERROR(IF(A599&lt;&gt;"",VLOOKUP(Alunos!A599,Recurso!A3:D1000,4, FALSE),""), "")</f>
        <v/>
      </c>
      <c r="J599" s="2" t="str">
        <f>IF(AND(A599&lt;&gt;"",I599&lt;&gt;""), SUMIFS(B599:I599,B1:I1,"&lt;&gt;",B2:I2,"&lt;&gt;Exame",B2:I2,"&lt;&gt;exame",B2:I2,"&lt;&gt;Nota",B2:I2,"&lt;&gt;Total"),"")</f>
        <v/>
      </c>
      <c r="K599" s="2" t="str">
        <f>IF(AND(A599&lt;&gt;"",J599&lt;&gt;""),ROUND(J599,0),"")</f>
        <v/>
      </c>
    </row>
    <row r="600" spans="2:11" x14ac:dyDescent="0.3">
      <c r="B600" s="2" t="str">
        <f>IFERROR(IF(A600&lt;&gt;"",VLOOKUP(Alunos!A600,Exame!A3:D1000,4, FALSE),""), "")</f>
        <v/>
      </c>
      <c r="C600" s="2" t="str">
        <f>IF(A600&lt;&gt;"",VLOOKUP(Alunos!A600,Agrupamentos!A3:C1000,2, FALSE),"")</f>
        <v/>
      </c>
      <c r="D600" s="2" t="str">
        <f>IFERROR(IF(A600&lt;&gt;"",VLOOKUP(Alunos!C600,'TP1'!A3:E1000,5, FALSE),""),"")</f>
        <v/>
      </c>
      <c r="E600" s="2" t="str">
        <f>IF(A600&lt;&gt;"",VLOOKUP(Alunos!A600,Agrupamentos!A3:C1000,3, FALSE),"")</f>
        <v/>
      </c>
      <c r="F600" s="2" t="str">
        <f>IFERROR(IF(A600&lt;&gt;"",VLOOKUP(Alunos!E600,'TP2'!A3:D1000,4, FALSE),""),"")</f>
        <v/>
      </c>
      <c r="G600" s="2" t="str">
        <f>IF(A600&lt;&gt;"", SUMIF(B1:F1,"&lt;&gt;",B600:F600),"")</f>
        <v/>
      </c>
      <c r="H600" s="2" t="str">
        <f>IF(AND(A600&lt;&gt;"",G600&lt;&gt;""),ROUND(G600,0),"")</f>
        <v/>
      </c>
      <c r="I600" s="2" t="str">
        <f>IFERROR(IF(A600&lt;&gt;"",VLOOKUP(Alunos!A600,Recurso!A3:D1000,4, FALSE),""), "")</f>
        <v/>
      </c>
      <c r="J600" s="2" t="str">
        <f>IF(AND(A600&lt;&gt;"",I600&lt;&gt;""), SUMIFS(B600:I600,B1:I1,"&lt;&gt;",B2:I2,"&lt;&gt;Exame",B2:I2,"&lt;&gt;exame",B2:I2,"&lt;&gt;Nota",B2:I2,"&lt;&gt;Total"),"")</f>
        <v/>
      </c>
      <c r="K600" s="2" t="str">
        <f>IF(AND(A600&lt;&gt;"",J600&lt;&gt;""),ROUND(J600,0),"")</f>
        <v/>
      </c>
    </row>
    <row r="601" spans="2:11" x14ac:dyDescent="0.3">
      <c r="B601" s="2" t="str">
        <f>IFERROR(IF(A601&lt;&gt;"",VLOOKUP(Alunos!A601,Exame!A3:D1000,4, FALSE),""), "")</f>
        <v/>
      </c>
      <c r="C601" s="2" t="str">
        <f>IF(A601&lt;&gt;"",VLOOKUP(Alunos!A601,Agrupamentos!A3:C1000,2, FALSE),"")</f>
        <v/>
      </c>
      <c r="D601" s="2" t="str">
        <f>IFERROR(IF(A601&lt;&gt;"",VLOOKUP(Alunos!C601,'TP1'!A3:E1000,5, FALSE),""),"")</f>
        <v/>
      </c>
      <c r="E601" s="2" t="str">
        <f>IF(A601&lt;&gt;"",VLOOKUP(Alunos!A601,Agrupamentos!A3:C1000,3, FALSE),"")</f>
        <v/>
      </c>
      <c r="F601" s="2" t="str">
        <f>IFERROR(IF(A601&lt;&gt;"",VLOOKUP(Alunos!E601,'TP2'!A3:D1000,4, FALSE),""),"")</f>
        <v/>
      </c>
      <c r="G601" s="2" t="str">
        <f>IF(A601&lt;&gt;"", SUMIF(B1:F1,"&lt;&gt;",B601:F601),"")</f>
        <v/>
      </c>
      <c r="H601" s="2" t="str">
        <f>IF(AND(A601&lt;&gt;"",G601&lt;&gt;""),ROUND(G601,0),"")</f>
        <v/>
      </c>
      <c r="I601" s="2" t="str">
        <f>IFERROR(IF(A601&lt;&gt;"",VLOOKUP(Alunos!A601,Recurso!A3:D1000,4, FALSE),""), "")</f>
        <v/>
      </c>
      <c r="J601" s="2" t="str">
        <f>IF(AND(A601&lt;&gt;"",I601&lt;&gt;""), SUMIFS(B601:I601,B1:I1,"&lt;&gt;",B2:I2,"&lt;&gt;Exame",B2:I2,"&lt;&gt;exame",B2:I2,"&lt;&gt;Nota",B2:I2,"&lt;&gt;Total"),"")</f>
        <v/>
      </c>
      <c r="K601" s="2" t="str">
        <f>IF(AND(A601&lt;&gt;"",J601&lt;&gt;""),ROUND(J601,0),"")</f>
        <v/>
      </c>
    </row>
    <row r="602" spans="2:11" x14ac:dyDescent="0.3">
      <c r="B602" s="2" t="str">
        <f>IFERROR(IF(A602&lt;&gt;"",VLOOKUP(Alunos!A602,Exame!A3:D1000,4, FALSE),""), "")</f>
        <v/>
      </c>
      <c r="C602" s="2" t="str">
        <f>IF(A602&lt;&gt;"",VLOOKUP(Alunos!A602,Agrupamentos!A3:C1000,2, FALSE),"")</f>
        <v/>
      </c>
      <c r="D602" s="2" t="str">
        <f>IFERROR(IF(A602&lt;&gt;"",VLOOKUP(Alunos!C602,'TP1'!A3:E1000,5, FALSE),""),"")</f>
        <v/>
      </c>
      <c r="E602" s="2" t="str">
        <f>IF(A602&lt;&gt;"",VLOOKUP(Alunos!A602,Agrupamentos!A3:C1000,3, FALSE),"")</f>
        <v/>
      </c>
      <c r="F602" s="2" t="str">
        <f>IFERROR(IF(A602&lt;&gt;"",VLOOKUP(Alunos!E602,'TP2'!A3:D1000,4, FALSE),""),"")</f>
        <v/>
      </c>
      <c r="G602" s="2" t="str">
        <f>IF(A602&lt;&gt;"", SUMIF(B1:F1,"&lt;&gt;",B602:F602),"")</f>
        <v/>
      </c>
      <c r="H602" s="2" t="str">
        <f>IF(AND(A602&lt;&gt;"",G602&lt;&gt;""),ROUND(G602,0),"")</f>
        <v/>
      </c>
      <c r="I602" s="2" t="str">
        <f>IFERROR(IF(A602&lt;&gt;"",VLOOKUP(Alunos!A602,Recurso!A3:D1000,4, FALSE),""), "")</f>
        <v/>
      </c>
      <c r="J602" s="2" t="str">
        <f>IF(AND(A602&lt;&gt;"",I602&lt;&gt;""), SUMIFS(B602:I602,B1:I1,"&lt;&gt;",B2:I2,"&lt;&gt;Exame",B2:I2,"&lt;&gt;exame",B2:I2,"&lt;&gt;Nota",B2:I2,"&lt;&gt;Total"),"")</f>
        <v/>
      </c>
      <c r="K602" s="2" t="str">
        <f>IF(AND(A602&lt;&gt;"",J602&lt;&gt;""),ROUND(J602,0),"")</f>
        <v/>
      </c>
    </row>
    <row r="603" spans="2:11" x14ac:dyDescent="0.3">
      <c r="B603" s="2" t="str">
        <f>IFERROR(IF(A603&lt;&gt;"",VLOOKUP(Alunos!A603,Exame!A3:D1000,4, FALSE),""), "")</f>
        <v/>
      </c>
      <c r="C603" s="2" t="str">
        <f>IF(A603&lt;&gt;"",VLOOKUP(Alunos!A603,Agrupamentos!A3:C1000,2, FALSE),"")</f>
        <v/>
      </c>
      <c r="D603" s="2" t="str">
        <f>IFERROR(IF(A603&lt;&gt;"",VLOOKUP(Alunos!C603,'TP1'!A3:E1000,5, FALSE),""),"")</f>
        <v/>
      </c>
      <c r="E603" s="2" t="str">
        <f>IF(A603&lt;&gt;"",VLOOKUP(Alunos!A603,Agrupamentos!A3:C1000,3, FALSE),"")</f>
        <v/>
      </c>
      <c r="F603" s="2" t="str">
        <f>IFERROR(IF(A603&lt;&gt;"",VLOOKUP(Alunos!E603,'TP2'!A3:D1000,4, FALSE),""),"")</f>
        <v/>
      </c>
      <c r="G603" s="2" t="str">
        <f>IF(A603&lt;&gt;"", SUMIF(B1:F1,"&lt;&gt;",B603:F603),"")</f>
        <v/>
      </c>
      <c r="H603" s="2" t="str">
        <f>IF(AND(A603&lt;&gt;"",G603&lt;&gt;""),ROUND(G603,0),"")</f>
        <v/>
      </c>
      <c r="I603" s="2" t="str">
        <f>IFERROR(IF(A603&lt;&gt;"",VLOOKUP(Alunos!A603,Recurso!A3:D1000,4, FALSE),""), "")</f>
        <v/>
      </c>
      <c r="J603" s="2" t="str">
        <f>IF(AND(A603&lt;&gt;"",I603&lt;&gt;""), SUMIFS(B603:I603,B1:I1,"&lt;&gt;",B2:I2,"&lt;&gt;Exame",B2:I2,"&lt;&gt;exame",B2:I2,"&lt;&gt;Nota",B2:I2,"&lt;&gt;Total"),"")</f>
        <v/>
      </c>
      <c r="K603" s="2" t="str">
        <f>IF(AND(A603&lt;&gt;"",J603&lt;&gt;""),ROUND(J603,0),"")</f>
        <v/>
      </c>
    </row>
    <row r="604" spans="2:11" x14ac:dyDescent="0.3">
      <c r="B604" s="2" t="str">
        <f>IFERROR(IF(A604&lt;&gt;"",VLOOKUP(Alunos!A604,Exame!A3:D1000,4, FALSE),""), "")</f>
        <v/>
      </c>
      <c r="C604" s="2" t="str">
        <f>IF(A604&lt;&gt;"",VLOOKUP(Alunos!A604,Agrupamentos!A3:C1000,2, FALSE),"")</f>
        <v/>
      </c>
      <c r="D604" s="2" t="str">
        <f>IFERROR(IF(A604&lt;&gt;"",VLOOKUP(Alunos!C604,'TP1'!A3:E1000,5, FALSE),""),"")</f>
        <v/>
      </c>
      <c r="E604" s="2" t="str">
        <f>IF(A604&lt;&gt;"",VLOOKUP(Alunos!A604,Agrupamentos!A3:C1000,3, FALSE),"")</f>
        <v/>
      </c>
      <c r="F604" s="2" t="str">
        <f>IFERROR(IF(A604&lt;&gt;"",VLOOKUP(Alunos!E604,'TP2'!A3:D1000,4, FALSE),""),"")</f>
        <v/>
      </c>
      <c r="G604" s="2" t="str">
        <f>IF(A604&lt;&gt;"", SUMIF(B1:F1,"&lt;&gt;",B604:F604),"")</f>
        <v/>
      </c>
      <c r="H604" s="2" t="str">
        <f>IF(AND(A604&lt;&gt;"",G604&lt;&gt;""),ROUND(G604,0),"")</f>
        <v/>
      </c>
      <c r="I604" s="2" t="str">
        <f>IFERROR(IF(A604&lt;&gt;"",VLOOKUP(Alunos!A604,Recurso!A3:D1000,4, FALSE),""), "")</f>
        <v/>
      </c>
      <c r="J604" s="2" t="str">
        <f>IF(AND(A604&lt;&gt;"",I604&lt;&gt;""), SUMIFS(B604:I604,B1:I1,"&lt;&gt;",B2:I2,"&lt;&gt;Exame",B2:I2,"&lt;&gt;exame",B2:I2,"&lt;&gt;Nota",B2:I2,"&lt;&gt;Total"),"")</f>
        <v/>
      </c>
      <c r="K604" s="2" t="str">
        <f>IF(AND(A604&lt;&gt;"",J604&lt;&gt;""),ROUND(J604,0),"")</f>
        <v/>
      </c>
    </row>
    <row r="605" spans="2:11" x14ac:dyDescent="0.3">
      <c r="B605" s="2" t="str">
        <f>IFERROR(IF(A605&lt;&gt;"",VLOOKUP(Alunos!A605,Exame!A3:D1000,4, FALSE),""), "")</f>
        <v/>
      </c>
      <c r="C605" s="2" t="str">
        <f>IF(A605&lt;&gt;"",VLOOKUP(Alunos!A605,Agrupamentos!A3:C1000,2, FALSE),"")</f>
        <v/>
      </c>
      <c r="D605" s="2" t="str">
        <f>IFERROR(IF(A605&lt;&gt;"",VLOOKUP(Alunos!C605,'TP1'!A3:E1000,5, FALSE),""),"")</f>
        <v/>
      </c>
      <c r="E605" s="2" t="str">
        <f>IF(A605&lt;&gt;"",VLOOKUP(Alunos!A605,Agrupamentos!A3:C1000,3, FALSE),"")</f>
        <v/>
      </c>
      <c r="F605" s="2" t="str">
        <f>IFERROR(IF(A605&lt;&gt;"",VLOOKUP(Alunos!E605,'TP2'!A3:D1000,4, FALSE),""),"")</f>
        <v/>
      </c>
      <c r="G605" s="2" t="str">
        <f>IF(A605&lt;&gt;"", SUMIF(B1:F1,"&lt;&gt;",B605:F605),"")</f>
        <v/>
      </c>
      <c r="H605" s="2" t="str">
        <f>IF(AND(A605&lt;&gt;"",G605&lt;&gt;""),ROUND(G605,0),"")</f>
        <v/>
      </c>
      <c r="I605" s="2" t="str">
        <f>IFERROR(IF(A605&lt;&gt;"",VLOOKUP(Alunos!A605,Recurso!A3:D1000,4, FALSE),""), "")</f>
        <v/>
      </c>
      <c r="J605" s="2" t="str">
        <f>IF(AND(A605&lt;&gt;"",I605&lt;&gt;""), SUMIFS(B605:I605,B1:I1,"&lt;&gt;",B2:I2,"&lt;&gt;Exame",B2:I2,"&lt;&gt;exame",B2:I2,"&lt;&gt;Nota",B2:I2,"&lt;&gt;Total"),"")</f>
        <v/>
      </c>
      <c r="K605" s="2" t="str">
        <f>IF(AND(A605&lt;&gt;"",J605&lt;&gt;""),ROUND(J605,0),"")</f>
        <v/>
      </c>
    </row>
    <row r="606" spans="2:11" x14ac:dyDescent="0.3">
      <c r="B606" s="2" t="str">
        <f>IFERROR(IF(A606&lt;&gt;"",VLOOKUP(Alunos!A606,Exame!A3:D1000,4, FALSE),""), "")</f>
        <v/>
      </c>
      <c r="C606" s="2" t="str">
        <f>IF(A606&lt;&gt;"",VLOOKUP(Alunos!A606,Agrupamentos!A3:C1000,2, FALSE),"")</f>
        <v/>
      </c>
      <c r="D606" s="2" t="str">
        <f>IFERROR(IF(A606&lt;&gt;"",VLOOKUP(Alunos!C606,'TP1'!A3:E1000,5, FALSE),""),"")</f>
        <v/>
      </c>
      <c r="E606" s="2" t="str">
        <f>IF(A606&lt;&gt;"",VLOOKUP(Alunos!A606,Agrupamentos!A3:C1000,3, FALSE),"")</f>
        <v/>
      </c>
      <c r="F606" s="2" t="str">
        <f>IFERROR(IF(A606&lt;&gt;"",VLOOKUP(Alunos!E606,'TP2'!A3:D1000,4, FALSE),""),"")</f>
        <v/>
      </c>
      <c r="G606" s="2" t="str">
        <f>IF(A606&lt;&gt;"", SUMIF(B1:F1,"&lt;&gt;",B606:F606),"")</f>
        <v/>
      </c>
      <c r="H606" s="2" t="str">
        <f>IF(AND(A606&lt;&gt;"",G606&lt;&gt;""),ROUND(G606,0),"")</f>
        <v/>
      </c>
      <c r="I606" s="2" t="str">
        <f>IFERROR(IF(A606&lt;&gt;"",VLOOKUP(Alunos!A606,Recurso!A3:D1000,4, FALSE),""), "")</f>
        <v/>
      </c>
      <c r="J606" s="2" t="str">
        <f>IF(AND(A606&lt;&gt;"",I606&lt;&gt;""), SUMIFS(B606:I606,B1:I1,"&lt;&gt;",B2:I2,"&lt;&gt;Exame",B2:I2,"&lt;&gt;exame",B2:I2,"&lt;&gt;Nota",B2:I2,"&lt;&gt;Total"),"")</f>
        <v/>
      </c>
      <c r="K606" s="2" t="str">
        <f>IF(AND(A606&lt;&gt;"",J606&lt;&gt;""),ROUND(J606,0),"")</f>
        <v/>
      </c>
    </row>
    <row r="607" spans="2:11" x14ac:dyDescent="0.3">
      <c r="B607" s="2" t="str">
        <f>IFERROR(IF(A607&lt;&gt;"",VLOOKUP(Alunos!A607,Exame!A3:D1000,4, FALSE),""), "")</f>
        <v/>
      </c>
      <c r="C607" s="2" t="str">
        <f>IF(A607&lt;&gt;"",VLOOKUP(Alunos!A607,Agrupamentos!A3:C1000,2, FALSE),"")</f>
        <v/>
      </c>
      <c r="D607" s="2" t="str">
        <f>IFERROR(IF(A607&lt;&gt;"",VLOOKUP(Alunos!C607,'TP1'!A3:E1000,5, FALSE),""),"")</f>
        <v/>
      </c>
      <c r="E607" s="2" t="str">
        <f>IF(A607&lt;&gt;"",VLOOKUP(Alunos!A607,Agrupamentos!A3:C1000,3, FALSE),"")</f>
        <v/>
      </c>
      <c r="F607" s="2" t="str">
        <f>IFERROR(IF(A607&lt;&gt;"",VLOOKUP(Alunos!E607,'TP2'!A3:D1000,4, FALSE),""),"")</f>
        <v/>
      </c>
      <c r="G607" s="2" t="str">
        <f>IF(A607&lt;&gt;"", SUMIF(B1:F1,"&lt;&gt;",B607:F607),"")</f>
        <v/>
      </c>
      <c r="H607" s="2" t="str">
        <f>IF(AND(A607&lt;&gt;"",G607&lt;&gt;""),ROUND(G607,0),"")</f>
        <v/>
      </c>
      <c r="I607" s="2" t="str">
        <f>IFERROR(IF(A607&lt;&gt;"",VLOOKUP(Alunos!A607,Recurso!A3:D1000,4, FALSE),""), "")</f>
        <v/>
      </c>
      <c r="J607" s="2" t="str">
        <f>IF(AND(A607&lt;&gt;"",I607&lt;&gt;""), SUMIFS(B607:I607,B1:I1,"&lt;&gt;",B2:I2,"&lt;&gt;Exame",B2:I2,"&lt;&gt;exame",B2:I2,"&lt;&gt;Nota",B2:I2,"&lt;&gt;Total"),"")</f>
        <v/>
      </c>
      <c r="K607" s="2" t="str">
        <f>IF(AND(A607&lt;&gt;"",J607&lt;&gt;""),ROUND(J607,0),"")</f>
        <v/>
      </c>
    </row>
    <row r="608" spans="2:11" x14ac:dyDescent="0.3">
      <c r="B608" s="2" t="str">
        <f>IFERROR(IF(A608&lt;&gt;"",VLOOKUP(Alunos!A608,Exame!A3:D1000,4, FALSE),""), "")</f>
        <v/>
      </c>
      <c r="C608" s="2" t="str">
        <f>IF(A608&lt;&gt;"",VLOOKUP(Alunos!A608,Agrupamentos!A3:C1000,2, FALSE),"")</f>
        <v/>
      </c>
      <c r="D608" s="2" t="str">
        <f>IFERROR(IF(A608&lt;&gt;"",VLOOKUP(Alunos!C608,'TP1'!A3:E1000,5, FALSE),""),"")</f>
        <v/>
      </c>
      <c r="E608" s="2" t="str">
        <f>IF(A608&lt;&gt;"",VLOOKUP(Alunos!A608,Agrupamentos!A3:C1000,3, FALSE),"")</f>
        <v/>
      </c>
      <c r="F608" s="2" t="str">
        <f>IFERROR(IF(A608&lt;&gt;"",VLOOKUP(Alunos!E608,'TP2'!A3:D1000,4, FALSE),""),"")</f>
        <v/>
      </c>
      <c r="G608" s="2" t="str">
        <f>IF(A608&lt;&gt;"", SUMIF(B1:F1,"&lt;&gt;",B608:F608),"")</f>
        <v/>
      </c>
      <c r="H608" s="2" t="str">
        <f>IF(AND(A608&lt;&gt;"",G608&lt;&gt;""),ROUND(G608,0),"")</f>
        <v/>
      </c>
      <c r="I608" s="2" t="str">
        <f>IFERROR(IF(A608&lt;&gt;"",VLOOKUP(Alunos!A608,Recurso!A3:D1000,4, FALSE),""), "")</f>
        <v/>
      </c>
      <c r="J608" s="2" t="str">
        <f>IF(AND(A608&lt;&gt;"",I608&lt;&gt;""), SUMIFS(B608:I608,B1:I1,"&lt;&gt;",B2:I2,"&lt;&gt;Exame",B2:I2,"&lt;&gt;exame",B2:I2,"&lt;&gt;Nota",B2:I2,"&lt;&gt;Total"),"")</f>
        <v/>
      </c>
      <c r="K608" s="2" t="str">
        <f>IF(AND(A608&lt;&gt;"",J608&lt;&gt;""),ROUND(J608,0),"")</f>
        <v/>
      </c>
    </row>
    <row r="609" spans="2:11" x14ac:dyDescent="0.3">
      <c r="B609" s="2" t="str">
        <f>IFERROR(IF(A609&lt;&gt;"",VLOOKUP(Alunos!A609,Exame!A3:D1000,4, FALSE),""), "")</f>
        <v/>
      </c>
      <c r="C609" s="2" t="str">
        <f>IF(A609&lt;&gt;"",VLOOKUP(Alunos!A609,Agrupamentos!A3:C1000,2, FALSE),"")</f>
        <v/>
      </c>
      <c r="D609" s="2" t="str">
        <f>IFERROR(IF(A609&lt;&gt;"",VLOOKUP(Alunos!C609,'TP1'!A3:E1000,5, FALSE),""),"")</f>
        <v/>
      </c>
      <c r="E609" s="2" t="str">
        <f>IF(A609&lt;&gt;"",VLOOKUP(Alunos!A609,Agrupamentos!A3:C1000,3, FALSE),"")</f>
        <v/>
      </c>
      <c r="F609" s="2" t="str">
        <f>IFERROR(IF(A609&lt;&gt;"",VLOOKUP(Alunos!E609,'TP2'!A3:D1000,4, FALSE),""),"")</f>
        <v/>
      </c>
      <c r="G609" s="2" t="str">
        <f>IF(A609&lt;&gt;"", SUMIF(B1:F1,"&lt;&gt;",B609:F609),"")</f>
        <v/>
      </c>
      <c r="H609" s="2" t="str">
        <f>IF(AND(A609&lt;&gt;"",G609&lt;&gt;""),ROUND(G609,0),"")</f>
        <v/>
      </c>
      <c r="I609" s="2" t="str">
        <f>IFERROR(IF(A609&lt;&gt;"",VLOOKUP(Alunos!A609,Recurso!A3:D1000,4, FALSE),""), "")</f>
        <v/>
      </c>
      <c r="J609" s="2" t="str">
        <f>IF(AND(A609&lt;&gt;"",I609&lt;&gt;""), SUMIFS(B609:I609,B1:I1,"&lt;&gt;",B2:I2,"&lt;&gt;Exame",B2:I2,"&lt;&gt;exame",B2:I2,"&lt;&gt;Nota",B2:I2,"&lt;&gt;Total"),"")</f>
        <v/>
      </c>
      <c r="K609" s="2" t="str">
        <f>IF(AND(A609&lt;&gt;"",J609&lt;&gt;""),ROUND(J609,0),"")</f>
        <v/>
      </c>
    </row>
    <row r="610" spans="2:11" x14ac:dyDescent="0.3">
      <c r="B610" s="2" t="str">
        <f>IFERROR(IF(A610&lt;&gt;"",VLOOKUP(Alunos!A610,Exame!A3:D1000,4, FALSE),""), "")</f>
        <v/>
      </c>
      <c r="C610" s="2" t="str">
        <f>IF(A610&lt;&gt;"",VLOOKUP(Alunos!A610,Agrupamentos!A3:C1000,2, FALSE),"")</f>
        <v/>
      </c>
      <c r="D610" s="2" t="str">
        <f>IFERROR(IF(A610&lt;&gt;"",VLOOKUP(Alunos!C610,'TP1'!A3:E1000,5, FALSE),""),"")</f>
        <v/>
      </c>
      <c r="E610" s="2" t="str">
        <f>IF(A610&lt;&gt;"",VLOOKUP(Alunos!A610,Agrupamentos!A3:C1000,3, FALSE),"")</f>
        <v/>
      </c>
      <c r="F610" s="2" t="str">
        <f>IFERROR(IF(A610&lt;&gt;"",VLOOKUP(Alunos!E610,'TP2'!A3:D1000,4, FALSE),""),"")</f>
        <v/>
      </c>
      <c r="G610" s="2" t="str">
        <f>IF(A610&lt;&gt;"", SUMIF(B1:F1,"&lt;&gt;",B610:F610),"")</f>
        <v/>
      </c>
      <c r="H610" s="2" t="str">
        <f>IF(AND(A610&lt;&gt;"",G610&lt;&gt;""),ROUND(G610,0),"")</f>
        <v/>
      </c>
      <c r="I610" s="2" t="str">
        <f>IFERROR(IF(A610&lt;&gt;"",VLOOKUP(Alunos!A610,Recurso!A3:D1000,4, FALSE),""), "")</f>
        <v/>
      </c>
      <c r="J610" s="2" t="str">
        <f>IF(AND(A610&lt;&gt;"",I610&lt;&gt;""), SUMIFS(B610:I610,B1:I1,"&lt;&gt;",B2:I2,"&lt;&gt;Exame",B2:I2,"&lt;&gt;exame",B2:I2,"&lt;&gt;Nota",B2:I2,"&lt;&gt;Total"),"")</f>
        <v/>
      </c>
      <c r="K610" s="2" t="str">
        <f>IF(AND(A610&lt;&gt;"",J610&lt;&gt;""),ROUND(J610,0),"")</f>
        <v/>
      </c>
    </row>
    <row r="611" spans="2:11" x14ac:dyDescent="0.3">
      <c r="B611" s="2" t="str">
        <f>IFERROR(IF(A611&lt;&gt;"",VLOOKUP(Alunos!A611,Exame!A3:D1000,4, FALSE),""), "")</f>
        <v/>
      </c>
      <c r="C611" s="2" t="str">
        <f>IF(A611&lt;&gt;"",VLOOKUP(Alunos!A611,Agrupamentos!A3:C1000,2, FALSE),"")</f>
        <v/>
      </c>
      <c r="D611" s="2" t="str">
        <f>IFERROR(IF(A611&lt;&gt;"",VLOOKUP(Alunos!C611,'TP1'!A3:E1000,5, FALSE),""),"")</f>
        <v/>
      </c>
      <c r="E611" s="2" t="str">
        <f>IF(A611&lt;&gt;"",VLOOKUP(Alunos!A611,Agrupamentos!A3:C1000,3, FALSE),"")</f>
        <v/>
      </c>
      <c r="F611" s="2" t="str">
        <f>IFERROR(IF(A611&lt;&gt;"",VLOOKUP(Alunos!E611,'TP2'!A3:D1000,4, FALSE),""),"")</f>
        <v/>
      </c>
      <c r="G611" s="2" t="str">
        <f>IF(A611&lt;&gt;"", SUMIF(B1:F1,"&lt;&gt;",B611:F611),"")</f>
        <v/>
      </c>
      <c r="H611" s="2" t="str">
        <f>IF(AND(A611&lt;&gt;"",G611&lt;&gt;""),ROUND(G611,0),"")</f>
        <v/>
      </c>
      <c r="I611" s="2" t="str">
        <f>IFERROR(IF(A611&lt;&gt;"",VLOOKUP(Alunos!A611,Recurso!A3:D1000,4, FALSE),""), "")</f>
        <v/>
      </c>
      <c r="J611" s="2" t="str">
        <f>IF(AND(A611&lt;&gt;"",I611&lt;&gt;""), SUMIFS(B611:I611,B1:I1,"&lt;&gt;",B2:I2,"&lt;&gt;Exame",B2:I2,"&lt;&gt;exame",B2:I2,"&lt;&gt;Nota",B2:I2,"&lt;&gt;Total"),"")</f>
        <v/>
      </c>
      <c r="K611" s="2" t="str">
        <f>IF(AND(A611&lt;&gt;"",J611&lt;&gt;""),ROUND(J611,0),"")</f>
        <v/>
      </c>
    </row>
    <row r="612" spans="2:11" x14ac:dyDescent="0.3">
      <c r="B612" s="2" t="str">
        <f>IFERROR(IF(A612&lt;&gt;"",VLOOKUP(Alunos!A612,Exame!A3:D1000,4, FALSE),""), "")</f>
        <v/>
      </c>
      <c r="C612" s="2" t="str">
        <f>IF(A612&lt;&gt;"",VLOOKUP(Alunos!A612,Agrupamentos!A3:C1000,2, FALSE),"")</f>
        <v/>
      </c>
      <c r="D612" s="2" t="str">
        <f>IFERROR(IF(A612&lt;&gt;"",VLOOKUP(Alunos!C612,'TP1'!A3:E1000,5, FALSE),""),"")</f>
        <v/>
      </c>
      <c r="E612" s="2" t="str">
        <f>IF(A612&lt;&gt;"",VLOOKUP(Alunos!A612,Agrupamentos!A3:C1000,3, FALSE),"")</f>
        <v/>
      </c>
      <c r="F612" s="2" t="str">
        <f>IFERROR(IF(A612&lt;&gt;"",VLOOKUP(Alunos!E612,'TP2'!A3:D1000,4, FALSE),""),"")</f>
        <v/>
      </c>
      <c r="G612" s="2" t="str">
        <f>IF(A612&lt;&gt;"", SUMIF(B1:F1,"&lt;&gt;",B612:F612),"")</f>
        <v/>
      </c>
      <c r="H612" s="2" t="str">
        <f>IF(AND(A612&lt;&gt;"",G612&lt;&gt;""),ROUND(G612,0),"")</f>
        <v/>
      </c>
      <c r="I612" s="2" t="str">
        <f>IFERROR(IF(A612&lt;&gt;"",VLOOKUP(Alunos!A612,Recurso!A3:D1000,4, FALSE),""), "")</f>
        <v/>
      </c>
      <c r="J612" s="2" t="str">
        <f>IF(AND(A612&lt;&gt;"",I612&lt;&gt;""), SUMIFS(B612:I612,B1:I1,"&lt;&gt;",B2:I2,"&lt;&gt;Exame",B2:I2,"&lt;&gt;exame",B2:I2,"&lt;&gt;Nota",B2:I2,"&lt;&gt;Total"),"")</f>
        <v/>
      </c>
      <c r="K612" s="2" t="str">
        <f>IF(AND(A612&lt;&gt;"",J612&lt;&gt;""),ROUND(J612,0),"")</f>
        <v/>
      </c>
    </row>
    <row r="613" spans="2:11" x14ac:dyDescent="0.3">
      <c r="B613" s="2" t="str">
        <f>IFERROR(IF(A613&lt;&gt;"",VLOOKUP(Alunos!A613,Exame!A3:D1000,4, FALSE),""), "")</f>
        <v/>
      </c>
      <c r="C613" s="2" t="str">
        <f>IF(A613&lt;&gt;"",VLOOKUP(Alunos!A613,Agrupamentos!A3:C1000,2, FALSE),"")</f>
        <v/>
      </c>
      <c r="D613" s="2" t="str">
        <f>IFERROR(IF(A613&lt;&gt;"",VLOOKUP(Alunos!C613,'TP1'!A3:E1000,5, FALSE),""),"")</f>
        <v/>
      </c>
      <c r="E613" s="2" t="str">
        <f>IF(A613&lt;&gt;"",VLOOKUP(Alunos!A613,Agrupamentos!A3:C1000,3, FALSE),"")</f>
        <v/>
      </c>
      <c r="F613" s="2" t="str">
        <f>IFERROR(IF(A613&lt;&gt;"",VLOOKUP(Alunos!E613,'TP2'!A3:D1000,4, FALSE),""),"")</f>
        <v/>
      </c>
      <c r="G613" s="2" t="str">
        <f>IF(A613&lt;&gt;"", SUMIF(B1:F1,"&lt;&gt;",B613:F613),"")</f>
        <v/>
      </c>
      <c r="H613" s="2" t="str">
        <f>IF(AND(A613&lt;&gt;"",G613&lt;&gt;""),ROUND(G613,0),"")</f>
        <v/>
      </c>
      <c r="I613" s="2" t="str">
        <f>IFERROR(IF(A613&lt;&gt;"",VLOOKUP(Alunos!A613,Recurso!A3:D1000,4, FALSE),""), "")</f>
        <v/>
      </c>
      <c r="J613" s="2" t="str">
        <f>IF(AND(A613&lt;&gt;"",I613&lt;&gt;""), SUMIFS(B613:I613,B1:I1,"&lt;&gt;",B2:I2,"&lt;&gt;Exame",B2:I2,"&lt;&gt;exame",B2:I2,"&lt;&gt;Nota",B2:I2,"&lt;&gt;Total"),"")</f>
        <v/>
      </c>
      <c r="K613" s="2" t="str">
        <f>IF(AND(A613&lt;&gt;"",J613&lt;&gt;""),ROUND(J613,0),"")</f>
        <v/>
      </c>
    </row>
    <row r="614" spans="2:11" x14ac:dyDescent="0.3">
      <c r="B614" s="2" t="str">
        <f>IFERROR(IF(A614&lt;&gt;"",VLOOKUP(Alunos!A614,Exame!A3:D1000,4, FALSE),""), "")</f>
        <v/>
      </c>
      <c r="C614" s="2" t="str">
        <f>IF(A614&lt;&gt;"",VLOOKUP(Alunos!A614,Agrupamentos!A3:C1000,2, FALSE),"")</f>
        <v/>
      </c>
      <c r="D614" s="2" t="str">
        <f>IFERROR(IF(A614&lt;&gt;"",VLOOKUP(Alunos!C614,'TP1'!A3:E1000,5, FALSE),""),"")</f>
        <v/>
      </c>
      <c r="E614" s="2" t="str">
        <f>IF(A614&lt;&gt;"",VLOOKUP(Alunos!A614,Agrupamentos!A3:C1000,3, FALSE),"")</f>
        <v/>
      </c>
      <c r="F614" s="2" t="str">
        <f>IFERROR(IF(A614&lt;&gt;"",VLOOKUP(Alunos!E614,'TP2'!A3:D1000,4, FALSE),""),"")</f>
        <v/>
      </c>
      <c r="G614" s="2" t="str">
        <f>IF(A614&lt;&gt;"", SUMIF(B1:F1,"&lt;&gt;",B614:F614),"")</f>
        <v/>
      </c>
      <c r="H614" s="2" t="str">
        <f>IF(AND(A614&lt;&gt;"",G614&lt;&gt;""),ROUND(G614,0),"")</f>
        <v/>
      </c>
      <c r="I614" s="2" t="str">
        <f>IFERROR(IF(A614&lt;&gt;"",VLOOKUP(Alunos!A614,Recurso!A3:D1000,4, FALSE),""), "")</f>
        <v/>
      </c>
      <c r="J614" s="2" t="str">
        <f>IF(AND(A614&lt;&gt;"",I614&lt;&gt;""), SUMIFS(B614:I614,B1:I1,"&lt;&gt;",B2:I2,"&lt;&gt;Exame",B2:I2,"&lt;&gt;exame",B2:I2,"&lt;&gt;Nota",B2:I2,"&lt;&gt;Total"),"")</f>
        <v/>
      </c>
      <c r="K614" s="2" t="str">
        <f>IF(AND(A614&lt;&gt;"",J614&lt;&gt;""),ROUND(J614,0),"")</f>
        <v/>
      </c>
    </row>
    <row r="615" spans="2:11" x14ac:dyDescent="0.3">
      <c r="B615" s="2" t="str">
        <f>IFERROR(IF(A615&lt;&gt;"",VLOOKUP(Alunos!A615,Exame!A3:D1000,4, FALSE),""), "")</f>
        <v/>
      </c>
      <c r="C615" s="2" t="str">
        <f>IF(A615&lt;&gt;"",VLOOKUP(Alunos!A615,Agrupamentos!A3:C1000,2, FALSE),"")</f>
        <v/>
      </c>
      <c r="D615" s="2" t="str">
        <f>IFERROR(IF(A615&lt;&gt;"",VLOOKUP(Alunos!C615,'TP1'!A3:E1000,5, FALSE),""),"")</f>
        <v/>
      </c>
      <c r="E615" s="2" t="str">
        <f>IF(A615&lt;&gt;"",VLOOKUP(Alunos!A615,Agrupamentos!A3:C1000,3, FALSE),"")</f>
        <v/>
      </c>
      <c r="F615" s="2" t="str">
        <f>IFERROR(IF(A615&lt;&gt;"",VLOOKUP(Alunos!E615,'TP2'!A3:D1000,4, FALSE),""),"")</f>
        <v/>
      </c>
      <c r="G615" s="2" t="str">
        <f>IF(A615&lt;&gt;"", SUMIF(B1:F1,"&lt;&gt;",B615:F615),"")</f>
        <v/>
      </c>
      <c r="H615" s="2" t="str">
        <f>IF(AND(A615&lt;&gt;"",G615&lt;&gt;""),ROUND(G615,0),"")</f>
        <v/>
      </c>
      <c r="I615" s="2" t="str">
        <f>IFERROR(IF(A615&lt;&gt;"",VLOOKUP(Alunos!A615,Recurso!A3:D1000,4, FALSE),""), "")</f>
        <v/>
      </c>
      <c r="J615" s="2" t="str">
        <f>IF(AND(A615&lt;&gt;"",I615&lt;&gt;""), SUMIFS(B615:I615,B1:I1,"&lt;&gt;",B2:I2,"&lt;&gt;Exame",B2:I2,"&lt;&gt;exame",B2:I2,"&lt;&gt;Nota",B2:I2,"&lt;&gt;Total"),"")</f>
        <v/>
      </c>
      <c r="K615" s="2" t="str">
        <f>IF(AND(A615&lt;&gt;"",J615&lt;&gt;""),ROUND(J615,0),"")</f>
        <v/>
      </c>
    </row>
    <row r="616" spans="2:11" x14ac:dyDescent="0.3">
      <c r="B616" s="2" t="str">
        <f>IFERROR(IF(A616&lt;&gt;"",VLOOKUP(Alunos!A616,Exame!A3:D1000,4, FALSE),""), "")</f>
        <v/>
      </c>
      <c r="C616" s="2" t="str">
        <f>IF(A616&lt;&gt;"",VLOOKUP(Alunos!A616,Agrupamentos!A3:C1000,2, FALSE),"")</f>
        <v/>
      </c>
      <c r="D616" s="2" t="str">
        <f>IFERROR(IF(A616&lt;&gt;"",VLOOKUP(Alunos!C616,'TP1'!A3:E1000,5, FALSE),""),"")</f>
        <v/>
      </c>
      <c r="E616" s="2" t="str">
        <f>IF(A616&lt;&gt;"",VLOOKUP(Alunos!A616,Agrupamentos!A3:C1000,3, FALSE),"")</f>
        <v/>
      </c>
      <c r="F616" s="2" t="str">
        <f>IFERROR(IF(A616&lt;&gt;"",VLOOKUP(Alunos!E616,'TP2'!A3:D1000,4, FALSE),""),"")</f>
        <v/>
      </c>
      <c r="G616" s="2" t="str">
        <f>IF(A616&lt;&gt;"", SUMIF(B1:F1,"&lt;&gt;",B616:F616),"")</f>
        <v/>
      </c>
      <c r="H616" s="2" t="str">
        <f>IF(AND(A616&lt;&gt;"",G616&lt;&gt;""),ROUND(G616,0),"")</f>
        <v/>
      </c>
      <c r="I616" s="2" t="str">
        <f>IFERROR(IF(A616&lt;&gt;"",VLOOKUP(Alunos!A616,Recurso!A3:D1000,4, FALSE),""), "")</f>
        <v/>
      </c>
      <c r="J616" s="2" t="str">
        <f>IF(AND(A616&lt;&gt;"",I616&lt;&gt;""), SUMIFS(B616:I616,B1:I1,"&lt;&gt;",B2:I2,"&lt;&gt;Exame",B2:I2,"&lt;&gt;exame",B2:I2,"&lt;&gt;Nota",B2:I2,"&lt;&gt;Total"),"")</f>
        <v/>
      </c>
      <c r="K616" s="2" t="str">
        <f>IF(AND(A616&lt;&gt;"",J616&lt;&gt;""),ROUND(J616,0),"")</f>
        <v/>
      </c>
    </row>
    <row r="617" spans="2:11" x14ac:dyDescent="0.3">
      <c r="B617" s="2" t="str">
        <f>IFERROR(IF(A617&lt;&gt;"",VLOOKUP(Alunos!A617,Exame!A3:D1000,4, FALSE),""), "")</f>
        <v/>
      </c>
      <c r="C617" s="2" t="str">
        <f>IF(A617&lt;&gt;"",VLOOKUP(Alunos!A617,Agrupamentos!A3:C1000,2, FALSE),"")</f>
        <v/>
      </c>
      <c r="D617" s="2" t="str">
        <f>IFERROR(IF(A617&lt;&gt;"",VLOOKUP(Alunos!C617,'TP1'!A3:E1000,5, FALSE),""),"")</f>
        <v/>
      </c>
      <c r="E617" s="2" t="str">
        <f>IF(A617&lt;&gt;"",VLOOKUP(Alunos!A617,Agrupamentos!A3:C1000,3, FALSE),"")</f>
        <v/>
      </c>
      <c r="F617" s="2" t="str">
        <f>IFERROR(IF(A617&lt;&gt;"",VLOOKUP(Alunos!E617,'TP2'!A3:D1000,4, FALSE),""),"")</f>
        <v/>
      </c>
      <c r="G617" s="2" t="str">
        <f>IF(A617&lt;&gt;"", SUMIF(B1:F1,"&lt;&gt;",B617:F617),"")</f>
        <v/>
      </c>
      <c r="H617" s="2" t="str">
        <f>IF(AND(A617&lt;&gt;"",G617&lt;&gt;""),ROUND(G617,0),"")</f>
        <v/>
      </c>
      <c r="I617" s="2" t="str">
        <f>IFERROR(IF(A617&lt;&gt;"",VLOOKUP(Alunos!A617,Recurso!A3:D1000,4, FALSE),""), "")</f>
        <v/>
      </c>
      <c r="J617" s="2" t="str">
        <f>IF(AND(A617&lt;&gt;"",I617&lt;&gt;""), SUMIFS(B617:I617,B1:I1,"&lt;&gt;",B2:I2,"&lt;&gt;Exame",B2:I2,"&lt;&gt;exame",B2:I2,"&lt;&gt;Nota",B2:I2,"&lt;&gt;Total"),"")</f>
        <v/>
      </c>
      <c r="K617" s="2" t="str">
        <f>IF(AND(A617&lt;&gt;"",J617&lt;&gt;""),ROUND(J617,0),"")</f>
        <v/>
      </c>
    </row>
    <row r="618" spans="2:11" x14ac:dyDescent="0.3">
      <c r="B618" s="2" t="str">
        <f>IFERROR(IF(A618&lt;&gt;"",VLOOKUP(Alunos!A618,Exame!A3:D1000,4, FALSE),""), "")</f>
        <v/>
      </c>
      <c r="C618" s="2" t="str">
        <f>IF(A618&lt;&gt;"",VLOOKUP(Alunos!A618,Agrupamentos!A3:C1000,2, FALSE),"")</f>
        <v/>
      </c>
      <c r="D618" s="2" t="str">
        <f>IFERROR(IF(A618&lt;&gt;"",VLOOKUP(Alunos!C618,'TP1'!A3:E1000,5, FALSE),""),"")</f>
        <v/>
      </c>
      <c r="E618" s="2" t="str">
        <f>IF(A618&lt;&gt;"",VLOOKUP(Alunos!A618,Agrupamentos!A3:C1000,3, FALSE),"")</f>
        <v/>
      </c>
      <c r="F618" s="2" t="str">
        <f>IFERROR(IF(A618&lt;&gt;"",VLOOKUP(Alunos!E618,'TP2'!A3:D1000,4, FALSE),""),"")</f>
        <v/>
      </c>
      <c r="G618" s="2" t="str">
        <f>IF(A618&lt;&gt;"", SUMIF(B1:F1,"&lt;&gt;",B618:F618),"")</f>
        <v/>
      </c>
      <c r="H618" s="2" t="str">
        <f>IF(AND(A618&lt;&gt;"",G618&lt;&gt;""),ROUND(G618,0),"")</f>
        <v/>
      </c>
      <c r="I618" s="2" t="str">
        <f>IFERROR(IF(A618&lt;&gt;"",VLOOKUP(Alunos!A618,Recurso!A3:D1000,4, FALSE),""), "")</f>
        <v/>
      </c>
      <c r="J618" s="2" t="str">
        <f>IF(AND(A618&lt;&gt;"",I618&lt;&gt;""), SUMIFS(B618:I618,B1:I1,"&lt;&gt;",B2:I2,"&lt;&gt;Exame",B2:I2,"&lt;&gt;exame",B2:I2,"&lt;&gt;Nota",B2:I2,"&lt;&gt;Total"),"")</f>
        <v/>
      </c>
      <c r="K618" s="2" t="str">
        <f>IF(AND(A618&lt;&gt;"",J618&lt;&gt;""),ROUND(J618,0),"")</f>
        <v/>
      </c>
    </row>
    <row r="619" spans="2:11" x14ac:dyDescent="0.3">
      <c r="B619" s="2" t="str">
        <f>IFERROR(IF(A619&lt;&gt;"",VLOOKUP(Alunos!A619,Exame!A3:D1000,4, FALSE),""), "")</f>
        <v/>
      </c>
      <c r="C619" s="2" t="str">
        <f>IF(A619&lt;&gt;"",VLOOKUP(Alunos!A619,Agrupamentos!A3:C1000,2, FALSE),"")</f>
        <v/>
      </c>
      <c r="D619" s="2" t="str">
        <f>IFERROR(IF(A619&lt;&gt;"",VLOOKUP(Alunos!C619,'TP1'!A3:E1000,5, FALSE),""),"")</f>
        <v/>
      </c>
      <c r="E619" s="2" t="str">
        <f>IF(A619&lt;&gt;"",VLOOKUP(Alunos!A619,Agrupamentos!A3:C1000,3, FALSE),"")</f>
        <v/>
      </c>
      <c r="F619" s="2" t="str">
        <f>IFERROR(IF(A619&lt;&gt;"",VLOOKUP(Alunos!E619,'TP2'!A3:D1000,4, FALSE),""),"")</f>
        <v/>
      </c>
      <c r="G619" s="2" t="str">
        <f>IF(A619&lt;&gt;"", SUMIF(B1:F1,"&lt;&gt;",B619:F619),"")</f>
        <v/>
      </c>
      <c r="H619" s="2" t="str">
        <f>IF(AND(A619&lt;&gt;"",G619&lt;&gt;""),ROUND(G619,0),"")</f>
        <v/>
      </c>
      <c r="I619" s="2" t="str">
        <f>IFERROR(IF(A619&lt;&gt;"",VLOOKUP(Alunos!A619,Recurso!A3:D1000,4, FALSE),""), "")</f>
        <v/>
      </c>
      <c r="J619" s="2" t="str">
        <f>IF(AND(A619&lt;&gt;"",I619&lt;&gt;""), SUMIFS(B619:I619,B1:I1,"&lt;&gt;",B2:I2,"&lt;&gt;Exame",B2:I2,"&lt;&gt;exame",B2:I2,"&lt;&gt;Nota",B2:I2,"&lt;&gt;Total"),"")</f>
        <v/>
      </c>
      <c r="K619" s="2" t="str">
        <f>IF(AND(A619&lt;&gt;"",J619&lt;&gt;""),ROUND(J619,0),"")</f>
        <v/>
      </c>
    </row>
    <row r="620" spans="2:11" x14ac:dyDescent="0.3">
      <c r="B620" s="2" t="str">
        <f>IFERROR(IF(A620&lt;&gt;"",VLOOKUP(Alunos!A620,Exame!A3:D1000,4, FALSE),""), "")</f>
        <v/>
      </c>
      <c r="C620" s="2" t="str">
        <f>IF(A620&lt;&gt;"",VLOOKUP(Alunos!A620,Agrupamentos!A3:C1000,2, FALSE),"")</f>
        <v/>
      </c>
      <c r="D620" s="2" t="str">
        <f>IFERROR(IF(A620&lt;&gt;"",VLOOKUP(Alunos!C620,'TP1'!A3:E1000,5, FALSE),""),"")</f>
        <v/>
      </c>
      <c r="E620" s="2" t="str">
        <f>IF(A620&lt;&gt;"",VLOOKUP(Alunos!A620,Agrupamentos!A3:C1000,3, FALSE),"")</f>
        <v/>
      </c>
      <c r="F620" s="2" t="str">
        <f>IFERROR(IF(A620&lt;&gt;"",VLOOKUP(Alunos!E620,'TP2'!A3:D1000,4, FALSE),""),"")</f>
        <v/>
      </c>
      <c r="G620" s="2" t="str">
        <f>IF(A620&lt;&gt;"", SUMIF(B1:F1,"&lt;&gt;",B620:F620),"")</f>
        <v/>
      </c>
      <c r="H620" s="2" t="str">
        <f>IF(AND(A620&lt;&gt;"",G620&lt;&gt;""),ROUND(G620,0),"")</f>
        <v/>
      </c>
      <c r="I620" s="2" t="str">
        <f>IFERROR(IF(A620&lt;&gt;"",VLOOKUP(Alunos!A620,Recurso!A3:D1000,4, FALSE),""), "")</f>
        <v/>
      </c>
      <c r="J620" s="2" t="str">
        <f>IF(AND(A620&lt;&gt;"",I620&lt;&gt;""), SUMIFS(B620:I620,B1:I1,"&lt;&gt;",B2:I2,"&lt;&gt;Exame",B2:I2,"&lt;&gt;exame",B2:I2,"&lt;&gt;Nota",B2:I2,"&lt;&gt;Total"),"")</f>
        <v/>
      </c>
      <c r="K620" s="2" t="str">
        <f>IF(AND(A620&lt;&gt;"",J620&lt;&gt;""),ROUND(J620,0),"")</f>
        <v/>
      </c>
    </row>
    <row r="621" spans="2:11" x14ac:dyDescent="0.3">
      <c r="B621" s="2" t="str">
        <f>IFERROR(IF(A621&lt;&gt;"",VLOOKUP(Alunos!A621,Exame!A3:D1000,4, FALSE),""), "")</f>
        <v/>
      </c>
      <c r="C621" s="2" t="str">
        <f>IF(A621&lt;&gt;"",VLOOKUP(Alunos!A621,Agrupamentos!A3:C1000,2, FALSE),"")</f>
        <v/>
      </c>
      <c r="D621" s="2" t="str">
        <f>IFERROR(IF(A621&lt;&gt;"",VLOOKUP(Alunos!C621,'TP1'!A3:E1000,5, FALSE),""),"")</f>
        <v/>
      </c>
      <c r="E621" s="2" t="str">
        <f>IF(A621&lt;&gt;"",VLOOKUP(Alunos!A621,Agrupamentos!A3:C1000,3, FALSE),"")</f>
        <v/>
      </c>
      <c r="F621" s="2" t="str">
        <f>IFERROR(IF(A621&lt;&gt;"",VLOOKUP(Alunos!E621,'TP2'!A3:D1000,4, FALSE),""),"")</f>
        <v/>
      </c>
      <c r="G621" s="2" t="str">
        <f>IF(A621&lt;&gt;"", SUMIF(B1:F1,"&lt;&gt;",B621:F621),"")</f>
        <v/>
      </c>
      <c r="H621" s="2" t="str">
        <f>IF(AND(A621&lt;&gt;"",G621&lt;&gt;""),ROUND(G621,0),"")</f>
        <v/>
      </c>
      <c r="I621" s="2" t="str">
        <f>IFERROR(IF(A621&lt;&gt;"",VLOOKUP(Alunos!A621,Recurso!A3:D1000,4, FALSE),""), "")</f>
        <v/>
      </c>
      <c r="J621" s="2" t="str">
        <f>IF(AND(A621&lt;&gt;"",I621&lt;&gt;""), SUMIFS(B621:I621,B1:I1,"&lt;&gt;",B2:I2,"&lt;&gt;Exame",B2:I2,"&lt;&gt;exame",B2:I2,"&lt;&gt;Nota",B2:I2,"&lt;&gt;Total"),"")</f>
        <v/>
      </c>
      <c r="K621" s="2" t="str">
        <f>IF(AND(A621&lt;&gt;"",J621&lt;&gt;""),ROUND(J621,0),"")</f>
        <v/>
      </c>
    </row>
    <row r="622" spans="2:11" x14ac:dyDescent="0.3">
      <c r="B622" s="2" t="str">
        <f>IFERROR(IF(A622&lt;&gt;"",VLOOKUP(Alunos!A622,Exame!A3:D1000,4, FALSE),""), "")</f>
        <v/>
      </c>
      <c r="C622" s="2" t="str">
        <f>IF(A622&lt;&gt;"",VLOOKUP(Alunos!A622,Agrupamentos!A3:C1000,2, FALSE),"")</f>
        <v/>
      </c>
      <c r="D622" s="2" t="str">
        <f>IFERROR(IF(A622&lt;&gt;"",VLOOKUP(Alunos!C622,'TP1'!A3:E1000,5, FALSE),""),"")</f>
        <v/>
      </c>
      <c r="E622" s="2" t="str">
        <f>IF(A622&lt;&gt;"",VLOOKUP(Alunos!A622,Agrupamentos!A3:C1000,3, FALSE),"")</f>
        <v/>
      </c>
      <c r="F622" s="2" t="str">
        <f>IFERROR(IF(A622&lt;&gt;"",VLOOKUP(Alunos!E622,'TP2'!A3:D1000,4, FALSE),""),"")</f>
        <v/>
      </c>
      <c r="G622" s="2" t="str">
        <f>IF(A622&lt;&gt;"", SUMIF(B1:F1,"&lt;&gt;",B622:F622),"")</f>
        <v/>
      </c>
      <c r="H622" s="2" t="str">
        <f>IF(AND(A622&lt;&gt;"",G622&lt;&gt;""),ROUND(G622,0),"")</f>
        <v/>
      </c>
      <c r="I622" s="2" t="str">
        <f>IFERROR(IF(A622&lt;&gt;"",VLOOKUP(Alunos!A622,Recurso!A3:D1000,4, FALSE),""), "")</f>
        <v/>
      </c>
      <c r="J622" s="2" t="str">
        <f>IF(AND(A622&lt;&gt;"",I622&lt;&gt;""), SUMIFS(B622:I622,B1:I1,"&lt;&gt;",B2:I2,"&lt;&gt;Exame",B2:I2,"&lt;&gt;exame",B2:I2,"&lt;&gt;Nota",B2:I2,"&lt;&gt;Total"),"")</f>
        <v/>
      </c>
      <c r="K622" s="2" t="str">
        <f>IF(AND(A622&lt;&gt;"",J622&lt;&gt;""),ROUND(J622,0),"")</f>
        <v/>
      </c>
    </row>
    <row r="623" spans="2:11" x14ac:dyDescent="0.3">
      <c r="B623" s="2" t="str">
        <f>IFERROR(IF(A623&lt;&gt;"",VLOOKUP(Alunos!A623,Exame!A3:D1000,4, FALSE),""), "")</f>
        <v/>
      </c>
      <c r="C623" s="2" t="str">
        <f>IF(A623&lt;&gt;"",VLOOKUP(Alunos!A623,Agrupamentos!A3:C1000,2, FALSE),"")</f>
        <v/>
      </c>
      <c r="D623" s="2" t="str">
        <f>IFERROR(IF(A623&lt;&gt;"",VLOOKUP(Alunos!C623,'TP1'!A3:E1000,5, FALSE),""),"")</f>
        <v/>
      </c>
      <c r="E623" s="2" t="str">
        <f>IF(A623&lt;&gt;"",VLOOKUP(Alunos!A623,Agrupamentos!A3:C1000,3, FALSE),"")</f>
        <v/>
      </c>
      <c r="F623" s="2" t="str">
        <f>IFERROR(IF(A623&lt;&gt;"",VLOOKUP(Alunos!E623,'TP2'!A3:D1000,4, FALSE),""),"")</f>
        <v/>
      </c>
      <c r="G623" s="2" t="str">
        <f>IF(A623&lt;&gt;"", SUMIF(B1:F1,"&lt;&gt;",B623:F623),"")</f>
        <v/>
      </c>
      <c r="H623" s="2" t="str">
        <f>IF(AND(A623&lt;&gt;"",G623&lt;&gt;""),ROUND(G623,0),"")</f>
        <v/>
      </c>
      <c r="I623" s="2" t="str">
        <f>IFERROR(IF(A623&lt;&gt;"",VLOOKUP(Alunos!A623,Recurso!A3:D1000,4, FALSE),""), "")</f>
        <v/>
      </c>
      <c r="J623" s="2" t="str">
        <f>IF(AND(A623&lt;&gt;"",I623&lt;&gt;""), SUMIFS(B623:I623,B1:I1,"&lt;&gt;",B2:I2,"&lt;&gt;Exame",B2:I2,"&lt;&gt;exame",B2:I2,"&lt;&gt;Nota",B2:I2,"&lt;&gt;Total"),"")</f>
        <v/>
      </c>
      <c r="K623" s="2" t="str">
        <f>IF(AND(A623&lt;&gt;"",J623&lt;&gt;""),ROUND(J623,0),"")</f>
        <v/>
      </c>
    </row>
    <row r="624" spans="2:11" x14ac:dyDescent="0.3">
      <c r="B624" s="2" t="str">
        <f>IFERROR(IF(A624&lt;&gt;"",VLOOKUP(Alunos!A624,Exame!A3:D1000,4, FALSE),""), "")</f>
        <v/>
      </c>
      <c r="C624" s="2" t="str">
        <f>IF(A624&lt;&gt;"",VLOOKUP(Alunos!A624,Agrupamentos!A3:C1000,2, FALSE),"")</f>
        <v/>
      </c>
      <c r="D624" s="2" t="str">
        <f>IFERROR(IF(A624&lt;&gt;"",VLOOKUP(Alunos!C624,'TP1'!A3:E1000,5, FALSE),""),"")</f>
        <v/>
      </c>
      <c r="E624" s="2" t="str">
        <f>IF(A624&lt;&gt;"",VLOOKUP(Alunos!A624,Agrupamentos!A3:C1000,3, FALSE),"")</f>
        <v/>
      </c>
      <c r="F624" s="2" t="str">
        <f>IFERROR(IF(A624&lt;&gt;"",VLOOKUP(Alunos!E624,'TP2'!A3:D1000,4, FALSE),""),"")</f>
        <v/>
      </c>
      <c r="G624" s="2" t="str">
        <f>IF(A624&lt;&gt;"", SUMIF(B1:F1,"&lt;&gt;",B624:F624),"")</f>
        <v/>
      </c>
      <c r="H624" s="2" t="str">
        <f>IF(AND(A624&lt;&gt;"",G624&lt;&gt;""),ROUND(G624,0),"")</f>
        <v/>
      </c>
      <c r="I624" s="2" t="str">
        <f>IFERROR(IF(A624&lt;&gt;"",VLOOKUP(Alunos!A624,Recurso!A3:D1000,4, FALSE),""), "")</f>
        <v/>
      </c>
      <c r="J624" s="2" t="str">
        <f>IF(AND(A624&lt;&gt;"",I624&lt;&gt;""), SUMIFS(B624:I624,B1:I1,"&lt;&gt;",B2:I2,"&lt;&gt;Exame",B2:I2,"&lt;&gt;exame",B2:I2,"&lt;&gt;Nota",B2:I2,"&lt;&gt;Total"),"")</f>
        <v/>
      </c>
      <c r="K624" s="2" t="str">
        <f>IF(AND(A624&lt;&gt;"",J624&lt;&gt;""),ROUND(J624,0),"")</f>
        <v/>
      </c>
    </row>
    <row r="625" spans="2:11" x14ac:dyDescent="0.3">
      <c r="B625" s="2" t="str">
        <f>IFERROR(IF(A625&lt;&gt;"",VLOOKUP(Alunos!A625,Exame!A3:D1000,4, FALSE),""), "")</f>
        <v/>
      </c>
      <c r="C625" s="2" t="str">
        <f>IF(A625&lt;&gt;"",VLOOKUP(Alunos!A625,Agrupamentos!A3:C1000,2, FALSE),"")</f>
        <v/>
      </c>
      <c r="D625" s="2" t="str">
        <f>IFERROR(IF(A625&lt;&gt;"",VLOOKUP(Alunos!C625,'TP1'!A3:E1000,5, FALSE),""),"")</f>
        <v/>
      </c>
      <c r="E625" s="2" t="str">
        <f>IF(A625&lt;&gt;"",VLOOKUP(Alunos!A625,Agrupamentos!A3:C1000,3, FALSE),"")</f>
        <v/>
      </c>
      <c r="F625" s="2" t="str">
        <f>IFERROR(IF(A625&lt;&gt;"",VLOOKUP(Alunos!E625,'TP2'!A3:D1000,4, FALSE),""),"")</f>
        <v/>
      </c>
      <c r="G625" s="2" t="str">
        <f>IF(A625&lt;&gt;"", SUMIF(B1:F1,"&lt;&gt;",B625:F625),"")</f>
        <v/>
      </c>
      <c r="H625" s="2" t="str">
        <f>IF(AND(A625&lt;&gt;"",G625&lt;&gt;""),ROUND(G625,0),"")</f>
        <v/>
      </c>
      <c r="I625" s="2" t="str">
        <f>IFERROR(IF(A625&lt;&gt;"",VLOOKUP(Alunos!A625,Recurso!A3:D1000,4, FALSE),""), "")</f>
        <v/>
      </c>
      <c r="J625" s="2" t="str">
        <f>IF(AND(A625&lt;&gt;"",I625&lt;&gt;""), SUMIFS(B625:I625,B1:I1,"&lt;&gt;",B2:I2,"&lt;&gt;Exame",B2:I2,"&lt;&gt;exame",B2:I2,"&lt;&gt;Nota",B2:I2,"&lt;&gt;Total"),"")</f>
        <v/>
      </c>
      <c r="K625" s="2" t="str">
        <f>IF(AND(A625&lt;&gt;"",J625&lt;&gt;""),ROUND(J625,0),"")</f>
        <v/>
      </c>
    </row>
    <row r="626" spans="2:11" x14ac:dyDescent="0.3">
      <c r="B626" s="2" t="str">
        <f>IFERROR(IF(A626&lt;&gt;"",VLOOKUP(Alunos!A626,Exame!A3:D1000,4, FALSE),""), "")</f>
        <v/>
      </c>
      <c r="C626" s="2" t="str">
        <f>IF(A626&lt;&gt;"",VLOOKUP(Alunos!A626,Agrupamentos!A3:C1000,2, FALSE),"")</f>
        <v/>
      </c>
      <c r="D626" s="2" t="str">
        <f>IFERROR(IF(A626&lt;&gt;"",VLOOKUP(Alunos!C626,'TP1'!A3:E1000,5, FALSE),""),"")</f>
        <v/>
      </c>
      <c r="E626" s="2" t="str">
        <f>IF(A626&lt;&gt;"",VLOOKUP(Alunos!A626,Agrupamentos!A3:C1000,3, FALSE),"")</f>
        <v/>
      </c>
      <c r="F626" s="2" t="str">
        <f>IFERROR(IF(A626&lt;&gt;"",VLOOKUP(Alunos!E626,'TP2'!A3:D1000,4, FALSE),""),"")</f>
        <v/>
      </c>
      <c r="G626" s="2" t="str">
        <f>IF(A626&lt;&gt;"", SUMIF(B1:F1,"&lt;&gt;",B626:F626),"")</f>
        <v/>
      </c>
      <c r="H626" s="2" t="str">
        <f>IF(AND(A626&lt;&gt;"",G626&lt;&gt;""),ROUND(G626,0),"")</f>
        <v/>
      </c>
      <c r="I626" s="2" t="str">
        <f>IFERROR(IF(A626&lt;&gt;"",VLOOKUP(Alunos!A626,Recurso!A3:D1000,4, FALSE),""), "")</f>
        <v/>
      </c>
      <c r="J626" s="2" t="str">
        <f>IF(AND(A626&lt;&gt;"",I626&lt;&gt;""), SUMIFS(B626:I626,B1:I1,"&lt;&gt;",B2:I2,"&lt;&gt;Exame",B2:I2,"&lt;&gt;exame",B2:I2,"&lt;&gt;Nota",B2:I2,"&lt;&gt;Total"),"")</f>
        <v/>
      </c>
      <c r="K626" s="2" t="str">
        <f>IF(AND(A626&lt;&gt;"",J626&lt;&gt;""),ROUND(J626,0),"")</f>
        <v/>
      </c>
    </row>
    <row r="627" spans="2:11" x14ac:dyDescent="0.3">
      <c r="B627" s="2" t="str">
        <f>IFERROR(IF(A627&lt;&gt;"",VLOOKUP(Alunos!A627,Exame!A3:D1000,4, FALSE),""), "")</f>
        <v/>
      </c>
      <c r="C627" s="2" t="str">
        <f>IF(A627&lt;&gt;"",VLOOKUP(Alunos!A627,Agrupamentos!A3:C1000,2, FALSE),"")</f>
        <v/>
      </c>
      <c r="D627" s="2" t="str">
        <f>IFERROR(IF(A627&lt;&gt;"",VLOOKUP(Alunos!C627,'TP1'!A3:E1000,5, FALSE),""),"")</f>
        <v/>
      </c>
      <c r="E627" s="2" t="str">
        <f>IF(A627&lt;&gt;"",VLOOKUP(Alunos!A627,Agrupamentos!A3:C1000,3, FALSE),"")</f>
        <v/>
      </c>
      <c r="F627" s="2" t="str">
        <f>IFERROR(IF(A627&lt;&gt;"",VLOOKUP(Alunos!E627,'TP2'!A3:D1000,4, FALSE),""),"")</f>
        <v/>
      </c>
      <c r="G627" s="2" t="str">
        <f>IF(A627&lt;&gt;"", SUMIF(B1:F1,"&lt;&gt;",B627:F627),"")</f>
        <v/>
      </c>
      <c r="H627" s="2" t="str">
        <f>IF(AND(A627&lt;&gt;"",G627&lt;&gt;""),ROUND(G627,0),"")</f>
        <v/>
      </c>
      <c r="I627" s="2" t="str">
        <f>IFERROR(IF(A627&lt;&gt;"",VLOOKUP(Alunos!A627,Recurso!A3:D1000,4, FALSE),""), "")</f>
        <v/>
      </c>
      <c r="J627" s="2" t="str">
        <f>IF(AND(A627&lt;&gt;"",I627&lt;&gt;""), SUMIFS(B627:I627,B1:I1,"&lt;&gt;",B2:I2,"&lt;&gt;Exame",B2:I2,"&lt;&gt;exame",B2:I2,"&lt;&gt;Nota",B2:I2,"&lt;&gt;Total"),"")</f>
        <v/>
      </c>
      <c r="K627" s="2" t="str">
        <f>IF(AND(A627&lt;&gt;"",J627&lt;&gt;""),ROUND(J627,0),"")</f>
        <v/>
      </c>
    </row>
    <row r="628" spans="2:11" x14ac:dyDescent="0.3">
      <c r="B628" s="2" t="str">
        <f>IFERROR(IF(A628&lt;&gt;"",VLOOKUP(Alunos!A628,Exame!A3:D1000,4, FALSE),""), "")</f>
        <v/>
      </c>
      <c r="C628" s="2" t="str">
        <f>IF(A628&lt;&gt;"",VLOOKUP(Alunos!A628,Agrupamentos!A3:C1000,2, FALSE),"")</f>
        <v/>
      </c>
      <c r="D628" s="2" t="str">
        <f>IFERROR(IF(A628&lt;&gt;"",VLOOKUP(Alunos!C628,'TP1'!A3:E1000,5, FALSE),""),"")</f>
        <v/>
      </c>
      <c r="E628" s="2" t="str">
        <f>IF(A628&lt;&gt;"",VLOOKUP(Alunos!A628,Agrupamentos!A3:C1000,3, FALSE),"")</f>
        <v/>
      </c>
      <c r="F628" s="2" t="str">
        <f>IFERROR(IF(A628&lt;&gt;"",VLOOKUP(Alunos!E628,'TP2'!A3:D1000,4, FALSE),""),"")</f>
        <v/>
      </c>
      <c r="G628" s="2" t="str">
        <f>IF(A628&lt;&gt;"", SUMIF(B1:F1,"&lt;&gt;",B628:F628),"")</f>
        <v/>
      </c>
      <c r="H628" s="2" t="str">
        <f>IF(AND(A628&lt;&gt;"",G628&lt;&gt;""),ROUND(G628,0),"")</f>
        <v/>
      </c>
      <c r="I628" s="2" t="str">
        <f>IFERROR(IF(A628&lt;&gt;"",VLOOKUP(Alunos!A628,Recurso!A3:D1000,4, FALSE),""), "")</f>
        <v/>
      </c>
      <c r="J628" s="2" t="str">
        <f>IF(AND(A628&lt;&gt;"",I628&lt;&gt;""), SUMIFS(B628:I628,B1:I1,"&lt;&gt;",B2:I2,"&lt;&gt;Exame",B2:I2,"&lt;&gt;exame",B2:I2,"&lt;&gt;Nota",B2:I2,"&lt;&gt;Total"),"")</f>
        <v/>
      </c>
      <c r="K628" s="2" t="str">
        <f>IF(AND(A628&lt;&gt;"",J628&lt;&gt;""),ROUND(J628,0),"")</f>
        <v/>
      </c>
    </row>
    <row r="629" spans="2:11" x14ac:dyDescent="0.3">
      <c r="B629" s="2" t="str">
        <f>IFERROR(IF(A629&lt;&gt;"",VLOOKUP(Alunos!A629,Exame!A3:D1000,4, FALSE),""), "")</f>
        <v/>
      </c>
      <c r="C629" s="2" t="str">
        <f>IF(A629&lt;&gt;"",VLOOKUP(Alunos!A629,Agrupamentos!A3:C1000,2, FALSE),"")</f>
        <v/>
      </c>
      <c r="D629" s="2" t="str">
        <f>IFERROR(IF(A629&lt;&gt;"",VLOOKUP(Alunos!C629,'TP1'!A3:E1000,5, FALSE),""),"")</f>
        <v/>
      </c>
      <c r="E629" s="2" t="str">
        <f>IF(A629&lt;&gt;"",VLOOKUP(Alunos!A629,Agrupamentos!A3:C1000,3, FALSE),"")</f>
        <v/>
      </c>
      <c r="F629" s="2" t="str">
        <f>IFERROR(IF(A629&lt;&gt;"",VLOOKUP(Alunos!E629,'TP2'!A3:D1000,4, FALSE),""),"")</f>
        <v/>
      </c>
      <c r="G629" s="2" t="str">
        <f>IF(A629&lt;&gt;"", SUMIF(B1:F1,"&lt;&gt;",B629:F629),"")</f>
        <v/>
      </c>
      <c r="H629" s="2" t="str">
        <f>IF(AND(A629&lt;&gt;"",G629&lt;&gt;""),ROUND(G629,0),"")</f>
        <v/>
      </c>
      <c r="I629" s="2" t="str">
        <f>IFERROR(IF(A629&lt;&gt;"",VLOOKUP(Alunos!A629,Recurso!A3:D1000,4, FALSE),""), "")</f>
        <v/>
      </c>
      <c r="J629" s="2" t="str">
        <f>IF(AND(A629&lt;&gt;"",I629&lt;&gt;""), SUMIFS(B629:I629,B1:I1,"&lt;&gt;",B2:I2,"&lt;&gt;Exame",B2:I2,"&lt;&gt;exame",B2:I2,"&lt;&gt;Nota",B2:I2,"&lt;&gt;Total"),"")</f>
        <v/>
      </c>
      <c r="K629" s="2" t="str">
        <f>IF(AND(A629&lt;&gt;"",J629&lt;&gt;""),ROUND(J629,0),"")</f>
        <v/>
      </c>
    </row>
    <row r="630" spans="2:11" x14ac:dyDescent="0.3">
      <c r="B630" s="2" t="str">
        <f>IFERROR(IF(A630&lt;&gt;"",VLOOKUP(Alunos!A630,Exame!A3:D1000,4, FALSE),""), "")</f>
        <v/>
      </c>
      <c r="C630" s="2" t="str">
        <f>IF(A630&lt;&gt;"",VLOOKUP(Alunos!A630,Agrupamentos!A3:C1000,2, FALSE),"")</f>
        <v/>
      </c>
      <c r="D630" s="2" t="str">
        <f>IFERROR(IF(A630&lt;&gt;"",VLOOKUP(Alunos!C630,'TP1'!A3:E1000,5, FALSE),""),"")</f>
        <v/>
      </c>
      <c r="E630" s="2" t="str">
        <f>IF(A630&lt;&gt;"",VLOOKUP(Alunos!A630,Agrupamentos!A3:C1000,3, FALSE),"")</f>
        <v/>
      </c>
      <c r="F630" s="2" t="str">
        <f>IFERROR(IF(A630&lt;&gt;"",VLOOKUP(Alunos!E630,'TP2'!A3:D1000,4, FALSE),""),"")</f>
        <v/>
      </c>
      <c r="G630" s="2" t="str">
        <f>IF(A630&lt;&gt;"", SUMIF(B1:F1,"&lt;&gt;",B630:F630),"")</f>
        <v/>
      </c>
      <c r="H630" s="2" t="str">
        <f>IF(AND(A630&lt;&gt;"",G630&lt;&gt;""),ROUND(G630,0),"")</f>
        <v/>
      </c>
      <c r="I630" s="2" t="str">
        <f>IFERROR(IF(A630&lt;&gt;"",VLOOKUP(Alunos!A630,Recurso!A3:D1000,4, FALSE),""), "")</f>
        <v/>
      </c>
      <c r="J630" s="2" t="str">
        <f>IF(AND(A630&lt;&gt;"",I630&lt;&gt;""), SUMIFS(B630:I630,B1:I1,"&lt;&gt;",B2:I2,"&lt;&gt;Exame",B2:I2,"&lt;&gt;exame",B2:I2,"&lt;&gt;Nota",B2:I2,"&lt;&gt;Total"),"")</f>
        <v/>
      </c>
      <c r="K630" s="2" t="str">
        <f>IF(AND(A630&lt;&gt;"",J630&lt;&gt;""),ROUND(J630,0),"")</f>
        <v/>
      </c>
    </row>
    <row r="631" spans="2:11" x14ac:dyDescent="0.3">
      <c r="B631" s="2" t="str">
        <f>IFERROR(IF(A631&lt;&gt;"",VLOOKUP(Alunos!A631,Exame!A3:D1000,4, FALSE),""), "")</f>
        <v/>
      </c>
      <c r="C631" s="2" t="str">
        <f>IF(A631&lt;&gt;"",VLOOKUP(Alunos!A631,Agrupamentos!A3:C1000,2, FALSE),"")</f>
        <v/>
      </c>
      <c r="D631" s="2" t="str">
        <f>IFERROR(IF(A631&lt;&gt;"",VLOOKUP(Alunos!C631,'TP1'!A3:E1000,5, FALSE),""),"")</f>
        <v/>
      </c>
      <c r="E631" s="2" t="str">
        <f>IF(A631&lt;&gt;"",VLOOKUP(Alunos!A631,Agrupamentos!A3:C1000,3, FALSE),"")</f>
        <v/>
      </c>
      <c r="F631" s="2" t="str">
        <f>IFERROR(IF(A631&lt;&gt;"",VLOOKUP(Alunos!E631,'TP2'!A3:D1000,4, FALSE),""),"")</f>
        <v/>
      </c>
      <c r="G631" s="2" t="str">
        <f>IF(A631&lt;&gt;"", SUMIF(B1:F1,"&lt;&gt;",B631:F631),"")</f>
        <v/>
      </c>
      <c r="H631" s="2" t="str">
        <f>IF(AND(A631&lt;&gt;"",G631&lt;&gt;""),ROUND(G631,0),"")</f>
        <v/>
      </c>
      <c r="I631" s="2" t="str">
        <f>IFERROR(IF(A631&lt;&gt;"",VLOOKUP(Alunos!A631,Recurso!A3:D1000,4, FALSE),""), "")</f>
        <v/>
      </c>
      <c r="J631" s="2" t="str">
        <f>IF(AND(A631&lt;&gt;"",I631&lt;&gt;""), SUMIFS(B631:I631,B1:I1,"&lt;&gt;",B2:I2,"&lt;&gt;Exame",B2:I2,"&lt;&gt;exame",B2:I2,"&lt;&gt;Nota",B2:I2,"&lt;&gt;Total"),"")</f>
        <v/>
      </c>
      <c r="K631" s="2" t="str">
        <f>IF(AND(A631&lt;&gt;"",J631&lt;&gt;""),ROUND(J631,0),"")</f>
        <v/>
      </c>
    </row>
    <row r="632" spans="2:11" x14ac:dyDescent="0.3">
      <c r="B632" s="2" t="str">
        <f>IFERROR(IF(A632&lt;&gt;"",VLOOKUP(Alunos!A632,Exame!A3:D1000,4, FALSE),""), "")</f>
        <v/>
      </c>
      <c r="C632" s="2" t="str">
        <f>IF(A632&lt;&gt;"",VLOOKUP(Alunos!A632,Agrupamentos!A3:C1000,2, FALSE),"")</f>
        <v/>
      </c>
      <c r="D632" s="2" t="str">
        <f>IFERROR(IF(A632&lt;&gt;"",VLOOKUP(Alunos!C632,'TP1'!A3:E1000,5, FALSE),""),"")</f>
        <v/>
      </c>
      <c r="E632" s="2" t="str">
        <f>IF(A632&lt;&gt;"",VLOOKUP(Alunos!A632,Agrupamentos!A3:C1000,3, FALSE),"")</f>
        <v/>
      </c>
      <c r="F632" s="2" t="str">
        <f>IFERROR(IF(A632&lt;&gt;"",VLOOKUP(Alunos!E632,'TP2'!A3:D1000,4, FALSE),""),"")</f>
        <v/>
      </c>
      <c r="G632" s="2" t="str">
        <f>IF(A632&lt;&gt;"", SUMIF(B1:F1,"&lt;&gt;",B632:F632),"")</f>
        <v/>
      </c>
      <c r="H632" s="2" t="str">
        <f>IF(AND(A632&lt;&gt;"",G632&lt;&gt;""),ROUND(G632,0),"")</f>
        <v/>
      </c>
      <c r="I632" s="2" t="str">
        <f>IFERROR(IF(A632&lt;&gt;"",VLOOKUP(Alunos!A632,Recurso!A3:D1000,4, FALSE),""), "")</f>
        <v/>
      </c>
      <c r="J632" s="2" t="str">
        <f>IF(AND(A632&lt;&gt;"",I632&lt;&gt;""), SUMIFS(B632:I632,B1:I1,"&lt;&gt;",B2:I2,"&lt;&gt;Exame",B2:I2,"&lt;&gt;exame",B2:I2,"&lt;&gt;Nota",B2:I2,"&lt;&gt;Total"),"")</f>
        <v/>
      </c>
      <c r="K632" s="2" t="str">
        <f>IF(AND(A632&lt;&gt;"",J632&lt;&gt;""),ROUND(J632,0),"")</f>
        <v/>
      </c>
    </row>
    <row r="633" spans="2:11" x14ac:dyDescent="0.3">
      <c r="B633" s="2" t="str">
        <f>IFERROR(IF(A633&lt;&gt;"",VLOOKUP(Alunos!A633,Exame!A3:D1000,4, FALSE),""), "")</f>
        <v/>
      </c>
      <c r="C633" s="2" t="str">
        <f>IF(A633&lt;&gt;"",VLOOKUP(Alunos!A633,Agrupamentos!A3:C1000,2, FALSE),"")</f>
        <v/>
      </c>
      <c r="D633" s="2" t="str">
        <f>IFERROR(IF(A633&lt;&gt;"",VLOOKUP(Alunos!C633,'TP1'!A3:E1000,5, FALSE),""),"")</f>
        <v/>
      </c>
      <c r="E633" s="2" t="str">
        <f>IF(A633&lt;&gt;"",VLOOKUP(Alunos!A633,Agrupamentos!A3:C1000,3, FALSE),"")</f>
        <v/>
      </c>
      <c r="F633" s="2" t="str">
        <f>IFERROR(IF(A633&lt;&gt;"",VLOOKUP(Alunos!E633,'TP2'!A3:D1000,4, FALSE),""),"")</f>
        <v/>
      </c>
      <c r="G633" s="2" t="str">
        <f>IF(A633&lt;&gt;"", SUMIF(B1:F1,"&lt;&gt;",B633:F633),"")</f>
        <v/>
      </c>
      <c r="H633" s="2" t="str">
        <f>IF(AND(A633&lt;&gt;"",G633&lt;&gt;""),ROUND(G633,0),"")</f>
        <v/>
      </c>
      <c r="I633" s="2" t="str">
        <f>IFERROR(IF(A633&lt;&gt;"",VLOOKUP(Alunos!A633,Recurso!A3:D1000,4, FALSE),""), "")</f>
        <v/>
      </c>
      <c r="J633" s="2" t="str">
        <f>IF(AND(A633&lt;&gt;"",I633&lt;&gt;""), SUMIFS(B633:I633,B1:I1,"&lt;&gt;",B2:I2,"&lt;&gt;Exame",B2:I2,"&lt;&gt;exame",B2:I2,"&lt;&gt;Nota",B2:I2,"&lt;&gt;Total"),"")</f>
        <v/>
      </c>
      <c r="K633" s="2" t="str">
        <f>IF(AND(A633&lt;&gt;"",J633&lt;&gt;""),ROUND(J633,0),"")</f>
        <v/>
      </c>
    </row>
    <row r="634" spans="2:11" x14ac:dyDescent="0.3">
      <c r="B634" s="2" t="str">
        <f>IFERROR(IF(A634&lt;&gt;"",VLOOKUP(Alunos!A634,Exame!A3:D1000,4, FALSE),""), "")</f>
        <v/>
      </c>
      <c r="C634" s="2" t="str">
        <f>IF(A634&lt;&gt;"",VLOOKUP(Alunos!A634,Agrupamentos!A3:C1000,2, FALSE),"")</f>
        <v/>
      </c>
      <c r="D634" s="2" t="str">
        <f>IFERROR(IF(A634&lt;&gt;"",VLOOKUP(Alunos!C634,'TP1'!A3:E1000,5, FALSE),""),"")</f>
        <v/>
      </c>
      <c r="E634" s="2" t="str">
        <f>IF(A634&lt;&gt;"",VLOOKUP(Alunos!A634,Agrupamentos!A3:C1000,3, FALSE),"")</f>
        <v/>
      </c>
      <c r="F634" s="2" t="str">
        <f>IFERROR(IF(A634&lt;&gt;"",VLOOKUP(Alunos!E634,'TP2'!A3:D1000,4, FALSE),""),"")</f>
        <v/>
      </c>
      <c r="G634" s="2" t="str">
        <f>IF(A634&lt;&gt;"", SUMIF(B1:F1,"&lt;&gt;",B634:F634),"")</f>
        <v/>
      </c>
      <c r="H634" s="2" t="str">
        <f>IF(AND(A634&lt;&gt;"",G634&lt;&gt;""),ROUND(G634,0),"")</f>
        <v/>
      </c>
      <c r="I634" s="2" t="str">
        <f>IFERROR(IF(A634&lt;&gt;"",VLOOKUP(Alunos!A634,Recurso!A3:D1000,4, FALSE),""), "")</f>
        <v/>
      </c>
      <c r="J634" s="2" t="str">
        <f>IF(AND(A634&lt;&gt;"",I634&lt;&gt;""), SUMIFS(B634:I634,B1:I1,"&lt;&gt;",B2:I2,"&lt;&gt;Exame",B2:I2,"&lt;&gt;exame",B2:I2,"&lt;&gt;Nota",B2:I2,"&lt;&gt;Total"),"")</f>
        <v/>
      </c>
      <c r="K634" s="2" t="str">
        <f>IF(AND(A634&lt;&gt;"",J634&lt;&gt;""),ROUND(J634,0),"")</f>
        <v/>
      </c>
    </row>
    <row r="635" spans="2:11" x14ac:dyDescent="0.3">
      <c r="B635" s="2" t="str">
        <f>IFERROR(IF(A635&lt;&gt;"",VLOOKUP(Alunos!A635,Exame!A3:D1000,4, FALSE),""), "")</f>
        <v/>
      </c>
      <c r="C635" s="2" t="str">
        <f>IF(A635&lt;&gt;"",VLOOKUP(Alunos!A635,Agrupamentos!A3:C1000,2, FALSE),"")</f>
        <v/>
      </c>
      <c r="D635" s="2" t="str">
        <f>IFERROR(IF(A635&lt;&gt;"",VLOOKUP(Alunos!C635,'TP1'!A3:E1000,5, FALSE),""),"")</f>
        <v/>
      </c>
      <c r="E635" s="2" t="str">
        <f>IF(A635&lt;&gt;"",VLOOKUP(Alunos!A635,Agrupamentos!A3:C1000,3, FALSE),"")</f>
        <v/>
      </c>
      <c r="F635" s="2" t="str">
        <f>IFERROR(IF(A635&lt;&gt;"",VLOOKUP(Alunos!E635,'TP2'!A3:D1000,4, FALSE),""),"")</f>
        <v/>
      </c>
      <c r="G635" s="2" t="str">
        <f>IF(A635&lt;&gt;"", SUMIF(B1:F1,"&lt;&gt;",B635:F635),"")</f>
        <v/>
      </c>
      <c r="H635" s="2" t="str">
        <f>IF(AND(A635&lt;&gt;"",G635&lt;&gt;""),ROUND(G635,0),"")</f>
        <v/>
      </c>
      <c r="I635" s="2" t="str">
        <f>IFERROR(IF(A635&lt;&gt;"",VLOOKUP(Alunos!A635,Recurso!A3:D1000,4, FALSE),""), "")</f>
        <v/>
      </c>
      <c r="J635" s="2" t="str">
        <f>IF(AND(A635&lt;&gt;"",I635&lt;&gt;""), SUMIFS(B635:I635,B1:I1,"&lt;&gt;",B2:I2,"&lt;&gt;Exame",B2:I2,"&lt;&gt;exame",B2:I2,"&lt;&gt;Nota",B2:I2,"&lt;&gt;Total"),"")</f>
        <v/>
      </c>
      <c r="K635" s="2" t="str">
        <f>IF(AND(A635&lt;&gt;"",J635&lt;&gt;""),ROUND(J635,0),"")</f>
        <v/>
      </c>
    </row>
    <row r="636" spans="2:11" x14ac:dyDescent="0.3">
      <c r="B636" s="2" t="str">
        <f>IFERROR(IF(A636&lt;&gt;"",VLOOKUP(Alunos!A636,Exame!A3:D1000,4, FALSE),""), "")</f>
        <v/>
      </c>
      <c r="C636" s="2" t="str">
        <f>IF(A636&lt;&gt;"",VLOOKUP(Alunos!A636,Agrupamentos!A3:C1000,2, FALSE),"")</f>
        <v/>
      </c>
      <c r="D636" s="2" t="str">
        <f>IFERROR(IF(A636&lt;&gt;"",VLOOKUP(Alunos!C636,'TP1'!A3:E1000,5, FALSE),""),"")</f>
        <v/>
      </c>
      <c r="E636" s="2" t="str">
        <f>IF(A636&lt;&gt;"",VLOOKUP(Alunos!A636,Agrupamentos!A3:C1000,3, FALSE),"")</f>
        <v/>
      </c>
      <c r="F636" s="2" t="str">
        <f>IFERROR(IF(A636&lt;&gt;"",VLOOKUP(Alunos!E636,'TP2'!A3:D1000,4, FALSE),""),"")</f>
        <v/>
      </c>
      <c r="G636" s="2" t="str">
        <f>IF(A636&lt;&gt;"", SUMIF(B1:F1,"&lt;&gt;",B636:F636),"")</f>
        <v/>
      </c>
      <c r="H636" s="2" t="str">
        <f>IF(AND(A636&lt;&gt;"",G636&lt;&gt;""),ROUND(G636,0),"")</f>
        <v/>
      </c>
      <c r="I636" s="2" t="str">
        <f>IFERROR(IF(A636&lt;&gt;"",VLOOKUP(Alunos!A636,Recurso!A3:D1000,4, FALSE),""), "")</f>
        <v/>
      </c>
      <c r="J636" s="2" t="str">
        <f>IF(AND(A636&lt;&gt;"",I636&lt;&gt;""), SUMIFS(B636:I636,B1:I1,"&lt;&gt;",B2:I2,"&lt;&gt;Exame",B2:I2,"&lt;&gt;exame",B2:I2,"&lt;&gt;Nota",B2:I2,"&lt;&gt;Total"),"")</f>
        <v/>
      </c>
      <c r="K636" s="2" t="str">
        <f>IF(AND(A636&lt;&gt;"",J636&lt;&gt;""),ROUND(J636,0),"")</f>
        <v/>
      </c>
    </row>
    <row r="637" spans="2:11" x14ac:dyDescent="0.3">
      <c r="B637" s="2" t="str">
        <f>IFERROR(IF(A637&lt;&gt;"",VLOOKUP(Alunos!A637,Exame!A3:D1000,4, FALSE),""), "")</f>
        <v/>
      </c>
      <c r="C637" s="2" t="str">
        <f>IF(A637&lt;&gt;"",VLOOKUP(Alunos!A637,Agrupamentos!A3:C1000,2, FALSE),"")</f>
        <v/>
      </c>
      <c r="D637" s="2" t="str">
        <f>IFERROR(IF(A637&lt;&gt;"",VLOOKUP(Alunos!C637,'TP1'!A3:E1000,5, FALSE),""),"")</f>
        <v/>
      </c>
      <c r="E637" s="2" t="str">
        <f>IF(A637&lt;&gt;"",VLOOKUP(Alunos!A637,Agrupamentos!A3:C1000,3, FALSE),"")</f>
        <v/>
      </c>
      <c r="F637" s="2" t="str">
        <f>IFERROR(IF(A637&lt;&gt;"",VLOOKUP(Alunos!E637,'TP2'!A3:D1000,4, FALSE),""),"")</f>
        <v/>
      </c>
      <c r="G637" s="2" t="str">
        <f>IF(A637&lt;&gt;"", SUMIF(B1:F1,"&lt;&gt;",B637:F637),"")</f>
        <v/>
      </c>
      <c r="H637" s="2" t="str">
        <f>IF(AND(A637&lt;&gt;"",G637&lt;&gt;""),ROUND(G637,0),"")</f>
        <v/>
      </c>
      <c r="I637" s="2" t="str">
        <f>IFERROR(IF(A637&lt;&gt;"",VLOOKUP(Alunos!A637,Recurso!A3:D1000,4, FALSE),""), "")</f>
        <v/>
      </c>
      <c r="J637" s="2" t="str">
        <f>IF(AND(A637&lt;&gt;"",I637&lt;&gt;""), SUMIFS(B637:I637,B1:I1,"&lt;&gt;",B2:I2,"&lt;&gt;Exame",B2:I2,"&lt;&gt;exame",B2:I2,"&lt;&gt;Nota",B2:I2,"&lt;&gt;Total"),"")</f>
        <v/>
      </c>
      <c r="K637" s="2" t="str">
        <f>IF(AND(A637&lt;&gt;"",J637&lt;&gt;""),ROUND(J637,0),"")</f>
        <v/>
      </c>
    </row>
    <row r="638" spans="2:11" x14ac:dyDescent="0.3">
      <c r="B638" s="2" t="str">
        <f>IFERROR(IF(A638&lt;&gt;"",VLOOKUP(Alunos!A638,Exame!A3:D1000,4, FALSE),""), "")</f>
        <v/>
      </c>
      <c r="C638" s="2" t="str">
        <f>IF(A638&lt;&gt;"",VLOOKUP(Alunos!A638,Agrupamentos!A3:C1000,2, FALSE),"")</f>
        <v/>
      </c>
      <c r="D638" s="2" t="str">
        <f>IFERROR(IF(A638&lt;&gt;"",VLOOKUP(Alunos!C638,'TP1'!A3:E1000,5, FALSE),""),"")</f>
        <v/>
      </c>
      <c r="E638" s="2" t="str">
        <f>IF(A638&lt;&gt;"",VLOOKUP(Alunos!A638,Agrupamentos!A3:C1000,3, FALSE),"")</f>
        <v/>
      </c>
      <c r="F638" s="2" t="str">
        <f>IFERROR(IF(A638&lt;&gt;"",VLOOKUP(Alunos!E638,'TP2'!A3:D1000,4, FALSE),""),"")</f>
        <v/>
      </c>
      <c r="G638" s="2" t="str">
        <f>IF(A638&lt;&gt;"", SUMIF(B1:F1,"&lt;&gt;",B638:F638),"")</f>
        <v/>
      </c>
      <c r="H638" s="2" t="str">
        <f>IF(AND(A638&lt;&gt;"",G638&lt;&gt;""),ROUND(G638,0),"")</f>
        <v/>
      </c>
      <c r="I638" s="2" t="str">
        <f>IFERROR(IF(A638&lt;&gt;"",VLOOKUP(Alunos!A638,Recurso!A3:D1000,4, FALSE),""), "")</f>
        <v/>
      </c>
      <c r="J638" s="2" t="str">
        <f>IF(AND(A638&lt;&gt;"",I638&lt;&gt;""), SUMIFS(B638:I638,B1:I1,"&lt;&gt;",B2:I2,"&lt;&gt;Exame",B2:I2,"&lt;&gt;exame",B2:I2,"&lt;&gt;Nota",B2:I2,"&lt;&gt;Total"),"")</f>
        <v/>
      </c>
      <c r="K638" s="2" t="str">
        <f>IF(AND(A638&lt;&gt;"",J638&lt;&gt;""),ROUND(J638,0),"")</f>
        <v/>
      </c>
    </row>
    <row r="639" spans="2:11" x14ac:dyDescent="0.3">
      <c r="B639" s="2" t="str">
        <f>IFERROR(IF(A639&lt;&gt;"",VLOOKUP(Alunos!A639,Exame!A3:D1000,4, FALSE),""), "")</f>
        <v/>
      </c>
      <c r="C639" s="2" t="str">
        <f>IF(A639&lt;&gt;"",VLOOKUP(Alunos!A639,Agrupamentos!A3:C1000,2, FALSE),"")</f>
        <v/>
      </c>
      <c r="D639" s="2" t="str">
        <f>IFERROR(IF(A639&lt;&gt;"",VLOOKUP(Alunos!C639,'TP1'!A3:E1000,5, FALSE),""),"")</f>
        <v/>
      </c>
      <c r="E639" s="2" t="str">
        <f>IF(A639&lt;&gt;"",VLOOKUP(Alunos!A639,Agrupamentos!A3:C1000,3, FALSE),"")</f>
        <v/>
      </c>
      <c r="F639" s="2" t="str">
        <f>IFERROR(IF(A639&lt;&gt;"",VLOOKUP(Alunos!E639,'TP2'!A3:D1000,4, FALSE),""),"")</f>
        <v/>
      </c>
      <c r="G639" s="2" t="str">
        <f>IF(A639&lt;&gt;"", SUMIF(B1:F1,"&lt;&gt;",B639:F639),"")</f>
        <v/>
      </c>
      <c r="H639" s="2" t="str">
        <f>IF(AND(A639&lt;&gt;"",G639&lt;&gt;""),ROUND(G639,0),"")</f>
        <v/>
      </c>
      <c r="I639" s="2" t="str">
        <f>IFERROR(IF(A639&lt;&gt;"",VLOOKUP(Alunos!A639,Recurso!A3:D1000,4, FALSE),""), "")</f>
        <v/>
      </c>
      <c r="J639" s="2" t="str">
        <f>IF(AND(A639&lt;&gt;"",I639&lt;&gt;""), SUMIFS(B639:I639,B1:I1,"&lt;&gt;",B2:I2,"&lt;&gt;Exame",B2:I2,"&lt;&gt;exame",B2:I2,"&lt;&gt;Nota",B2:I2,"&lt;&gt;Total"),"")</f>
        <v/>
      </c>
      <c r="K639" s="2" t="str">
        <f>IF(AND(A639&lt;&gt;"",J639&lt;&gt;""),ROUND(J639,0),"")</f>
        <v/>
      </c>
    </row>
    <row r="640" spans="2:11" x14ac:dyDescent="0.3">
      <c r="B640" s="2" t="str">
        <f>IFERROR(IF(A640&lt;&gt;"",VLOOKUP(Alunos!A640,Exame!A3:D1000,4, FALSE),""), "")</f>
        <v/>
      </c>
      <c r="C640" s="2" t="str">
        <f>IF(A640&lt;&gt;"",VLOOKUP(Alunos!A640,Agrupamentos!A3:C1000,2, FALSE),"")</f>
        <v/>
      </c>
      <c r="D640" s="2" t="str">
        <f>IFERROR(IF(A640&lt;&gt;"",VLOOKUP(Alunos!C640,'TP1'!A3:E1000,5, FALSE),""),"")</f>
        <v/>
      </c>
      <c r="E640" s="2" t="str">
        <f>IF(A640&lt;&gt;"",VLOOKUP(Alunos!A640,Agrupamentos!A3:C1000,3, FALSE),"")</f>
        <v/>
      </c>
      <c r="F640" s="2" t="str">
        <f>IFERROR(IF(A640&lt;&gt;"",VLOOKUP(Alunos!E640,'TP2'!A3:D1000,4, FALSE),""),"")</f>
        <v/>
      </c>
      <c r="G640" s="2" t="str">
        <f>IF(A640&lt;&gt;"", SUMIF(B1:F1,"&lt;&gt;",B640:F640),"")</f>
        <v/>
      </c>
      <c r="H640" s="2" t="str">
        <f>IF(AND(A640&lt;&gt;"",G640&lt;&gt;""),ROUND(G640,0),"")</f>
        <v/>
      </c>
      <c r="I640" s="2" t="str">
        <f>IFERROR(IF(A640&lt;&gt;"",VLOOKUP(Alunos!A640,Recurso!A3:D1000,4, FALSE),""), "")</f>
        <v/>
      </c>
      <c r="J640" s="2" t="str">
        <f>IF(AND(A640&lt;&gt;"",I640&lt;&gt;""), SUMIFS(B640:I640,B1:I1,"&lt;&gt;",B2:I2,"&lt;&gt;Exame",B2:I2,"&lt;&gt;exame",B2:I2,"&lt;&gt;Nota",B2:I2,"&lt;&gt;Total"),"")</f>
        <v/>
      </c>
      <c r="K640" s="2" t="str">
        <f>IF(AND(A640&lt;&gt;"",J640&lt;&gt;""),ROUND(J640,0),"")</f>
        <v/>
      </c>
    </row>
    <row r="641" spans="2:11" x14ac:dyDescent="0.3">
      <c r="B641" s="2" t="str">
        <f>IFERROR(IF(A641&lt;&gt;"",VLOOKUP(Alunos!A641,Exame!A3:D1000,4, FALSE),""), "")</f>
        <v/>
      </c>
      <c r="C641" s="2" t="str">
        <f>IF(A641&lt;&gt;"",VLOOKUP(Alunos!A641,Agrupamentos!A3:C1000,2, FALSE),"")</f>
        <v/>
      </c>
      <c r="D641" s="2" t="str">
        <f>IFERROR(IF(A641&lt;&gt;"",VLOOKUP(Alunos!C641,'TP1'!A3:E1000,5, FALSE),""),"")</f>
        <v/>
      </c>
      <c r="E641" s="2" t="str">
        <f>IF(A641&lt;&gt;"",VLOOKUP(Alunos!A641,Agrupamentos!A3:C1000,3, FALSE),"")</f>
        <v/>
      </c>
      <c r="F641" s="2" t="str">
        <f>IFERROR(IF(A641&lt;&gt;"",VLOOKUP(Alunos!E641,'TP2'!A3:D1000,4, FALSE),""),"")</f>
        <v/>
      </c>
      <c r="G641" s="2" t="str">
        <f>IF(A641&lt;&gt;"", SUMIF(B1:F1,"&lt;&gt;",B641:F641),"")</f>
        <v/>
      </c>
      <c r="H641" s="2" t="str">
        <f>IF(AND(A641&lt;&gt;"",G641&lt;&gt;""),ROUND(G641,0),"")</f>
        <v/>
      </c>
      <c r="I641" s="2" t="str">
        <f>IFERROR(IF(A641&lt;&gt;"",VLOOKUP(Alunos!A641,Recurso!A3:D1000,4, FALSE),""), "")</f>
        <v/>
      </c>
      <c r="J641" s="2" t="str">
        <f>IF(AND(A641&lt;&gt;"",I641&lt;&gt;""), SUMIFS(B641:I641,B1:I1,"&lt;&gt;",B2:I2,"&lt;&gt;Exame",B2:I2,"&lt;&gt;exame",B2:I2,"&lt;&gt;Nota",B2:I2,"&lt;&gt;Total"),"")</f>
        <v/>
      </c>
      <c r="K641" s="2" t="str">
        <f>IF(AND(A641&lt;&gt;"",J641&lt;&gt;""),ROUND(J641,0),"")</f>
        <v/>
      </c>
    </row>
    <row r="642" spans="2:11" x14ac:dyDescent="0.3">
      <c r="B642" s="2" t="str">
        <f>IFERROR(IF(A642&lt;&gt;"",VLOOKUP(Alunos!A642,Exame!A3:D1000,4, FALSE),""), "")</f>
        <v/>
      </c>
      <c r="C642" s="2" t="str">
        <f>IF(A642&lt;&gt;"",VLOOKUP(Alunos!A642,Agrupamentos!A3:C1000,2, FALSE),"")</f>
        <v/>
      </c>
      <c r="D642" s="2" t="str">
        <f>IFERROR(IF(A642&lt;&gt;"",VLOOKUP(Alunos!C642,'TP1'!A3:E1000,5, FALSE),""),"")</f>
        <v/>
      </c>
      <c r="E642" s="2" t="str">
        <f>IF(A642&lt;&gt;"",VLOOKUP(Alunos!A642,Agrupamentos!A3:C1000,3, FALSE),"")</f>
        <v/>
      </c>
      <c r="F642" s="2" t="str">
        <f>IFERROR(IF(A642&lt;&gt;"",VLOOKUP(Alunos!E642,'TP2'!A3:D1000,4, FALSE),""),"")</f>
        <v/>
      </c>
      <c r="G642" s="2" t="str">
        <f>IF(A642&lt;&gt;"", SUMIF(B1:F1,"&lt;&gt;",B642:F642),"")</f>
        <v/>
      </c>
      <c r="H642" s="2" t="str">
        <f>IF(AND(A642&lt;&gt;"",G642&lt;&gt;""),ROUND(G642,0),"")</f>
        <v/>
      </c>
      <c r="I642" s="2" t="str">
        <f>IFERROR(IF(A642&lt;&gt;"",VLOOKUP(Alunos!A642,Recurso!A3:D1000,4, FALSE),""), "")</f>
        <v/>
      </c>
      <c r="J642" s="2" t="str">
        <f>IF(AND(A642&lt;&gt;"",I642&lt;&gt;""), SUMIFS(B642:I642,B1:I1,"&lt;&gt;",B2:I2,"&lt;&gt;Exame",B2:I2,"&lt;&gt;exame",B2:I2,"&lt;&gt;Nota",B2:I2,"&lt;&gt;Total"),"")</f>
        <v/>
      </c>
      <c r="K642" s="2" t="str">
        <f>IF(AND(A642&lt;&gt;"",J642&lt;&gt;""),ROUND(J642,0),"")</f>
        <v/>
      </c>
    </row>
    <row r="643" spans="2:11" x14ac:dyDescent="0.3">
      <c r="B643" s="2" t="str">
        <f>IFERROR(IF(A643&lt;&gt;"",VLOOKUP(Alunos!A643,Exame!A3:D1000,4, FALSE),""), "")</f>
        <v/>
      </c>
      <c r="C643" s="2" t="str">
        <f>IF(A643&lt;&gt;"",VLOOKUP(Alunos!A643,Agrupamentos!A3:C1000,2, FALSE),"")</f>
        <v/>
      </c>
      <c r="D643" s="2" t="str">
        <f>IFERROR(IF(A643&lt;&gt;"",VLOOKUP(Alunos!C643,'TP1'!A3:E1000,5, FALSE),""),"")</f>
        <v/>
      </c>
      <c r="E643" s="2" t="str">
        <f>IF(A643&lt;&gt;"",VLOOKUP(Alunos!A643,Agrupamentos!A3:C1000,3, FALSE),"")</f>
        <v/>
      </c>
      <c r="F643" s="2" t="str">
        <f>IFERROR(IF(A643&lt;&gt;"",VLOOKUP(Alunos!E643,'TP2'!A3:D1000,4, FALSE),""),"")</f>
        <v/>
      </c>
      <c r="G643" s="2" t="str">
        <f>IF(A643&lt;&gt;"", SUMIF(B1:F1,"&lt;&gt;",B643:F643),"")</f>
        <v/>
      </c>
      <c r="H643" s="2" t="str">
        <f>IF(AND(A643&lt;&gt;"",G643&lt;&gt;""),ROUND(G643,0),"")</f>
        <v/>
      </c>
      <c r="I643" s="2" t="str">
        <f>IFERROR(IF(A643&lt;&gt;"",VLOOKUP(Alunos!A643,Recurso!A3:D1000,4, FALSE),""), "")</f>
        <v/>
      </c>
      <c r="J643" s="2" t="str">
        <f>IF(AND(A643&lt;&gt;"",I643&lt;&gt;""), SUMIFS(B643:I643,B1:I1,"&lt;&gt;",B2:I2,"&lt;&gt;Exame",B2:I2,"&lt;&gt;exame",B2:I2,"&lt;&gt;Nota",B2:I2,"&lt;&gt;Total"),"")</f>
        <v/>
      </c>
      <c r="K643" s="2" t="str">
        <f>IF(AND(A643&lt;&gt;"",J643&lt;&gt;""),ROUND(J643,0),"")</f>
        <v/>
      </c>
    </row>
    <row r="644" spans="2:11" x14ac:dyDescent="0.3">
      <c r="B644" s="2" t="str">
        <f>IFERROR(IF(A644&lt;&gt;"",VLOOKUP(Alunos!A644,Exame!A3:D1000,4, FALSE),""), "")</f>
        <v/>
      </c>
      <c r="C644" s="2" t="str">
        <f>IF(A644&lt;&gt;"",VLOOKUP(Alunos!A644,Agrupamentos!A3:C1000,2, FALSE),"")</f>
        <v/>
      </c>
      <c r="D644" s="2" t="str">
        <f>IFERROR(IF(A644&lt;&gt;"",VLOOKUP(Alunos!C644,'TP1'!A3:E1000,5, FALSE),""),"")</f>
        <v/>
      </c>
      <c r="E644" s="2" t="str">
        <f>IF(A644&lt;&gt;"",VLOOKUP(Alunos!A644,Agrupamentos!A3:C1000,3, FALSE),"")</f>
        <v/>
      </c>
      <c r="F644" s="2" t="str">
        <f>IFERROR(IF(A644&lt;&gt;"",VLOOKUP(Alunos!E644,'TP2'!A3:D1000,4, FALSE),""),"")</f>
        <v/>
      </c>
      <c r="G644" s="2" t="str">
        <f>IF(A644&lt;&gt;"", SUMIF(B1:F1,"&lt;&gt;",B644:F644),"")</f>
        <v/>
      </c>
      <c r="H644" s="2" t="str">
        <f>IF(AND(A644&lt;&gt;"",G644&lt;&gt;""),ROUND(G644,0),"")</f>
        <v/>
      </c>
      <c r="I644" s="2" t="str">
        <f>IFERROR(IF(A644&lt;&gt;"",VLOOKUP(Alunos!A644,Recurso!A3:D1000,4, FALSE),""), "")</f>
        <v/>
      </c>
      <c r="J644" s="2" t="str">
        <f>IF(AND(A644&lt;&gt;"",I644&lt;&gt;""), SUMIFS(B644:I644,B1:I1,"&lt;&gt;",B2:I2,"&lt;&gt;Exame",B2:I2,"&lt;&gt;exame",B2:I2,"&lt;&gt;Nota",B2:I2,"&lt;&gt;Total"),"")</f>
        <v/>
      </c>
      <c r="K644" s="2" t="str">
        <f>IF(AND(A644&lt;&gt;"",J644&lt;&gt;""),ROUND(J644,0),"")</f>
        <v/>
      </c>
    </row>
    <row r="645" spans="2:11" x14ac:dyDescent="0.3">
      <c r="B645" s="2" t="str">
        <f>IFERROR(IF(A645&lt;&gt;"",VLOOKUP(Alunos!A645,Exame!A3:D1000,4, FALSE),""), "")</f>
        <v/>
      </c>
      <c r="C645" s="2" t="str">
        <f>IF(A645&lt;&gt;"",VLOOKUP(Alunos!A645,Agrupamentos!A3:C1000,2, FALSE),"")</f>
        <v/>
      </c>
      <c r="D645" s="2" t="str">
        <f>IFERROR(IF(A645&lt;&gt;"",VLOOKUP(Alunos!C645,'TP1'!A3:E1000,5, FALSE),""),"")</f>
        <v/>
      </c>
      <c r="E645" s="2" t="str">
        <f>IF(A645&lt;&gt;"",VLOOKUP(Alunos!A645,Agrupamentos!A3:C1000,3, FALSE),"")</f>
        <v/>
      </c>
      <c r="F645" s="2" t="str">
        <f>IFERROR(IF(A645&lt;&gt;"",VLOOKUP(Alunos!E645,'TP2'!A3:D1000,4, FALSE),""),"")</f>
        <v/>
      </c>
      <c r="G645" s="2" t="str">
        <f>IF(A645&lt;&gt;"", SUMIF(B1:F1,"&lt;&gt;",B645:F645),"")</f>
        <v/>
      </c>
      <c r="H645" s="2" t="str">
        <f>IF(AND(A645&lt;&gt;"",G645&lt;&gt;""),ROUND(G645,0),"")</f>
        <v/>
      </c>
      <c r="I645" s="2" t="str">
        <f>IFERROR(IF(A645&lt;&gt;"",VLOOKUP(Alunos!A645,Recurso!A3:D1000,4, FALSE),""), "")</f>
        <v/>
      </c>
      <c r="J645" s="2" t="str">
        <f>IF(AND(A645&lt;&gt;"",I645&lt;&gt;""), SUMIFS(B645:I645,B1:I1,"&lt;&gt;",B2:I2,"&lt;&gt;Exame",B2:I2,"&lt;&gt;exame",B2:I2,"&lt;&gt;Nota",B2:I2,"&lt;&gt;Total"),"")</f>
        <v/>
      </c>
      <c r="K645" s="2" t="str">
        <f>IF(AND(A645&lt;&gt;"",J645&lt;&gt;""),ROUND(J645,0),"")</f>
        <v/>
      </c>
    </row>
    <row r="646" spans="2:11" x14ac:dyDescent="0.3">
      <c r="B646" s="2" t="str">
        <f>IFERROR(IF(A646&lt;&gt;"",VLOOKUP(Alunos!A646,Exame!A3:D1000,4, FALSE),""), "")</f>
        <v/>
      </c>
      <c r="C646" s="2" t="str">
        <f>IF(A646&lt;&gt;"",VLOOKUP(Alunos!A646,Agrupamentos!A3:C1000,2, FALSE),"")</f>
        <v/>
      </c>
      <c r="D646" s="2" t="str">
        <f>IFERROR(IF(A646&lt;&gt;"",VLOOKUP(Alunos!C646,'TP1'!A3:E1000,5, FALSE),""),"")</f>
        <v/>
      </c>
      <c r="E646" s="2" t="str">
        <f>IF(A646&lt;&gt;"",VLOOKUP(Alunos!A646,Agrupamentos!A3:C1000,3, FALSE),"")</f>
        <v/>
      </c>
      <c r="F646" s="2" t="str">
        <f>IFERROR(IF(A646&lt;&gt;"",VLOOKUP(Alunos!E646,'TP2'!A3:D1000,4, FALSE),""),"")</f>
        <v/>
      </c>
      <c r="G646" s="2" t="str">
        <f>IF(A646&lt;&gt;"", SUMIF(B1:F1,"&lt;&gt;",B646:F646),"")</f>
        <v/>
      </c>
      <c r="H646" s="2" t="str">
        <f>IF(AND(A646&lt;&gt;"",G646&lt;&gt;""),ROUND(G646,0),"")</f>
        <v/>
      </c>
      <c r="I646" s="2" t="str">
        <f>IFERROR(IF(A646&lt;&gt;"",VLOOKUP(Alunos!A646,Recurso!A3:D1000,4, FALSE),""), "")</f>
        <v/>
      </c>
      <c r="J646" s="2" t="str">
        <f>IF(AND(A646&lt;&gt;"",I646&lt;&gt;""), SUMIFS(B646:I646,B1:I1,"&lt;&gt;",B2:I2,"&lt;&gt;Exame",B2:I2,"&lt;&gt;exame",B2:I2,"&lt;&gt;Nota",B2:I2,"&lt;&gt;Total"),"")</f>
        <v/>
      </c>
      <c r="K646" s="2" t="str">
        <f>IF(AND(A646&lt;&gt;"",J646&lt;&gt;""),ROUND(J646,0),"")</f>
        <v/>
      </c>
    </row>
    <row r="647" spans="2:11" x14ac:dyDescent="0.3">
      <c r="B647" s="2" t="str">
        <f>IFERROR(IF(A647&lt;&gt;"",VLOOKUP(Alunos!A647,Exame!A3:D1000,4, FALSE),""), "")</f>
        <v/>
      </c>
      <c r="C647" s="2" t="str">
        <f>IF(A647&lt;&gt;"",VLOOKUP(Alunos!A647,Agrupamentos!A3:C1000,2, FALSE),"")</f>
        <v/>
      </c>
      <c r="D647" s="2" t="str">
        <f>IFERROR(IF(A647&lt;&gt;"",VLOOKUP(Alunos!C647,'TP1'!A3:E1000,5, FALSE),""),"")</f>
        <v/>
      </c>
      <c r="E647" s="2" t="str">
        <f>IF(A647&lt;&gt;"",VLOOKUP(Alunos!A647,Agrupamentos!A3:C1000,3, FALSE),"")</f>
        <v/>
      </c>
      <c r="F647" s="2" t="str">
        <f>IFERROR(IF(A647&lt;&gt;"",VLOOKUP(Alunos!E647,'TP2'!A3:D1000,4, FALSE),""),"")</f>
        <v/>
      </c>
      <c r="G647" s="2" t="str">
        <f>IF(A647&lt;&gt;"", SUMIF(B1:F1,"&lt;&gt;",B647:F647),"")</f>
        <v/>
      </c>
      <c r="H647" s="2" t="str">
        <f>IF(AND(A647&lt;&gt;"",G647&lt;&gt;""),ROUND(G647,0),"")</f>
        <v/>
      </c>
      <c r="I647" s="2" t="str">
        <f>IFERROR(IF(A647&lt;&gt;"",VLOOKUP(Alunos!A647,Recurso!A3:D1000,4, FALSE),""), "")</f>
        <v/>
      </c>
      <c r="J647" s="2" t="str">
        <f>IF(AND(A647&lt;&gt;"",I647&lt;&gt;""), SUMIFS(B647:I647,B1:I1,"&lt;&gt;",B2:I2,"&lt;&gt;Exame",B2:I2,"&lt;&gt;exame",B2:I2,"&lt;&gt;Nota",B2:I2,"&lt;&gt;Total"),"")</f>
        <v/>
      </c>
      <c r="K647" s="2" t="str">
        <f>IF(AND(A647&lt;&gt;"",J647&lt;&gt;""),ROUND(J647,0),"")</f>
        <v/>
      </c>
    </row>
    <row r="648" spans="2:11" x14ac:dyDescent="0.3">
      <c r="B648" s="2" t="str">
        <f>IFERROR(IF(A648&lt;&gt;"",VLOOKUP(Alunos!A648,Exame!A3:D1000,4, FALSE),""), "")</f>
        <v/>
      </c>
      <c r="C648" s="2" t="str">
        <f>IF(A648&lt;&gt;"",VLOOKUP(Alunos!A648,Agrupamentos!A3:C1000,2, FALSE),"")</f>
        <v/>
      </c>
      <c r="D648" s="2" t="str">
        <f>IFERROR(IF(A648&lt;&gt;"",VLOOKUP(Alunos!C648,'TP1'!A3:E1000,5, FALSE),""),"")</f>
        <v/>
      </c>
      <c r="E648" s="2" t="str">
        <f>IF(A648&lt;&gt;"",VLOOKUP(Alunos!A648,Agrupamentos!A3:C1000,3, FALSE),"")</f>
        <v/>
      </c>
      <c r="F648" s="2" t="str">
        <f>IFERROR(IF(A648&lt;&gt;"",VLOOKUP(Alunos!E648,'TP2'!A3:D1000,4, FALSE),""),"")</f>
        <v/>
      </c>
      <c r="G648" s="2" t="str">
        <f>IF(A648&lt;&gt;"", SUMIF(B1:F1,"&lt;&gt;",B648:F648),"")</f>
        <v/>
      </c>
      <c r="H648" s="2" t="str">
        <f>IF(AND(A648&lt;&gt;"",G648&lt;&gt;""),ROUND(G648,0),"")</f>
        <v/>
      </c>
      <c r="I648" s="2" t="str">
        <f>IFERROR(IF(A648&lt;&gt;"",VLOOKUP(Alunos!A648,Recurso!A3:D1000,4, FALSE),""), "")</f>
        <v/>
      </c>
      <c r="J648" s="2" t="str">
        <f>IF(AND(A648&lt;&gt;"",I648&lt;&gt;""), SUMIFS(B648:I648,B1:I1,"&lt;&gt;",B2:I2,"&lt;&gt;Exame",B2:I2,"&lt;&gt;exame",B2:I2,"&lt;&gt;Nota",B2:I2,"&lt;&gt;Total"),"")</f>
        <v/>
      </c>
      <c r="K648" s="2" t="str">
        <f>IF(AND(A648&lt;&gt;"",J648&lt;&gt;""),ROUND(J648,0),"")</f>
        <v/>
      </c>
    </row>
    <row r="649" spans="2:11" x14ac:dyDescent="0.3">
      <c r="B649" s="2" t="str">
        <f>IFERROR(IF(A649&lt;&gt;"",VLOOKUP(Alunos!A649,Exame!A3:D1000,4, FALSE),""), "")</f>
        <v/>
      </c>
      <c r="C649" s="2" t="str">
        <f>IF(A649&lt;&gt;"",VLOOKUP(Alunos!A649,Agrupamentos!A3:C1000,2, FALSE),"")</f>
        <v/>
      </c>
      <c r="D649" s="2" t="str">
        <f>IFERROR(IF(A649&lt;&gt;"",VLOOKUP(Alunos!C649,'TP1'!A3:E1000,5, FALSE),""),"")</f>
        <v/>
      </c>
      <c r="E649" s="2" t="str">
        <f>IF(A649&lt;&gt;"",VLOOKUP(Alunos!A649,Agrupamentos!A3:C1000,3, FALSE),"")</f>
        <v/>
      </c>
      <c r="F649" s="2" t="str">
        <f>IFERROR(IF(A649&lt;&gt;"",VLOOKUP(Alunos!E649,'TP2'!A3:D1000,4, FALSE),""),"")</f>
        <v/>
      </c>
      <c r="G649" s="2" t="str">
        <f>IF(A649&lt;&gt;"", SUMIF(B1:F1,"&lt;&gt;",B649:F649),"")</f>
        <v/>
      </c>
      <c r="H649" s="2" t="str">
        <f>IF(AND(A649&lt;&gt;"",G649&lt;&gt;""),ROUND(G649,0),"")</f>
        <v/>
      </c>
      <c r="I649" s="2" t="str">
        <f>IFERROR(IF(A649&lt;&gt;"",VLOOKUP(Alunos!A649,Recurso!A3:D1000,4, FALSE),""), "")</f>
        <v/>
      </c>
      <c r="J649" s="2" t="str">
        <f>IF(AND(A649&lt;&gt;"",I649&lt;&gt;""), SUMIFS(B649:I649,B1:I1,"&lt;&gt;",B2:I2,"&lt;&gt;Exame",B2:I2,"&lt;&gt;exame",B2:I2,"&lt;&gt;Nota",B2:I2,"&lt;&gt;Total"),"")</f>
        <v/>
      </c>
      <c r="K649" s="2" t="str">
        <f>IF(AND(A649&lt;&gt;"",J649&lt;&gt;""),ROUND(J649,0),"")</f>
        <v/>
      </c>
    </row>
    <row r="650" spans="2:11" x14ac:dyDescent="0.3">
      <c r="B650" s="2" t="str">
        <f>IFERROR(IF(A650&lt;&gt;"",VLOOKUP(Alunos!A650,Exame!A3:D1000,4, FALSE),""), "")</f>
        <v/>
      </c>
      <c r="C650" s="2" t="str">
        <f>IF(A650&lt;&gt;"",VLOOKUP(Alunos!A650,Agrupamentos!A3:C1000,2, FALSE),"")</f>
        <v/>
      </c>
      <c r="D650" s="2" t="str">
        <f>IFERROR(IF(A650&lt;&gt;"",VLOOKUP(Alunos!C650,'TP1'!A3:E1000,5, FALSE),""),"")</f>
        <v/>
      </c>
      <c r="E650" s="2" t="str">
        <f>IF(A650&lt;&gt;"",VLOOKUP(Alunos!A650,Agrupamentos!A3:C1000,3, FALSE),"")</f>
        <v/>
      </c>
      <c r="F650" s="2" t="str">
        <f>IFERROR(IF(A650&lt;&gt;"",VLOOKUP(Alunos!E650,'TP2'!A3:D1000,4, FALSE),""),"")</f>
        <v/>
      </c>
      <c r="G650" s="2" t="str">
        <f>IF(A650&lt;&gt;"", SUMIF(B1:F1,"&lt;&gt;",B650:F650),"")</f>
        <v/>
      </c>
      <c r="H650" s="2" t="str">
        <f>IF(AND(A650&lt;&gt;"",G650&lt;&gt;""),ROUND(G650,0),"")</f>
        <v/>
      </c>
      <c r="I650" s="2" t="str">
        <f>IFERROR(IF(A650&lt;&gt;"",VLOOKUP(Alunos!A650,Recurso!A3:D1000,4, FALSE),""), "")</f>
        <v/>
      </c>
      <c r="J650" s="2" t="str">
        <f>IF(AND(A650&lt;&gt;"",I650&lt;&gt;""), SUMIFS(B650:I650,B1:I1,"&lt;&gt;",B2:I2,"&lt;&gt;Exame",B2:I2,"&lt;&gt;exame",B2:I2,"&lt;&gt;Nota",B2:I2,"&lt;&gt;Total"),"")</f>
        <v/>
      </c>
      <c r="K650" s="2" t="str">
        <f>IF(AND(A650&lt;&gt;"",J650&lt;&gt;""),ROUND(J650,0),"")</f>
        <v/>
      </c>
    </row>
    <row r="651" spans="2:11" x14ac:dyDescent="0.3">
      <c r="B651" s="2" t="str">
        <f>IFERROR(IF(A651&lt;&gt;"",VLOOKUP(Alunos!A651,Exame!A3:D1000,4, FALSE),""), "")</f>
        <v/>
      </c>
      <c r="C651" s="2" t="str">
        <f>IF(A651&lt;&gt;"",VLOOKUP(Alunos!A651,Agrupamentos!A3:C1000,2, FALSE),"")</f>
        <v/>
      </c>
      <c r="D651" s="2" t="str">
        <f>IFERROR(IF(A651&lt;&gt;"",VLOOKUP(Alunos!C651,'TP1'!A3:E1000,5, FALSE),""),"")</f>
        <v/>
      </c>
      <c r="E651" s="2" t="str">
        <f>IF(A651&lt;&gt;"",VLOOKUP(Alunos!A651,Agrupamentos!A3:C1000,3, FALSE),"")</f>
        <v/>
      </c>
      <c r="F651" s="2" t="str">
        <f>IFERROR(IF(A651&lt;&gt;"",VLOOKUP(Alunos!E651,'TP2'!A3:D1000,4, FALSE),""),"")</f>
        <v/>
      </c>
      <c r="G651" s="2" t="str">
        <f>IF(A651&lt;&gt;"", SUMIF(B1:F1,"&lt;&gt;",B651:F651),"")</f>
        <v/>
      </c>
      <c r="H651" s="2" t="str">
        <f>IF(AND(A651&lt;&gt;"",G651&lt;&gt;""),ROUND(G651,0),"")</f>
        <v/>
      </c>
      <c r="I651" s="2" t="str">
        <f>IFERROR(IF(A651&lt;&gt;"",VLOOKUP(Alunos!A651,Recurso!A3:D1000,4, FALSE),""), "")</f>
        <v/>
      </c>
      <c r="J651" s="2" t="str">
        <f>IF(AND(A651&lt;&gt;"",I651&lt;&gt;""), SUMIFS(B651:I651,B1:I1,"&lt;&gt;",B2:I2,"&lt;&gt;Exame",B2:I2,"&lt;&gt;exame",B2:I2,"&lt;&gt;Nota",B2:I2,"&lt;&gt;Total"),"")</f>
        <v/>
      </c>
      <c r="K651" s="2" t="str">
        <f>IF(AND(A651&lt;&gt;"",J651&lt;&gt;""),ROUND(J651,0),"")</f>
        <v/>
      </c>
    </row>
    <row r="652" spans="2:11" x14ac:dyDescent="0.3">
      <c r="B652" s="2" t="str">
        <f>IFERROR(IF(A652&lt;&gt;"",VLOOKUP(Alunos!A652,Exame!A3:D1000,4, FALSE),""), "")</f>
        <v/>
      </c>
      <c r="C652" s="2" t="str">
        <f>IF(A652&lt;&gt;"",VLOOKUP(Alunos!A652,Agrupamentos!A3:C1000,2, FALSE),"")</f>
        <v/>
      </c>
      <c r="D652" s="2" t="str">
        <f>IFERROR(IF(A652&lt;&gt;"",VLOOKUP(Alunos!C652,'TP1'!A3:E1000,5, FALSE),""),"")</f>
        <v/>
      </c>
      <c r="E652" s="2" t="str">
        <f>IF(A652&lt;&gt;"",VLOOKUP(Alunos!A652,Agrupamentos!A3:C1000,3, FALSE),"")</f>
        <v/>
      </c>
      <c r="F652" s="2" t="str">
        <f>IFERROR(IF(A652&lt;&gt;"",VLOOKUP(Alunos!E652,'TP2'!A3:D1000,4, FALSE),""),"")</f>
        <v/>
      </c>
      <c r="G652" s="2" t="str">
        <f>IF(A652&lt;&gt;"", SUMIF(B1:F1,"&lt;&gt;",B652:F652),"")</f>
        <v/>
      </c>
      <c r="H652" s="2" t="str">
        <f>IF(AND(A652&lt;&gt;"",G652&lt;&gt;""),ROUND(G652,0),"")</f>
        <v/>
      </c>
      <c r="I652" s="2" t="str">
        <f>IFERROR(IF(A652&lt;&gt;"",VLOOKUP(Alunos!A652,Recurso!A3:D1000,4, FALSE),""), "")</f>
        <v/>
      </c>
      <c r="J652" s="2" t="str">
        <f>IF(AND(A652&lt;&gt;"",I652&lt;&gt;""), SUMIFS(B652:I652,B1:I1,"&lt;&gt;",B2:I2,"&lt;&gt;Exame",B2:I2,"&lt;&gt;exame",B2:I2,"&lt;&gt;Nota",B2:I2,"&lt;&gt;Total"),"")</f>
        <v/>
      </c>
      <c r="K652" s="2" t="str">
        <f>IF(AND(A652&lt;&gt;"",J652&lt;&gt;""),ROUND(J652,0),"")</f>
        <v/>
      </c>
    </row>
    <row r="653" spans="2:11" x14ac:dyDescent="0.3">
      <c r="B653" s="2" t="str">
        <f>IFERROR(IF(A653&lt;&gt;"",VLOOKUP(Alunos!A653,Exame!A3:D1000,4, FALSE),""), "")</f>
        <v/>
      </c>
      <c r="C653" s="2" t="str">
        <f>IF(A653&lt;&gt;"",VLOOKUP(Alunos!A653,Agrupamentos!A3:C1000,2, FALSE),"")</f>
        <v/>
      </c>
      <c r="D653" s="2" t="str">
        <f>IFERROR(IF(A653&lt;&gt;"",VLOOKUP(Alunos!C653,'TP1'!A3:E1000,5, FALSE),""),"")</f>
        <v/>
      </c>
      <c r="E653" s="2" t="str">
        <f>IF(A653&lt;&gt;"",VLOOKUP(Alunos!A653,Agrupamentos!A3:C1000,3, FALSE),"")</f>
        <v/>
      </c>
      <c r="F653" s="2" t="str">
        <f>IFERROR(IF(A653&lt;&gt;"",VLOOKUP(Alunos!E653,'TP2'!A3:D1000,4, FALSE),""),"")</f>
        <v/>
      </c>
      <c r="G653" s="2" t="str">
        <f>IF(A653&lt;&gt;"", SUMIF(B1:F1,"&lt;&gt;",B653:F653),"")</f>
        <v/>
      </c>
      <c r="H653" s="2" t="str">
        <f>IF(AND(A653&lt;&gt;"",G653&lt;&gt;""),ROUND(G653,0),"")</f>
        <v/>
      </c>
      <c r="I653" s="2" t="str">
        <f>IFERROR(IF(A653&lt;&gt;"",VLOOKUP(Alunos!A653,Recurso!A3:D1000,4, FALSE),""), "")</f>
        <v/>
      </c>
      <c r="J653" s="2" t="str">
        <f>IF(AND(A653&lt;&gt;"",I653&lt;&gt;""), SUMIFS(B653:I653,B1:I1,"&lt;&gt;",B2:I2,"&lt;&gt;Exame",B2:I2,"&lt;&gt;exame",B2:I2,"&lt;&gt;Nota",B2:I2,"&lt;&gt;Total"),"")</f>
        <v/>
      </c>
      <c r="K653" s="2" t="str">
        <f>IF(AND(A653&lt;&gt;"",J653&lt;&gt;""),ROUND(J653,0),"")</f>
        <v/>
      </c>
    </row>
    <row r="654" spans="2:11" x14ac:dyDescent="0.3">
      <c r="B654" s="2" t="str">
        <f>IFERROR(IF(A654&lt;&gt;"",VLOOKUP(Alunos!A654,Exame!A3:D1000,4, FALSE),""), "")</f>
        <v/>
      </c>
      <c r="C654" s="2" t="str">
        <f>IF(A654&lt;&gt;"",VLOOKUP(Alunos!A654,Agrupamentos!A3:C1000,2, FALSE),"")</f>
        <v/>
      </c>
      <c r="D654" s="2" t="str">
        <f>IFERROR(IF(A654&lt;&gt;"",VLOOKUP(Alunos!C654,'TP1'!A3:E1000,5, FALSE),""),"")</f>
        <v/>
      </c>
      <c r="E654" s="2" t="str">
        <f>IF(A654&lt;&gt;"",VLOOKUP(Alunos!A654,Agrupamentos!A3:C1000,3, FALSE),"")</f>
        <v/>
      </c>
      <c r="F654" s="2" t="str">
        <f>IFERROR(IF(A654&lt;&gt;"",VLOOKUP(Alunos!E654,'TP2'!A3:D1000,4, FALSE),""),"")</f>
        <v/>
      </c>
      <c r="G654" s="2" t="str">
        <f>IF(A654&lt;&gt;"", SUMIF(B1:F1,"&lt;&gt;",B654:F654),"")</f>
        <v/>
      </c>
      <c r="H654" s="2" t="str">
        <f>IF(AND(A654&lt;&gt;"",G654&lt;&gt;""),ROUND(G654,0),"")</f>
        <v/>
      </c>
      <c r="I654" s="2" t="str">
        <f>IFERROR(IF(A654&lt;&gt;"",VLOOKUP(Alunos!A654,Recurso!A3:D1000,4, FALSE),""), "")</f>
        <v/>
      </c>
      <c r="J654" s="2" t="str">
        <f>IF(AND(A654&lt;&gt;"",I654&lt;&gt;""), SUMIFS(B654:I654,B1:I1,"&lt;&gt;",B2:I2,"&lt;&gt;Exame",B2:I2,"&lt;&gt;exame",B2:I2,"&lt;&gt;Nota",B2:I2,"&lt;&gt;Total"),"")</f>
        <v/>
      </c>
      <c r="K654" s="2" t="str">
        <f>IF(AND(A654&lt;&gt;"",J654&lt;&gt;""),ROUND(J654,0),"")</f>
        <v/>
      </c>
    </row>
    <row r="655" spans="2:11" x14ac:dyDescent="0.3">
      <c r="B655" s="2" t="str">
        <f>IFERROR(IF(A655&lt;&gt;"",VLOOKUP(Alunos!A655,Exame!A3:D1000,4, FALSE),""), "")</f>
        <v/>
      </c>
      <c r="C655" s="2" t="str">
        <f>IF(A655&lt;&gt;"",VLOOKUP(Alunos!A655,Agrupamentos!A3:C1000,2, FALSE),"")</f>
        <v/>
      </c>
      <c r="D655" s="2" t="str">
        <f>IFERROR(IF(A655&lt;&gt;"",VLOOKUP(Alunos!C655,'TP1'!A3:E1000,5, FALSE),""),"")</f>
        <v/>
      </c>
      <c r="E655" s="2" t="str">
        <f>IF(A655&lt;&gt;"",VLOOKUP(Alunos!A655,Agrupamentos!A3:C1000,3, FALSE),"")</f>
        <v/>
      </c>
      <c r="F655" s="2" t="str">
        <f>IFERROR(IF(A655&lt;&gt;"",VLOOKUP(Alunos!E655,'TP2'!A3:D1000,4, FALSE),""),"")</f>
        <v/>
      </c>
      <c r="G655" s="2" t="str">
        <f>IF(A655&lt;&gt;"", SUMIF(B1:F1,"&lt;&gt;",B655:F655),"")</f>
        <v/>
      </c>
      <c r="H655" s="2" t="str">
        <f>IF(AND(A655&lt;&gt;"",G655&lt;&gt;""),ROUND(G655,0),"")</f>
        <v/>
      </c>
      <c r="I655" s="2" t="str">
        <f>IFERROR(IF(A655&lt;&gt;"",VLOOKUP(Alunos!A655,Recurso!A3:D1000,4, FALSE),""), "")</f>
        <v/>
      </c>
      <c r="J655" s="2" t="str">
        <f>IF(AND(A655&lt;&gt;"",I655&lt;&gt;""), SUMIFS(B655:I655,B1:I1,"&lt;&gt;",B2:I2,"&lt;&gt;Exame",B2:I2,"&lt;&gt;exame",B2:I2,"&lt;&gt;Nota",B2:I2,"&lt;&gt;Total"),"")</f>
        <v/>
      </c>
      <c r="K655" s="2" t="str">
        <f>IF(AND(A655&lt;&gt;"",J655&lt;&gt;""),ROUND(J655,0),"")</f>
        <v/>
      </c>
    </row>
    <row r="656" spans="2:11" x14ac:dyDescent="0.3">
      <c r="B656" s="2" t="str">
        <f>IFERROR(IF(A656&lt;&gt;"",VLOOKUP(Alunos!A656,Exame!A3:D1000,4, FALSE),""), "")</f>
        <v/>
      </c>
      <c r="C656" s="2" t="str">
        <f>IF(A656&lt;&gt;"",VLOOKUP(Alunos!A656,Agrupamentos!A3:C1000,2, FALSE),"")</f>
        <v/>
      </c>
      <c r="D656" s="2" t="str">
        <f>IFERROR(IF(A656&lt;&gt;"",VLOOKUP(Alunos!C656,'TP1'!A3:E1000,5, FALSE),""),"")</f>
        <v/>
      </c>
      <c r="E656" s="2" t="str">
        <f>IF(A656&lt;&gt;"",VLOOKUP(Alunos!A656,Agrupamentos!A3:C1000,3, FALSE),"")</f>
        <v/>
      </c>
      <c r="F656" s="2" t="str">
        <f>IFERROR(IF(A656&lt;&gt;"",VLOOKUP(Alunos!E656,'TP2'!A3:D1000,4, FALSE),""),"")</f>
        <v/>
      </c>
      <c r="G656" s="2" t="str">
        <f>IF(A656&lt;&gt;"", SUMIF(B1:F1,"&lt;&gt;",B656:F656),"")</f>
        <v/>
      </c>
      <c r="H656" s="2" t="str">
        <f>IF(AND(A656&lt;&gt;"",G656&lt;&gt;""),ROUND(G656,0),"")</f>
        <v/>
      </c>
      <c r="I656" s="2" t="str">
        <f>IFERROR(IF(A656&lt;&gt;"",VLOOKUP(Alunos!A656,Recurso!A3:D1000,4, FALSE),""), "")</f>
        <v/>
      </c>
      <c r="J656" s="2" t="str">
        <f>IF(AND(A656&lt;&gt;"",I656&lt;&gt;""), SUMIFS(B656:I656,B1:I1,"&lt;&gt;",B2:I2,"&lt;&gt;Exame",B2:I2,"&lt;&gt;exame",B2:I2,"&lt;&gt;Nota",B2:I2,"&lt;&gt;Total"),"")</f>
        <v/>
      </c>
      <c r="K656" s="2" t="str">
        <f>IF(AND(A656&lt;&gt;"",J656&lt;&gt;""),ROUND(J656,0),"")</f>
        <v/>
      </c>
    </row>
    <row r="657" spans="2:11" x14ac:dyDescent="0.3">
      <c r="B657" s="2" t="str">
        <f>IFERROR(IF(A657&lt;&gt;"",VLOOKUP(Alunos!A657,Exame!A3:D1000,4, FALSE),""), "")</f>
        <v/>
      </c>
      <c r="C657" s="2" t="str">
        <f>IF(A657&lt;&gt;"",VLOOKUP(Alunos!A657,Agrupamentos!A3:C1000,2, FALSE),"")</f>
        <v/>
      </c>
      <c r="D657" s="2" t="str">
        <f>IFERROR(IF(A657&lt;&gt;"",VLOOKUP(Alunos!C657,'TP1'!A3:E1000,5, FALSE),""),"")</f>
        <v/>
      </c>
      <c r="E657" s="2" t="str">
        <f>IF(A657&lt;&gt;"",VLOOKUP(Alunos!A657,Agrupamentos!A3:C1000,3, FALSE),"")</f>
        <v/>
      </c>
      <c r="F657" s="2" t="str">
        <f>IFERROR(IF(A657&lt;&gt;"",VLOOKUP(Alunos!E657,'TP2'!A3:D1000,4, FALSE),""),"")</f>
        <v/>
      </c>
      <c r="G657" s="2" t="str">
        <f>IF(A657&lt;&gt;"", SUMIF(B1:F1,"&lt;&gt;",B657:F657),"")</f>
        <v/>
      </c>
      <c r="H657" s="2" t="str">
        <f>IF(AND(A657&lt;&gt;"",G657&lt;&gt;""),ROUND(G657,0),"")</f>
        <v/>
      </c>
      <c r="I657" s="2" t="str">
        <f>IFERROR(IF(A657&lt;&gt;"",VLOOKUP(Alunos!A657,Recurso!A3:D1000,4, FALSE),""), "")</f>
        <v/>
      </c>
      <c r="J657" s="2" t="str">
        <f>IF(AND(A657&lt;&gt;"",I657&lt;&gt;""), SUMIFS(B657:I657,B1:I1,"&lt;&gt;",B2:I2,"&lt;&gt;Exame",B2:I2,"&lt;&gt;exame",B2:I2,"&lt;&gt;Nota",B2:I2,"&lt;&gt;Total"),"")</f>
        <v/>
      </c>
      <c r="K657" s="2" t="str">
        <f>IF(AND(A657&lt;&gt;"",J657&lt;&gt;""),ROUND(J657,0),"")</f>
        <v/>
      </c>
    </row>
    <row r="658" spans="2:11" x14ac:dyDescent="0.3">
      <c r="B658" s="2" t="str">
        <f>IFERROR(IF(A658&lt;&gt;"",VLOOKUP(Alunos!A658,Exame!A3:D1000,4, FALSE),""), "")</f>
        <v/>
      </c>
      <c r="C658" s="2" t="str">
        <f>IF(A658&lt;&gt;"",VLOOKUP(Alunos!A658,Agrupamentos!A3:C1000,2, FALSE),"")</f>
        <v/>
      </c>
      <c r="D658" s="2" t="str">
        <f>IFERROR(IF(A658&lt;&gt;"",VLOOKUP(Alunos!C658,'TP1'!A3:E1000,5, FALSE),""),"")</f>
        <v/>
      </c>
      <c r="E658" s="2" t="str">
        <f>IF(A658&lt;&gt;"",VLOOKUP(Alunos!A658,Agrupamentos!A3:C1000,3, FALSE),"")</f>
        <v/>
      </c>
      <c r="F658" s="2" t="str">
        <f>IFERROR(IF(A658&lt;&gt;"",VLOOKUP(Alunos!E658,'TP2'!A3:D1000,4, FALSE),""),"")</f>
        <v/>
      </c>
      <c r="G658" s="2" t="str">
        <f>IF(A658&lt;&gt;"", SUMIF(B1:F1,"&lt;&gt;",B658:F658),"")</f>
        <v/>
      </c>
      <c r="H658" s="2" t="str">
        <f>IF(AND(A658&lt;&gt;"",G658&lt;&gt;""),ROUND(G658,0),"")</f>
        <v/>
      </c>
      <c r="I658" s="2" t="str">
        <f>IFERROR(IF(A658&lt;&gt;"",VLOOKUP(Alunos!A658,Recurso!A3:D1000,4, FALSE),""), "")</f>
        <v/>
      </c>
      <c r="J658" s="2" t="str">
        <f>IF(AND(A658&lt;&gt;"",I658&lt;&gt;""), SUMIFS(B658:I658,B1:I1,"&lt;&gt;",B2:I2,"&lt;&gt;Exame",B2:I2,"&lt;&gt;exame",B2:I2,"&lt;&gt;Nota",B2:I2,"&lt;&gt;Total"),"")</f>
        <v/>
      </c>
      <c r="K658" s="2" t="str">
        <f>IF(AND(A658&lt;&gt;"",J658&lt;&gt;""),ROUND(J658,0),"")</f>
        <v/>
      </c>
    </row>
    <row r="659" spans="2:11" x14ac:dyDescent="0.3">
      <c r="B659" s="2" t="str">
        <f>IFERROR(IF(A659&lt;&gt;"",VLOOKUP(Alunos!A659,Exame!A3:D1000,4, FALSE),""), "")</f>
        <v/>
      </c>
      <c r="C659" s="2" t="str">
        <f>IF(A659&lt;&gt;"",VLOOKUP(Alunos!A659,Agrupamentos!A3:C1000,2, FALSE),"")</f>
        <v/>
      </c>
      <c r="D659" s="2" t="str">
        <f>IFERROR(IF(A659&lt;&gt;"",VLOOKUP(Alunos!C659,'TP1'!A3:E1000,5, FALSE),""),"")</f>
        <v/>
      </c>
      <c r="E659" s="2" t="str">
        <f>IF(A659&lt;&gt;"",VLOOKUP(Alunos!A659,Agrupamentos!A3:C1000,3, FALSE),"")</f>
        <v/>
      </c>
      <c r="F659" s="2" t="str">
        <f>IFERROR(IF(A659&lt;&gt;"",VLOOKUP(Alunos!E659,'TP2'!A3:D1000,4, FALSE),""),"")</f>
        <v/>
      </c>
      <c r="G659" s="2" t="str">
        <f>IF(A659&lt;&gt;"", SUMIF(B1:F1,"&lt;&gt;",B659:F659),"")</f>
        <v/>
      </c>
      <c r="H659" s="2" t="str">
        <f>IF(AND(A659&lt;&gt;"",G659&lt;&gt;""),ROUND(G659,0),"")</f>
        <v/>
      </c>
      <c r="I659" s="2" t="str">
        <f>IFERROR(IF(A659&lt;&gt;"",VLOOKUP(Alunos!A659,Recurso!A3:D1000,4, FALSE),""), "")</f>
        <v/>
      </c>
      <c r="J659" s="2" t="str">
        <f>IF(AND(A659&lt;&gt;"",I659&lt;&gt;""), SUMIFS(B659:I659,B1:I1,"&lt;&gt;",B2:I2,"&lt;&gt;Exame",B2:I2,"&lt;&gt;exame",B2:I2,"&lt;&gt;Nota",B2:I2,"&lt;&gt;Total"),"")</f>
        <v/>
      </c>
      <c r="K659" s="2" t="str">
        <f>IF(AND(A659&lt;&gt;"",J659&lt;&gt;""),ROUND(J659,0),"")</f>
        <v/>
      </c>
    </row>
    <row r="660" spans="2:11" x14ac:dyDescent="0.3">
      <c r="B660" s="2" t="str">
        <f>IFERROR(IF(A660&lt;&gt;"",VLOOKUP(Alunos!A660,Exame!A3:D1000,4, FALSE),""), "")</f>
        <v/>
      </c>
      <c r="C660" s="2" t="str">
        <f>IF(A660&lt;&gt;"",VLOOKUP(Alunos!A660,Agrupamentos!A3:C1000,2, FALSE),"")</f>
        <v/>
      </c>
      <c r="D660" s="2" t="str">
        <f>IFERROR(IF(A660&lt;&gt;"",VLOOKUP(Alunos!C660,'TP1'!A3:E1000,5, FALSE),""),"")</f>
        <v/>
      </c>
      <c r="E660" s="2" t="str">
        <f>IF(A660&lt;&gt;"",VLOOKUP(Alunos!A660,Agrupamentos!A3:C1000,3, FALSE),"")</f>
        <v/>
      </c>
      <c r="F660" s="2" t="str">
        <f>IFERROR(IF(A660&lt;&gt;"",VLOOKUP(Alunos!E660,'TP2'!A3:D1000,4, FALSE),""),"")</f>
        <v/>
      </c>
      <c r="G660" s="2" t="str">
        <f>IF(A660&lt;&gt;"", SUMIF(B1:F1,"&lt;&gt;",B660:F660),"")</f>
        <v/>
      </c>
      <c r="H660" s="2" t="str">
        <f>IF(AND(A660&lt;&gt;"",G660&lt;&gt;""),ROUND(G660,0),"")</f>
        <v/>
      </c>
      <c r="I660" s="2" t="str">
        <f>IFERROR(IF(A660&lt;&gt;"",VLOOKUP(Alunos!A660,Recurso!A3:D1000,4, FALSE),""), "")</f>
        <v/>
      </c>
      <c r="J660" s="2" t="str">
        <f>IF(AND(A660&lt;&gt;"",I660&lt;&gt;""), SUMIFS(B660:I660,B1:I1,"&lt;&gt;",B2:I2,"&lt;&gt;Exame",B2:I2,"&lt;&gt;exame",B2:I2,"&lt;&gt;Nota",B2:I2,"&lt;&gt;Total"),"")</f>
        <v/>
      </c>
      <c r="K660" s="2" t="str">
        <f>IF(AND(A660&lt;&gt;"",J660&lt;&gt;""),ROUND(J660,0),"")</f>
        <v/>
      </c>
    </row>
    <row r="661" spans="2:11" x14ac:dyDescent="0.3">
      <c r="B661" s="2" t="str">
        <f>IFERROR(IF(A661&lt;&gt;"",VLOOKUP(Alunos!A661,Exame!A3:D1000,4, FALSE),""), "")</f>
        <v/>
      </c>
      <c r="C661" s="2" t="str">
        <f>IF(A661&lt;&gt;"",VLOOKUP(Alunos!A661,Agrupamentos!A3:C1000,2, FALSE),"")</f>
        <v/>
      </c>
      <c r="D661" s="2" t="str">
        <f>IFERROR(IF(A661&lt;&gt;"",VLOOKUP(Alunos!C661,'TP1'!A3:E1000,5, FALSE),""),"")</f>
        <v/>
      </c>
      <c r="E661" s="2" t="str">
        <f>IF(A661&lt;&gt;"",VLOOKUP(Alunos!A661,Agrupamentos!A3:C1000,3, FALSE),"")</f>
        <v/>
      </c>
      <c r="F661" s="2" t="str">
        <f>IFERROR(IF(A661&lt;&gt;"",VLOOKUP(Alunos!E661,'TP2'!A3:D1000,4, FALSE),""),"")</f>
        <v/>
      </c>
      <c r="G661" s="2" t="str">
        <f>IF(A661&lt;&gt;"", SUMIF(B1:F1,"&lt;&gt;",B661:F661),"")</f>
        <v/>
      </c>
      <c r="H661" s="2" t="str">
        <f>IF(AND(A661&lt;&gt;"",G661&lt;&gt;""),ROUND(G661,0),"")</f>
        <v/>
      </c>
      <c r="I661" s="2" t="str">
        <f>IFERROR(IF(A661&lt;&gt;"",VLOOKUP(Alunos!A661,Recurso!A3:D1000,4, FALSE),""), "")</f>
        <v/>
      </c>
      <c r="J661" s="2" t="str">
        <f>IF(AND(A661&lt;&gt;"",I661&lt;&gt;""), SUMIFS(B661:I661,B1:I1,"&lt;&gt;",B2:I2,"&lt;&gt;Exame",B2:I2,"&lt;&gt;exame",B2:I2,"&lt;&gt;Nota",B2:I2,"&lt;&gt;Total"),"")</f>
        <v/>
      </c>
      <c r="K661" s="2" t="str">
        <f>IF(AND(A661&lt;&gt;"",J661&lt;&gt;""),ROUND(J661,0),"")</f>
        <v/>
      </c>
    </row>
    <row r="662" spans="2:11" x14ac:dyDescent="0.3">
      <c r="B662" s="2" t="str">
        <f>IFERROR(IF(A662&lt;&gt;"",VLOOKUP(Alunos!A662,Exame!A3:D1000,4, FALSE),""), "")</f>
        <v/>
      </c>
      <c r="C662" s="2" t="str">
        <f>IF(A662&lt;&gt;"",VLOOKUP(Alunos!A662,Agrupamentos!A3:C1000,2, FALSE),"")</f>
        <v/>
      </c>
      <c r="D662" s="2" t="str">
        <f>IFERROR(IF(A662&lt;&gt;"",VLOOKUP(Alunos!C662,'TP1'!A3:E1000,5, FALSE),""),"")</f>
        <v/>
      </c>
      <c r="E662" s="2" t="str">
        <f>IF(A662&lt;&gt;"",VLOOKUP(Alunos!A662,Agrupamentos!A3:C1000,3, FALSE),"")</f>
        <v/>
      </c>
      <c r="F662" s="2" t="str">
        <f>IFERROR(IF(A662&lt;&gt;"",VLOOKUP(Alunos!E662,'TP2'!A3:D1000,4, FALSE),""),"")</f>
        <v/>
      </c>
      <c r="G662" s="2" t="str">
        <f>IF(A662&lt;&gt;"", SUMIF(B1:F1,"&lt;&gt;",B662:F662),"")</f>
        <v/>
      </c>
      <c r="H662" s="2" t="str">
        <f>IF(AND(A662&lt;&gt;"",G662&lt;&gt;""),ROUND(G662,0),"")</f>
        <v/>
      </c>
      <c r="I662" s="2" t="str">
        <f>IFERROR(IF(A662&lt;&gt;"",VLOOKUP(Alunos!A662,Recurso!A3:D1000,4, FALSE),""), "")</f>
        <v/>
      </c>
      <c r="J662" s="2" t="str">
        <f>IF(AND(A662&lt;&gt;"",I662&lt;&gt;""), SUMIFS(B662:I662,B1:I1,"&lt;&gt;",B2:I2,"&lt;&gt;Exame",B2:I2,"&lt;&gt;exame",B2:I2,"&lt;&gt;Nota",B2:I2,"&lt;&gt;Total"),"")</f>
        <v/>
      </c>
      <c r="K662" s="2" t="str">
        <f>IF(AND(A662&lt;&gt;"",J662&lt;&gt;""),ROUND(J662,0),"")</f>
        <v/>
      </c>
    </row>
    <row r="663" spans="2:11" x14ac:dyDescent="0.3">
      <c r="B663" s="2" t="str">
        <f>IFERROR(IF(A663&lt;&gt;"",VLOOKUP(Alunos!A663,Exame!A3:D1000,4, FALSE),""), "")</f>
        <v/>
      </c>
      <c r="C663" s="2" t="str">
        <f>IF(A663&lt;&gt;"",VLOOKUP(Alunos!A663,Agrupamentos!A3:C1000,2, FALSE),"")</f>
        <v/>
      </c>
      <c r="D663" s="2" t="str">
        <f>IFERROR(IF(A663&lt;&gt;"",VLOOKUP(Alunos!C663,'TP1'!A3:E1000,5, FALSE),""),"")</f>
        <v/>
      </c>
      <c r="E663" s="2" t="str">
        <f>IF(A663&lt;&gt;"",VLOOKUP(Alunos!A663,Agrupamentos!A3:C1000,3, FALSE),"")</f>
        <v/>
      </c>
      <c r="F663" s="2" t="str">
        <f>IFERROR(IF(A663&lt;&gt;"",VLOOKUP(Alunos!E663,'TP2'!A3:D1000,4, FALSE),""),"")</f>
        <v/>
      </c>
      <c r="G663" s="2" t="str">
        <f>IF(A663&lt;&gt;"", SUMIF(B1:F1,"&lt;&gt;",B663:F663),"")</f>
        <v/>
      </c>
      <c r="H663" s="2" t="str">
        <f>IF(AND(A663&lt;&gt;"",G663&lt;&gt;""),ROUND(G663,0),"")</f>
        <v/>
      </c>
      <c r="I663" s="2" t="str">
        <f>IFERROR(IF(A663&lt;&gt;"",VLOOKUP(Alunos!A663,Recurso!A3:D1000,4, FALSE),""), "")</f>
        <v/>
      </c>
      <c r="J663" s="2" t="str">
        <f>IF(AND(A663&lt;&gt;"",I663&lt;&gt;""), SUMIFS(B663:I663,B1:I1,"&lt;&gt;",B2:I2,"&lt;&gt;Exame",B2:I2,"&lt;&gt;exame",B2:I2,"&lt;&gt;Nota",B2:I2,"&lt;&gt;Total"),"")</f>
        <v/>
      </c>
      <c r="K663" s="2" t="str">
        <f>IF(AND(A663&lt;&gt;"",J663&lt;&gt;""),ROUND(J663,0),"")</f>
        <v/>
      </c>
    </row>
    <row r="664" spans="2:11" x14ac:dyDescent="0.3">
      <c r="B664" s="2" t="str">
        <f>IFERROR(IF(A664&lt;&gt;"",VLOOKUP(Alunos!A664,Exame!A3:D1000,4, FALSE),""), "")</f>
        <v/>
      </c>
      <c r="C664" s="2" t="str">
        <f>IF(A664&lt;&gt;"",VLOOKUP(Alunos!A664,Agrupamentos!A3:C1000,2, FALSE),"")</f>
        <v/>
      </c>
      <c r="D664" s="2" t="str">
        <f>IFERROR(IF(A664&lt;&gt;"",VLOOKUP(Alunos!C664,'TP1'!A3:E1000,5, FALSE),""),"")</f>
        <v/>
      </c>
      <c r="E664" s="2" t="str">
        <f>IF(A664&lt;&gt;"",VLOOKUP(Alunos!A664,Agrupamentos!A3:C1000,3, FALSE),"")</f>
        <v/>
      </c>
      <c r="F664" s="2" t="str">
        <f>IFERROR(IF(A664&lt;&gt;"",VLOOKUP(Alunos!E664,'TP2'!A3:D1000,4, FALSE),""),"")</f>
        <v/>
      </c>
      <c r="G664" s="2" t="str">
        <f>IF(A664&lt;&gt;"", SUMIF(B1:F1,"&lt;&gt;",B664:F664),"")</f>
        <v/>
      </c>
      <c r="H664" s="2" t="str">
        <f>IF(AND(A664&lt;&gt;"",G664&lt;&gt;""),ROUND(G664,0),"")</f>
        <v/>
      </c>
      <c r="I664" s="2" t="str">
        <f>IFERROR(IF(A664&lt;&gt;"",VLOOKUP(Alunos!A664,Recurso!A3:D1000,4, FALSE),""), "")</f>
        <v/>
      </c>
      <c r="J664" s="2" t="str">
        <f>IF(AND(A664&lt;&gt;"",I664&lt;&gt;""), SUMIFS(B664:I664,B1:I1,"&lt;&gt;",B2:I2,"&lt;&gt;Exame",B2:I2,"&lt;&gt;exame",B2:I2,"&lt;&gt;Nota",B2:I2,"&lt;&gt;Total"),"")</f>
        <v/>
      </c>
      <c r="K664" s="2" t="str">
        <f>IF(AND(A664&lt;&gt;"",J664&lt;&gt;""),ROUND(J664,0),"")</f>
        <v/>
      </c>
    </row>
    <row r="665" spans="2:11" x14ac:dyDescent="0.3">
      <c r="B665" s="2" t="str">
        <f>IFERROR(IF(A665&lt;&gt;"",VLOOKUP(Alunos!A665,Exame!A3:D1000,4, FALSE),""), "")</f>
        <v/>
      </c>
      <c r="C665" s="2" t="str">
        <f>IF(A665&lt;&gt;"",VLOOKUP(Alunos!A665,Agrupamentos!A3:C1000,2, FALSE),"")</f>
        <v/>
      </c>
      <c r="D665" s="2" t="str">
        <f>IFERROR(IF(A665&lt;&gt;"",VLOOKUP(Alunos!C665,'TP1'!A3:E1000,5, FALSE),""),"")</f>
        <v/>
      </c>
      <c r="E665" s="2" t="str">
        <f>IF(A665&lt;&gt;"",VLOOKUP(Alunos!A665,Agrupamentos!A3:C1000,3, FALSE),"")</f>
        <v/>
      </c>
      <c r="F665" s="2" t="str">
        <f>IFERROR(IF(A665&lt;&gt;"",VLOOKUP(Alunos!E665,'TP2'!A3:D1000,4, FALSE),""),"")</f>
        <v/>
      </c>
      <c r="G665" s="2" t="str">
        <f>IF(A665&lt;&gt;"", SUMIF(B1:F1,"&lt;&gt;",B665:F665),"")</f>
        <v/>
      </c>
      <c r="H665" s="2" t="str">
        <f>IF(AND(A665&lt;&gt;"",G665&lt;&gt;""),ROUND(G665,0),"")</f>
        <v/>
      </c>
      <c r="I665" s="2" t="str">
        <f>IFERROR(IF(A665&lt;&gt;"",VLOOKUP(Alunos!A665,Recurso!A3:D1000,4, FALSE),""), "")</f>
        <v/>
      </c>
      <c r="J665" s="2" t="str">
        <f>IF(AND(A665&lt;&gt;"",I665&lt;&gt;""), SUMIFS(B665:I665,B1:I1,"&lt;&gt;",B2:I2,"&lt;&gt;Exame",B2:I2,"&lt;&gt;exame",B2:I2,"&lt;&gt;Nota",B2:I2,"&lt;&gt;Total"),"")</f>
        <v/>
      </c>
      <c r="K665" s="2" t="str">
        <f>IF(AND(A665&lt;&gt;"",J665&lt;&gt;""),ROUND(J665,0),"")</f>
        <v/>
      </c>
    </row>
    <row r="666" spans="2:11" x14ac:dyDescent="0.3">
      <c r="B666" s="2" t="str">
        <f>IFERROR(IF(A666&lt;&gt;"",VLOOKUP(Alunos!A666,Exame!A3:D1000,4, FALSE),""), "")</f>
        <v/>
      </c>
      <c r="C666" s="2" t="str">
        <f>IF(A666&lt;&gt;"",VLOOKUP(Alunos!A666,Agrupamentos!A3:C1000,2, FALSE),"")</f>
        <v/>
      </c>
      <c r="D666" s="2" t="str">
        <f>IFERROR(IF(A666&lt;&gt;"",VLOOKUP(Alunos!C666,'TP1'!A3:E1000,5, FALSE),""),"")</f>
        <v/>
      </c>
      <c r="E666" s="2" t="str">
        <f>IF(A666&lt;&gt;"",VLOOKUP(Alunos!A666,Agrupamentos!A3:C1000,3, FALSE),"")</f>
        <v/>
      </c>
      <c r="F666" s="2" t="str">
        <f>IFERROR(IF(A666&lt;&gt;"",VLOOKUP(Alunos!E666,'TP2'!A3:D1000,4, FALSE),""),"")</f>
        <v/>
      </c>
      <c r="G666" s="2" t="str">
        <f>IF(A666&lt;&gt;"", SUMIF(B1:F1,"&lt;&gt;",B666:F666),"")</f>
        <v/>
      </c>
      <c r="H666" s="2" t="str">
        <f>IF(AND(A666&lt;&gt;"",G666&lt;&gt;""),ROUND(G666,0),"")</f>
        <v/>
      </c>
      <c r="I666" s="2" t="str">
        <f>IFERROR(IF(A666&lt;&gt;"",VLOOKUP(Alunos!A666,Recurso!A3:D1000,4, FALSE),""), "")</f>
        <v/>
      </c>
      <c r="J666" s="2" t="str">
        <f>IF(AND(A666&lt;&gt;"",I666&lt;&gt;""), SUMIFS(B666:I666,B1:I1,"&lt;&gt;",B2:I2,"&lt;&gt;Exame",B2:I2,"&lt;&gt;exame",B2:I2,"&lt;&gt;Nota",B2:I2,"&lt;&gt;Total"),"")</f>
        <v/>
      </c>
      <c r="K666" s="2" t="str">
        <f>IF(AND(A666&lt;&gt;"",J666&lt;&gt;""),ROUND(J666,0),"")</f>
        <v/>
      </c>
    </row>
    <row r="667" spans="2:11" x14ac:dyDescent="0.3">
      <c r="B667" s="2" t="str">
        <f>IFERROR(IF(A667&lt;&gt;"",VLOOKUP(Alunos!A667,Exame!A3:D1000,4, FALSE),""), "")</f>
        <v/>
      </c>
      <c r="C667" s="2" t="str">
        <f>IF(A667&lt;&gt;"",VLOOKUP(Alunos!A667,Agrupamentos!A3:C1000,2, FALSE),"")</f>
        <v/>
      </c>
      <c r="D667" s="2" t="str">
        <f>IFERROR(IF(A667&lt;&gt;"",VLOOKUP(Alunos!C667,'TP1'!A3:E1000,5, FALSE),""),"")</f>
        <v/>
      </c>
      <c r="E667" s="2" t="str">
        <f>IF(A667&lt;&gt;"",VLOOKUP(Alunos!A667,Agrupamentos!A3:C1000,3, FALSE),"")</f>
        <v/>
      </c>
      <c r="F667" s="2" t="str">
        <f>IFERROR(IF(A667&lt;&gt;"",VLOOKUP(Alunos!E667,'TP2'!A3:D1000,4, FALSE),""),"")</f>
        <v/>
      </c>
      <c r="G667" s="2" t="str">
        <f>IF(A667&lt;&gt;"", SUMIF(B1:F1,"&lt;&gt;",B667:F667),"")</f>
        <v/>
      </c>
      <c r="H667" s="2" t="str">
        <f>IF(AND(A667&lt;&gt;"",G667&lt;&gt;""),ROUND(G667,0),"")</f>
        <v/>
      </c>
      <c r="I667" s="2" t="str">
        <f>IFERROR(IF(A667&lt;&gt;"",VLOOKUP(Alunos!A667,Recurso!A3:D1000,4, FALSE),""), "")</f>
        <v/>
      </c>
      <c r="J667" s="2" t="str">
        <f>IF(AND(A667&lt;&gt;"",I667&lt;&gt;""), SUMIFS(B667:I667,B1:I1,"&lt;&gt;",B2:I2,"&lt;&gt;Exame",B2:I2,"&lt;&gt;exame",B2:I2,"&lt;&gt;Nota",B2:I2,"&lt;&gt;Total"),"")</f>
        <v/>
      </c>
      <c r="K667" s="2" t="str">
        <f>IF(AND(A667&lt;&gt;"",J667&lt;&gt;""),ROUND(J667,0),"")</f>
        <v/>
      </c>
    </row>
    <row r="668" spans="2:11" x14ac:dyDescent="0.3">
      <c r="B668" s="2" t="str">
        <f>IFERROR(IF(A668&lt;&gt;"",VLOOKUP(Alunos!A668,Exame!A3:D1000,4, FALSE),""), "")</f>
        <v/>
      </c>
      <c r="C668" s="2" t="str">
        <f>IF(A668&lt;&gt;"",VLOOKUP(Alunos!A668,Agrupamentos!A3:C1000,2, FALSE),"")</f>
        <v/>
      </c>
      <c r="D668" s="2" t="str">
        <f>IFERROR(IF(A668&lt;&gt;"",VLOOKUP(Alunos!C668,'TP1'!A3:E1000,5, FALSE),""),"")</f>
        <v/>
      </c>
      <c r="E668" s="2" t="str">
        <f>IF(A668&lt;&gt;"",VLOOKUP(Alunos!A668,Agrupamentos!A3:C1000,3, FALSE),"")</f>
        <v/>
      </c>
      <c r="F668" s="2" t="str">
        <f>IFERROR(IF(A668&lt;&gt;"",VLOOKUP(Alunos!E668,'TP2'!A3:D1000,4, FALSE),""),"")</f>
        <v/>
      </c>
      <c r="G668" s="2" t="str">
        <f>IF(A668&lt;&gt;"", SUMIF(B1:F1,"&lt;&gt;",B668:F668),"")</f>
        <v/>
      </c>
      <c r="H668" s="2" t="str">
        <f>IF(AND(A668&lt;&gt;"",G668&lt;&gt;""),ROUND(G668,0),"")</f>
        <v/>
      </c>
      <c r="I668" s="2" t="str">
        <f>IFERROR(IF(A668&lt;&gt;"",VLOOKUP(Alunos!A668,Recurso!A3:D1000,4, FALSE),""), "")</f>
        <v/>
      </c>
      <c r="J668" s="2" t="str">
        <f>IF(AND(A668&lt;&gt;"",I668&lt;&gt;""), SUMIFS(B668:I668,B1:I1,"&lt;&gt;",B2:I2,"&lt;&gt;Exame",B2:I2,"&lt;&gt;exame",B2:I2,"&lt;&gt;Nota",B2:I2,"&lt;&gt;Total"),"")</f>
        <v/>
      </c>
      <c r="K668" s="2" t="str">
        <f>IF(AND(A668&lt;&gt;"",J668&lt;&gt;""),ROUND(J668,0),"")</f>
        <v/>
      </c>
    </row>
    <row r="669" spans="2:11" x14ac:dyDescent="0.3">
      <c r="B669" s="2" t="str">
        <f>IFERROR(IF(A669&lt;&gt;"",VLOOKUP(Alunos!A669,Exame!A3:D1000,4, FALSE),""), "")</f>
        <v/>
      </c>
      <c r="C669" s="2" t="str">
        <f>IF(A669&lt;&gt;"",VLOOKUP(Alunos!A669,Agrupamentos!A3:C1000,2, FALSE),"")</f>
        <v/>
      </c>
      <c r="D669" s="2" t="str">
        <f>IFERROR(IF(A669&lt;&gt;"",VLOOKUP(Alunos!C669,'TP1'!A3:E1000,5, FALSE),""),"")</f>
        <v/>
      </c>
      <c r="E669" s="2" t="str">
        <f>IF(A669&lt;&gt;"",VLOOKUP(Alunos!A669,Agrupamentos!A3:C1000,3, FALSE),"")</f>
        <v/>
      </c>
      <c r="F669" s="2" t="str">
        <f>IFERROR(IF(A669&lt;&gt;"",VLOOKUP(Alunos!E669,'TP2'!A3:D1000,4, FALSE),""),"")</f>
        <v/>
      </c>
      <c r="G669" s="2" t="str">
        <f>IF(A669&lt;&gt;"", SUMIF(B1:F1,"&lt;&gt;",B669:F669),"")</f>
        <v/>
      </c>
      <c r="H669" s="2" t="str">
        <f>IF(AND(A669&lt;&gt;"",G669&lt;&gt;""),ROUND(G669,0),"")</f>
        <v/>
      </c>
      <c r="I669" s="2" t="str">
        <f>IFERROR(IF(A669&lt;&gt;"",VLOOKUP(Alunos!A669,Recurso!A3:D1000,4, FALSE),""), "")</f>
        <v/>
      </c>
      <c r="J669" s="2" t="str">
        <f>IF(AND(A669&lt;&gt;"",I669&lt;&gt;""), SUMIFS(B669:I669,B1:I1,"&lt;&gt;",B2:I2,"&lt;&gt;Exame",B2:I2,"&lt;&gt;exame",B2:I2,"&lt;&gt;Nota",B2:I2,"&lt;&gt;Total"),"")</f>
        <v/>
      </c>
      <c r="K669" s="2" t="str">
        <f>IF(AND(A669&lt;&gt;"",J669&lt;&gt;""),ROUND(J669,0),"")</f>
        <v/>
      </c>
    </row>
    <row r="670" spans="2:11" x14ac:dyDescent="0.3">
      <c r="B670" s="2" t="str">
        <f>IFERROR(IF(A670&lt;&gt;"",VLOOKUP(Alunos!A670,Exame!A3:D1000,4, FALSE),""), "")</f>
        <v/>
      </c>
      <c r="C670" s="2" t="str">
        <f>IF(A670&lt;&gt;"",VLOOKUP(Alunos!A670,Agrupamentos!A3:C1000,2, FALSE),"")</f>
        <v/>
      </c>
      <c r="D670" s="2" t="str">
        <f>IFERROR(IF(A670&lt;&gt;"",VLOOKUP(Alunos!C670,'TP1'!A3:E1000,5, FALSE),""),"")</f>
        <v/>
      </c>
      <c r="E670" s="2" t="str">
        <f>IF(A670&lt;&gt;"",VLOOKUP(Alunos!A670,Agrupamentos!A3:C1000,3, FALSE),"")</f>
        <v/>
      </c>
      <c r="F670" s="2" t="str">
        <f>IFERROR(IF(A670&lt;&gt;"",VLOOKUP(Alunos!E670,'TP2'!A3:D1000,4, FALSE),""),"")</f>
        <v/>
      </c>
      <c r="G670" s="2" t="str">
        <f>IF(A670&lt;&gt;"", SUMIF(B1:F1,"&lt;&gt;",B670:F670),"")</f>
        <v/>
      </c>
      <c r="H670" s="2" t="str">
        <f>IF(AND(A670&lt;&gt;"",G670&lt;&gt;""),ROUND(G670,0),"")</f>
        <v/>
      </c>
      <c r="I670" s="2" t="str">
        <f>IFERROR(IF(A670&lt;&gt;"",VLOOKUP(Alunos!A670,Recurso!A3:D1000,4, FALSE),""), "")</f>
        <v/>
      </c>
      <c r="J670" s="2" t="str">
        <f>IF(AND(A670&lt;&gt;"",I670&lt;&gt;""), SUMIFS(B670:I670,B1:I1,"&lt;&gt;",B2:I2,"&lt;&gt;Exame",B2:I2,"&lt;&gt;exame",B2:I2,"&lt;&gt;Nota",B2:I2,"&lt;&gt;Total"),"")</f>
        <v/>
      </c>
      <c r="K670" s="2" t="str">
        <f>IF(AND(A670&lt;&gt;"",J670&lt;&gt;""),ROUND(J670,0),"")</f>
        <v/>
      </c>
    </row>
    <row r="671" spans="2:11" x14ac:dyDescent="0.3">
      <c r="B671" s="2" t="str">
        <f>IFERROR(IF(A671&lt;&gt;"",VLOOKUP(Alunos!A671,Exame!A3:D1000,4, FALSE),""), "")</f>
        <v/>
      </c>
      <c r="C671" s="2" t="str">
        <f>IF(A671&lt;&gt;"",VLOOKUP(Alunos!A671,Agrupamentos!A3:C1000,2, FALSE),"")</f>
        <v/>
      </c>
      <c r="D671" s="2" t="str">
        <f>IFERROR(IF(A671&lt;&gt;"",VLOOKUP(Alunos!C671,'TP1'!A3:E1000,5, FALSE),""),"")</f>
        <v/>
      </c>
      <c r="E671" s="2" t="str">
        <f>IF(A671&lt;&gt;"",VLOOKUP(Alunos!A671,Agrupamentos!A3:C1000,3, FALSE),"")</f>
        <v/>
      </c>
      <c r="F671" s="2" t="str">
        <f>IFERROR(IF(A671&lt;&gt;"",VLOOKUP(Alunos!E671,'TP2'!A3:D1000,4, FALSE),""),"")</f>
        <v/>
      </c>
      <c r="G671" s="2" t="str">
        <f>IF(A671&lt;&gt;"", SUMIF(B1:F1,"&lt;&gt;",B671:F671),"")</f>
        <v/>
      </c>
      <c r="H671" s="2" t="str">
        <f>IF(AND(A671&lt;&gt;"",G671&lt;&gt;""),ROUND(G671,0),"")</f>
        <v/>
      </c>
      <c r="I671" s="2" t="str">
        <f>IFERROR(IF(A671&lt;&gt;"",VLOOKUP(Alunos!A671,Recurso!A3:D1000,4, FALSE),""), "")</f>
        <v/>
      </c>
      <c r="J671" s="2" t="str">
        <f>IF(AND(A671&lt;&gt;"",I671&lt;&gt;""), SUMIFS(B671:I671,B1:I1,"&lt;&gt;",B2:I2,"&lt;&gt;Exame",B2:I2,"&lt;&gt;exame",B2:I2,"&lt;&gt;Nota",B2:I2,"&lt;&gt;Total"),"")</f>
        <v/>
      </c>
      <c r="K671" s="2" t="str">
        <f>IF(AND(A671&lt;&gt;"",J671&lt;&gt;""),ROUND(J671,0),"")</f>
        <v/>
      </c>
    </row>
    <row r="672" spans="2:11" x14ac:dyDescent="0.3">
      <c r="B672" s="2" t="str">
        <f>IFERROR(IF(A672&lt;&gt;"",VLOOKUP(Alunos!A672,Exame!A3:D1000,4, FALSE),""), "")</f>
        <v/>
      </c>
      <c r="C672" s="2" t="str">
        <f>IF(A672&lt;&gt;"",VLOOKUP(Alunos!A672,Agrupamentos!A3:C1000,2, FALSE),"")</f>
        <v/>
      </c>
      <c r="D672" s="2" t="str">
        <f>IFERROR(IF(A672&lt;&gt;"",VLOOKUP(Alunos!C672,'TP1'!A3:E1000,5, FALSE),""),"")</f>
        <v/>
      </c>
      <c r="E672" s="2" t="str">
        <f>IF(A672&lt;&gt;"",VLOOKUP(Alunos!A672,Agrupamentos!A3:C1000,3, FALSE),"")</f>
        <v/>
      </c>
      <c r="F672" s="2" t="str">
        <f>IFERROR(IF(A672&lt;&gt;"",VLOOKUP(Alunos!E672,'TP2'!A3:D1000,4, FALSE),""),"")</f>
        <v/>
      </c>
      <c r="G672" s="2" t="str">
        <f>IF(A672&lt;&gt;"", SUMIF(B1:F1,"&lt;&gt;",B672:F672),"")</f>
        <v/>
      </c>
      <c r="H672" s="2" t="str">
        <f>IF(AND(A672&lt;&gt;"",G672&lt;&gt;""),ROUND(G672,0),"")</f>
        <v/>
      </c>
      <c r="I672" s="2" t="str">
        <f>IFERROR(IF(A672&lt;&gt;"",VLOOKUP(Alunos!A672,Recurso!A3:D1000,4, FALSE),""), "")</f>
        <v/>
      </c>
      <c r="J672" s="2" t="str">
        <f>IF(AND(A672&lt;&gt;"",I672&lt;&gt;""), SUMIFS(B672:I672,B1:I1,"&lt;&gt;",B2:I2,"&lt;&gt;Exame",B2:I2,"&lt;&gt;exame",B2:I2,"&lt;&gt;Nota",B2:I2,"&lt;&gt;Total"),"")</f>
        <v/>
      </c>
      <c r="K672" s="2" t="str">
        <f>IF(AND(A672&lt;&gt;"",J672&lt;&gt;""),ROUND(J672,0),"")</f>
        <v/>
      </c>
    </row>
    <row r="673" spans="2:11" x14ac:dyDescent="0.3">
      <c r="B673" s="2" t="str">
        <f>IFERROR(IF(A673&lt;&gt;"",VLOOKUP(Alunos!A673,Exame!A3:D1000,4, FALSE),""), "")</f>
        <v/>
      </c>
      <c r="C673" s="2" t="str">
        <f>IF(A673&lt;&gt;"",VLOOKUP(Alunos!A673,Agrupamentos!A3:C1000,2, FALSE),"")</f>
        <v/>
      </c>
      <c r="D673" s="2" t="str">
        <f>IFERROR(IF(A673&lt;&gt;"",VLOOKUP(Alunos!C673,'TP1'!A3:E1000,5, FALSE),""),"")</f>
        <v/>
      </c>
      <c r="E673" s="2" t="str">
        <f>IF(A673&lt;&gt;"",VLOOKUP(Alunos!A673,Agrupamentos!A3:C1000,3, FALSE),"")</f>
        <v/>
      </c>
      <c r="F673" s="2" t="str">
        <f>IFERROR(IF(A673&lt;&gt;"",VLOOKUP(Alunos!E673,'TP2'!A3:D1000,4, FALSE),""),"")</f>
        <v/>
      </c>
      <c r="G673" s="2" t="str">
        <f>IF(A673&lt;&gt;"", SUMIF(B1:F1,"&lt;&gt;",B673:F673),"")</f>
        <v/>
      </c>
      <c r="H673" s="2" t="str">
        <f>IF(AND(A673&lt;&gt;"",G673&lt;&gt;""),ROUND(G673,0),"")</f>
        <v/>
      </c>
      <c r="I673" s="2" t="str">
        <f>IFERROR(IF(A673&lt;&gt;"",VLOOKUP(Alunos!A673,Recurso!A3:D1000,4, FALSE),""), "")</f>
        <v/>
      </c>
      <c r="J673" s="2" t="str">
        <f>IF(AND(A673&lt;&gt;"",I673&lt;&gt;""), SUMIFS(B673:I673,B1:I1,"&lt;&gt;",B2:I2,"&lt;&gt;Exame",B2:I2,"&lt;&gt;exame",B2:I2,"&lt;&gt;Nota",B2:I2,"&lt;&gt;Total"),"")</f>
        <v/>
      </c>
      <c r="K673" s="2" t="str">
        <f>IF(AND(A673&lt;&gt;"",J673&lt;&gt;""),ROUND(J673,0),"")</f>
        <v/>
      </c>
    </row>
    <row r="674" spans="2:11" x14ac:dyDescent="0.3">
      <c r="B674" s="2" t="str">
        <f>IFERROR(IF(A674&lt;&gt;"",VLOOKUP(Alunos!A674,Exame!A3:D1000,4, FALSE),""), "")</f>
        <v/>
      </c>
      <c r="C674" s="2" t="str">
        <f>IF(A674&lt;&gt;"",VLOOKUP(Alunos!A674,Agrupamentos!A3:C1000,2, FALSE),"")</f>
        <v/>
      </c>
      <c r="D674" s="2" t="str">
        <f>IFERROR(IF(A674&lt;&gt;"",VLOOKUP(Alunos!C674,'TP1'!A3:E1000,5, FALSE),""),"")</f>
        <v/>
      </c>
      <c r="E674" s="2" t="str">
        <f>IF(A674&lt;&gt;"",VLOOKUP(Alunos!A674,Agrupamentos!A3:C1000,3, FALSE),"")</f>
        <v/>
      </c>
      <c r="F674" s="2" t="str">
        <f>IFERROR(IF(A674&lt;&gt;"",VLOOKUP(Alunos!E674,'TP2'!A3:D1000,4, FALSE),""),"")</f>
        <v/>
      </c>
      <c r="G674" s="2" t="str">
        <f>IF(A674&lt;&gt;"", SUMIF(B1:F1,"&lt;&gt;",B674:F674),"")</f>
        <v/>
      </c>
      <c r="H674" s="2" t="str">
        <f>IF(AND(A674&lt;&gt;"",G674&lt;&gt;""),ROUND(G674,0),"")</f>
        <v/>
      </c>
      <c r="I674" s="2" t="str">
        <f>IFERROR(IF(A674&lt;&gt;"",VLOOKUP(Alunos!A674,Recurso!A3:D1000,4, FALSE),""), "")</f>
        <v/>
      </c>
      <c r="J674" s="2" t="str">
        <f>IF(AND(A674&lt;&gt;"",I674&lt;&gt;""), SUMIFS(B674:I674,B1:I1,"&lt;&gt;",B2:I2,"&lt;&gt;Exame",B2:I2,"&lt;&gt;exame",B2:I2,"&lt;&gt;Nota",B2:I2,"&lt;&gt;Total"),"")</f>
        <v/>
      </c>
      <c r="K674" s="2" t="str">
        <f>IF(AND(A674&lt;&gt;"",J674&lt;&gt;""),ROUND(J674,0),"")</f>
        <v/>
      </c>
    </row>
    <row r="675" spans="2:11" x14ac:dyDescent="0.3">
      <c r="B675" s="2" t="str">
        <f>IFERROR(IF(A675&lt;&gt;"",VLOOKUP(Alunos!A675,Exame!A3:D1000,4, FALSE),""), "")</f>
        <v/>
      </c>
      <c r="C675" s="2" t="str">
        <f>IF(A675&lt;&gt;"",VLOOKUP(Alunos!A675,Agrupamentos!A3:C1000,2, FALSE),"")</f>
        <v/>
      </c>
      <c r="D675" s="2" t="str">
        <f>IFERROR(IF(A675&lt;&gt;"",VLOOKUP(Alunos!C675,'TP1'!A3:E1000,5, FALSE),""),"")</f>
        <v/>
      </c>
      <c r="E675" s="2" t="str">
        <f>IF(A675&lt;&gt;"",VLOOKUP(Alunos!A675,Agrupamentos!A3:C1000,3, FALSE),"")</f>
        <v/>
      </c>
      <c r="F675" s="2" t="str">
        <f>IFERROR(IF(A675&lt;&gt;"",VLOOKUP(Alunos!E675,'TP2'!A3:D1000,4, FALSE),""),"")</f>
        <v/>
      </c>
      <c r="G675" s="2" t="str">
        <f>IF(A675&lt;&gt;"", SUMIF(B1:F1,"&lt;&gt;",B675:F675),"")</f>
        <v/>
      </c>
      <c r="H675" s="2" t="str">
        <f>IF(AND(A675&lt;&gt;"",G675&lt;&gt;""),ROUND(G675,0),"")</f>
        <v/>
      </c>
      <c r="I675" s="2" t="str">
        <f>IFERROR(IF(A675&lt;&gt;"",VLOOKUP(Alunos!A675,Recurso!A3:D1000,4, FALSE),""), "")</f>
        <v/>
      </c>
      <c r="J675" s="2" t="str">
        <f>IF(AND(A675&lt;&gt;"",I675&lt;&gt;""), SUMIFS(B675:I675,B1:I1,"&lt;&gt;",B2:I2,"&lt;&gt;Exame",B2:I2,"&lt;&gt;exame",B2:I2,"&lt;&gt;Nota",B2:I2,"&lt;&gt;Total"),"")</f>
        <v/>
      </c>
      <c r="K675" s="2" t="str">
        <f>IF(AND(A675&lt;&gt;"",J675&lt;&gt;""),ROUND(J675,0),"")</f>
        <v/>
      </c>
    </row>
    <row r="676" spans="2:11" x14ac:dyDescent="0.3">
      <c r="B676" s="2" t="str">
        <f>IFERROR(IF(A676&lt;&gt;"",VLOOKUP(Alunos!A676,Exame!A3:D1000,4, FALSE),""), "")</f>
        <v/>
      </c>
      <c r="C676" s="2" t="str">
        <f>IF(A676&lt;&gt;"",VLOOKUP(Alunos!A676,Agrupamentos!A3:C1000,2, FALSE),"")</f>
        <v/>
      </c>
      <c r="D676" s="2" t="str">
        <f>IFERROR(IF(A676&lt;&gt;"",VLOOKUP(Alunos!C676,'TP1'!A3:E1000,5, FALSE),""),"")</f>
        <v/>
      </c>
      <c r="E676" s="2" t="str">
        <f>IF(A676&lt;&gt;"",VLOOKUP(Alunos!A676,Agrupamentos!A3:C1000,3, FALSE),"")</f>
        <v/>
      </c>
      <c r="F676" s="2" t="str">
        <f>IFERROR(IF(A676&lt;&gt;"",VLOOKUP(Alunos!E676,'TP2'!A3:D1000,4, FALSE),""),"")</f>
        <v/>
      </c>
      <c r="G676" s="2" t="str">
        <f>IF(A676&lt;&gt;"", SUMIF(B1:F1,"&lt;&gt;",B676:F676),"")</f>
        <v/>
      </c>
      <c r="H676" s="2" t="str">
        <f>IF(AND(A676&lt;&gt;"",G676&lt;&gt;""),ROUND(G676,0),"")</f>
        <v/>
      </c>
      <c r="I676" s="2" t="str">
        <f>IFERROR(IF(A676&lt;&gt;"",VLOOKUP(Alunos!A676,Recurso!A3:D1000,4, FALSE),""), "")</f>
        <v/>
      </c>
      <c r="J676" s="2" t="str">
        <f>IF(AND(A676&lt;&gt;"",I676&lt;&gt;""), SUMIFS(B676:I676,B1:I1,"&lt;&gt;",B2:I2,"&lt;&gt;Exame",B2:I2,"&lt;&gt;exame",B2:I2,"&lt;&gt;Nota",B2:I2,"&lt;&gt;Total"),"")</f>
        <v/>
      </c>
      <c r="K676" s="2" t="str">
        <f>IF(AND(A676&lt;&gt;"",J676&lt;&gt;""),ROUND(J676,0),"")</f>
        <v/>
      </c>
    </row>
    <row r="677" spans="2:11" x14ac:dyDescent="0.3">
      <c r="B677" s="2" t="str">
        <f>IFERROR(IF(A677&lt;&gt;"",VLOOKUP(Alunos!A677,Exame!A3:D1000,4, FALSE),""), "")</f>
        <v/>
      </c>
      <c r="C677" s="2" t="str">
        <f>IF(A677&lt;&gt;"",VLOOKUP(Alunos!A677,Agrupamentos!A3:C1000,2, FALSE),"")</f>
        <v/>
      </c>
      <c r="D677" s="2" t="str">
        <f>IFERROR(IF(A677&lt;&gt;"",VLOOKUP(Alunos!C677,'TP1'!A3:E1000,5, FALSE),""),"")</f>
        <v/>
      </c>
      <c r="E677" s="2" t="str">
        <f>IF(A677&lt;&gt;"",VLOOKUP(Alunos!A677,Agrupamentos!A3:C1000,3, FALSE),"")</f>
        <v/>
      </c>
      <c r="F677" s="2" t="str">
        <f>IFERROR(IF(A677&lt;&gt;"",VLOOKUP(Alunos!E677,'TP2'!A3:D1000,4, FALSE),""),"")</f>
        <v/>
      </c>
      <c r="G677" s="2" t="str">
        <f>IF(A677&lt;&gt;"", SUMIF(B1:F1,"&lt;&gt;",B677:F677),"")</f>
        <v/>
      </c>
      <c r="H677" s="2" t="str">
        <f>IF(AND(A677&lt;&gt;"",G677&lt;&gt;""),ROUND(G677,0),"")</f>
        <v/>
      </c>
      <c r="I677" s="2" t="str">
        <f>IFERROR(IF(A677&lt;&gt;"",VLOOKUP(Alunos!A677,Recurso!A3:D1000,4, FALSE),""), "")</f>
        <v/>
      </c>
      <c r="J677" s="2" t="str">
        <f>IF(AND(A677&lt;&gt;"",I677&lt;&gt;""), SUMIFS(B677:I677,B1:I1,"&lt;&gt;",B2:I2,"&lt;&gt;Exame",B2:I2,"&lt;&gt;exame",B2:I2,"&lt;&gt;Nota",B2:I2,"&lt;&gt;Total"),"")</f>
        <v/>
      </c>
      <c r="K677" s="2" t="str">
        <f>IF(AND(A677&lt;&gt;"",J677&lt;&gt;""),ROUND(J677,0),"")</f>
        <v/>
      </c>
    </row>
    <row r="678" spans="2:11" x14ac:dyDescent="0.3">
      <c r="B678" s="2" t="str">
        <f>IFERROR(IF(A678&lt;&gt;"",VLOOKUP(Alunos!A678,Exame!A3:D1000,4, FALSE),""), "")</f>
        <v/>
      </c>
      <c r="C678" s="2" t="str">
        <f>IF(A678&lt;&gt;"",VLOOKUP(Alunos!A678,Agrupamentos!A3:C1000,2, FALSE),"")</f>
        <v/>
      </c>
      <c r="D678" s="2" t="str">
        <f>IFERROR(IF(A678&lt;&gt;"",VLOOKUP(Alunos!C678,'TP1'!A3:E1000,5, FALSE),""),"")</f>
        <v/>
      </c>
      <c r="E678" s="2" t="str">
        <f>IF(A678&lt;&gt;"",VLOOKUP(Alunos!A678,Agrupamentos!A3:C1000,3, FALSE),"")</f>
        <v/>
      </c>
      <c r="F678" s="2" t="str">
        <f>IFERROR(IF(A678&lt;&gt;"",VLOOKUP(Alunos!E678,'TP2'!A3:D1000,4, FALSE),""),"")</f>
        <v/>
      </c>
      <c r="G678" s="2" t="str">
        <f>IF(A678&lt;&gt;"", SUMIF(B1:F1,"&lt;&gt;",B678:F678),"")</f>
        <v/>
      </c>
      <c r="H678" s="2" t="str">
        <f>IF(AND(A678&lt;&gt;"",G678&lt;&gt;""),ROUND(G678,0),"")</f>
        <v/>
      </c>
      <c r="I678" s="2" t="str">
        <f>IFERROR(IF(A678&lt;&gt;"",VLOOKUP(Alunos!A678,Recurso!A3:D1000,4, FALSE),""), "")</f>
        <v/>
      </c>
      <c r="J678" s="2" t="str">
        <f>IF(AND(A678&lt;&gt;"",I678&lt;&gt;""), SUMIFS(B678:I678,B1:I1,"&lt;&gt;",B2:I2,"&lt;&gt;Exame",B2:I2,"&lt;&gt;exame",B2:I2,"&lt;&gt;Nota",B2:I2,"&lt;&gt;Total"),"")</f>
        <v/>
      </c>
      <c r="K678" s="2" t="str">
        <f>IF(AND(A678&lt;&gt;"",J678&lt;&gt;""),ROUND(J678,0),"")</f>
        <v/>
      </c>
    </row>
    <row r="679" spans="2:11" x14ac:dyDescent="0.3">
      <c r="B679" s="2" t="str">
        <f>IFERROR(IF(A679&lt;&gt;"",VLOOKUP(Alunos!A679,Exame!A3:D1000,4, FALSE),""), "")</f>
        <v/>
      </c>
      <c r="C679" s="2" t="str">
        <f>IF(A679&lt;&gt;"",VLOOKUP(Alunos!A679,Agrupamentos!A3:C1000,2, FALSE),"")</f>
        <v/>
      </c>
      <c r="D679" s="2" t="str">
        <f>IFERROR(IF(A679&lt;&gt;"",VLOOKUP(Alunos!C679,'TP1'!A3:E1000,5, FALSE),""),"")</f>
        <v/>
      </c>
      <c r="E679" s="2" t="str">
        <f>IF(A679&lt;&gt;"",VLOOKUP(Alunos!A679,Agrupamentos!A3:C1000,3, FALSE),"")</f>
        <v/>
      </c>
      <c r="F679" s="2" t="str">
        <f>IFERROR(IF(A679&lt;&gt;"",VLOOKUP(Alunos!E679,'TP2'!A3:D1000,4, FALSE),""),"")</f>
        <v/>
      </c>
      <c r="G679" s="2" t="str">
        <f>IF(A679&lt;&gt;"", SUMIF(B1:F1,"&lt;&gt;",B679:F679),"")</f>
        <v/>
      </c>
      <c r="H679" s="2" t="str">
        <f>IF(AND(A679&lt;&gt;"",G679&lt;&gt;""),ROUND(G679,0),"")</f>
        <v/>
      </c>
      <c r="I679" s="2" t="str">
        <f>IFERROR(IF(A679&lt;&gt;"",VLOOKUP(Alunos!A679,Recurso!A3:D1000,4, FALSE),""), "")</f>
        <v/>
      </c>
      <c r="J679" s="2" t="str">
        <f>IF(AND(A679&lt;&gt;"",I679&lt;&gt;""), SUMIFS(B679:I679,B1:I1,"&lt;&gt;",B2:I2,"&lt;&gt;Exame",B2:I2,"&lt;&gt;exame",B2:I2,"&lt;&gt;Nota",B2:I2,"&lt;&gt;Total"),"")</f>
        <v/>
      </c>
      <c r="K679" s="2" t="str">
        <f>IF(AND(A679&lt;&gt;"",J679&lt;&gt;""),ROUND(J679,0),"")</f>
        <v/>
      </c>
    </row>
    <row r="680" spans="2:11" x14ac:dyDescent="0.3">
      <c r="B680" s="2" t="str">
        <f>IFERROR(IF(A680&lt;&gt;"",VLOOKUP(Alunos!A680,Exame!A3:D1000,4, FALSE),""), "")</f>
        <v/>
      </c>
      <c r="C680" s="2" t="str">
        <f>IF(A680&lt;&gt;"",VLOOKUP(Alunos!A680,Agrupamentos!A3:C1000,2, FALSE),"")</f>
        <v/>
      </c>
      <c r="D680" s="2" t="str">
        <f>IFERROR(IF(A680&lt;&gt;"",VLOOKUP(Alunos!C680,'TP1'!A3:E1000,5, FALSE),""),"")</f>
        <v/>
      </c>
      <c r="E680" s="2" t="str">
        <f>IF(A680&lt;&gt;"",VLOOKUP(Alunos!A680,Agrupamentos!A3:C1000,3, FALSE),"")</f>
        <v/>
      </c>
      <c r="F680" s="2" t="str">
        <f>IFERROR(IF(A680&lt;&gt;"",VLOOKUP(Alunos!E680,'TP2'!A3:D1000,4, FALSE),""),"")</f>
        <v/>
      </c>
      <c r="G680" s="2" t="str">
        <f>IF(A680&lt;&gt;"", SUMIF(B1:F1,"&lt;&gt;",B680:F680),"")</f>
        <v/>
      </c>
      <c r="H680" s="2" t="str">
        <f>IF(AND(A680&lt;&gt;"",G680&lt;&gt;""),ROUND(G680,0),"")</f>
        <v/>
      </c>
      <c r="I680" s="2" t="str">
        <f>IFERROR(IF(A680&lt;&gt;"",VLOOKUP(Alunos!A680,Recurso!A3:D1000,4, FALSE),""), "")</f>
        <v/>
      </c>
      <c r="J680" s="2" t="str">
        <f>IF(AND(A680&lt;&gt;"",I680&lt;&gt;""), SUMIFS(B680:I680,B1:I1,"&lt;&gt;",B2:I2,"&lt;&gt;Exame",B2:I2,"&lt;&gt;exame",B2:I2,"&lt;&gt;Nota",B2:I2,"&lt;&gt;Total"),"")</f>
        <v/>
      </c>
      <c r="K680" s="2" t="str">
        <f>IF(AND(A680&lt;&gt;"",J680&lt;&gt;""),ROUND(J680,0),"")</f>
        <v/>
      </c>
    </row>
    <row r="681" spans="2:11" x14ac:dyDescent="0.3">
      <c r="B681" s="2" t="str">
        <f>IFERROR(IF(A681&lt;&gt;"",VLOOKUP(Alunos!A681,Exame!A3:D1000,4, FALSE),""), "")</f>
        <v/>
      </c>
      <c r="C681" s="2" t="str">
        <f>IF(A681&lt;&gt;"",VLOOKUP(Alunos!A681,Agrupamentos!A3:C1000,2, FALSE),"")</f>
        <v/>
      </c>
      <c r="D681" s="2" t="str">
        <f>IFERROR(IF(A681&lt;&gt;"",VLOOKUP(Alunos!C681,'TP1'!A3:E1000,5, FALSE),""),"")</f>
        <v/>
      </c>
      <c r="E681" s="2" t="str">
        <f>IF(A681&lt;&gt;"",VLOOKUP(Alunos!A681,Agrupamentos!A3:C1000,3, FALSE),"")</f>
        <v/>
      </c>
      <c r="F681" s="2" t="str">
        <f>IFERROR(IF(A681&lt;&gt;"",VLOOKUP(Alunos!E681,'TP2'!A3:D1000,4, FALSE),""),"")</f>
        <v/>
      </c>
      <c r="G681" s="2" t="str">
        <f>IF(A681&lt;&gt;"", SUMIF(B1:F1,"&lt;&gt;",B681:F681),"")</f>
        <v/>
      </c>
      <c r="H681" s="2" t="str">
        <f>IF(AND(A681&lt;&gt;"",G681&lt;&gt;""),ROUND(G681,0),"")</f>
        <v/>
      </c>
      <c r="I681" s="2" t="str">
        <f>IFERROR(IF(A681&lt;&gt;"",VLOOKUP(Alunos!A681,Recurso!A3:D1000,4, FALSE),""), "")</f>
        <v/>
      </c>
      <c r="J681" s="2" t="str">
        <f>IF(AND(A681&lt;&gt;"",I681&lt;&gt;""), SUMIFS(B681:I681,B1:I1,"&lt;&gt;",B2:I2,"&lt;&gt;Exame",B2:I2,"&lt;&gt;exame",B2:I2,"&lt;&gt;Nota",B2:I2,"&lt;&gt;Total"),"")</f>
        <v/>
      </c>
      <c r="K681" s="2" t="str">
        <f>IF(AND(A681&lt;&gt;"",J681&lt;&gt;""),ROUND(J681,0),"")</f>
        <v/>
      </c>
    </row>
    <row r="682" spans="2:11" x14ac:dyDescent="0.3">
      <c r="B682" s="2" t="str">
        <f>IFERROR(IF(A682&lt;&gt;"",VLOOKUP(Alunos!A682,Exame!A3:D1000,4, FALSE),""), "")</f>
        <v/>
      </c>
      <c r="C682" s="2" t="str">
        <f>IF(A682&lt;&gt;"",VLOOKUP(Alunos!A682,Agrupamentos!A3:C1000,2, FALSE),"")</f>
        <v/>
      </c>
      <c r="D682" s="2" t="str">
        <f>IFERROR(IF(A682&lt;&gt;"",VLOOKUP(Alunos!C682,'TP1'!A3:E1000,5, FALSE),""),"")</f>
        <v/>
      </c>
      <c r="E682" s="2" t="str">
        <f>IF(A682&lt;&gt;"",VLOOKUP(Alunos!A682,Agrupamentos!A3:C1000,3, FALSE),"")</f>
        <v/>
      </c>
      <c r="F682" s="2" t="str">
        <f>IFERROR(IF(A682&lt;&gt;"",VLOOKUP(Alunos!E682,'TP2'!A3:D1000,4, FALSE),""),"")</f>
        <v/>
      </c>
      <c r="G682" s="2" t="str">
        <f>IF(A682&lt;&gt;"", SUMIF(B1:F1,"&lt;&gt;",B682:F682),"")</f>
        <v/>
      </c>
      <c r="H682" s="2" t="str">
        <f>IF(AND(A682&lt;&gt;"",G682&lt;&gt;""),ROUND(G682,0),"")</f>
        <v/>
      </c>
      <c r="I682" s="2" t="str">
        <f>IFERROR(IF(A682&lt;&gt;"",VLOOKUP(Alunos!A682,Recurso!A3:D1000,4, FALSE),""), "")</f>
        <v/>
      </c>
      <c r="J682" s="2" t="str">
        <f>IF(AND(A682&lt;&gt;"",I682&lt;&gt;""), SUMIFS(B682:I682,B1:I1,"&lt;&gt;",B2:I2,"&lt;&gt;Exame",B2:I2,"&lt;&gt;exame",B2:I2,"&lt;&gt;Nota",B2:I2,"&lt;&gt;Total"),"")</f>
        <v/>
      </c>
      <c r="K682" s="2" t="str">
        <f>IF(AND(A682&lt;&gt;"",J682&lt;&gt;""),ROUND(J682,0),"")</f>
        <v/>
      </c>
    </row>
    <row r="683" spans="2:11" x14ac:dyDescent="0.3">
      <c r="B683" s="2" t="str">
        <f>IFERROR(IF(A683&lt;&gt;"",VLOOKUP(Alunos!A683,Exame!A3:D1000,4, FALSE),""), "")</f>
        <v/>
      </c>
      <c r="C683" s="2" t="str">
        <f>IF(A683&lt;&gt;"",VLOOKUP(Alunos!A683,Agrupamentos!A3:C1000,2, FALSE),"")</f>
        <v/>
      </c>
      <c r="D683" s="2" t="str">
        <f>IFERROR(IF(A683&lt;&gt;"",VLOOKUP(Alunos!C683,'TP1'!A3:E1000,5, FALSE),""),"")</f>
        <v/>
      </c>
      <c r="E683" s="2" t="str">
        <f>IF(A683&lt;&gt;"",VLOOKUP(Alunos!A683,Agrupamentos!A3:C1000,3, FALSE),"")</f>
        <v/>
      </c>
      <c r="F683" s="2" t="str">
        <f>IFERROR(IF(A683&lt;&gt;"",VLOOKUP(Alunos!E683,'TP2'!A3:D1000,4, FALSE),""),"")</f>
        <v/>
      </c>
      <c r="G683" s="2" t="str">
        <f>IF(A683&lt;&gt;"", SUMIF(B1:F1,"&lt;&gt;",B683:F683),"")</f>
        <v/>
      </c>
      <c r="H683" s="2" t="str">
        <f>IF(AND(A683&lt;&gt;"",G683&lt;&gt;""),ROUND(G683,0),"")</f>
        <v/>
      </c>
      <c r="I683" s="2" t="str">
        <f>IFERROR(IF(A683&lt;&gt;"",VLOOKUP(Alunos!A683,Recurso!A3:D1000,4, FALSE),""), "")</f>
        <v/>
      </c>
      <c r="J683" s="2" t="str">
        <f>IF(AND(A683&lt;&gt;"",I683&lt;&gt;""), SUMIFS(B683:I683,B1:I1,"&lt;&gt;",B2:I2,"&lt;&gt;Exame",B2:I2,"&lt;&gt;exame",B2:I2,"&lt;&gt;Nota",B2:I2,"&lt;&gt;Total"),"")</f>
        <v/>
      </c>
      <c r="K683" s="2" t="str">
        <f>IF(AND(A683&lt;&gt;"",J683&lt;&gt;""),ROUND(J683,0),"")</f>
        <v/>
      </c>
    </row>
    <row r="684" spans="2:11" x14ac:dyDescent="0.3">
      <c r="B684" s="2" t="str">
        <f>IFERROR(IF(A684&lt;&gt;"",VLOOKUP(Alunos!A684,Exame!A3:D1000,4, FALSE),""), "")</f>
        <v/>
      </c>
      <c r="C684" s="2" t="str">
        <f>IF(A684&lt;&gt;"",VLOOKUP(Alunos!A684,Agrupamentos!A3:C1000,2, FALSE),"")</f>
        <v/>
      </c>
      <c r="D684" s="2" t="str">
        <f>IFERROR(IF(A684&lt;&gt;"",VLOOKUP(Alunos!C684,'TP1'!A3:E1000,5, FALSE),""),"")</f>
        <v/>
      </c>
      <c r="E684" s="2" t="str">
        <f>IF(A684&lt;&gt;"",VLOOKUP(Alunos!A684,Agrupamentos!A3:C1000,3, FALSE),"")</f>
        <v/>
      </c>
      <c r="F684" s="2" t="str">
        <f>IFERROR(IF(A684&lt;&gt;"",VLOOKUP(Alunos!E684,'TP2'!A3:D1000,4, FALSE),""),"")</f>
        <v/>
      </c>
      <c r="G684" s="2" t="str">
        <f>IF(A684&lt;&gt;"", SUMIF(B1:F1,"&lt;&gt;",B684:F684),"")</f>
        <v/>
      </c>
      <c r="H684" s="2" t="str">
        <f>IF(AND(A684&lt;&gt;"",G684&lt;&gt;""),ROUND(G684,0),"")</f>
        <v/>
      </c>
      <c r="I684" s="2" t="str">
        <f>IFERROR(IF(A684&lt;&gt;"",VLOOKUP(Alunos!A684,Recurso!A3:D1000,4, FALSE),""), "")</f>
        <v/>
      </c>
      <c r="J684" s="2" t="str">
        <f>IF(AND(A684&lt;&gt;"",I684&lt;&gt;""), SUMIFS(B684:I684,B1:I1,"&lt;&gt;",B2:I2,"&lt;&gt;Exame",B2:I2,"&lt;&gt;exame",B2:I2,"&lt;&gt;Nota",B2:I2,"&lt;&gt;Total"),"")</f>
        <v/>
      </c>
      <c r="K684" s="2" t="str">
        <f>IF(AND(A684&lt;&gt;"",J684&lt;&gt;""),ROUND(J684,0),"")</f>
        <v/>
      </c>
    </row>
    <row r="685" spans="2:11" x14ac:dyDescent="0.3">
      <c r="B685" s="2" t="str">
        <f>IFERROR(IF(A685&lt;&gt;"",VLOOKUP(Alunos!A685,Exame!A3:D1000,4, FALSE),""), "")</f>
        <v/>
      </c>
      <c r="C685" s="2" t="str">
        <f>IF(A685&lt;&gt;"",VLOOKUP(Alunos!A685,Agrupamentos!A3:C1000,2, FALSE),"")</f>
        <v/>
      </c>
      <c r="D685" s="2" t="str">
        <f>IFERROR(IF(A685&lt;&gt;"",VLOOKUP(Alunos!C685,'TP1'!A3:E1000,5, FALSE),""),"")</f>
        <v/>
      </c>
      <c r="E685" s="2" t="str">
        <f>IF(A685&lt;&gt;"",VLOOKUP(Alunos!A685,Agrupamentos!A3:C1000,3, FALSE),"")</f>
        <v/>
      </c>
      <c r="F685" s="2" t="str">
        <f>IFERROR(IF(A685&lt;&gt;"",VLOOKUP(Alunos!E685,'TP2'!A3:D1000,4, FALSE),""),"")</f>
        <v/>
      </c>
      <c r="G685" s="2" t="str">
        <f>IF(A685&lt;&gt;"", SUMIF(B1:F1,"&lt;&gt;",B685:F685),"")</f>
        <v/>
      </c>
      <c r="H685" s="2" t="str">
        <f>IF(AND(A685&lt;&gt;"",G685&lt;&gt;""),ROUND(G685,0),"")</f>
        <v/>
      </c>
      <c r="I685" s="2" t="str">
        <f>IFERROR(IF(A685&lt;&gt;"",VLOOKUP(Alunos!A685,Recurso!A3:D1000,4, FALSE),""), "")</f>
        <v/>
      </c>
      <c r="J685" s="2" t="str">
        <f>IF(AND(A685&lt;&gt;"",I685&lt;&gt;""), SUMIFS(B685:I685,B1:I1,"&lt;&gt;",B2:I2,"&lt;&gt;Exame",B2:I2,"&lt;&gt;exame",B2:I2,"&lt;&gt;Nota",B2:I2,"&lt;&gt;Total"),"")</f>
        <v/>
      </c>
      <c r="K685" s="2" t="str">
        <f>IF(AND(A685&lt;&gt;"",J685&lt;&gt;""),ROUND(J685,0),"")</f>
        <v/>
      </c>
    </row>
    <row r="686" spans="2:11" x14ac:dyDescent="0.3">
      <c r="B686" s="2" t="str">
        <f>IFERROR(IF(A686&lt;&gt;"",VLOOKUP(Alunos!A686,Exame!A3:D1000,4, FALSE),""), "")</f>
        <v/>
      </c>
      <c r="C686" s="2" t="str">
        <f>IF(A686&lt;&gt;"",VLOOKUP(Alunos!A686,Agrupamentos!A3:C1000,2, FALSE),"")</f>
        <v/>
      </c>
      <c r="D686" s="2" t="str">
        <f>IFERROR(IF(A686&lt;&gt;"",VLOOKUP(Alunos!C686,'TP1'!A3:E1000,5, FALSE),""),"")</f>
        <v/>
      </c>
      <c r="E686" s="2" t="str">
        <f>IF(A686&lt;&gt;"",VLOOKUP(Alunos!A686,Agrupamentos!A3:C1000,3, FALSE),"")</f>
        <v/>
      </c>
      <c r="F686" s="2" t="str">
        <f>IFERROR(IF(A686&lt;&gt;"",VLOOKUP(Alunos!E686,'TP2'!A3:D1000,4, FALSE),""),"")</f>
        <v/>
      </c>
      <c r="G686" s="2" t="str">
        <f>IF(A686&lt;&gt;"", SUMIF(B1:F1,"&lt;&gt;",B686:F686),"")</f>
        <v/>
      </c>
      <c r="H686" s="2" t="str">
        <f>IF(AND(A686&lt;&gt;"",G686&lt;&gt;""),ROUND(G686,0),"")</f>
        <v/>
      </c>
      <c r="I686" s="2" t="str">
        <f>IFERROR(IF(A686&lt;&gt;"",VLOOKUP(Alunos!A686,Recurso!A3:D1000,4, FALSE),""), "")</f>
        <v/>
      </c>
      <c r="J686" s="2" t="str">
        <f>IF(AND(A686&lt;&gt;"",I686&lt;&gt;""), SUMIFS(B686:I686,B1:I1,"&lt;&gt;",B2:I2,"&lt;&gt;Exame",B2:I2,"&lt;&gt;exame",B2:I2,"&lt;&gt;Nota",B2:I2,"&lt;&gt;Total"),"")</f>
        <v/>
      </c>
      <c r="K686" s="2" t="str">
        <f>IF(AND(A686&lt;&gt;"",J686&lt;&gt;""),ROUND(J686,0),"")</f>
        <v/>
      </c>
    </row>
    <row r="687" spans="2:11" x14ac:dyDescent="0.3">
      <c r="B687" s="2" t="str">
        <f>IFERROR(IF(A687&lt;&gt;"",VLOOKUP(Alunos!A687,Exame!A3:D1000,4, FALSE),""), "")</f>
        <v/>
      </c>
      <c r="C687" s="2" t="str">
        <f>IF(A687&lt;&gt;"",VLOOKUP(Alunos!A687,Agrupamentos!A3:C1000,2, FALSE),"")</f>
        <v/>
      </c>
      <c r="D687" s="2" t="str">
        <f>IFERROR(IF(A687&lt;&gt;"",VLOOKUP(Alunos!C687,'TP1'!A3:E1000,5, FALSE),""),"")</f>
        <v/>
      </c>
      <c r="E687" s="2" t="str">
        <f>IF(A687&lt;&gt;"",VLOOKUP(Alunos!A687,Agrupamentos!A3:C1000,3, FALSE),"")</f>
        <v/>
      </c>
      <c r="F687" s="2" t="str">
        <f>IFERROR(IF(A687&lt;&gt;"",VLOOKUP(Alunos!E687,'TP2'!A3:D1000,4, FALSE),""),"")</f>
        <v/>
      </c>
      <c r="G687" s="2" t="str">
        <f>IF(A687&lt;&gt;"", SUMIF(B1:F1,"&lt;&gt;",B687:F687),"")</f>
        <v/>
      </c>
      <c r="H687" s="2" t="str">
        <f>IF(AND(A687&lt;&gt;"",G687&lt;&gt;""),ROUND(G687,0),"")</f>
        <v/>
      </c>
      <c r="I687" s="2" t="str">
        <f>IFERROR(IF(A687&lt;&gt;"",VLOOKUP(Alunos!A687,Recurso!A3:D1000,4, FALSE),""), "")</f>
        <v/>
      </c>
      <c r="J687" s="2" t="str">
        <f>IF(AND(A687&lt;&gt;"",I687&lt;&gt;""), SUMIFS(B687:I687,B1:I1,"&lt;&gt;",B2:I2,"&lt;&gt;Exame",B2:I2,"&lt;&gt;exame",B2:I2,"&lt;&gt;Nota",B2:I2,"&lt;&gt;Total"),"")</f>
        <v/>
      </c>
      <c r="K687" s="2" t="str">
        <f>IF(AND(A687&lt;&gt;"",J687&lt;&gt;""),ROUND(J687,0),"")</f>
        <v/>
      </c>
    </row>
    <row r="688" spans="2:11" x14ac:dyDescent="0.3">
      <c r="B688" s="2" t="str">
        <f>IFERROR(IF(A688&lt;&gt;"",VLOOKUP(Alunos!A688,Exame!A3:D1000,4, FALSE),""), "")</f>
        <v/>
      </c>
      <c r="C688" s="2" t="str">
        <f>IF(A688&lt;&gt;"",VLOOKUP(Alunos!A688,Agrupamentos!A3:C1000,2, FALSE),"")</f>
        <v/>
      </c>
      <c r="D688" s="2" t="str">
        <f>IFERROR(IF(A688&lt;&gt;"",VLOOKUP(Alunos!C688,'TP1'!A3:E1000,5, FALSE),""),"")</f>
        <v/>
      </c>
      <c r="E688" s="2" t="str">
        <f>IF(A688&lt;&gt;"",VLOOKUP(Alunos!A688,Agrupamentos!A3:C1000,3, FALSE),"")</f>
        <v/>
      </c>
      <c r="F688" s="2" t="str">
        <f>IFERROR(IF(A688&lt;&gt;"",VLOOKUP(Alunos!E688,'TP2'!A3:D1000,4, FALSE),""),"")</f>
        <v/>
      </c>
      <c r="G688" s="2" t="str">
        <f>IF(A688&lt;&gt;"", SUMIF(B1:F1,"&lt;&gt;",B688:F688),"")</f>
        <v/>
      </c>
      <c r="H688" s="2" t="str">
        <f>IF(AND(A688&lt;&gt;"",G688&lt;&gt;""),ROUND(G688,0),"")</f>
        <v/>
      </c>
      <c r="I688" s="2" t="str">
        <f>IFERROR(IF(A688&lt;&gt;"",VLOOKUP(Alunos!A688,Recurso!A3:D1000,4, FALSE),""), "")</f>
        <v/>
      </c>
      <c r="J688" s="2" t="str">
        <f>IF(AND(A688&lt;&gt;"",I688&lt;&gt;""), SUMIFS(B688:I688,B1:I1,"&lt;&gt;",B2:I2,"&lt;&gt;Exame",B2:I2,"&lt;&gt;exame",B2:I2,"&lt;&gt;Nota",B2:I2,"&lt;&gt;Total"),"")</f>
        <v/>
      </c>
      <c r="K688" s="2" t="str">
        <f>IF(AND(A688&lt;&gt;"",J688&lt;&gt;""),ROUND(J688,0),"")</f>
        <v/>
      </c>
    </row>
    <row r="689" spans="2:11" x14ac:dyDescent="0.3">
      <c r="B689" s="2" t="str">
        <f>IFERROR(IF(A689&lt;&gt;"",VLOOKUP(Alunos!A689,Exame!A3:D1000,4, FALSE),""), "")</f>
        <v/>
      </c>
      <c r="C689" s="2" t="str">
        <f>IF(A689&lt;&gt;"",VLOOKUP(Alunos!A689,Agrupamentos!A3:C1000,2, FALSE),"")</f>
        <v/>
      </c>
      <c r="D689" s="2" t="str">
        <f>IFERROR(IF(A689&lt;&gt;"",VLOOKUP(Alunos!C689,'TP1'!A3:E1000,5, FALSE),""),"")</f>
        <v/>
      </c>
      <c r="E689" s="2" t="str">
        <f>IF(A689&lt;&gt;"",VLOOKUP(Alunos!A689,Agrupamentos!A3:C1000,3, FALSE),"")</f>
        <v/>
      </c>
      <c r="F689" s="2" t="str">
        <f>IFERROR(IF(A689&lt;&gt;"",VLOOKUP(Alunos!E689,'TP2'!A3:D1000,4, FALSE),""),"")</f>
        <v/>
      </c>
      <c r="G689" s="2" t="str">
        <f>IF(A689&lt;&gt;"", SUMIF(B1:F1,"&lt;&gt;",B689:F689),"")</f>
        <v/>
      </c>
      <c r="H689" s="2" t="str">
        <f>IF(AND(A689&lt;&gt;"",G689&lt;&gt;""),ROUND(G689,0),"")</f>
        <v/>
      </c>
      <c r="I689" s="2" t="str">
        <f>IFERROR(IF(A689&lt;&gt;"",VLOOKUP(Alunos!A689,Recurso!A3:D1000,4, FALSE),""), "")</f>
        <v/>
      </c>
      <c r="J689" s="2" t="str">
        <f>IF(AND(A689&lt;&gt;"",I689&lt;&gt;""), SUMIFS(B689:I689,B1:I1,"&lt;&gt;",B2:I2,"&lt;&gt;Exame",B2:I2,"&lt;&gt;exame",B2:I2,"&lt;&gt;Nota",B2:I2,"&lt;&gt;Total"),"")</f>
        <v/>
      </c>
      <c r="K689" s="2" t="str">
        <f>IF(AND(A689&lt;&gt;"",J689&lt;&gt;""),ROUND(J689,0),"")</f>
        <v/>
      </c>
    </row>
    <row r="690" spans="2:11" x14ac:dyDescent="0.3">
      <c r="B690" s="2" t="str">
        <f>IFERROR(IF(A690&lt;&gt;"",VLOOKUP(Alunos!A690,Exame!A3:D1000,4, FALSE),""), "")</f>
        <v/>
      </c>
      <c r="C690" s="2" t="str">
        <f>IF(A690&lt;&gt;"",VLOOKUP(Alunos!A690,Agrupamentos!A3:C1000,2, FALSE),"")</f>
        <v/>
      </c>
      <c r="D690" s="2" t="str">
        <f>IFERROR(IF(A690&lt;&gt;"",VLOOKUP(Alunos!C690,'TP1'!A3:E1000,5, FALSE),""),"")</f>
        <v/>
      </c>
      <c r="E690" s="2" t="str">
        <f>IF(A690&lt;&gt;"",VLOOKUP(Alunos!A690,Agrupamentos!A3:C1000,3, FALSE),"")</f>
        <v/>
      </c>
      <c r="F690" s="2" t="str">
        <f>IFERROR(IF(A690&lt;&gt;"",VLOOKUP(Alunos!E690,'TP2'!A3:D1000,4, FALSE),""),"")</f>
        <v/>
      </c>
      <c r="G690" s="2" t="str">
        <f>IF(A690&lt;&gt;"", SUMIF(B1:F1,"&lt;&gt;",B690:F690),"")</f>
        <v/>
      </c>
      <c r="H690" s="2" t="str">
        <f>IF(AND(A690&lt;&gt;"",G690&lt;&gt;""),ROUND(G690,0),"")</f>
        <v/>
      </c>
      <c r="I690" s="2" t="str">
        <f>IFERROR(IF(A690&lt;&gt;"",VLOOKUP(Alunos!A690,Recurso!A3:D1000,4, FALSE),""), "")</f>
        <v/>
      </c>
      <c r="J690" s="2" t="str">
        <f>IF(AND(A690&lt;&gt;"",I690&lt;&gt;""), SUMIFS(B690:I690,B1:I1,"&lt;&gt;",B2:I2,"&lt;&gt;Exame",B2:I2,"&lt;&gt;exame",B2:I2,"&lt;&gt;Nota",B2:I2,"&lt;&gt;Total"),"")</f>
        <v/>
      </c>
      <c r="K690" s="2" t="str">
        <f>IF(AND(A690&lt;&gt;"",J690&lt;&gt;""),ROUND(J690,0),"")</f>
        <v/>
      </c>
    </row>
    <row r="691" spans="2:11" x14ac:dyDescent="0.3">
      <c r="B691" s="2" t="str">
        <f>IFERROR(IF(A691&lt;&gt;"",VLOOKUP(Alunos!A691,Exame!A3:D1000,4, FALSE),""), "")</f>
        <v/>
      </c>
      <c r="C691" s="2" t="str">
        <f>IF(A691&lt;&gt;"",VLOOKUP(Alunos!A691,Agrupamentos!A3:C1000,2, FALSE),"")</f>
        <v/>
      </c>
      <c r="D691" s="2" t="str">
        <f>IFERROR(IF(A691&lt;&gt;"",VLOOKUP(Alunos!C691,'TP1'!A3:E1000,5, FALSE),""),"")</f>
        <v/>
      </c>
      <c r="E691" s="2" t="str">
        <f>IF(A691&lt;&gt;"",VLOOKUP(Alunos!A691,Agrupamentos!A3:C1000,3, FALSE),"")</f>
        <v/>
      </c>
      <c r="F691" s="2" t="str">
        <f>IFERROR(IF(A691&lt;&gt;"",VLOOKUP(Alunos!E691,'TP2'!A3:D1000,4, FALSE),""),"")</f>
        <v/>
      </c>
      <c r="G691" s="2" t="str">
        <f>IF(A691&lt;&gt;"", SUMIF(B1:F1,"&lt;&gt;",B691:F691),"")</f>
        <v/>
      </c>
      <c r="H691" s="2" t="str">
        <f>IF(AND(A691&lt;&gt;"",G691&lt;&gt;""),ROUND(G691,0),"")</f>
        <v/>
      </c>
      <c r="I691" s="2" t="str">
        <f>IFERROR(IF(A691&lt;&gt;"",VLOOKUP(Alunos!A691,Recurso!A3:D1000,4, FALSE),""), "")</f>
        <v/>
      </c>
      <c r="J691" s="2" t="str">
        <f>IF(AND(A691&lt;&gt;"",I691&lt;&gt;""), SUMIFS(B691:I691,B1:I1,"&lt;&gt;",B2:I2,"&lt;&gt;Exame",B2:I2,"&lt;&gt;exame",B2:I2,"&lt;&gt;Nota",B2:I2,"&lt;&gt;Total"),"")</f>
        <v/>
      </c>
      <c r="K691" s="2" t="str">
        <f>IF(AND(A691&lt;&gt;"",J691&lt;&gt;""),ROUND(J691,0),"")</f>
        <v/>
      </c>
    </row>
    <row r="692" spans="2:11" x14ac:dyDescent="0.3">
      <c r="B692" s="2" t="str">
        <f>IFERROR(IF(A692&lt;&gt;"",VLOOKUP(Alunos!A692,Exame!A3:D1000,4, FALSE),""), "")</f>
        <v/>
      </c>
      <c r="C692" s="2" t="str">
        <f>IF(A692&lt;&gt;"",VLOOKUP(Alunos!A692,Agrupamentos!A3:C1000,2, FALSE),"")</f>
        <v/>
      </c>
      <c r="D692" s="2" t="str">
        <f>IFERROR(IF(A692&lt;&gt;"",VLOOKUP(Alunos!C692,'TP1'!A3:E1000,5, FALSE),""),"")</f>
        <v/>
      </c>
      <c r="E692" s="2" t="str">
        <f>IF(A692&lt;&gt;"",VLOOKUP(Alunos!A692,Agrupamentos!A3:C1000,3, FALSE),"")</f>
        <v/>
      </c>
      <c r="F692" s="2" t="str">
        <f>IFERROR(IF(A692&lt;&gt;"",VLOOKUP(Alunos!E692,'TP2'!A3:D1000,4, FALSE),""),"")</f>
        <v/>
      </c>
      <c r="G692" s="2" t="str">
        <f>IF(A692&lt;&gt;"", SUMIF(B1:F1,"&lt;&gt;",B692:F692),"")</f>
        <v/>
      </c>
      <c r="H692" s="2" t="str">
        <f>IF(AND(A692&lt;&gt;"",G692&lt;&gt;""),ROUND(G692,0),"")</f>
        <v/>
      </c>
      <c r="I692" s="2" t="str">
        <f>IFERROR(IF(A692&lt;&gt;"",VLOOKUP(Alunos!A692,Recurso!A3:D1000,4, FALSE),""), "")</f>
        <v/>
      </c>
      <c r="J692" s="2" t="str">
        <f>IF(AND(A692&lt;&gt;"",I692&lt;&gt;""), SUMIFS(B692:I692,B1:I1,"&lt;&gt;",B2:I2,"&lt;&gt;Exame",B2:I2,"&lt;&gt;exame",B2:I2,"&lt;&gt;Nota",B2:I2,"&lt;&gt;Total"),"")</f>
        <v/>
      </c>
      <c r="K692" s="2" t="str">
        <f>IF(AND(A692&lt;&gt;"",J692&lt;&gt;""),ROUND(J692,0),"")</f>
        <v/>
      </c>
    </row>
    <row r="693" spans="2:11" x14ac:dyDescent="0.3">
      <c r="B693" s="2" t="str">
        <f>IFERROR(IF(A693&lt;&gt;"",VLOOKUP(Alunos!A693,Exame!A3:D1000,4, FALSE),""), "")</f>
        <v/>
      </c>
      <c r="C693" s="2" t="str">
        <f>IF(A693&lt;&gt;"",VLOOKUP(Alunos!A693,Agrupamentos!A3:C1000,2, FALSE),"")</f>
        <v/>
      </c>
      <c r="D693" s="2" t="str">
        <f>IFERROR(IF(A693&lt;&gt;"",VLOOKUP(Alunos!C693,'TP1'!A3:E1000,5, FALSE),""),"")</f>
        <v/>
      </c>
      <c r="E693" s="2" t="str">
        <f>IF(A693&lt;&gt;"",VLOOKUP(Alunos!A693,Agrupamentos!A3:C1000,3, FALSE),"")</f>
        <v/>
      </c>
      <c r="F693" s="2" t="str">
        <f>IFERROR(IF(A693&lt;&gt;"",VLOOKUP(Alunos!E693,'TP2'!A3:D1000,4, FALSE),""),"")</f>
        <v/>
      </c>
      <c r="G693" s="2" t="str">
        <f>IF(A693&lt;&gt;"", SUMIF(B1:F1,"&lt;&gt;",B693:F693),"")</f>
        <v/>
      </c>
      <c r="H693" s="2" t="str">
        <f>IF(AND(A693&lt;&gt;"",G693&lt;&gt;""),ROUND(G693,0),"")</f>
        <v/>
      </c>
      <c r="I693" s="2" t="str">
        <f>IFERROR(IF(A693&lt;&gt;"",VLOOKUP(Alunos!A693,Recurso!A3:D1000,4, FALSE),""), "")</f>
        <v/>
      </c>
      <c r="J693" s="2" t="str">
        <f>IF(AND(A693&lt;&gt;"",I693&lt;&gt;""), SUMIFS(B693:I693,B1:I1,"&lt;&gt;",B2:I2,"&lt;&gt;Exame",B2:I2,"&lt;&gt;exame",B2:I2,"&lt;&gt;Nota",B2:I2,"&lt;&gt;Total"),"")</f>
        <v/>
      </c>
      <c r="K693" s="2" t="str">
        <f>IF(AND(A693&lt;&gt;"",J693&lt;&gt;""),ROUND(J693,0),"")</f>
        <v/>
      </c>
    </row>
    <row r="694" spans="2:11" x14ac:dyDescent="0.3">
      <c r="B694" s="2" t="str">
        <f>IFERROR(IF(A694&lt;&gt;"",VLOOKUP(Alunos!A694,Exame!A3:D1000,4, FALSE),""), "")</f>
        <v/>
      </c>
      <c r="C694" s="2" t="str">
        <f>IF(A694&lt;&gt;"",VLOOKUP(Alunos!A694,Agrupamentos!A3:C1000,2, FALSE),"")</f>
        <v/>
      </c>
      <c r="D694" s="2" t="str">
        <f>IFERROR(IF(A694&lt;&gt;"",VLOOKUP(Alunos!C694,'TP1'!A3:E1000,5, FALSE),""),"")</f>
        <v/>
      </c>
      <c r="E694" s="2" t="str">
        <f>IF(A694&lt;&gt;"",VLOOKUP(Alunos!A694,Agrupamentos!A3:C1000,3, FALSE),"")</f>
        <v/>
      </c>
      <c r="F694" s="2" t="str">
        <f>IFERROR(IF(A694&lt;&gt;"",VLOOKUP(Alunos!E694,'TP2'!A3:D1000,4, FALSE),""),"")</f>
        <v/>
      </c>
      <c r="G694" s="2" t="str">
        <f>IF(A694&lt;&gt;"", SUMIF(B1:F1,"&lt;&gt;",B694:F694),"")</f>
        <v/>
      </c>
      <c r="H694" s="2" t="str">
        <f>IF(AND(A694&lt;&gt;"",G694&lt;&gt;""),ROUND(G694,0),"")</f>
        <v/>
      </c>
      <c r="I694" s="2" t="str">
        <f>IFERROR(IF(A694&lt;&gt;"",VLOOKUP(Alunos!A694,Recurso!A3:D1000,4, FALSE),""), "")</f>
        <v/>
      </c>
      <c r="J694" s="2" t="str">
        <f>IF(AND(A694&lt;&gt;"",I694&lt;&gt;""), SUMIFS(B694:I694,B1:I1,"&lt;&gt;",B2:I2,"&lt;&gt;Exame",B2:I2,"&lt;&gt;exame",B2:I2,"&lt;&gt;Nota",B2:I2,"&lt;&gt;Total"),"")</f>
        <v/>
      </c>
      <c r="K694" s="2" t="str">
        <f>IF(AND(A694&lt;&gt;"",J694&lt;&gt;""),ROUND(J694,0),"")</f>
        <v/>
      </c>
    </row>
    <row r="695" spans="2:11" x14ac:dyDescent="0.3">
      <c r="B695" s="2" t="str">
        <f>IFERROR(IF(A695&lt;&gt;"",VLOOKUP(Alunos!A695,Exame!A3:D1000,4, FALSE),""), "")</f>
        <v/>
      </c>
      <c r="C695" s="2" t="str">
        <f>IF(A695&lt;&gt;"",VLOOKUP(Alunos!A695,Agrupamentos!A3:C1000,2, FALSE),"")</f>
        <v/>
      </c>
      <c r="D695" s="2" t="str">
        <f>IFERROR(IF(A695&lt;&gt;"",VLOOKUP(Alunos!C695,'TP1'!A3:E1000,5, FALSE),""),"")</f>
        <v/>
      </c>
      <c r="E695" s="2" t="str">
        <f>IF(A695&lt;&gt;"",VLOOKUP(Alunos!A695,Agrupamentos!A3:C1000,3, FALSE),"")</f>
        <v/>
      </c>
      <c r="F695" s="2" t="str">
        <f>IFERROR(IF(A695&lt;&gt;"",VLOOKUP(Alunos!E695,'TP2'!A3:D1000,4, FALSE),""),"")</f>
        <v/>
      </c>
      <c r="G695" s="2" t="str">
        <f>IF(A695&lt;&gt;"", SUMIF(B1:F1,"&lt;&gt;",B695:F695),"")</f>
        <v/>
      </c>
      <c r="H695" s="2" t="str">
        <f>IF(AND(A695&lt;&gt;"",G695&lt;&gt;""),ROUND(G695,0),"")</f>
        <v/>
      </c>
      <c r="I695" s="2" t="str">
        <f>IFERROR(IF(A695&lt;&gt;"",VLOOKUP(Alunos!A695,Recurso!A3:D1000,4, FALSE),""), "")</f>
        <v/>
      </c>
      <c r="J695" s="2" t="str">
        <f>IF(AND(A695&lt;&gt;"",I695&lt;&gt;""), SUMIFS(B695:I695,B1:I1,"&lt;&gt;",B2:I2,"&lt;&gt;Exame",B2:I2,"&lt;&gt;exame",B2:I2,"&lt;&gt;Nota",B2:I2,"&lt;&gt;Total"),"")</f>
        <v/>
      </c>
      <c r="K695" s="2" t="str">
        <f>IF(AND(A695&lt;&gt;"",J695&lt;&gt;""),ROUND(J695,0),"")</f>
        <v/>
      </c>
    </row>
    <row r="696" spans="2:11" x14ac:dyDescent="0.3">
      <c r="B696" s="2" t="str">
        <f>IFERROR(IF(A696&lt;&gt;"",VLOOKUP(Alunos!A696,Exame!A3:D1000,4, FALSE),""), "")</f>
        <v/>
      </c>
      <c r="C696" s="2" t="str">
        <f>IF(A696&lt;&gt;"",VLOOKUP(Alunos!A696,Agrupamentos!A3:C1000,2, FALSE),"")</f>
        <v/>
      </c>
      <c r="D696" s="2" t="str">
        <f>IFERROR(IF(A696&lt;&gt;"",VLOOKUP(Alunos!C696,'TP1'!A3:E1000,5, FALSE),""),"")</f>
        <v/>
      </c>
      <c r="E696" s="2" t="str">
        <f>IF(A696&lt;&gt;"",VLOOKUP(Alunos!A696,Agrupamentos!A3:C1000,3, FALSE),"")</f>
        <v/>
      </c>
      <c r="F696" s="2" t="str">
        <f>IFERROR(IF(A696&lt;&gt;"",VLOOKUP(Alunos!E696,'TP2'!A3:D1000,4, FALSE),""),"")</f>
        <v/>
      </c>
      <c r="G696" s="2" t="str">
        <f>IF(A696&lt;&gt;"", SUMIF(B1:F1,"&lt;&gt;",B696:F696),"")</f>
        <v/>
      </c>
      <c r="H696" s="2" t="str">
        <f>IF(AND(A696&lt;&gt;"",G696&lt;&gt;""),ROUND(G696,0),"")</f>
        <v/>
      </c>
      <c r="I696" s="2" t="str">
        <f>IFERROR(IF(A696&lt;&gt;"",VLOOKUP(Alunos!A696,Recurso!A3:D1000,4, FALSE),""), "")</f>
        <v/>
      </c>
      <c r="J696" s="2" t="str">
        <f>IF(AND(A696&lt;&gt;"",I696&lt;&gt;""), SUMIFS(B696:I696,B1:I1,"&lt;&gt;",B2:I2,"&lt;&gt;Exame",B2:I2,"&lt;&gt;exame",B2:I2,"&lt;&gt;Nota",B2:I2,"&lt;&gt;Total"),"")</f>
        <v/>
      </c>
      <c r="K696" s="2" t="str">
        <f>IF(AND(A696&lt;&gt;"",J696&lt;&gt;""),ROUND(J696,0),"")</f>
        <v/>
      </c>
    </row>
    <row r="697" spans="2:11" x14ac:dyDescent="0.3">
      <c r="B697" s="2" t="str">
        <f>IFERROR(IF(A697&lt;&gt;"",VLOOKUP(Alunos!A697,Exame!A3:D1000,4, FALSE),""), "")</f>
        <v/>
      </c>
      <c r="C697" s="2" t="str">
        <f>IF(A697&lt;&gt;"",VLOOKUP(Alunos!A697,Agrupamentos!A3:C1000,2, FALSE),"")</f>
        <v/>
      </c>
      <c r="D697" s="2" t="str">
        <f>IFERROR(IF(A697&lt;&gt;"",VLOOKUP(Alunos!C697,'TP1'!A3:E1000,5, FALSE),""),"")</f>
        <v/>
      </c>
      <c r="E697" s="2" t="str">
        <f>IF(A697&lt;&gt;"",VLOOKUP(Alunos!A697,Agrupamentos!A3:C1000,3, FALSE),"")</f>
        <v/>
      </c>
      <c r="F697" s="2" t="str">
        <f>IFERROR(IF(A697&lt;&gt;"",VLOOKUP(Alunos!E697,'TP2'!A3:D1000,4, FALSE),""),"")</f>
        <v/>
      </c>
      <c r="G697" s="2" t="str">
        <f>IF(A697&lt;&gt;"", SUMIF(B1:F1,"&lt;&gt;",B697:F697),"")</f>
        <v/>
      </c>
      <c r="H697" s="2" t="str">
        <f>IF(AND(A697&lt;&gt;"",G697&lt;&gt;""),ROUND(G697,0),"")</f>
        <v/>
      </c>
      <c r="I697" s="2" t="str">
        <f>IFERROR(IF(A697&lt;&gt;"",VLOOKUP(Alunos!A697,Recurso!A3:D1000,4, FALSE),""), "")</f>
        <v/>
      </c>
      <c r="J697" s="2" t="str">
        <f>IF(AND(A697&lt;&gt;"",I697&lt;&gt;""), SUMIFS(B697:I697,B1:I1,"&lt;&gt;",B2:I2,"&lt;&gt;Exame",B2:I2,"&lt;&gt;exame",B2:I2,"&lt;&gt;Nota",B2:I2,"&lt;&gt;Total"),"")</f>
        <v/>
      </c>
      <c r="K697" s="2" t="str">
        <f>IF(AND(A697&lt;&gt;"",J697&lt;&gt;""),ROUND(J697,0),"")</f>
        <v/>
      </c>
    </row>
    <row r="698" spans="2:11" x14ac:dyDescent="0.3">
      <c r="B698" s="2" t="str">
        <f>IFERROR(IF(A698&lt;&gt;"",VLOOKUP(Alunos!A698,Exame!A3:D1000,4, FALSE),""), "")</f>
        <v/>
      </c>
      <c r="C698" s="2" t="str">
        <f>IF(A698&lt;&gt;"",VLOOKUP(Alunos!A698,Agrupamentos!A3:C1000,2, FALSE),"")</f>
        <v/>
      </c>
      <c r="D698" s="2" t="str">
        <f>IFERROR(IF(A698&lt;&gt;"",VLOOKUP(Alunos!C698,'TP1'!A3:E1000,5, FALSE),""),"")</f>
        <v/>
      </c>
      <c r="E698" s="2" t="str">
        <f>IF(A698&lt;&gt;"",VLOOKUP(Alunos!A698,Agrupamentos!A3:C1000,3, FALSE),"")</f>
        <v/>
      </c>
      <c r="F698" s="2" t="str">
        <f>IFERROR(IF(A698&lt;&gt;"",VLOOKUP(Alunos!E698,'TP2'!A3:D1000,4, FALSE),""),"")</f>
        <v/>
      </c>
      <c r="G698" s="2" t="str">
        <f>IF(A698&lt;&gt;"", SUMIF(B1:F1,"&lt;&gt;",B698:F698),"")</f>
        <v/>
      </c>
      <c r="H698" s="2" t="str">
        <f>IF(AND(A698&lt;&gt;"",G698&lt;&gt;""),ROUND(G698,0),"")</f>
        <v/>
      </c>
      <c r="I698" s="2" t="str">
        <f>IFERROR(IF(A698&lt;&gt;"",VLOOKUP(Alunos!A698,Recurso!A3:D1000,4, FALSE),""), "")</f>
        <v/>
      </c>
      <c r="J698" s="2" t="str">
        <f>IF(AND(A698&lt;&gt;"",I698&lt;&gt;""), SUMIFS(B698:I698,B1:I1,"&lt;&gt;",B2:I2,"&lt;&gt;Exame",B2:I2,"&lt;&gt;exame",B2:I2,"&lt;&gt;Nota",B2:I2,"&lt;&gt;Total"),"")</f>
        <v/>
      </c>
      <c r="K698" s="2" t="str">
        <f>IF(AND(A698&lt;&gt;"",J698&lt;&gt;""),ROUND(J698,0),"")</f>
        <v/>
      </c>
    </row>
    <row r="699" spans="2:11" x14ac:dyDescent="0.3">
      <c r="B699" s="2" t="str">
        <f>IFERROR(IF(A699&lt;&gt;"",VLOOKUP(Alunos!A699,Exame!A3:D1000,4, FALSE),""), "")</f>
        <v/>
      </c>
      <c r="C699" s="2" t="str">
        <f>IF(A699&lt;&gt;"",VLOOKUP(Alunos!A699,Agrupamentos!A3:C1000,2, FALSE),"")</f>
        <v/>
      </c>
      <c r="D699" s="2" t="str">
        <f>IFERROR(IF(A699&lt;&gt;"",VLOOKUP(Alunos!C699,'TP1'!A3:E1000,5, FALSE),""),"")</f>
        <v/>
      </c>
      <c r="E699" s="2" t="str">
        <f>IF(A699&lt;&gt;"",VLOOKUP(Alunos!A699,Agrupamentos!A3:C1000,3, FALSE),"")</f>
        <v/>
      </c>
      <c r="F699" s="2" t="str">
        <f>IFERROR(IF(A699&lt;&gt;"",VLOOKUP(Alunos!E699,'TP2'!A3:D1000,4, FALSE),""),"")</f>
        <v/>
      </c>
      <c r="G699" s="2" t="str">
        <f>IF(A699&lt;&gt;"", SUMIF(B1:F1,"&lt;&gt;",B699:F699),"")</f>
        <v/>
      </c>
      <c r="H699" s="2" t="str">
        <f>IF(AND(A699&lt;&gt;"",G699&lt;&gt;""),ROUND(G699,0),"")</f>
        <v/>
      </c>
      <c r="I699" s="2" t="str">
        <f>IFERROR(IF(A699&lt;&gt;"",VLOOKUP(Alunos!A699,Recurso!A3:D1000,4, FALSE),""), "")</f>
        <v/>
      </c>
      <c r="J699" s="2" t="str">
        <f>IF(AND(A699&lt;&gt;"",I699&lt;&gt;""), SUMIFS(B699:I699,B1:I1,"&lt;&gt;",B2:I2,"&lt;&gt;Exame",B2:I2,"&lt;&gt;exame",B2:I2,"&lt;&gt;Nota",B2:I2,"&lt;&gt;Total"),"")</f>
        <v/>
      </c>
      <c r="K699" s="2" t="str">
        <f>IF(AND(A699&lt;&gt;"",J699&lt;&gt;""),ROUND(J699,0),"")</f>
        <v/>
      </c>
    </row>
    <row r="700" spans="2:11" x14ac:dyDescent="0.3">
      <c r="B700" s="2" t="str">
        <f>IFERROR(IF(A700&lt;&gt;"",VLOOKUP(Alunos!A700,Exame!A3:D1000,4, FALSE),""), "")</f>
        <v/>
      </c>
      <c r="C700" s="2" t="str">
        <f>IF(A700&lt;&gt;"",VLOOKUP(Alunos!A700,Agrupamentos!A3:C1000,2, FALSE),"")</f>
        <v/>
      </c>
      <c r="D700" s="2" t="str">
        <f>IFERROR(IF(A700&lt;&gt;"",VLOOKUP(Alunos!C700,'TP1'!A3:E1000,5, FALSE),""),"")</f>
        <v/>
      </c>
      <c r="E700" s="2" t="str">
        <f>IF(A700&lt;&gt;"",VLOOKUP(Alunos!A700,Agrupamentos!A3:C1000,3, FALSE),"")</f>
        <v/>
      </c>
      <c r="F700" s="2" t="str">
        <f>IFERROR(IF(A700&lt;&gt;"",VLOOKUP(Alunos!E700,'TP2'!A3:D1000,4, FALSE),""),"")</f>
        <v/>
      </c>
      <c r="G700" s="2" t="str">
        <f>IF(A700&lt;&gt;"", SUMIF(B1:F1,"&lt;&gt;",B700:F700),"")</f>
        <v/>
      </c>
      <c r="H700" s="2" t="str">
        <f>IF(AND(A700&lt;&gt;"",G700&lt;&gt;""),ROUND(G700,0),"")</f>
        <v/>
      </c>
      <c r="I700" s="2" t="str">
        <f>IFERROR(IF(A700&lt;&gt;"",VLOOKUP(Alunos!A700,Recurso!A3:D1000,4, FALSE),""), "")</f>
        <v/>
      </c>
      <c r="J700" s="2" t="str">
        <f>IF(AND(A700&lt;&gt;"",I700&lt;&gt;""), SUMIFS(B700:I700,B1:I1,"&lt;&gt;",B2:I2,"&lt;&gt;Exame",B2:I2,"&lt;&gt;exame",B2:I2,"&lt;&gt;Nota",B2:I2,"&lt;&gt;Total"),"")</f>
        <v/>
      </c>
      <c r="K700" s="2" t="str">
        <f>IF(AND(A700&lt;&gt;"",J700&lt;&gt;""),ROUND(J700,0),"")</f>
        <v/>
      </c>
    </row>
    <row r="701" spans="2:11" x14ac:dyDescent="0.3">
      <c r="B701" s="2" t="str">
        <f>IFERROR(IF(A701&lt;&gt;"",VLOOKUP(Alunos!A701,Exame!A3:D1000,4, FALSE),""), "")</f>
        <v/>
      </c>
      <c r="C701" s="2" t="str">
        <f>IF(A701&lt;&gt;"",VLOOKUP(Alunos!A701,Agrupamentos!A3:C1000,2, FALSE),"")</f>
        <v/>
      </c>
      <c r="D701" s="2" t="str">
        <f>IFERROR(IF(A701&lt;&gt;"",VLOOKUP(Alunos!C701,'TP1'!A3:E1000,5, FALSE),""),"")</f>
        <v/>
      </c>
      <c r="E701" s="2" t="str">
        <f>IF(A701&lt;&gt;"",VLOOKUP(Alunos!A701,Agrupamentos!A3:C1000,3, FALSE),"")</f>
        <v/>
      </c>
      <c r="F701" s="2" t="str">
        <f>IFERROR(IF(A701&lt;&gt;"",VLOOKUP(Alunos!E701,'TP2'!A3:D1000,4, FALSE),""),"")</f>
        <v/>
      </c>
      <c r="G701" s="2" t="str">
        <f>IF(A701&lt;&gt;"", SUMIF(B1:F1,"&lt;&gt;",B701:F701),"")</f>
        <v/>
      </c>
      <c r="H701" s="2" t="str">
        <f>IF(AND(A701&lt;&gt;"",G701&lt;&gt;""),ROUND(G701,0),"")</f>
        <v/>
      </c>
      <c r="I701" s="2" t="str">
        <f>IFERROR(IF(A701&lt;&gt;"",VLOOKUP(Alunos!A701,Recurso!A3:D1000,4, FALSE),""), "")</f>
        <v/>
      </c>
      <c r="J701" s="2" t="str">
        <f>IF(AND(A701&lt;&gt;"",I701&lt;&gt;""), SUMIFS(B701:I701,B1:I1,"&lt;&gt;",B2:I2,"&lt;&gt;Exame",B2:I2,"&lt;&gt;exame",B2:I2,"&lt;&gt;Nota",B2:I2,"&lt;&gt;Total"),"")</f>
        <v/>
      </c>
      <c r="K701" s="2" t="str">
        <f>IF(AND(A701&lt;&gt;"",J701&lt;&gt;""),ROUND(J701,0),"")</f>
        <v/>
      </c>
    </row>
    <row r="702" spans="2:11" x14ac:dyDescent="0.3">
      <c r="B702" s="2" t="str">
        <f>IFERROR(IF(A702&lt;&gt;"",VLOOKUP(Alunos!A702,Exame!A3:D1000,4, FALSE),""), "")</f>
        <v/>
      </c>
      <c r="C702" s="2" t="str">
        <f>IF(A702&lt;&gt;"",VLOOKUP(Alunos!A702,Agrupamentos!A3:C1000,2, FALSE),"")</f>
        <v/>
      </c>
      <c r="D702" s="2" t="str">
        <f>IFERROR(IF(A702&lt;&gt;"",VLOOKUP(Alunos!C702,'TP1'!A3:E1000,5, FALSE),""),"")</f>
        <v/>
      </c>
      <c r="E702" s="2" t="str">
        <f>IF(A702&lt;&gt;"",VLOOKUP(Alunos!A702,Agrupamentos!A3:C1000,3, FALSE),"")</f>
        <v/>
      </c>
      <c r="F702" s="2" t="str">
        <f>IFERROR(IF(A702&lt;&gt;"",VLOOKUP(Alunos!E702,'TP2'!A3:D1000,4, FALSE),""),"")</f>
        <v/>
      </c>
      <c r="G702" s="2" t="str">
        <f>IF(A702&lt;&gt;"", SUMIF(B1:F1,"&lt;&gt;",B702:F702),"")</f>
        <v/>
      </c>
      <c r="H702" s="2" t="str">
        <f>IF(AND(A702&lt;&gt;"",G702&lt;&gt;""),ROUND(G702,0),"")</f>
        <v/>
      </c>
      <c r="I702" s="2" t="str">
        <f>IFERROR(IF(A702&lt;&gt;"",VLOOKUP(Alunos!A702,Recurso!A3:D1000,4, FALSE),""), "")</f>
        <v/>
      </c>
      <c r="J702" s="2" t="str">
        <f>IF(AND(A702&lt;&gt;"",I702&lt;&gt;""), SUMIFS(B702:I702,B1:I1,"&lt;&gt;",B2:I2,"&lt;&gt;Exame",B2:I2,"&lt;&gt;exame",B2:I2,"&lt;&gt;Nota",B2:I2,"&lt;&gt;Total"),"")</f>
        <v/>
      </c>
      <c r="K702" s="2" t="str">
        <f>IF(AND(A702&lt;&gt;"",J702&lt;&gt;""),ROUND(J702,0),"")</f>
        <v/>
      </c>
    </row>
    <row r="703" spans="2:11" x14ac:dyDescent="0.3">
      <c r="B703" s="2" t="str">
        <f>IFERROR(IF(A703&lt;&gt;"",VLOOKUP(Alunos!A703,Exame!A3:D1000,4, FALSE),""), "")</f>
        <v/>
      </c>
      <c r="C703" s="2" t="str">
        <f>IF(A703&lt;&gt;"",VLOOKUP(Alunos!A703,Agrupamentos!A3:C1000,2, FALSE),"")</f>
        <v/>
      </c>
      <c r="D703" s="2" t="str">
        <f>IFERROR(IF(A703&lt;&gt;"",VLOOKUP(Alunos!C703,'TP1'!A3:E1000,5, FALSE),""),"")</f>
        <v/>
      </c>
      <c r="E703" s="2" t="str">
        <f>IF(A703&lt;&gt;"",VLOOKUP(Alunos!A703,Agrupamentos!A3:C1000,3, FALSE),"")</f>
        <v/>
      </c>
      <c r="F703" s="2" t="str">
        <f>IFERROR(IF(A703&lt;&gt;"",VLOOKUP(Alunos!E703,'TP2'!A3:D1000,4, FALSE),""),"")</f>
        <v/>
      </c>
      <c r="G703" s="2" t="str">
        <f>IF(A703&lt;&gt;"", SUMIF(B1:F1,"&lt;&gt;",B703:F703),"")</f>
        <v/>
      </c>
      <c r="H703" s="2" t="str">
        <f>IF(AND(A703&lt;&gt;"",G703&lt;&gt;""),ROUND(G703,0),"")</f>
        <v/>
      </c>
      <c r="I703" s="2" t="str">
        <f>IFERROR(IF(A703&lt;&gt;"",VLOOKUP(Alunos!A703,Recurso!A3:D1000,4, FALSE),""), "")</f>
        <v/>
      </c>
      <c r="J703" s="2" t="str">
        <f>IF(AND(A703&lt;&gt;"",I703&lt;&gt;""), SUMIFS(B703:I703,B1:I1,"&lt;&gt;",B2:I2,"&lt;&gt;Exame",B2:I2,"&lt;&gt;exame",B2:I2,"&lt;&gt;Nota",B2:I2,"&lt;&gt;Total"),"")</f>
        <v/>
      </c>
      <c r="K703" s="2" t="str">
        <f>IF(AND(A703&lt;&gt;"",J703&lt;&gt;""),ROUND(J703,0),"")</f>
        <v/>
      </c>
    </row>
    <row r="704" spans="2:11" x14ac:dyDescent="0.3">
      <c r="B704" s="2" t="str">
        <f>IFERROR(IF(A704&lt;&gt;"",VLOOKUP(Alunos!A704,Exame!A3:D1000,4, FALSE),""), "")</f>
        <v/>
      </c>
      <c r="C704" s="2" t="str">
        <f>IF(A704&lt;&gt;"",VLOOKUP(Alunos!A704,Agrupamentos!A3:C1000,2, FALSE),"")</f>
        <v/>
      </c>
      <c r="D704" s="2" t="str">
        <f>IFERROR(IF(A704&lt;&gt;"",VLOOKUP(Alunos!C704,'TP1'!A3:E1000,5, FALSE),""),"")</f>
        <v/>
      </c>
      <c r="E704" s="2" t="str">
        <f>IF(A704&lt;&gt;"",VLOOKUP(Alunos!A704,Agrupamentos!A3:C1000,3, FALSE),"")</f>
        <v/>
      </c>
      <c r="F704" s="2" t="str">
        <f>IFERROR(IF(A704&lt;&gt;"",VLOOKUP(Alunos!E704,'TP2'!A3:D1000,4, FALSE),""),"")</f>
        <v/>
      </c>
      <c r="G704" s="2" t="str">
        <f>IF(A704&lt;&gt;"", SUMIF(B1:F1,"&lt;&gt;",B704:F704),"")</f>
        <v/>
      </c>
      <c r="H704" s="2" t="str">
        <f>IF(AND(A704&lt;&gt;"",G704&lt;&gt;""),ROUND(G704,0),"")</f>
        <v/>
      </c>
      <c r="I704" s="2" t="str">
        <f>IFERROR(IF(A704&lt;&gt;"",VLOOKUP(Alunos!A704,Recurso!A3:D1000,4, FALSE),""), "")</f>
        <v/>
      </c>
      <c r="J704" s="2" t="str">
        <f>IF(AND(A704&lt;&gt;"",I704&lt;&gt;""), SUMIFS(B704:I704,B1:I1,"&lt;&gt;",B2:I2,"&lt;&gt;Exame",B2:I2,"&lt;&gt;exame",B2:I2,"&lt;&gt;Nota",B2:I2,"&lt;&gt;Total"),"")</f>
        <v/>
      </c>
      <c r="K704" s="2" t="str">
        <f>IF(AND(A704&lt;&gt;"",J704&lt;&gt;""),ROUND(J704,0),"")</f>
        <v/>
      </c>
    </row>
    <row r="705" spans="2:11" x14ac:dyDescent="0.3">
      <c r="B705" s="2" t="str">
        <f>IFERROR(IF(A705&lt;&gt;"",VLOOKUP(Alunos!A705,Exame!A3:D1000,4, FALSE),""), "")</f>
        <v/>
      </c>
      <c r="C705" s="2" t="str">
        <f>IF(A705&lt;&gt;"",VLOOKUP(Alunos!A705,Agrupamentos!A3:C1000,2, FALSE),"")</f>
        <v/>
      </c>
      <c r="D705" s="2" t="str">
        <f>IFERROR(IF(A705&lt;&gt;"",VLOOKUP(Alunos!C705,'TP1'!A3:E1000,5, FALSE),""),"")</f>
        <v/>
      </c>
      <c r="E705" s="2" t="str">
        <f>IF(A705&lt;&gt;"",VLOOKUP(Alunos!A705,Agrupamentos!A3:C1000,3, FALSE),"")</f>
        <v/>
      </c>
      <c r="F705" s="2" t="str">
        <f>IFERROR(IF(A705&lt;&gt;"",VLOOKUP(Alunos!E705,'TP2'!A3:D1000,4, FALSE),""),"")</f>
        <v/>
      </c>
      <c r="G705" s="2" t="str">
        <f>IF(A705&lt;&gt;"", SUMIF(B1:F1,"&lt;&gt;",B705:F705),"")</f>
        <v/>
      </c>
      <c r="H705" s="2" t="str">
        <f>IF(AND(A705&lt;&gt;"",G705&lt;&gt;""),ROUND(G705,0),"")</f>
        <v/>
      </c>
      <c r="I705" s="2" t="str">
        <f>IFERROR(IF(A705&lt;&gt;"",VLOOKUP(Alunos!A705,Recurso!A3:D1000,4, FALSE),""), "")</f>
        <v/>
      </c>
      <c r="J705" s="2" t="str">
        <f>IF(AND(A705&lt;&gt;"",I705&lt;&gt;""), SUMIFS(B705:I705,B1:I1,"&lt;&gt;",B2:I2,"&lt;&gt;Exame",B2:I2,"&lt;&gt;exame",B2:I2,"&lt;&gt;Nota",B2:I2,"&lt;&gt;Total"),"")</f>
        <v/>
      </c>
      <c r="K705" s="2" t="str">
        <f>IF(AND(A705&lt;&gt;"",J705&lt;&gt;""),ROUND(J705,0),"")</f>
        <v/>
      </c>
    </row>
    <row r="706" spans="2:11" x14ac:dyDescent="0.3">
      <c r="B706" s="2" t="str">
        <f>IFERROR(IF(A706&lt;&gt;"",VLOOKUP(Alunos!A706,Exame!A3:D1000,4, FALSE),""), "")</f>
        <v/>
      </c>
      <c r="C706" s="2" t="str">
        <f>IF(A706&lt;&gt;"",VLOOKUP(Alunos!A706,Agrupamentos!A3:C1000,2, FALSE),"")</f>
        <v/>
      </c>
      <c r="D706" s="2" t="str">
        <f>IFERROR(IF(A706&lt;&gt;"",VLOOKUP(Alunos!C706,'TP1'!A3:E1000,5, FALSE),""),"")</f>
        <v/>
      </c>
      <c r="E706" s="2" t="str">
        <f>IF(A706&lt;&gt;"",VLOOKUP(Alunos!A706,Agrupamentos!A3:C1000,3, FALSE),"")</f>
        <v/>
      </c>
      <c r="F706" s="2" t="str">
        <f>IFERROR(IF(A706&lt;&gt;"",VLOOKUP(Alunos!E706,'TP2'!A3:D1000,4, FALSE),""),"")</f>
        <v/>
      </c>
      <c r="G706" s="2" t="str">
        <f>IF(A706&lt;&gt;"", SUMIF(B1:F1,"&lt;&gt;",B706:F706),"")</f>
        <v/>
      </c>
      <c r="H706" s="2" t="str">
        <f>IF(AND(A706&lt;&gt;"",G706&lt;&gt;""),ROUND(G706,0),"")</f>
        <v/>
      </c>
      <c r="I706" s="2" t="str">
        <f>IFERROR(IF(A706&lt;&gt;"",VLOOKUP(Alunos!A706,Recurso!A3:D1000,4, FALSE),""), "")</f>
        <v/>
      </c>
      <c r="J706" s="2" t="str">
        <f>IF(AND(A706&lt;&gt;"",I706&lt;&gt;""), SUMIFS(B706:I706,B1:I1,"&lt;&gt;",B2:I2,"&lt;&gt;Exame",B2:I2,"&lt;&gt;exame",B2:I2,"&lt;&gt;Nota",B2:I2,"&lt;&gt;Total"),"")</f>
        <v/>
      </c>
      <c r="K706" s="2" t="str">
        <f>IF(AND(A706&lt;&gt;"",J706&lt;&gt;""),ROUND(J706,0),"")</f>
        <v/>
      </c>
    </row>
    <row r="707" spans="2:11" x14ac:dyDescent="0.3">
      <c r="B707" s="2" t="str">
        <f>IFERROR(IF(A707&lt;&gt;"",VLOOKUP(Alunos!A707,Exame!A3:D1000,4, FALSE),""), "")</f>
        <v/>
      </c>
      <c r="C707" s="2" t="str">
        <f>IF(A707&lt;&gt;"",VLOOKUP(Alunos!A707,Agrupamentos!A3:C1000,2, FALSE),"")</f>
        <v/>
      </c>
      <c r="D707" s="2" t="str">
        <f>IFERROR(IF(A707&lt;&gt;"",VLOOKUP(Alunos!C707,'TP1'!A3:E1000,5, FALSE),""),"")</f>
        <v/>
      </c>
      <c r="E707" s="2" t="str">
        <f>IF(A707&lt;&gt;"",VLOOKUP(Alunos!A707,Agrupamentos!A3:C1000,3, FALSE),"")</f>
        <v/>
      </c>
      <c r="F707" s="2" t="str">
        <f>IFERROR(IF(A707&lt;&gt;"",VLOOKUP(Alunos!E707,'TP2'!A3:D1000,4, FALSE),""),"")</f>
        <v/>
      </c>
      <c r="G707" s="2" t="str">
        <f>IF(A707&lt;&gt;"", SUMIF(B1:F1,"&lt;&gt;",B707:F707),"")</f>
        <v/>
      </c>
      <c r="H707" s="2" t="str">
        <f>IF(AND(A707&lt;&gt;"",G707&lt;&gt;""),ROUND(G707,0),"")</f>
        <v/>
      </c>
      <c r="I707" s="2" t="str">
        <f>IFERROR(IF(A707&lt;&gt;"",VLOOKUP(Alunos!A707,Recurso!A3:D1000,4, FALSE),""), "")</f>
        <v/>
      </c>
      <c r="J707" s="2" t="str">
        <f>IF(AND(A707&lt;&gt;"",I707&lt;&gt;""), SUMIFS(B707:I707,B1:I1,"&lt;&gt;",B2:I2,"&lt;&gt;Exame",B2:I2,"&lt;&gt;exame",B2:I2,"&lt;&gt;Nota",B2:I2,"&lt;&gt;Total"),"")</f>
        <v/>
      </c>
      <c r="K707" s="2" t="str">
        <f>IF(AND(A707&lt;&gt;"",J707&lt;&gt;""),ROUND(J707,0),"")</f>
        <v/>
      </c>
    </row>
    <row r="708" spans="2:11" x14ac:dyDescent="0.3">
      <c r="B708" s="2" t="str">
        <f>IFERROR(IF(A708&lt;&gt;"",VLOOKUP(Alunos!A708,Exame!A3:D1000,4, FALSE),""), "")</f>
        <v/>
      </c>
      <c r="C708" s="2" t="str">
        <f>IF(A708&lt;&gt;"",VLOOKUP(Alunos!A708,Agrupamentos!A3:C1000,2, FALSE),"")</f>
        <v/>
      </c>
      <c r="D708" s="2" t="str">
        <f>IFERROR(IF(A708&lt;&gt;"",VLOOKUP(Alunos!C708,'TP1'!A3:E1000,5, FALSE),""),"")</f>
        <v/>
      </c>
      <c r="E708" s="2" t="str">
        <f>IF(A708&lt;&gt;"",VLOOKUP(Alunos!A708,Agrupamentos!A3:C1000,3, FALSE),"")</f>
        <v/>
      </c>
      <c r="F708" s="2" t="str">
        <f>IFERROR(IF(A708&lt;&gt;"",VLOOKUP(Alunos!E708,'TP2'!A3:D1000,4, FALSE),""),"")</f>
        <v/>
      </c>
      <c r="G708" s="2" t="str">
        <f>IF(A708&lt;&gt;"", SUMIF(B1:F1,"&lt;&gt;",B708:F708),"")</f>
        <v/>
      </c>
      <c r="H708" s="2" t="str">
        <f>IF(AND(A708&lt;&gt;"",G708&lt;&gt;""),ROUND(G708,0),"")</f>
        <v/>
      </c>
      <c r="I708" s="2" t="str">
        <f>IFERROR(IF(A708&lt;&gt;"",VLOOKUP(Alunos!A708,Recurso!A3:D1000,4, FALSE),""), "")</f>
        <v/>
      </c>
      <c r="J708" s="2" t="str">
        <f>IF(AND(A708&lt;&gt;"",I708&lt;&gt;""), SUMIFS(B708:I708,B1:I1,"&lt;&gt;",B2:I2,"&lt;&gt;Exame",B2:I2,"&lt;&gt;exame",B2:I2,"&lt;&gt;Nota",B2:I2,"&lt;&gt;Total"),"")</f>
        <v/>
      </c>
      <c r="K708" s="2" t="str">
        <f>IF(AND(A708&lt;&gt;"",J708&lt;&gt;""),ROUND(J708,0),"")</f>
        <v/>
      </c>
    </row>
    <row r="709" spans="2:11" x14ac:dyDescent="0.3">
      <c r="B709" s="2" t="str">
        <f>IFERROR(IF(A709&lt;&gt;"",VLOOKUP(Alunos!A709,Exame!A3:D1000,4, FALSE),""), "")</f>
        <v/>
      </c>
      <c r="C709" s="2" t="str">
        <f>IF(A709&lt;&gt;"",VLOOKUP(Alunos!A709,Agrupamentos!A3:C1000,2, FALSE),"")</f>
        <v/>
      </c>
      <c r="D709" s="2" t="str">
        <f>IFERROR(IF(A709&lt;&gt;"",VLOOKUP(Alunos!C709,'TP1'!A3:E1000,5, FALSE),""),"")</f>
        <v/>
      </c>
      <c r="E709" s="2" t="str">
        <f>IF(A709&lt;&gt;"",VLOOKUP(Alunos!A709,Agrupamentos!A3:C1000,3, FALSE),"")</f>
        <v/>
      </c>
      <c r="F709" s="2" t="str">
        <f>IFERROR(IF(A709&lt;&gt;"",VLOOKUP(Alunos!E709,'TP2'!A3:D1000,4, FALSE),""),"")</f>
        <v/>
      </c>
      <c r="G709" s="2" t="str">
        <f>IF(A709&lt;&gt;"", SUMIF(B1:F1,"&lt;&gt;",B709:F709),"")</f>
        <v/>
      </c>
      <c r="H709" s="2" t="str">
        <f>IF(AND(A709&lt;&gt;"",G709&lt;&gt;""),ROUND(G709,0),"")</f>
        <v/>
      </c>
      <c r="I709" s="2" t="str">
        <f>IFERROR(IF(A709&lt;&gt;"",VLOOKUP(Alunos!A709,Recurso!A3:D1000,4, FALSE),""), "")</f>
        <v/>
      </c>
      <c r="J709" s="2" t="str">
        <f>IF(AND(A709&lt;&gt;"",I709&lt;&gt;""), SUMIFS(B709:I709,B1:I1,"&lt;&gt;",B2:I2,"&lt;&gt;Exame",B2:I2,"&lt;&gt;exame",B2:I2,"&lt;&gt;Nota",B2:I2,"&lt;&gt;Total"),"")</f>
        <v/>
      </c>
      <c r="K709" s="2" t="str">
        <f>IF(AND(A709&lt;&gt;"",J709&lt;&gt;""),ROUND(J709,0),"")</f>
        <v/>
      </c>
    </row>
    <row r="710" spans="2:11" x14ac:dyDescent="0.3">
      <c r="B710" s="2" t="str">
        <f>IFERROR(IF(A710&lt;&gt;"",VLOOKUP(Alunos!A710,Exame!A3:D1000,4, FALSE),""), "")</f>
        <v/>
      </c>
      <c r="C710" s="2" t="str">
        <f>IF(A710&lt;&gt;"",VLOOKUP(Alunos!A710,Agrupamentos!A3:C1000,2, FALSE),"")</f>
        <v/>
      </c>
      <c r="D710" s="2" t="str">
        <f>IFERROR(IF(A710&lt;&gt;"",VLOOKUP(Alunos!C710,'TP1'!A3:E1000,5, FALSE),""),"")</f>
        <v/>
      </c>
      <c r="E710" s="2" t="str">
        <f>IF(A710&lt;&gt;"",VLOOKUP(Alunos!A710,Agrupamentos!A3:C1000,3, FALSE),"")</f>
        <v/>
      </c>
      <c r="F710" s="2" t="str">
        <f>IFERROR(IF(A710&lt;&gt;"",VLOOKUP(Alunos!E710,'TP2'!A3:D1000,4, FALSE),""),"")</f>
        <v/>
      </c>
      <c r="G710" s="2" t="str">
        <f>IF(A710&lt;&gt;"", SUMIF(B1:F1,"&lt;&gt;",B710:F710),"")</f>
        <v/>
      </c>
      <c r="H710" s="2" t="str">
        <f>IF(AND(A710&lt;&gt;"",G710&lt;&gt;""),ROUND(G710,0),"")</f>
        <v/>
      </c>
      <c r="I710" s="2" t="str">
        <f>IFERROR(IF(A710&lt;&gt;"",VLOOKUP(Alunos!A710,Recurso!A3:D1000,4, FALSE),""), "")</f>
        <v/>
      </c>
      <c r="J710" s="2" t="str">
        <f>IF(AND(A710&lt;&gt;"",I710&lt;&gt;""), SUMIFS(B710:I710,B1:I1,"&lt;&gt;",B2:I2,"&lt;&gt;Exame",B2:I2,"&lt;&gt;exame",B2:I2,"&lt;&gt;Nota",B2:I2,"&lt;&gt;Total"),"")</f>
        <v/>
      </c>
      <c r="K710" s="2" t="str">
        <f>IF(AND(A710&lt;&gt;"",J710&lt;&gt;""),ROUND(J710,0),"")</f>
        <v/>
      </c>
    </row>
    <row r="711" spans="2:11" x14ac:dyDescent="0.3">
      <c r="B711" s="2" t="str">
        <f>IFERROR(IF(A711&lt;&gt;"",VLOOKUP(Alunos!A711,Exame!A3:D1000,4, FALSE),""), "")</f>
        <v/>
      </c>
      <c r="C711" s="2" t="str">
        <f>IF(A711&lt;&gt;"",VLOOKUP(Alunos!A711,Agrupamentos!A3:C1000,2, FALSE),"")</f>
        <v/>
      </c>
      <c r="D711" s="2" t="str">
        <f>IFERROR(IF(A711&lt;&gt;"",VLOOKUP(Alunos!C711,'TP1'!A3:E1000,5, FALSE),""),"")</f>
        <v/>
      </c>
      <c r="E711" s="2" t="str">
        <f>IF(A711&lt;&gt;"",VLOOKUP(Alunos!A711,Agrupamentos!A3:C1000,3, FALSE),"")</f>
        <v/>
      </c>
      <c r="F711" s="2" t="str">
        <f>IFERROR(IF(A711&lt;&gt;"",VLOOKUP(Alunos!E711,'TP2'!A3:D1000,4, FALSE),""),"")</f>
        <v/>
      </c>
      <c r="G711" s="2" t="str">
        <f>IF(A711&lt;&gt;"", SUMIF(B1:F1,"&lt;&gt;",B711:F711),"")</f>
        <v/>
      </c>
      <c r="H711" s="2" t="str">
        <f>IF(AND(A711&lt;&gt;"",G711&lt;&gt;""),ROUND(G711,0),"")</f>
        <v/>
      </c>
      <c r="I711" s="2" t="str">
        <f>IFERROR(IF(A711&lt;&gt;"",VLOOKUP(Alunos!A711,Recurso!A3:D1000,4, FALSE),""), "")</f>
        <v/>
      </c>
      <c r="J711" s="2" t="str">
        <f>IF(AND(A711&lt;&gt;"",I711&lt;&gt;""), SUMIFS(B711:I711,B1:I1,"&lt;&gt;",B2:I2,"&lt;&gt;Exame",B2:I2,"&lt;&gt;exame",B2:I2,"&lt;&gt;Nota",B2:I2,"&lt;&gt;Total"),"")</f>
        <v/>
      </c>
      <c r="K711" s="2" t="str">
        <f>IF(AND(A711&lt;&gt;"",J711&lt;&gt;""),ROUND(J711,0),"")</f>
        <v/>
      </c>
    </row>
    <row r="712" spans="2:11" x14ac:dyDescent="0.3">
      <c r="B712" s="2" t="str">
        <f>IFERROR(IF(A712&lt;&gt;"",VLOOKUP(Alunos!A712,Exame!A3:D1000,4, FALSE),""), "")</f>
        <v/>
      </c>
      <c r="C712" s="2" t="str">
        <f>IF(A712&lt;&gt;"",VLOOKUP(Alunos!A712,Agrupamentos!A3:C1000,2, FALSE),"")</f>
        <v/>
      </c>
      <c r="D712" s="2" t="str">
        <f>IFERROR(IF(A712&lt;&gt;"",VLOOKUP(Alunos!C712,'TP1'!A3:E1000,5, FALSE),""),"")</f>
        <v/>
      </c>
      <c r="E712" s="2" t="str">
        <f>IF(A712&lt;&gt;"",VLOOKUP(Alunos!A712,Agrupamentos!A3:C1000,3, FALSE),"")</f>
        <v/>
      </c>
      <c r="F712" s="2" t="str">
        <f>IFERROR(IF(A712&lt;&gt;"",VLOOKUP(Alunos!E712,'TP2'!A3:D1000,4, FALSE),""),"")</f>
        <v/>
      </c>
      <c r="G712" s="2" t="str">
        <f>IF(A712&lt;&gt;"", SUMIF(B1:F1,"&lt;&gt;",B712:F712),"")</f>
        <v/>
      </c>
      <c r="H712" s="2" t="str">
        <f>IF(AND(A712&lt;&gt;"",G712&lt;&gt;""),ROUND(G712,0),"")</f>
        <v/>
      </c>
      <c r="I712" s="2" t="str">
        <f>IFERROR(IF(A712&lt;&gt;"",VLOOKUP(Alunos!A712,Recurso!A3:D1000,4, FALSE),""), "")</f>
        <v/>
      </c>
      <c r="J712" s="2" t="str">
        <f>IF(AND(A712&lt;&gt;"",I712&lt;&gt;""), SUMIFS(B712:I712,B1:I1,"&lt;&gt;",B2:I2,"&lt;&gt;Exame",B2:I2,"&lt;&gt;exame",B2:I2,"&lt;&gt;Nota",B2:I2,"&lt;&gt;Total"),"")</f>
        <v/>
      </c>
      <c r="K712" s="2" t="str">
        <f>IF(AND(A712&lt;&gt;"",J712&lt;&gt;""),ROUND(J712,0),"")</f>
        <v/>
      </c>
    </row>
    <row r="713" spans="2:11" x14ac:dyDescent="0.3">
      <c r="B713" s="2" t="str">
        <f>IFERROR(IF(A713&lt;&gt;"",VLOOKUP(Alunos!A713,Exame!A3:D1000,4, FALSE),""), "")</f>
        <v/>
      </c>
      <c r="C713" s="2" t="str">
        <f>IF(A713&lt;&gt;"",VLOOKUP(Alunos!A713,Agrupamentos!A3:C1000,2, FALSE),"")</f>
        <v/>
      </c>
      <c r="D713" s="2" t="str">
        <f>IFERROR(IF(A713&lt;&gt;"",VLOOKUP(Alunos!C713,'TP1'!A3:E1000,5, FALSE),""),"")</f>
        <v/>
      </c>
      <c r="E713" s="2" t="str">
        <f>IF(A713&lt;&gt;"",VLOOKUP(Alunos!A713,Agrupamentos!A3:C1000,3, FALSE),"")</f>
        <v/>
      </c>
      <c r="F713" s="2" t="str">
        <f>IFERROR(IF(A713&lt;&gt;"",VLOOKUP(Alunos!E713,'TP2'!A3:D1000,4, FALSE),""),"")</f>
        <v/>
      </c>
      <c r="G713" s="2" t="str">
        <f>IF(A713&lt;&gt;"", SUMIF(B1:F1,"&lt;&gt;",B713:F713),"")</f>
        <v/>
      </c>
      <c r="H713" s="2" t="str">
        <f>IF(AND(A713&lt;&gt;"",G713&lt;&gt;""),ROUND(G713,0),"")</f>
        <v/>
      </c>
      <c r="I713" s="2" t="str">
        <f>IFERROR(IF(A713&lt;&gt;"",VLOOKUP(Alunos!A713,Recurso!A3:D1000,4, FALSE),""), "")</f>
        <v/>
      </c>
      <c r="J713" s="2" t="str">
        <f>IF(AND(A713&lt;&gt;"",I713&lt;&gt;""), SUMIFS(B713:I713,B1:I1,"&lt;&gt;",B2:I2,"&lt;&gt;Exame",B2:I2,"&lt;&gt;exame",B2:I2,"&lt;&gt;Nota",B2:I2,"&lt;&gt;Total"),"")</f>
        <v/>
      </c>
      <c r="K713" s="2" t="str">
        <f>IF(AND(A713&lt;&gt;"",J713&lt;&gt;""),ROUND(J713,0),"")</f>
        <v/>
      </c>
    </row>
    <row r="714" spans="2:11" x14ac:dyDescent="0.3">
      <c r="B714" s="2" t="str">
        <f>IFERROR(IF(A714&lt;&gt;"",VLOOKUP(Alunos!A714,Exame!A3:D1000,4, FALSE),""), "")</f>
        <v/>
      </c>
      <c r="C714" s="2" t="str">
        <f>IF(A714&lt;&gt;"",VLOOKUP(Alunos!A714,Agrupamentos!A3:C1000,2, FALSE),"")</f>
        <v/>
      </c>
      <c r="D714" s="2" t="str">
        <f>IFERROR(IF(A714&lt;&gt;"",VLOOKUP(Alunos!C714,'TP1'!A3:E1000,5, FALSE),""),"")</f>
        <v/>
      </c>
      <c r="E714" s="2" t="str">
        <f>IF(A714&lt;&gt;"",VLOOKUP(Alunos!A714,Agrupamentos!A3:C1000,3, FALSE),"")</f>
        <v/>
      </c>
      <c r="F714" s="2" t="str">
        <f>IFERROR(IF(A714&lt;&gt;"",VLOOKUP(Alunos!E714,'TP2'!A3:D1000,4, FALSE),""),"")</f>
        <v/>
      </c>
      <c r="G714" s="2" t="str">
        <f>IF(A714&lt;&gt;"", SUMIF(B1:F1,"&lt;&gt;",B714:F714),"")</f>
        <v/>
      </c>
      <c r="H714" s="2" t="str">
        <f>IF(AND(A714&lt;&gt;"",G714&lt;&gt;""),ROUND(G714,0),"")</f>
        <v/>
      </c>
      <c r="I714" s="2" t="str">
        <f>IFERROR(IF(A714&lt;&gt;"",VLOOKUP(Alunos!A714,Recurso!A3:D1000,4, FALSE),""), "")</f>
        <v/>
      </c>
      <c r="J714" s="2" t="str">
        <f>IF(AND(A714&lt;&gt;"",I714&lt;&gt;""), SUMIFS(B714:I714,B1:I1,"&lt;&gt;",B2:I2,"&lt;&gt;Exame",B2:I2,"&lt;&gt;exame",B2:I2,"&lt;&gt;Nota",B2:I2,"&lt;&gt;Total"),"")</f>
        <v/>
      </c>
      <c r="K714" s="2" t="str">
        <f>IF(AND(A714&lt;&gt;"",J714&lt;&gt;""),ROUND(J714,0),"")</f>
        <v/>
      </c>
    </row>
    <row r="715" spans="2:11" x14ac:dyDescent="0.3">
      <c r="B715" s="2" t="str">
        <f>IFERROR(IF(A715&lt;&gt;"",VLOOKUP(Alunos!A715,Exame!A3:D1000,4, FALSE),""), "")</f>
        <v/>
      </c>
      <c r="C715" s="2" t="str">
        <f>IF(A715&lt;&gt;"",VLOOKUP(Alunos!A715,Agrupamentos!A3:C1000,2, FALSE),"")</f>
        <v/>
      </c>
      <c r="D715" s="2" t="str">
        <f>IFERROR(IF(A715&lt;&gt;"",VLOOKUP(Alunos!C715,'TP1'!A3:E1000,5, FALSE),""),"")</f>
        <v/>
      </c>
      <c r="E715" s="2" t="str">
        <f>IF(A715&lt;&gt;"",VLOOKUP(Alunos!A715,Agrupamentos!A3:C1000,3, FALSE),"")</f>
        <v/>
      </c>
      <c r="F715" s="2" t="str">
        <f>IFERROR(IF(A715&lt;&gt;"",VLOOKUP(Alunos!E715,'TP2'!A3:D1000,4, FALSE),""),"")</f>
        <v/>
      </c>
      <c r="G715" s="2" t="str">
        <f>IF(A715&lt;&gt;"", SUMIF(B1:F1,"&lt;&gt;",B715:F715),"")</f>
        <v/>
      </c>
      <c r="H715" s="2" t="str">
        <f>IF(AND(A715&lt;&gt;"",G715&lt;&gt;""),ROUND(G715,0),"")</f>
        <v/>
      </c>
      <c r="I715" s="2" t="str">
        <f>IFERROR(IF(A715&lt;&gt;"",VLOOKUP(Alunos!A715,Recurso!A3:D1000,4, FALSE),""), "")</f>
        <v/>
      </c>
      <c r="J715" s="2" t="str">
        <f>IF(AND(A715&lt;&gt;"",I715&lt;&gt;""), SUMIFS(B715:I715,B1:I1,"&lt;&gt;",B2:I2,"&lt;&gt;Exame",B2:I2,"&lt;&gt;exame",B2:I2,"&lt;&gt;Nota",B2:I2,"&lt;&gt;Total"),"")</f>
        <v/>
      </c>
      <c r="K715" s="2" t="str">
        <f>IF(AND(A715&lt;&gt;"",J715&lt;&gt;""),ROUND(J715,0),"")</f>
        <v/>
      </c>
    </row>
    <row r="716" spans="2:11" x14ac:dyDescent="0.3">
      <c r="B716" s="2" t="str">
        <f>IFERROR(IF(A716&lt;&gt;"",VLOOKUP(Alunos!A716,Exame!A3:D1000,4, FALSE),""), "")</f>
        <v/>
      </c>
      <c r="C716" s="2" t="str">
        <f>IF(A716&lt;&gt;"",VLOOKUP(Alunos!A716,Agrupamentos!A3:C1000,2, FALSE),"")</f>
        <v/>
      </c>
      <c r="D716" s="2" t="str">
        <f>IFERROR(IF(A716&lt;&gt;"",VLOOKUP(Alunos!C716,'TP1'!A3:E1000,5, FALSE),""),"")</f>
        <v/>
      </c>
      <c r="E716" s="2" t="str">
        <f>IF(A716&lt;&gt;"",VLOOKUP(Alunos!A716,Agrupamentos!A3:C1000,3, FALSE),"")</f>
        <v/>
      </c>
      <c r="F716" s="2" t="str">
        <f>IFERROR(IF(A716&lt;&gt;"",VLOOKUP(Alunos!E716,'TP2'!A3:D1000,4, FALSE),""),"")</f>
        <v/>
      </c>
      <c r="G716" s="2" t="str">
        <f>IF(A716&lt;&gt;"", SUMIF(B1:F1,"&lt;&gt;",B716:F716),"")</f>
        <v/>
      </c>
      <c r="H716" s="2" t="str">
        <f>IF(AND(A716&lt;&gt;"",G716&lt;&gt;""),ROUND(G716,0),"")</f>
        <v/>
      </c>
      <c r="I716" s="2" t="str">
        <f>IFERROR(IF(A716&lt;&gt;"",VLOOKUP(Alunos!A716,Recurso!A3:D1000,4, FALSE),""), "")</f>
        <v/>
      </c>
      <c r="J716" s="2" t="str">
        <f>IF(AND(A716&lt;&gt;"",I716&lt;&gt;""), SUMIFS(B716:I716,B1:I1,"&lt;&gt;",B2:I2,"&lt;&gt;Exame",B2:I2,"&lt;&gt;exame",B2:I2,"&lt;&gt;Nota",B2:I2,"&lt;&gt;Total"),"")</f>
        <v/>
      </c>
      <c r="K716" s="2" t="str">
        <f>IF(AND(A716&lt;&gt;"",J716&lt;&gt;""),ROUND(J716,0),"")</f>
        <v/>
      </c>
    </row>
    <row r="717" spans="2:11" x14ac:dyDescent="0.3">
      <c r="B717" s="2" t="str">
        <f>IFERROR(IF(A717&lt;&gt;"",VLOOKUP(Alunos!A717,Exame!A3:D1000,4, FALSE),""), "")</f>
        <v/>
      </c>
      <c r="C717" s="2" t="str">
        <f>IF(A717&lt;&gt;"",VLOOKUP(Alunos!A717,Agrupamentos!A3:C1000,2, FALSE),"")</f>
        <v/>
      </c>
      <c r="D717" s="2" t="str">
        <f>IFERROR(IF(A717&lt;&gt;"",VLOOKUP(Alunos!C717,'TP1'!A3:E1000,5, FALSE),""),"")</f>
        <v/>
      </c>
      <c r="E717" s="2" t="str">
        <f>IF(A717&lt;&gt;"",VLOOKUP(Alunos!A717,Agrupamentos!A3:C1000,3, FALSE),"")</f>
        <v/>
      </c>
      <c r="F717" s="2" t="str">
        <f>IFERROR(IF(A717&lt;&gt;"",VLOOKUP(Alunos!E717,'TP2'!A3:D1000,4, FALSE),""),"")</f>
        <v/>
      </c>
      <c r="G717" s="2" t="str">
        <f>IF(A717&lt;&gt;"", SUMIF(B1:F1,"&lt;&gt;",B717:F717),"")</f>
        <v/>
      </c>
      <c r="H717" s="2" t="str">
        <f>IF(AND(A717&lt;&gt;"",G717&lt;&gt;""),ROUND(G717,0),"")</f>
        <v/>
      </c>
      <c r="I717" s="2" t="str">
        <f>IFERROR(IF(A717&lt;&gt;"",VLOOKUP(Alunos!A717,Recurso!A3:D1000,4, FALSE),""), "")</f>
        <v/>
      </c>
      <c r="J717" s="2" t="str">
        <f>IF(AND(A717&lt;&gt;"",I717&lt;&gt;""), SUMIFS(B717:I717,B1:I1,"&lt;&gt;",B2:I2,"&lt;&gt;Exame",B2:I2,"&lt;&gt;exame",B2:I2,"&lt;&gt;Nota",B2:I2,"&lt;&gt;Total"),"")</f>
        <v/>
      </c>
      <c r="K717" s="2" t="str">
        <f>IF(AND(A717&lt;&gt;"",J717&lt;&gt;""),ROUND(J717,0),"")</f>
        <v/>
      </c>
    </row>
    <row r="718" spans="2:11" x14ac:dyDescent="0.3">
      <c r="B718" s="2" t="str">
        <f>IFERROR(IF(A718&lt;&gt;"",VLOOKUP(Alunos!A718,Exame!A3:D1000,4, FALSE),""), "")</f>
        <v/>
      </c>
      <c r="C718" s="2" t="str">
        <f>IF(A718&lt;&gt;"",VLOOKUP(Alunos!A718,Agrupamentos!A3:C1000,2, FALSE),"")</f>
        <v/>
      </c>
      <c r="D718" s="2" t="str">
        <f>IFERROR(IF(A718&lt;&gt;"",VLOOKUP(Alunos!C718,'TP1'!A3:E1000,5, FALSE),""),"")</f>
        <v/>
      </c>
      <c r="E718" s="2" t="str">
        <f>IF(A718&lt;&gt;"",VLOOKUP(Alunos!A718,Agrupamentos!A3:C1000,3, FALSE),"")</f>
        <v/>
      </c>
      <c r="F718" s="2" t="str">
        <f>IFERROR(IF(A718&lt;&gt;"",VLOOKUP(Alunos!E718,'TP2'!A3:D1000,4, FALSE),""),"")</f>
        <v/>
      </c>
      <c r="G718" s="2" t="str">
        <f>IF(A718&lt;&gt;"", SUMIF(B1:F1,"&lt;&gt;",B718:F718),"")</f>
        <v/>
      </c>
      <c r="H718" s="2" t="str">
        <f>IF(AND(A718&lt;&gt;"",G718&lt;&gt;""),ROUND(G718,0),"")</f>
        <v/>
      </c>
      <c r="I718" s="2" t="str">
        <f>IFERROR(IF(A718&lt;&gt;"",VLOOKUP(Alunos!A718,Recurso!A3:D1000,4, FALSE),""), "")</f>
        <v/>
      </c>
      <c r="J718" s="2" t="str">
        <f>IF(AND(A718&lt;&gt;"",I718&lt;&gt;""), SUMIFS(B718:I718,B1:I1,"&lt;&gt;",B2:I2,"&lt;&gt;Exame",B2:I2,"&lt;&gt;exame",B2:I2,"&lt;&gt;Nota",B2:I2,"&lt;&gt;Total"),"")</f>
        <v/>
      </c>
      <c r="K718" s="2" t="str">
        <f>IF(AND(A718&lt;&gt;"",J718&lt;&gt;""),ROUND(J718,0),"")</f>
        <v/>
      </c>
    </row>
    <row r="719" spans="2:11" x14ac:dyDescent="0.3">
      <c r="B719" s="2" t="str">
        <f>IFERROR(IF(A719&lt;&gt;"",VLOOKUP(Alunos!A719,Exame!A3:D1000,4, FALSE),""), "")</f>
        <v/>
      </c>
      <c r="C719" s="2" t="str">
        <f>IF(A719&lt;&gt;"",VLOOKUP(Alunos!A719,Agrupamentos!A3:C1000,2, FALSE),"")</f>
        <v/>
      </c>
      <c r="D719" s="2" t="str">
        <f>IFERROR(IF(A719&lt;&gt;"",VLOOKUP(Alunos!C719,'TP1'!A3:E1000,5, FALSE),""),"")</f>
        <v/>
      </c>
      <c r="E719" s="2" t="str">
        <f>IF(A719&lt;&gt;"",VLOOKUP(Alunos!A719,Agrupamentos!A3:C1000,3, FALSE),"")</f>
        <v/>
      </c>
      <c r="F719" s="2" t="str">
        <f>IFERROR(IF(A719&lt;&gt;"",VLOOKUP(Alunos!E719,'TP2'!A3:D1000,4, FALSE),""),"")</f>
        <v/>
      </c>
      <c r="G719" s="2" t="str">
        <f>IF(A719&lt;&gt;"", SUMIF(B1:F1,"&lt;&gt;",B719:F719),"")</f>
        <v/>
      </c>
      <c r="H719" s="2" t="str">
        <f>IF(AND(A719&lt;&gt;"",G719&lt;&gt;""),ROUND(G719,0),"")</f>
        <v/>
      </c>
      <c r="I719" s="2" t="str">
        <f>IFERROR(IF(A719&lt;&gt;"",VLOOKUP(Alunos!A719,Recurso!A3:D1000,4, FALSE),""), "")</f>
        <v/>
      </c>
      <c r="J719" s="2" t="str">
        <f>IF(AND(A719&lt;&gt;"",I719&lt;&gt;""), SUMIFS(B719:I719,B1:I1,"&lt;&gt;",B2:I2,"&lt;&gt;Exame",B2:I2,"&lt;&gt;exame",B2:I2,"&lt;&gt;Nota",B2:I2,"&lt;&gt;Total"),"")</f>
        <v/>
      </c>
      <c r="K719" s="2" t="str">
        <f>IF(AND(A719&lt;&gt;"",J719&lt;&gt;""),ROUND(J719,0),"")</f>
        <v/>
      </c>
    </row>
    <row r="720" spans="2:11" x14ac:dyDescent="0.3">
      <c r="B720" s="2" t="str">
        <f>IFERROR(IF(A720&lt;&gt;"",VLOOKUP(Alunos!A720,Exame!A3:D1000,4, FALSE),""), "")</f>
        <v/>
      </c>
      <c r="C720" s="2" t="str">
        <f>IF(A720&lt;&gt;"",VLOOKUP(Alunos!A720,Agrupamentos!A3:C1000,2, FALSE),"")</f>
        <v/>
      </c>
      <c r="D720" s="2" t="str">
        <f>IFERROR(IF(A720&lt;&gt;"",VLOOKUP(Alunos!C720,'TP1'!A3:E1000,5, FALSE),""),"")</f>
        <v/>
      </c>
      <c r="E720" s="2" t="str">
        <f>IF(A720&lt;&gt;"",VLOOKUP(Alunos!A720,Agrupamentos!A3:C1000,3, FALSE),"")</f>
        <v/>
      </c>
      <c r="F720" s="2" t="str">
        <f>IFERROR(IF(A720&lt;&gt;"",VLOOKUP(Alunos!E720,'TP2'!A3:D1000,4, FALSE),""),"")</f>
        <v/>
      </c>
      <c r="G720" s="2" t="str">
        <f>IF(A720&lt;&gt;"", SUMIF(B1:F1,"&lt;&gt;",B720:F720),"")</f>
        <v/>
      </c>
      <c r="H720" s="2" t="str">
        <f>IF(AND(A720&lt;&gt;"",G720&lt;&gt;""),ROUND(G720,0),"")</f>
        <v/>
      </c>
      <c r="I720" s="2" t="str">
        <f>IFERROR(IF(A720&lt;&gt;"",VLOOKUP(Alunos!A720,Recurso!A3:D1000,4, FALSE),""), "")</f>
        <v/>
      </c>
      <c r="J720" s="2" t="str">
        <f>IF(AND(A720&lt;&gt;"",I720&lt;&gt;""), SUMIFS(B720:I720,B1:I1,"&lt;&gt;",B2:I2,"&lt;&gt;Exame",B2:I2,"&lt;&gt;exame",B2:I2,"&lt;&gt;Nota",B2:I2,"&lt;&gt;Total"),"")</f>
        <v/>
      </c>
      <c r="K720" s="2" t="str">
        <f>IF(AND(A720&lt;&gt;"",J720&lt;&gt;""),ROUND(J720,0),"")</f>
        <v/>
      </c>
    </row>
    <row r="721" spans="2:11" x14ac:dyDescent="0.3">
      <c r="B721" s="2" t="str">
        <f>IFERROR(IF(A721&lt;&gt;"",VLOOKUP(Alunos!A721,Exame!A3:D1000,4, FALSE),""), "")</f>
        <v/>
      </c>
      <c r="C721" s="2" t="str">
        <f>IF(A721&lt;&gt;"",VLOOKUP(Alunos!A721,Agrupamentos!A3:C1000,2, FALSE),"")</f>
        <v/>
      </c>
      <c r="D721" s="2" t="str">
        <f>IFERROR(IF(A721&lt;&gt;"",VLOOKUP(Alunos!C721,'TP1'!A3:E1000,5, FALSE),""),"")</f>
        <v/>
      </c>
      <c r="E721" s="2" t="str">
        <f>IF(A721&lt;&gt;"",VLOOKUP(Alunos!A721,Agrupamentos!A3:C1000,3, FALSE),"")</f>
        <v/>
      </c>
      <c r="F721" s="2" t="str">
        <f>IFERROR(IF(A721&lt;&gt;"",VLOOKUP(Alunos!E721,'TP2'!A3:D1000,4, FALSE),""),"")</f>
        <v/>
      </c>
      <c r="G721" s="2" t="str">
        <f>IF(A721&lt;&gt;"", SUMIF(B1:F1,"&lt;&gt;",B721:F721),"")</f>
        <v/>
      </c>
      <c r="H721" s="2" t="str">
        <f>IF(AND(A721&lt;&gt;"",G721&lt;&gt;""),ROUND(G721,0),"")</f>
        <v/>
      </c>
      <c r="I721" s="2" t="str">
        <f>IFERROR(IF(A721&lt;&gt;"",VLOOKUP(Alunos!A721,Recurso!A3:D1000,4, FALSE),""), "")</f>
        <v/>
      </c>
      <c r="J721" s="2" t="str">
        <f>IF(AND(A721&lt;&gt;"",I721&lt;&gt;""), SUMIFS(B721:I721,B1:I1,"&lt;&gt;",B2:I2,"&lt;&gt;Exame",B2:I2,"&lt;&gt;exame",B2:I2,"&lt;&gt;Nota",B2:I2,"&lt;&gt;Total"),"")</f>
        <v/>
      </c>
      <c r="K721" s="2" t="str">
        <f>IF(AND(A721&lt;&gt;"",J721&lt;&gt;""),ROUND(J721,0),"")</f>
        <v/>
      </c>
    </row>
    <row r="722" spans="2:11" x14ac:dyDescent="0.3">
      <c r="B722" s="2" t="str">
        <f>IFERROR(IF(A722&lt;&gt;"",VLOOKUP(Alunos!A722,Exame!A3:D1000,4, FALSE),""), "")</f>
        <v/>
      </c>
      <c r="C722" s="2" t="str">
        <f>IF(A722&lt;&gt;"",VLOOKUP(Alunos!A722,Agrupamentos!A3:C1000,2, FALSE),"")</f>
        <v/>
      </c>
      <c r="D722" s="2" t="str">
        <f>IFERROR(IF(A722&lt;&gt;"",VLOOKUP(Alunos!C722,'TP1'!A3:E1000,5, FALSE),""),"")</f>
        <v/>
      </c>
      <c r="E722" s="2" t="str">
        <f>IF(A722&lt;&gt;"",VLOOKUP(Alunos!A722,Agrupamentos!A3:C1000,3, FALSE),"")</f>
        <v/>
      </c>
      <c r="F722" s="2" t="str">
        <f>IFERROR(IF(A722&lt;&gt;"",VLOOKUP(Alunos!E722,'TP2'!A3:D1000,4, FALSE),""),"")</f>
        <v/>
      </c>
      <c r="G722" s="2" t="str">
        <f>IF(A722&lt;&gt;"", SUMIF(B1:F1,"&lt;&gt;",B722:F722),"")</f>
        <v/>
      </c>
      <c r="H722" s="2" t="str">
        <f>IF(AND(A722&lt;&gt;"",G722&lt;&gt;""),ROUND(G722,0),"")</f>
        <v/>
      </c>
      <c r="I722" s="2" t="str">
        <f>IFERROR(IF(A722&lt;&gt;"",VLOOKUP(Alunos!A722,Recurso!A3:D1000,4, FALSE),""), "")</f>
        <v/>
      </c>
      <c r="J722" s="2" t="str">
        <f>IF(AND(A722&lt;&gt;"",I722&lt;&gt;""), SUMIFS(B722:I722,B1:I1,"&lt;&gt;",B2:I2,"&lt;&gt;Exame",B2:I2,"&lt;&gt;exame",B2:I2,"&lt;&gt;Nota",B2:I2,"&lt;&gt;Total"),"")</f>
        <v/>
      </c>
      <c r="K722" s="2" t="str">
        <f>IF(AND(A722&lt;&gt;"",J722&lt;&gt;""),ROUND(J722,0),"")</f>
        <v/>
      </c>
    </row>
    <row r="723" spans="2:11" x14ac:dyDescent="0.3">
      <c r="B723" s="2" t="str">
        <f>IFERROR(IF(A723&lt;&gt;"",VLOOKUP(Alunos!A723,Exame!A3:D1000,4, FALSE),""), "")</f>
        <v/>
      </c>
      <c r="C723" s="2" t="str">
        <f>IF(A723&lt;&gt;"",VLOOKUP(Alunos!A723,Agrupamentos!A3:C1000,2, FALSE),"")</f>
        <v/>
      </c>
      <c r="D723" s="2" t="str">
        <f>IFERROR(IF(A723&lt;&gt;"",VLOOKUP(Alunos!C723,'TP1'!A3:E1000,5, FALSE),""),"")</f>
        <v/>
      </c>
      <c r="E723" s="2" t="str">
        <f>IF(A723&lt;&gt;"",VLOOKUP(Alunos!A723,Agrupamentos!A3:C1000,3, FALSE),"")</f>
        <v/>
      </c>
      <c r="F723" s="2" t="str">
        <f>IFERROR(IF(A723&lt;&gt;"",VLOOKUP(Alunos!E723,'TP2'!A3:D1000,4, FALSE),""),"")</f>
        <v/>
      </c>
      <c r="G723" s="2" t="str">
        <f>IF(A723&lt;&gt;"", SUMIF(B1:F1,"&lt;&gt;",B723:F723),"")</f>
        <v/>
      </c>
      <c r="H723" s="2" t="str">
        <f>IF(AND(A723&lt;&gt;"",G723&lt;&gt;""),ROUND(G723,0),"")</f>
        <v/>
      </c>
      <c r="I723" s="2" t="str">
        <f>IFERROR(IF(A723&lt;&gt;"",VLOOKUP(Alunos!A723,Recurso!A3:D1000,4, FALSE),""), "")</f>
        <v/>
      </c>
      <c r="J723" s="2" t="str">
        <f>IF(AND(A723&lt;&gt;"",I723&lt;&gt;""), SUMIFS(B723:I723,B1:I1,"&lt;&gt;",B2:I2,"&lt;&gt;Exame",B2:I2,"&lt;&gt;exame",B2:I2,"&lt;&gt;Nota",B2:I2,"&lt;&gt;Total"),"")</f>
        <v/>
      </c>
      <c r="K723" s="2" t="str">
        <f>IF(AND(A723&lt;&gt;"",J723&lt;&gt;""),ROUND(J723,0),"")</f>
        <v/>
      </c>
    </row>
    <row r="724" spans="2:11" x14ac:dyDescent="0.3">
      <c r="B724" s="2" t="str">
        <f>IFERROR(IF(A724&lt;&gt;"",VLOOKUP(Alunos!A724,Exame!A3:D1000,4, FALSE),""), "")</f>
        <v/>
      </c>
      <c r="C724" s="2" t="str">
        <f>IF(A724&lt;&gt;"",VLOOKUP(Alunos!A724,Agrupamentos!A3:C1000,2, FALSE),"")</f>
        <v/>
      </c>
      <c r="D724" s="2" t="str">
        <f>IFERROR(IF(A724&lt;&gt;"",VLOOKUP(Alunos!C724,'TP1'!A3:E1000,5, FALSE),""),"")</f>
        <v/>
      </c>
      <c r="E724" s="2" t="str">
        <f>IF(A724&lt;&gt;"",VLOOKUP(Alunos!A724,Agrupamentos!A3:C1000,3, FALSE),"")</f>
        <v/>
      </c>
      <c r="F724" s="2" t="str">
        <f>IFERROR(IF(A724&lt;&gt;"",VLOOKUP(Alunos!E724,'TP2'!A3:D1000,4, FALSE),""),"")</f>
        <v/>
      </c>
      <c r="G724" s="2" t="str">
        <f>IF(A724&lt;&gt;"", SUMIF(B1:F1,"&lt;&gt;",B724:F724),"")</f>
        <v/>
      </c>
      <c r="H724" s="2" t="str">
        <f>IF(AND(A724&lt;&gt;"",G724&lt;&gt;""),ROUND(G724,0),"")</f>
        <v/>
      </c>
      <c r="I724" s="2" t="str">
        <f>IFERROR(IF(A724&lt;&gt;"",VLOOKUP(Alunos!A724,Recurso!A3:D1000,4, FALSE),""), "")</f>
        <v/>
      </c>
      <c r="J724" s="2" t="str">
        <f>IF(AND(A724&lt;&gt;"",I724&lt;&gt;""), SUMIFS(B724:I724,B1:I1,"&lt;&gt;",B2:I2,"&lt;&gt;Exame",B2:I2,"&lt;&gt;exame",B2:I2,"&lt;&gt;Nota",B2:I2,"&lt;&gt;Total"),"")</f>
        <v/>
      </c>
      <c r="K724" s="2" t="str">
        <f>IF(AND(A724&lt;&gt;"",J724&lt;&gt;""),ROUND(J724,0),"")</f>
        <v/>
      </c>
    </row>
    <row r="725" spans="2:11" x14ac:dyDescent="0.3">
      <c r="B725" s="2" t="str">
        <f>IFERROR(IF(A725&lt;&gt;"",VLOOKUP(Alunos!A725,Exame!A3:D1000,4, FALSE),""), "")</f>
        <v/>
      </c>
      <c r="C725" s="2" t="str">
        <f>IF(A725&lt;&gt;"",VLOOKUP(Alunos!A725,Agrupamentos!A3:C1000,2, FALSE),"")</f>
        <v/>
      </c>
      <c r="D725" s="2" t="str">
        <f>IFERROR(IF(A725&lt;&gt;"",VLOOKUP(Alunos!C725,'TP1'!A3:E1000,5, FALSE),""),"")</f>
        <v/>
      </c>
      <c r="E725" s="2" t="str">
        <f>IF(A725&lt;&gt;"",VLOOKUP(Alunos!A725,Agrupamentos!A3:C1000,3, FALSE),"")</f>
        <v/>
      </c>
      <c r="F725" s="2" t="str">
        <f>IFERROR(IF(A725&lt;&gt;"",VLOOKUP(Alunos!E725,'TP2'!A3:D1000,4, FALSE),""),"")</f>
        <v/>
      </c>
      <c r="G725" s="2" t="str">
        <f>IF(A725&lt;&gt;"", SUMIF(B1:F1,"&lt;&gt;",B725:F725),"")</f>
        <v/>
      </c>
      <c r="H725" s="2" t="str">
        <f>IF(AND(A725&lt;&gt;"",G725&lt;&gt;""),ROUND(G725,0),"")</f>
        <v/>
      </c>
      <c r="I725" s="2" t="str">
        <f>IFERROR(IF(A725&lt;&gt;"",VLOOKUP(Alunos!A725,Recurso!A3:D1000,4, FALSE),""), "")</f>
        <v/>
      </c>
      <c r="J725" s="2" t="str">
        <f>IF(AND(A725&lt;&gt;"",I725&lt;&gt;""), SUMIFS(B725:I725,B1:I1,"&lt;&gt;",B2:I2,"&lt;&gt;Exame",B2:I2,"&lt;&gt;exame",B2:I2,"&lt;&gt;Nota",B2:I2,"&lt;&gt;Total"),"")</f>
        <v/>
      </c>
      <c r="K725" s="2" t="str">
        <f>IF(AND(A725&lt;&gt;"",J725&lt;&gt;""),ROUND(J725,0),"")</f>
        <v/>
      </c>
    </row>
    <row r="726" spans="2:11" x14ac:dyDescent="0.3">
      <c r="B726" s="2" t="str">
        <f>IFERROR(IF(A726&lt;&gt;"",VLOOKUP(Alunos!A726,Exame!A3:D1000,4, FALSE),""), "")</f>
        <v/>
      </c>
      <c r="C726" s="2" t="str">
        <f>IF(A726&lt;&gt;"",VLOOKUP(Alunos!A726,Agrupamentos!A3:C1000,2, FALSE),"")</f>
        <v/>
      </c>
      <c r="D726" s="2" t="str">
        <f>IFERROR(IF(A726&lt;&gt;"",VLOOKUP(Alunos!C726,'TP1'!A3:E1000,5, FALSE),""),"")</f>
        <v/>
      </c>
      <c r="E726" s="2" t="str">
        <f>IF(A726&lt;&gt;"",VLOOKUP(Alunos!A726,Agrupamentos!A3:C1000,3, FALSE),"")</f>
        <v/>
      </c>
      <c r="F726" s="2" t="str">
        <f>IFERROR(IF(A726&lt;&gt;"",VLOOKUP(Alunos!E726,'TP2'!A3:D1000,4, FALSE),""),"")</f>
        <v/>
      </c>
      <c r="G726" s="2" t="str">
        <f>IF(A726&lt;&gt;"", SUMIF(B1:F1,"&lt;&gt;",B726:F726),"")</f>
        <v/>
      </c>
      <c r="H726" s="2" t="str">
        <f>IF(AND(A726&lt;&gt;"",G726&lt;&gt;""),ROUND(G726,0),"")</f>
        <v/>
      </c>
      <c r="I726" s="2" t="str">
        <f>IFERROR(IF(A726&lt;&gt;"",VLOOKUP(Alunos!A726,Recurso!A3:D1000,4, FALSE),""), "")</f>
        <v/>
      </c>
      <c r="J726" s="2" t="str">
        <f>IF(AND(A726&lt;&gt;"",I726&lt;&gt;""), SUMIFS(B726:I726,B1:I1,"&lt;&gt;",B2:I2,"&lt;&gt;Exame",B2:I2,"&lt;&gt;exame",B2:I2,"&lt;&gt;Nota",B2:I2,"&lt;&gt;Total"),"")</f>
        <v/>
      </c>
      <c r="K726" s="2" t="str">
        <f>IF(AND(A726&lt;&gt;"",J726&lt;&gt;""),ROUND(J726,0),"")</f>
        <v/>
      </c>
    </row>
    <row r="727" spans="2:11" x14ac:dyDescent="0.3">
      <c r="B727" s="2" t="str">
        <f>IFERROR(IF(A727&lt;&gt;"",VLOOKUP(Alunos!A727,Exame!A3:D1000,4, FALSE),""), "")</f>
        <v/>
      </c>
      <c r="C727" s="2" t="str">
        <f>IF(A727&lt;&gt;"",VLOOKUP(Alunos!A727,Agrupamentos!A3:C1000,2, FALSE),"")</f>
        <v/>
      </c>
      <c r="D727" s="2" t="str">
        <f>IFERROR(IF(A727&lt;&gt;"",VLOOKUP(Alunos!C727,'TP1'!A3:E1000,5, FALSE),""),"")</f>
        <v/>
      </c>
      <c r="E727" s="2" t="str">
        <f>IF(A727&lt;&gt;"",VLOOKUP(Alunos!A727,Agrupamentos!A3:C1000,3, FALSE),"")</f>
        <v/>
      </c>
      <c r="F727" s="2" t="str">
        <f>IFERROR(IF(A727&lt;&gt;"",VLOOKUP(Alunos!E727,'TP2'!A3:D1000,4, FALSE),""),"")</f>
        <v/>
      </c>
      <c r="G727" s="2" t="str">
        <f>IF(A727&lt;&gt;"", SUMIF(B1:F1,"&lt;&gt;",B727:F727),"")</f>
        <v/>
      </c>
      <c r="H727" s="2" t="str">
        <f>IF(AND(A727&lt;&gt;"",G727&lt;&gt;""),ROUND(G727,0),"")</f>
        <v/>
      </c>
      <c r="I727" s="2" t="str">
        <f>IFERROR(IF(A727&lt;&gt;"",VLOOKUP(Alunos!A727,Recurso!A3:D1000,4, FALSE),""), "")</f>
        <v/>
      </c>
      <c r="J727" s="2" t="str">
        <f>IF(AND(A727&lt;&gt;"",I727&lt;&gt;""), SUMIFS(B727:I727,B1:I1,"&lt;&gt;",B2:I2,"&lt;&gt;Exame",B2:I2,"&lt;&gt;exame",B2:I2,"&lt;&gt;Nota",B2:I2,"&lt;&gt;Total"),"")</f>
        <v/>
      </c>
      <c r="K727" s="2" t="str">
        <f>IF(AND(A727&lt;&gt;"",J727&lt;&gt;""),ROUND(J727,0),"")</f>
        <v/>
      </c>
    </row>
    <row r="728" spans="2:11" x14ac:dyDescent="0.3">
      <c r="B728" s="2" t="str">
        <f>IFERROR(IF(A728&lt;&gt;"",VLOOKUP(Alunos!A728,Exame!A3:D1000,4, FALSE),""), "")</f>
        <v/>
      </c>
      <c r="C728" s="2" t="str">
        <f>IF(A728&lt;&gt;"",VLOOKUP(Alunos!A728,Agrupamentos!A3:C1000,2, FALSE),"")</f>
        <v/>
      </c>
      <c r="D728" s="2" t="str">
        <f>IFERROR(IF(A728&lt;&gt;"",VLOOKUP(Alunos!C728,'TP1'!A3:E1000,5, FALSE),""),"")</f>
        <v/>
      </c>
      <c r="E728" s="2" t="str">
        <f>IF(A728&lt;&gt;"",VLOOKUP(Alunos!A728,Agrupamentos!A3:C1000,3, FALSE),"")</f>
        <v/>
      </c>
      <c r="F728" s="2" t="str">
        <f>IFERROR(IF(A728&lt;&gt;"",VLOOKUP(Alunos!E728,'TP2'!A3:D1000,4, FALSE),""),"")</f>
        <v/>
      </c>
      <c r="G728" s="2" t="str">
        <f>IF(A728&lt;&gt;"", SUMIF(B1:F1,"&lt;&gt;",B728:F728),"")</f>
        <v/>
      </c>
      <c r="H728" s="2" t="str">
        <f>IF(AND(A728&lt;&gt;"",G728&lt;&gt;""),ROUND(G728,0),"")</f>
        <v/>
      </c>
      <c r="I728" s="2" t="str">
        <f>IFERROR(IF(A728&lt;&gt;"",VLOOKUP(Alunos!A728,Recurso!A3:D1000,4, FALSE),""), "")</f>
        <v/>
      </c>
      <c r="J728" s="2" t="str">
        <f>IF(AND(A728&lt;&gt;"",I728&lt;&gt;""), SUMIFS(B728:I728,B1:I1,"&lt;&gt;",B2:I2,"&lt;&gt;Exame",B2:I2,"&lt;&gt;exame",B2:I2,"&lt;&gt;Nota",B2:I2,"&lt;&gt;Total"),"")</f>
        <v/>
      </c>
      <c r="K728" s="2" t="str">
        <f>IF(AND(A728&lt;&gt;"",J728&lt;&gt;""),ROUND(J728,0),"")</f>
        <v/>
      </c>
    </row>
    <row r="729" spans="2:11" x14ac:dyDescent="0.3">
      <c r="B729" s="2" t="str">
        <f>IFERROR(IF(A729&lt;&gt;"",VLOOKUP(Alunos!A729,Exame!A3:D1000,4, FALSE),""), "")</f>
        <v/>
      </c>
      <c r="C729" s="2" t="str">
        <f>IF(A729&lt;&gt;"",VLOOKUP(Alunos!A729,Agrupamentos!A3:C1000,2, FALSE),"")</f>
        <v/>
      </c>
      <c r="D729" s="2" t="str">
        <f>IFERROR(IF(A729&lt;&gt;"",VLOOKUP(Alunos!C729,'TP1'!A3:E1000,5, FALSE),""),"")</f>
        <v/>
      </c>
      <c r="E729" s="2" t="str">
        <f>IF(A729&lt;&gt;"",VLOOKUP(Alunos!A729,Agrupamentos!A3:C1000,3, FALSE),"")</f>
        <v/>
      </c>
      <c r="F729" s="2" t="str">
        <f>IFERROR(IF(A729&lt;&gt;"",VLOOKUP(Alunos!E729,'TP2'!A3:D1000,4, FALSE),""),"")</f>
        <v/>
      </c>
      <c r="G729" s="2" t="str">
        <f>IF(A729&lt;&gt;"", SUMIF(B1:F1,"&lt;&gt;",B729:F729),"")</f>
        <v/>
      </c>
      <c r="H729" s="2" t="str">
        <f>IF(AND(A729&lt;&gt;"",G729&lt;&gt;""),ROUND(G729,0),"")</f>
        <v/>
      </c>
      <c r="I729" s="2" t="str">
        <f>IFERROR(IF(A729&lt;&gt;"",VLOOKUP(Alunos!A729,Recurso!A3:D1000,4, FALSE),""), "")</f>
        <v/>
      </c>
      <c r="J729" s="2" t="str">
        <f>IF(AND(A729&lt;&gt;"",I729&lt;&gt;""), SUMIFS(B729:I729,B1:I1,"&lt;&gt;",B2:I2,"&lt;&gt;Exame",B2:I2,"&lt;&gt;exame",B2:I2,"&lt;&gt;Nota",B2:I2,"&lt;&gt;Total"),"")</f>
        <v/>
      </c>
      <c r="K729" s="2" t="str">
        <f>IF(AND(A729&lt;&gt;"",J729&lt;&gt;""),ROUND(J729,0),"")</f>
        <v/>
      </c>
    </row>
    <row r="730" spans="2:11" x14ac:dyDescent="0.3">
      <c r="B730" s="2" t="str">
        <f>IFERROR(IF(A730&lt;&gt;"",VLOOKUP(Alunos!A730,Exame!A3:D1000,4, FALSE),""), "")</f>
        <v/>
      </c>
      <c r="C730" s="2" t="str">
        <f>IF(A730&lt;&gt;"",VLOOKUP(Alunos!A730,Agrupamentos!A3:C1000,2, FALSE),"")</f>
        <v/>
      </c>
      <c r="D730" s="2" t="str">
        <f>IFERROR(IF(A730&lt;&gt;"",VLOOKUP(Alunos!C730,'TP1'!A3:E1000,5, FALSE),""),"")</f>
        <v/>
      </c>
      <c r="E730" s="2" t="str">
        <f>IF(A730&lt;&gt;"",VLOOKUP(Alunos!A730,Agrupamentos!A3:C1000,3, FALSE),"")</f>
        <v/>
      </c>
      <c r="F730" s="2" t="str">
        <f>IFERROR(IF(A730&lt;&gt;"",VLOOKUP(Alunos!E730,'TP2'!A3:D1000,4, FALSE),""),"")</f>
        <v/>
      </c>
      <c r="G730" s="2" t="str">
        <f>IF(A730&lt;&gt;"", SUMIF(B1:F1,"&lt;&gt;",B730:F730),"")</f>
        <v/>
      </c>
      <c r="H730" s="2" t="str">
        <f>IF(AND(A730&lt;&gt;"",G730&lt;&gt;""),ROUND(G730,0),"")</f>
        <v/>
      </c>
      <c r="I730" s="2" t="str">
        <f>IFERROR(IF(A730&lt;&gt;"",VLOOKUP(Alunos!A730,Recurso!A3:D1000,4, FALSE),""), "")</f>
        <v/>
      </c>
      <c r="J730" s="2" t="str">
        <f>IF(AND(A730&lt;&gt;"",I730&lt;&gt;""), SUMIFS(B730:I730,B1:I1,"&lt;&gt;",B2:I2,"&lt;&gt;Exame",B2:I2,"&lt;&gt;exame",B2:I2,"&lt;&gt;Nota",B2:I2,"&lt;&gt;Total"),"")</f>
        <v/>
      </c>
      <c r="K730" s="2" t="str">
        <f>IF(AND(A730&lt;&gt;"",J730&lt;&gt;""),ROUND(J730,0),"")</f>
        <v/>
      </c>
    </row>
    <row r="731" spans="2:11" x14ac:dyDescent="0.3">
      <c r="B731" s="2" t="str">
        <f>IFERROR(IF(A731&lt;&gt;"",VLOOKUP(Alunos!A731,Exame!A3:D1000,4, FALSE),""), "")</f>
        <v/>
      </c>
      <c r="C731" s="2" t="str">
        <f>IF(A731&lt;&gt;"",VLOOKUP(Alunos!A731,Agrupamentos!A3:C1000,2, FALSE),"")</f>
        <v/>
      </c>
      <c r="D731" s="2" t="str">
        <f>IFERROR(IF(A731&lt;&gt;"",VLOOKUP(Alunos!C731,'TP1'!A3:E1000,5, FALSE),""),"")</f>
        <v/>
      </c>
      <c r="E731" s="2" t="str">
        <f>IF(A731&lt;&gt;"",VLOOKUP(Alunos!A731,Agrupamentos!A3:C1000,3, FALSE),"")</f>
        <v/>
      </c>
      <c r="F731" s="2" t="str">
        <f>IFERROR(IF(A731&lt;&gt;"",VLOOKUP(Alunos!E731,'TP2'!A3:D1000,4, FALSE),""),"")</f>
        <v/>
      </c>
      <c r="G731" s="2" t="str">
        <f>IF(A731&lt;&gt;"", SUMIF(B1:F1,"&lt;&gt;",B731:F731),"")</f>
        <v/>
      </c>
      <c r="H731" s="2" t="str">
        <f>IF(AND(A731&lt;&gt;"",G731&lt;&gt;""),ROUND(G731,0),"")</f>
        <v/>
      </c>
      <c r="I731" s="2" t="str">
        <f>IFERROR(IF(A731&lt;&gt;"",VLOOKUP(Alunos!A731,Recurso!A3:D1000,4, FALSE),""), "")</f>
        <v/>
      </c>
      <c r="J731" s="2" t="str">
        <f>IF(AND(A731&lt;&gt;"",I731&lt;&gt;""), SUMIFS(B731:I731,B1:I1,"&lt;&gt;",B2:I2,"&lt;&gt;Exame",B2:I2,"&lt;&gt;exame",B2:I2,"&lt;&gt;Nota",B2:I2,"&lt;&gt;Total"),"")</f>
        <v/>
      </c>
      <c r="K731" s="2" t="str">
        <f>IF(AND(A731&lt;&gt;"",J731&lt;&gt;""),ROUND(J731,0),"")</f>
        <v/>
      </c>
    </row>
    <row r="732" spans="2:11" x14ac:dyDescent="0.3">
      <c r="B732" s="2" t="str">
        <f>IFERROR(IF(A732&lt;&gt;"",VLOOKUP(Alunos!A732,Exame!A3:D1000,4, FALSE),""), "")</f>
        <v/>
      </c>
      <c r="C732" s="2" t="str">
        <f>IF(A732&lt;&gt;"",VLOOKUP(Alunos!A732,Agrupamentos!A3:C1000,2, FALSE),"")</f>
        <v/>
      </c>
      <c r="D732" s="2" t="str">
        <f>IFERROR(IF(A732&lt;&gt;"",VLOOKUP(Alunos!C732,'TP1'!A3:E1000,5, FALSE),""),"")</f>
        <v/>
      </c>
      <c r="E732" s="2" t="str">
        <f>IF(A732&lt;&gt;"",VLOOKUP(Alunos!A732,Agrupamentos!A3:C1000,3, FALSE),"")</f>
        <v/>
      </c>
      <c r="F732" s="2" t="str">
        <f>IFERROR(IF(A732&lt;&gt;"",VLOOKUP(Alunos!E732,'TP2'!A3:D1000,4, FALSE),""),"")</f>
        <v/>
      </c>
      <c r="G732" s="2" t="str">
        <f>IF(A732&lt;&gt;"", SUMIF(B1:F1,"&lt;&gt;",B732:F732),"")</f>
        <v/>
      </c>
      <c r="H732" s="2" t="str">
        <f>IF(AND(A732&lt;&gt;"",G732&lt;&gt;""),ROUND(G732,0),"")</f>
        <v/>
      </c>
      <c r="I732" s="2" t="str">
        <f>IFERROR(IF(A732&lt;&gt;"",VLOOKUP(Alunos!A732,Recurso!A3:D1000,4, FALSE),""), "")</f>
        <v/>
      </c>
      <c r="J732" s="2" t="str">
        <f>IF(AND(A732&lt;&gt;"",I732&lt;&gt;""), SUMIFS(B732:I732,B1:I1,"&lt;&gt;",B2:I2,"&lt;&gt;Exame",B2:I2,"&lt;&gt;exame",B2:I2,"&lt;&gt;Nota",B2:I2,"&lt;&gt;Total"),"")</f>
        <v/>
      </c>
      <c r="K732" s="2" t="str">
        <f>IF(AND(A732&lt;&gt;"",J732&lt;&gt;""),ROUND(J732,0),"")</f>
        <v/>
      </c>
    </row>
    <row r="733" spans="2:11" x14ac:dyDescent="0.3">
      <c r="B733" s="2" t="str">
        <f>IFERROR(IF(A733&lt;&gt;"",VLOOKUP(Alunos!A733,Exame!A3:D1000,4, FALSE),""), "")</f>
        <v/>
      </c>
      <c r="C733" s="2" t="str">
        <f>IF(A733&lt;&gt;"",VLOOKUP(Alunos!A733,Agrupamentos!A3:C1000,2, FALSE),"")</f>
        <v/>
      </c>
      <c r="D733" s="2" t="str">
        <f>IFERROR(IF(A733&lt;&gt;"",VLOOKUP(Alunos!C733,'TP1'!A3:E1000,5, FALSE),""),"")</f>
        <v/>
      </c>
      <c r="E733" s="2" t="str">
        <f>IF(A733&lt;&gt;"",VLOOKUP(Alunos!A733,Agrupamentos!A3:C1000,3, FALSE),"")</f>
        <v/>
      </c>
      <c r="F733" s="2" t="str">
        <f>IFERROR(IF(A733&lt;&gt;"",VLOOKUP(Alunos!E733,'TP2'!A3:D1000,4, FALSE),""),"")</f>
        <v/>
      </c>
      <c r="G733" s="2" t="str">
        <f>IF(A733&lt;&gt;"", SUMIF(B1:F1,"&lt;&gt;",B733:F733),"")</f>
        <v/>
      </c>
      <c r="H733" s="2" t="str">
        <f>IF(AND(A733&lt;&gt;"",G733&lt;&gt;""),ROUND(G733,0),"")</f>
        <v/>
      </c>
      <c r="I733" s="2" t="str">
        <f>IFERROR(IF(A733&lt;&gt;"",VLOOKUP(Alunos!A733,Recurso!A3:D1000,4, FALSE),""), "")</f>
        <v/>
      </c>
      <c r="J733" s="2" t="str">
        <f>IF(AND(A733&lt;&gt;"",I733&lt;&gt;""), SUMIFS(B733:I733,B1:I1,"&lt;&gt;",B2:I2,"&lt;&gt;Exame",B2:I2,"&lt;&gt;exame",B2:I2,"&lt;&gt;Nota",B2:I2,"&lt;&gt;Total"),"")</f>
        <v/>
      </c>
      <c r="K733" s="2" t="str">
        <f>IF(AND(A733&lt;&gt;"",J733&lt;&gt;""),ROUND(J733,0),"")</f>
        <v/>
      </c>
    </row>
    <row r="734" spans="2:11" x14ac:dyDescent="0.3">
      <c r="B734" s="2" t="str">
        <f>IFERROR(IF(A734&lt;&gt;"",VLOOKUP(Alunos!A734,Exame!A3:D1000,4, FALSE),""), "")</f>
        <v/>
      </c>
      <c r="C734" s="2" t="str">
        <f>IF(A734&lt;&gt;"",VLOOKUP(Alunos!A734,Agrupamentos!A3:C1000,2, FALSE),"")</f>
        <v/>
      </c>
      <c r="D734" s="2" t="str">
        <f>IFERROR(IF(A734&lt;&gt;"",VLOOKUP(Alunos!C734,'TP1'!A3:E1000,5, FALSE),""),"")</f>
        <v/>
      </c>
      <c r="E734" s="2" t="str">
        <f>IF(A734&lt;&gt;"",VLOOKUP(Alunos!A734,Agrupamentos!A3:C1000,3, FALSE),"")</f>
        <v/>
      </c>
      <c r="F734" s="2" t="str">
        <f>IFERROR(IF(A734&lt;&gt;"",VLOOKUP(Alunos!E734,'TP2'!A3:D1000,4, FALSE),""),"")</f>
        <v/>
      </c>
      <c r="G734" s="2" t="str">
        <f>IF(A734&lt;&gt;"", SUMIF(B1:F1,"&lt;&gt;",B734:F734),"")</f>
        <v/>
      </c>
      <c r="H734" s="2" t="str">
        <f>IF(AND(A734&lt;&gt;"",G734&lt;&gt;""),ROUND(G734,0),"")</f>
        <v/>
      </c>
      <c r="I734" s="2" t="str">
        <f>IFERROR(IF(A734&lt;&gt;"",VLOOKUP(Alunos!A734,Recurso!A3:D1000,4, FALSE),""), "")</f>
        <v/>
      </c>
      <c r="J734" s="2" t="str">
        <f>IF(AND(A734&lt;&gt;"",I734&lt;&gt;""), SUMIFS(B734:I734,B1:I1,"&lt;&gt;",B2:I2,"&lt;&gt;Exame",B2:I2,"&lt;&gt;exame",B2:I2,"&lt;&gt;Nota",B2:I2,"&lt;&gt;Total"),"")</f>
        <v/>
      </c>
      <c r="K734" s="2" t="str">
        <f>IF(AND(A734&lt;&gt;"",J734&lt;&gt;""),ROUND(J734,0),"")</f>
        <v/>
      </c>
    </row>
    <row r="735" spans="2:11" x14ac:dyDescent="0.3">
      <c r="B735" s="2" t="str">
        <f>IFERROR(IF(A735&lt;&gt;"",VLOOKUP(Alunos!A735,Exame!A3:D1000,4, FALSE),""), "")</f>
        <v/>
      </c>
      <c r="C735" s="2" t="str">
        <f>IF(A735&lt;&gt;"",VLOOKUP(Alunos!A735,Agrupamentos!A3:C1000,2, FALSE),"")</f>
        <v/>
      </c>
      <c r="D735" s="2" t="str">
        <f>IFERROR(IF(A735&lt;&gt;"",VLOOKUP(Alunos!C735,'TP1'!A3:E1000,5, FALSE),""),"")</f>
        <v/>
      </c>
      <c r="E735" s="2" t="str">
        <f>IF(A735&lt;&gt;"",VLOOKUP(Alunos!A735,Agrupamentos!A3:C1000,3, FALSE),"")</f>
        <v/>
      </c>
      <c r="F735" s="2" t="str">
        <f>IFERROR(IF(A735&lt;&gt;"",VLOOKUP(Alunos!E735,'TP2'!A3:D1000,4, FALSE),""),"")</f>
        <v/>
      </c>
      <c r="G735" s="2" t="str">
        <f>IF(A735&lt;&gt;"", SUMIF(B1:F1,"&lt;&gt;",B735:F735),"")</f>
        <v/>
      </c>
      <c r="H735" s="2" t="str">
        <f>IF(AND(A735&lt;&gt;"",G735&lt;&gt;""),ROUND(G735,0),"")</f>
        <v/>
      </c>
      <c r="I735" s="2" t="str">
        <f>IFERROR(IF(A735&lt;&gt;"",VLOOKUP(Alunos!A735,Recurso!A3:D1000,4, FALSE),""), "")</f>
        <v/>
      </c>
      <c r="J735" s="2" t="str">
        <f>IF(AND(A735&lt;&gt;"",I735&lt;&gt;""), SUMIFS(B735:I735,B1:I1,"&lt;&gt;",B2:I2,"&lt;&gt;Exame",B2:I2,"&lt;&gt;exame",B2:I2,"&lt;&gt;Nota",B2:I2,"&lt;&gt;Total"),"")</f>
        <v/>
      </c>
      <c r="K735" s="2" t="str">
        <f>IF(AND(A735&lt;&gt;"",J735&lt;&gt;""),ROUND(J735,0),"")</f>
        <v/>
      </c>
    </row>
    <row r="736" spans="2:11" x14ac:dyDescent="0.3">
      <c r="B736" s="2" t="str">
        <f>IFERROR(IF(A736&lt;&gt;"",VLOOKUP(Alunos!A736,Exame!A3:D1000,4, FALSE),""), "")</f>
        <v/>
      </c>
      <c r="C736" s="2" t="str">
        <f>IF(A736&lt;&gt;"",VLOOKUP(Alunos!A736,Agrupamentos!A3:C1000,2, FALSE),"")</f>
        <v/>
      </c>
      <c r="D736" s="2" t="str">
        <f>IFERROR(IF(A736&lt;&gt;"",VLOOKUP(Alunos!C736,'TP1'!A3:E1000,5, FALSE),""),"")</f>
        <v/>
      </c>
      <c r="E736" s="2" t="str">
        <f>IF(A736&lt;&gt;"",VLOOKUP(Alunos!A736,Agrupamentos!A3:C1000,3, FALSE),"")</f>
        <v/>
      </c>
      <c r="F736" s="2" t="str">
        <f>IFERROR(IF(A736&lt;&gt;"",VLOOKUP(Alunos!E736,'TP2'!A3:D1000,4, FALSE),""),"")</f>
        <v/>
      </c>
      <c r="G736" s="2" t="str">
        <f>IF(A736&lt;&gt;"", SUMIF(B1:F1,"&lt;&gt;",B736:F736),"")</f>
        <v/>
      </c>
      <c r="H736" s="2" t="str">
        <f>IF(AND(A736&lt;&gt;"",G736&lt;&gt;""),ROUND(G736,0),"")</f>
        <v/>
      </c>
      <c r="I736" s="2" t="str">
        <f>IFERROR(IF(A736&lt;&gt;"",VLOOKUP(Alunos!A736,Recurso!A3:D1000,4, FALSE),""), "")</f>
        <v/>
      </c>
      <c r="J736" s="2" t="str">
        <f>IF(AND(A736&lt;&gt;"",I736&lt;&gt;""), SUMIFS(B736:I736,B1:I1,"&lt;&gt;",B2:I2,"&lt;&gt;Exame",B2:I2,"&lt;&gt;exame",B2:I2,"&lt;&gt;Nota",B2:I2,"&lt;&gt;Total"),"")</f>
        <v/>
      </c>
      <c r="K736" s="2" t="str">
        <f>IF(AND(A736&lt;&gt;"",J736&lt;&gt;""),ROUND(J736,0),"")</f>
        <v/>
      </c>
    </row>
    <row r="737" spans="2:11" x14ac:dyDescent="0.3">
      <c r="B737" s="2" t="str">
        <f>IFERROR(IF(A737&lt;&gt;"",VLOOKUP(Alunos!A737,Exame!A3:D1000,4, FALSE),""), "")</f>
        <v/>
      </c>
      <c r="C737" s="2" t="str">
        <f>IF(A737&lt;&gt;"",VLOOKUP(Alunos!A737,Agrupamentos!A3:C1000,2, FALSE),"")</f>
        <v/>
      </c>
      <c r="D737" s="2" t="str">
        <f>IFERROR(IF(A737&lt;&gt;"",VLOOKUP(Alunos!C737,'TP1'!A3:E1000,5, FALSE),""),"")</f>
        <v/>
      </c>
      <c r="E737" s="2" t="str">
        <f>IF(A737&lt;&gt;"",VLOOKUP(Alunos!A737,Agrupamentos!A3:C1000,3, FALSE),"")</f>
        <v/>
      </c>
      <c r="F737" s="2" t="str">
        <f>IFERROR(IF(A737&lt;&gt;"",VLOOKUP(Alunos!E737,'TP2'!A3:D1000,4, FALSE),""),"")</f>
        <v/>
      </c>
      <c r="G737" s="2" t="str">
        <f>IF(A737&lt;&gt;"", SUMIF(B1:F1,"&lt;&gt;",B737:F737),"")</f>
        <v/>
      </c>
      <c r="H737" s="2" t="str">
        <f>IF(AND(A737&lt;&gt;"",G737&lt;&gt;""),ROUND(G737,0),"")</f>
        <v/>
      </c>
      <c r="I737" s="2" t="str">
        <f>IFERROR(IF(A737&lt;&gt;"",VLOOKUP(Alunos!A737,Recurso!A3:D1000,4, FALSE),""), "")</f>
        <v/>
      </c>
      <c r="J737" s="2" t="str">
        <f>IF(AND(A737&lt;&gt;"",I737&lt;&gt;""), SUMIFS(B737:I737,B1:I1,"&lt;&gt;",B2:I2,"&lt;&gt;Exame",B2:I2,"&lt;&gt;exame",B2:I2,"&lt;&gt;Nota",B2:I2,"&lt;&gt;Total"),"")</f>
        <v/>
      </c>
      <c r="K737" s="2" t="str">
        <f>IF(AND(A737&lt;&gt;"",J737&lt;&gt;""),ROUND(J737,0),"")</f>
        <v/>
      </c>
    </row>
    <row r="738" spans="2:11" x14ac:dyDescent="0.3">
      <c r="B738" s="2" t="str">
        <f>IFERROR(IF(A738&lt;&gt;"",VLOOKUP(Alunos!A738,Exame!A3:D1000,4, FALSE),""), "")</f>
        <v/>
      </c>
      <c r="C738" s="2" t="str">
        <f>IF(A738&lt;&gt;"",VLOOKUP(Alunos!A738,Agrupamentos!A3:C1000,2, FALSE),"")</f>
        <v/>
      </c>
      <c r="D738" s="2" t="str">
        <f>IFERROR(IF(A738&lt;&gt;"",VLOOKUP(Alunos!C738,'TP1'!A3:E1000,5, FALSE),""),"")</f>
        <v/>
      </c>
      <c r="E738" s="2" t="str">
        <f>IF(A738&lt;&gt;"",VLOOKUP(Alunos!A738,Agrupamentos!A3:C1000,3, FALSE),"")</f>
        <v/>
      </c>
      <c r="F738" s="2" t="str">
        <f>IFERROR(IF(A738&lt;&gt;"",VLOOKUP(Alunos!E738,'TP2'!A3:D1000,4, FALSE),""),"")</f>
        <v/>
      </c>
      <c r="G738" s="2" t="str">
        <f>IF(A738&lt;&gt;"", SUMIF(B1:F1,"&lt;&gt;",B738:F738),"")</f>
        <v/>
      </c>
      <c r="H738" s="2" t="str">
        <f>IF(AND(A738&lt;&gt;"",G738&lt;&gt;""),ROUND(G738,0),"")</f>
        <v/>
      </c>
      <c r="I738" s="2" t="str">
        <f>IFERROR(IF(A738&lt;&gt;"",VLOOKUP(Alunos!A738,Recurso!A3:D1000,4, FALSE),""), "")</f>
        <v/>
      </c>
      <c r="J738" s="2" t="str">
        <f>IF(AND(A738&lt;&gt;"",I738&lt;&gt;""), SUMIFS(B738:I738,B1:I1,"&lt;&gt;",B2:I2,"&lt;&gt;Exame",B2:I2,"&lt;&gt;exame",B2:I2,"&lt;&gt;Nota",B2:I2,"&lt;&gt;Total"),"")</f>
        <v/>
      </c>
      <c r="K738" s="2" t="str">
        <f>IF(AND(A738&lt;&gt;"",J738&lt;&gt;""),ROUND(J738,0),"")</f>
        <v/>
      </c>
    </row>
    <row r="739" spans="2:11" x14ac:dyDescent="0.3">
      <c r="B739" s="2" t="str">
        <f>IFERROR(IF(A739&lt;&gt;"",VLOOKUP(Alunos!A739,Exame!A3:D1000,4, FALSE),""), "")</f>
        <v/>
      </c>
      <c r="C739" s="2" t="str">
        <f>IF(A739&lt;&gt;"",VLOOKUP(Alunos!A739,Agrupamentos!A3:C1000,2, FALSE),"")</f>
        <v/>
      </c>
      <c r="D739" s="2" t="str">
        <f>IFERROR(IF(A739&lt;&gt;"",VLOOKUP(Alunos!C739,'TP1'!A3:E1000,5, FALSE),""),"")</f>
        <v/>
      </c>
      <c r="E739" s="2" t="str">
        <f>IF(A739&lt;&gt;"",VLOOKUP(Alunos!A739,Agrupamentos!A3:C1000,3, FALSE),"")</f>
        <v/>
      </c>
      <c r="F739" s="2" t="str">
        <f>IFERROR(IF(A739&lt;&gt;"",VLOOKUP(Alunos!E739,'TP2'!A3:D1000,4, FALSE),""),"")</f>
        <v/>
      </c>
      <c r="G739" s="2" t="str">
        <f>IF(A739&lt;&gt;"", SUMIF(B1:F1,"&lt;&gt;",B739:F739),"")</f>
        <v/>
      </c>
      <c r="H739" s="2" t="str">
        <f>IF(AND(A739&lt;&gt;"",G739&lt;&gt;""),ROUND(G739,0),"")</f>
        <v/>
      </c>
      <c r="I739" s="2" t="str">
        <f>IFERROR(IF(A739&lt;&gt;"",VLOOKUP(Alunos!A739,Recurso!A3:D1000,4, FALSE),""), "")</f>
        <v/>
      </c>
      <c r="J739" s="2" t="str">
        <f>IF(AND(A739&lt;&gt;"",I739&lt;&gt;""), SUMIFS(B739:I739,B1:I1,"&lt;&gt;",B2:I2,"&lt;&gt;Exame",B2:I2,"&lt;&gt;exame",B2:I2,"&lt;&gt;Nota",B2:I2,"&lt;&gt;Total"),"")</f>
        <v/>
      </c>
      <c r="K739" s="2" t="str">
        <f>IF(AND(A739&lt;&gt;"",J739&lt;&gt;""),ROUND(J739,0),"")</f>
        <v/>
      </c>
    </row>
    <row r="740" spans="2:11" x14ac:dyDescent="0.3">
      <c r="B740" s="2" t="str">
        <f>IFERROR(IF(A740&lt;&gt;"",VLOOKUP(Alunos!A740,Exame!A3:D1000,4, FALSE),""), "")</f>
        <v/>
      </c>
      <c r="C740" s="2" t="str">
        <f>IF(A740&lt;&gt;"",VLOOKUP(Alunos!A740,Agrupamentos!A3:C1000,2, FALSE),"")</f>
        <v/>
      </c>
      <c r="D740" s="2" t="str">
        <f>IFERROR(IF(A740&lt;&gt;"",VLOOKUP(Alunos!C740,'TP1'!A3:E1000,5, FALSE),""),"")</f>
        <v/>
      </c>
      <c r="E740" s="2" t="str">
        <f>IF(A740&lt;&gt;"",VLOOKUP(Alunos!A740,Agrupamentos!A3:C1000,3, FALSE),"")</f>
        <v/>
      </c>
      <c r="F740" s="2" t="str">
        <f>IFERROR(IF(A740&lt;&gt;"",VLOOKUP(Alunos!E740,'TP2'!A3:D1000,4, FALSE),""),"")</f>
        <v/>
      </c>
      <c r="G740" s="2" t="str">
        <f>IF(A740&lt;&gt;"", SUMIF(B1:F1,"&lt;&gt;",B740:F740),"")</f>
        <v/>
      </c>
      <c r="H740" s="2" t="str">
        <f>IF(AND(A740&lt;&gt;"",G740&lt;&gt;""),ROUND(G740,0),"")</f>
        <v/>
      </c>
      <c r="I740" s="2" t="str">
        <f>IFERROR(IF(A740&lt;&gt;"",VLOOKUP(Alunos!A740,Recurso!A3:D1000,4, FALSE),""), "")</f>
        <v/>
      </c>
      <c r="J740" s="2" t="str">
        <f>IF(AND(A740&lt;&gt;"",I740&lt;&gt;""), SUMIFS(B740:I740,B1:I1,"&lt;&gt;",B2:I2,"&lt;&gt;Exame",B2:I2,"&lt;&gt;exame",B2:I2,"&lt;&gt;Nota",B2:I2,"&lt;&gt;Total"),"")</f>
        <v/>
      </c>
      <c r="K740" s="2" t="str">
        <f>IF(AND(A740&lt;&gt;"",J740&lt;&gt;""),ROUND(J740,0),"")</f>
        <v/>
      </c>
    </row>
    <row r="741" spans="2:11" x14ac:dyDescent="0.3">
      <c r="B741" s="2" t="str">
        <f>IFERROR(IF(A741&lt;&gt;"",VLOOKUP(Alunos!A741,Exame!A3:D1000,4, FALSE),""), "")</f>
        <v/>
      </c>
      <c r="C741" s="2" t="str">
        <f>IF(A741&lt;&gt;"",VLOOKUP(Alunos!A741,Agrupamentos!A3:C1000,2, FALSE),"")</f>
        <v/>
      </c>
      <c r="D741" s="2" t="str">
        <f>IFERROR(IF(A741&lt;&gt;"",VLOOKUP(Alunos!C741,'TP1'!A3:E1000,5, FALSE),""),"")</f>
        <v/>
      </c>
      <c r="E741" s="2" t="str">
        <f>IF(A741&lt;&gt;"",VLOOKUP(Alunos!A741,Agrupamentos!A3:C1000,3, FALSE),"")</f>
        <v/>
      </c>
      <c r="F741" s="2" t="str">
        <f>IFERROR(IF(A741&lt;&gt;"",VLOOKUP(Alunos!E741,'TP2'!A3:D1000,4, FALSE),""),"")</f>
        <v/>
      </c>
      <c r="G741" s="2" t="str">
        <f>IF(A741&lt;&gt;"", SUMIF(B1:F1,"&lt;&gt;",B741:F741),"")</f>
        <v/>
      </c>
      <c r="H741" s="2" t="str">
        <f>IF(AND(A741&lt;&gt;"",G741&lt;&gt;""),ROUND(G741,0),"")</f>
        <v/>
      </c>
      <c r="I741" s="2" t="str">
        <f>IFERROR(IF(A741&lt;&gt;"",VLOOKUP(Alunos!A741,Recurso!A3:D1000,4, FALSE),""), "")</f>
        <v/>
      </c>
      <c r="J741" s="2" t="str">
        <f>IF(AND(A741&lt;&gt;"",I741&lt;&gt;""), SUMIFS(B741:I741,B1:I1,"&lt;&gt;",B2:I2,"&lt;&gt;Exame",B2:I2,"&lt;&gt;exame",B2:I2,"&lt;&gt;Nota",B2:I2,"&lt;&gt;Total"),"")</f>
        <v/>
      </c>
      <c r="K741" s="2" t="str">
        <f>IF(AND(A741&lt;&gt;"",J741&lt;&gt;""),ROUND(J741,0),"")</f>
        <v/>
      </c>
    </row>
    <row r="742" spans="2:11" x14ac:dyDescent="0.3">
      <c r="B742" s="2" t="str">
        <f>IFERROR(IF(A742&lt;&gt;"",VLOOKUP(Alunos!A742,Exame!A3:D1000,4, FALSE),""), "")</f>
        <v/>
      </c>
      <c r="C742" s="2" t="str">
        <f>IF(A742&lt;&gt;"",VLOOKUP(Alunos!A742,Agrupamentos!A3:C1000,2, FALSE),"")</f>
        <v/>
      </c>
      <c r="D742" s="2" t="str">
        <f>IFERROR(IF(A742&lt;&gt;"",VLOOKUP(Alunos!C742,'TP1'!A3:E1000,5, FALSE),""),"")</f>
        <v/>
      </c>
      <c r="E742" s="2" t="str">
        <f>IF(A742&lt;&gt;"",VLOOKUP(Alunos!A742,Agrupamentos!A3:C1000,3, FALSE),"")</f>
        <v/>
      </c>
      <c r="F742" s="2" t="str">
        <f>IFERROR(IF(A742&lt;&gt;"",VLOOKUP(Alunos!E742,'TP2'!A3:D1000,4, FALSE),""),"")</f>
        <v/>
      </c>
      <c r="G742" s="2" t="str">
        <f>IF(A742&lt;&gt;"", SUMIF(B1:F1,"&lt;&gt;",B742:F742),"")</f>
        <v/>
      </c>
      <c r="H742" s="2" t="str">
        <f>IF(AND(A742&lt;&gt;"",G742&lt;&gt;""),ROUND(G742,0),"")</f>
        <v/>
      </c>
      <c r="I742" s="2" t="str">
        <f>IFERROR(IF(A742&lt;&gt;"",VLOOKUP(Alunos!A742,Recurso!A3:D1000,4, FALSE),""), "")</f>
        <v/>
      </c>
      <c r="J742" s="2" t="str">
        <f>IF(AND(A742&lt;&gt;"",I742&lt;&gt;""), SUMIFS(B742:I742,B1:I1,"&lt;&gt;",B2:I2,"&lt;&gt;Exame",B2:I2,"&lt;&gt;exame",B2:I2,"&lt;&gt;Nota",B2:I2,"&lt;&gt;Total"),"")</f>
        <v/>
      </c>
      <c r="K742" s="2" t="str">
        <f>IF(AND(A742&lt;&gt;"",J742&lt;&gt;""),ROUND(J742,0),"")</f>
        <v/>
      </c>
    </row>
    <row r="743" spans="2:11" x14ac:dyDescent="0.3">
      <c r="B743" s="2" t="str">
        <f>IFERROR(IF(A743&lt;&gt;"",VLOOKUP(Alunos!A743,Exame!A3:D1000,4, FALSE),""), "")</f>
        <v/>
      </c>
      <c r="C743" s="2" t="str">
        <f>IF(A743&lt;&gt;"",VLOOKUP(Alunos!A743,Agrupamentos!A3:C1000,2, FALSE),"")</f>
        <v/>
      </c>
      <c r="D743" s="2" t="str">
        <f>IFERROR(IF(A743&lt;&gt;"",VLOOKUP(Alunos!C743,'TP1'!A3:E1000,5, FALSE),""),"")</f>
        <v/>
      </c>
      <c r="E743" s="2" t="str">
        <f>IF(A743&lt;&gt;"",VLOOKUP(Alunos!A743,Agrupamentos!A3:C1000,3, FALSE),"")</f>
        <v/>
      </c>
      <c r="F743" s="2" t="str">
        <f>IFERROR(IF(A743&lt;&gt;"",VLOOKUP(Alunos!E743,'TP2'!A3:D1000,4, FALSE),""),"")</f>
        <v/>
      </c>
      <c r="G743" s="2" t="str">
        <f>IF(A743&lt;&gt;"", SUMIF(B1:F1,"&lt;&gt;",B743:F743),"")</f>
        <v/>
      </c>
      <c r="H743" s="2" t="str">
        <f>IF(AND(A743&lt;&gt;"",G743&lt;&gt;""),ROUND(G743,0),"")</f>
        <v/>
      </c>
      <c r="I743" s="2" t="str">
        <f>IFERROR(IF(A743&lt;&gt;"",VLOOKUP(Alunos!A743,Recurso!A3:D1000,4, FALSE),""), "")</f>
        <v/>
      </c>
      <c r="J743" s="2" t="str">
        <f>IF(AND(A743&lt;&gt;"",I743&lt;&gt;""), SUMIFS(B743:I743,B1:I1,"&lt;&gt;",B2:I2,"&lt;&gt;Exame",B2:I2,"&lt;&gt;exame",B2:I2,"&lt;&gt;Nota",B2:I2,"&lt;&gt;Total"),"")</f>
        <v/>
      </c>
      <c r="K743" s="2" t="str">
        <f>IF(AND(A743&lt;&gt;"",J743&lt;&gt;""),ROUND(J743,0),"")</f>
        <v/>
      </c>
    </row>
    <row r="744" spans="2:11" x14ac:dyDescent="0.3">
      <c r="B744" s="2" t="str">
        <f>IFERROR(IF(A744&lt;&gt;"",VLOOKUP(Alunos!A744,Exame!A3:D1000,4, FALSE),""), "")</f>
        <v/>
      </c>
      <c r="C744" s="2" t="str">
        <f>IF(A744&lt;&gt;"",VLOOKUP(Alunos!A744,Agrupamentos!A3:C1000,2, FALSE),"")</f>
        <v/>
      </c>
      <c r="D744" s="2" t="str">
        <f>IFERROR(IF(A744&lt;&gt;"",VLOOKUP(Alunos!C744,'TP1'!A3:E1000,5, FALSE),""),"")</f>
        <v/>
      </c>
      <c r="E744" s="2" t="str">
        <f>IF(A744&lt;&gt;"",VLOOKUP(Alunos!A744,Agrupamentos!A3:C1000,3, FALSE),"")</f>
        <v/>
      </c>
      <c r="F744" s="2" t="str">
        <f>IFERROR(IF(A744&lt;&gt;"",VLOOKUP(Alunos!E744,'TP2'!A3:D1000,4, FALSE),""),"")</f>
        <v/>
      </c>
      <c r="G744" s="2" t="str">
        <f>IF(A744&lt;&gt;"", SUMIF(B1:F1,"&lt;&gt;",B744:F744),"")</f>
        <v/>
      </c>
      <c r="H744" s="2" t="str">
        <f>IF(AND(A744&lt;&gt;"",G744&lt;&gt;""),ROUND(G744,0),"")</f>
        <v/>
      </c>
      <c r="I744" s="2" t="str">
        <f>IFERROR(IF(A744&lt;&gt;"",VLOOKUP(Alunos!A744,Recurso!A3:D1000,4, FALSE),""), "")</f>
        <v/>
      </c>
      <c r="J744" s="2" t="str">
        <f>IF(AND(A744&lt;&gt;"",I744&lt;&gt;""), SUMIFS(B744:I744,B1:I1,"&lt;&gt;",B2:I2,"&lt;&gt;Exame",B2:I2,"&lt;&gt;exame",B2:I2,"&lt;&gt;Nota",B2:I2,"&lt;&gt;Total"),"")</f>
        <v/>
      </c>
      <c r="K744" s="2" t="str">
        <f>IF(AND(A744&lt;&gt;"",J744&lt;&gt;""),ROUND(J744,0),"")</f>
        <v/>
      </c>
    </row>
    <row r="745" spans="2:11" x14ac:dyDescent="0.3">
      <c r="B745" s="2" t="str">
        <f>IFERROR(IF(A745&lt;&gt;"",VLOOKUP(Alunos!A745,Exame!A3:D1000,4, FALSE),""), "")</f>
        <v/>
      </c>
      <c r="C745" s="2" t="str">
        <f>IF(A745&lt;&gt;"",VLOOKUP(Alunos!A745,Agrupamentos!A3:C1000,2, FALSE),"")</f>
        <v/>
      </c>
      <c r="D745" s="2" t="str">
        <f>IFERROR(IF(A745&lt;&gt;"",VLOOKUP(Alunos!C745,'TP1'!A3:E1000,5, FALSE),""),"")</f>
        <v/>
      </c>
      <c r="E745" s="2" t="str">
        <f>IF(A745&lt;&gt;"",VLOOKUP(Alunos!A745,Agrupamentos!A3:C1000,3, FALSE),"")</f>
        <v/>
      </c>
      <c r="F745" s="2" t="str">
        <f>IFERROR(IF(A745&lt;&gt;"",VLOOKUP(Alunos!E745,'TP2'!A3:D1000,4, FALSE),""),"")</f>
        <v/>
      </c>
      <c r="G745" s="2" t="str">
        <f>IF(A745&lt;&gt;"", SUMIF(B1:F1,"&lt;&gt;",B745:F745),"")</f>
        <v/>
      </c>
      <c r="H745" s="2" t="str">
        <f>IF(AND(A745&lt;&gt;"",G745&lt;&gt;""),ROUND(G745,0),"")</f>
        <v/>
      </c>
      <c r="I745" s="2" t="str">
        <f>IFERROR(IF(A745&lt;&gt;"",VLOOKUP(Alunos!A745,Recurso!A3:D1000,4, FALSE),""), "")</f>
        <v/>
      </c>
      <c r="J745" s="2" t="str">
        <f>IF(AND(A745&lt;&gt;"",I745&lt;&gt;""), SUMIFS(B745:I745,B1:I1,"&lt;&gt;",B2:I2,"&lt;&gt;Exame",B2:I2,"&lt;&gt;exame",B2:I2,"&lt;&gt;Nota",B2:I2,"&lt;&gt;Total"),"")</f>
        <v/>
      </c>
      <c r="K745" s="2" t="str">
        <f>IF(AND(A745&lt;&gt;"",J745&lt;&gt;""),ROUND(J745,0),"")</f>
        <v/>
      </c>
    </row>
    <row r="746" spans="2:11" x14ac:dyDescent="0.3">
      <c r="B746" s="2" t="str">
        <f>IFERROR(IF(A746&lt;&gt;"",VLOOKUP(Alunos!A746,Exame!A3:D1000,4, FALSE),""), "")</f>
        <v/>
      </c>
      <c r="C746" s="2" t="str">
        <f>IF(A746&lt;&gt;"",VLOOKUP(Alunos!A746,Agrupamentos!A3:C1000,2, FALSE),"")</f>
        <v/>
      </c>
      <c r="D746" s="2" t="str">
        <f>IFERROR(IF(A746&lt;&gt;"",VLOOKUP(Alunos!C746,'TP1'!A3:E1000,5, FALSE),""),"")</f>
        <v/>
      </c>
      <c r="E746" s="2" t="str">
        <f>IF(A746&lt;&gt;"",VLOOKUP(Alunos!A746,Agrupamentos!A3:C1000,3, FALSE),"")</f>
        <v/>
      </c>
      <c r="F746" s="2" t="str">
        <f>IFERROR(IF(A746&lt;&gt;"",VLOOKUP(Alunos!E746,'TP2'!A3:D1000,4, FALSE),""),"")</f>
        <v/>
      </c>
      <c r="G746" s="2" t="str">
        <f>IF(A746&lt;&gt;"", SUMIF(B1:F1,"&lt;&gt;",B746:F746),"")</f>
        <v/>
      </c>
      <c r="H746" s="2" t="str">
        <f>IF(AND(A746&lt;&gt;"",G746&lt;&gt;""),ROUND(G746,0),"")</f>
        <v/>
      </c>
      <c r="I746" s="2" t="str">
        <f>IFERROR(IF(A746&lt;&gt;"",VLOOKUP(Alunos!A746,Recurso!A3:D1000,4, FALSE),""), "")</f>
        <v/>
      </c>
      <c r="J746" s="2" t="str">
        <f>IF(AND(A746&lt;&gt;"",I746&lt;&gt;""), SUMIFS(B746:I746,B1:I1,"&lt;&gt;",B2:I2,"&lt;&gt;Exame",B2:I2,"&lt;&gt;exame",B2:I2,"&lt;&gt;Nota",B2:I2,"&lt;&gt;Total"),"")</f>
        <v/>
      </c>
      <c r="K746" s="2" t="str">
        <f>IF(AND(A746&lt;&gt;"",J746&lt;&gt;""),ROUND(J746,0),"")</f>
        <v/>
      </c>
    </row>
    <row r="747" spans="2:11" x14ac:dyDescent="0.3">
      <c r="B747" s="2" t="str">
        <f>IFERROR(IF(A747&lt;&gt;"",VLOOKUP(Alunos!A747,Exame!A3:D1000,4, FALSE),""), "")</f>
        <v/>
      </c>
      <c r="C747" s="2" t="str">
        <f>IF(A747&lt;&gt;"",VLOOKUP(Alunos!A747,Agrupamentos!A3:C1000,2, FALSE),"")</f>
        <v/>
      </c>
      <c r="D747" s="2" t="str">
        <f>IFERROR(IF(A747&lt;&gt;"",VLOOKUP(Alunos!C747,'TP1'!A3:E1000,5, FALSE),""),"")</f>
        <v/>
      </c>
      <c r="E747" s="2" t="str">
        <f>IF(A747&lt;&gt;"",VLOOKUP(Alunos!A747,Agrupamentos!A3:C1000,3, FALSE),"")</f>
        <v/>
      </c>
      <c r="F747" s="2" t="str">
        <f>IFERROR(IF(A747&lt;&gt;"",VLOOKUP(Alunos!E747,'TP2'!A3:D1000,4, FALSE),""),"")</f>
        <v/>
      </c>
      <c r="G747" s="2" t="str">
        <f>IF(A747&lt;&gt;"", SUMIF(B1:F1,"&lt;&gt;",B747:F747),"")</f>
        <v/>
      </c>
      <c r="H747" s="2" t="str">
        <f>IF(AND(A747&lt;&gt;"",G747&lt;&gt;""),ROUND(G747,0),"")</f>
        <v/>
      </c>
      <c r="I747" s="2" t="str">
        <f>IFERROR(IF(A747&lt;&gt;"",VLOOKUP(Alunos!A747,Recurso!A3:D1000,4, FALSE),""), "")</f>
        <v/>
      </c>
      <c r="J747" s="2" t="str">
        <f>IF(AND(A747&lt;&gt;"",I747&lt;&gt;""), SUMIFS(B747:I747,B1:I1,"&lt;&gt;",B2:I2,"&lt;&gt;Exame",B2:I2,"&lt;&gt;exame",B2:I2,"&lt;&gt;Nota",B2:I2,"&lt;&gt;Total"),"")</f>
        <v/>
      </c>
      <c r="K747" s="2" t="str">
        <f>IF(AND(A747&lt;&gt;"",J747&lt;&gt;""),ROUND(J747,0),"")</f>
        <v/>
      </c>
    </row>
    <row r="748" spans="2:11" x14ac:dyDescent="0.3">
      <c r="B748" s="2" t="str">
        <f>IFERROR(IF(A748&lt;&gt;"",VLOOKUP(Alunos!A748,Exame!A3:D1000,4, FALSE),""), "")</f>
        <v/>
      </c>
      <c r="C748" s="2" t="str">
        <f>IF(A748&lt;&gt;"",VLOOKUP(Alunos!A748,Agrupamentos!A3:C1000,2, FALSE),"")</f>
        <v/>
      </c>
      <c r="D748" s="2" t="str">
        <f>IFERROR(IF(A748&lt;&gt;"",VLOOKUP(Alunos!C748,'TP1'!A3:E1000,5, FALSE),""),"")</f>
        <v/>
      </c>
      <c r="E748" s="2" t="str">
        <f>IF(A748&lt;&gt;"",VLOOKUP(Alunos!A748,Agrupamentos!A3:C1000,3, FALSE),"")</f>
        <v/>
      </c>
      <c r="F748" s="2" t="str">
        <f>IFERROR(IF(A748&lt;&gt;"",VLOOKUP(Alunos!E748,'TP2'!A3:D1000,4, FALSE),""),"")</f>
        <v/>
      </c>
      <c r="G748" s="2" t="str">
        <f>IF(A748&lt;&gt;"", SUMIF(B1:F1,"&lt;&gt;",B748:F748),"")</f>
        <v/>
      </c>
      <c r="H748" s="2" t="str">
        <f>IF(AND(A748&lt;&gt;"",G748&lt;&gt;""),ROUND(G748,0),"")</f>
        <v/>
      </c>
      <c r="I748" s="2" t="str">
        <f>IFERROR(IF(A748&lt;&gt;"",VLOOKUP(Alunos!A748,Recurso!A3:D1000,4, FALSE),""), "")</f>
        <v/>
      </c>
      <c r="J748" s="2" t="str">
        <f>IF(AND(A748&lt;&gt;"",I748&lt;&gt;""), SUMIFS(B748:I748,B1:I1,"&lt;&gt;",B2:I2,"&lt;&gt;Exame",B2:I2,"&lt;&gt;exame",B2:I2,"&lt;&gt;Nota",B2:I2,"&lt;&gt;Total"),"")</f>
        <v/>
      </c>
      <c r="K748" s="2" t="str">
        <f>IF(AND(A748&lt;&gt;"",J748&lt;&gt;""),ROUND(J748,0),"")</f>
        <v/>
      </c>
    </row>
    <row r="749" spans="2:11" x14ac:dyDescent="0.3">
      <c r="B749" s="2" t="str">
        <f>IFERROR(IF(A749&lt;&gt;"",VLOOKUP(Alunos!A749,Exame!A3:D1000,4, FALSE),""), "")</f>
        <v/>
      </c>
      <c r="C749" s="2" t="str">
        <f>IF(A749&lt;&gt;"",VLOOKUP(Alunos!A749,Agrupamentos!A3:C1000,2, FALSE),"")</f>
        <v/>
      </c>
      <c r="D749" s="2" t="str">
        <f>IFERROR(IF(A749&lt;&gt;"",VLOOKUP(Alunos!C749,'TP1'!A3:E1000,5, FALSE),""),"")</f>
        <v/>
      </c>
      <c r="E749" s="2" t="str">
        <f>IF(A749&lt;&gt;"",VLOOKUP(Alunos!A749,Agrupamentos!A3:C1000,3, FALSE),"")</f>
        <v/>
      </c>
      <c r="F749" s="2" t="str">
        <f>IFERROR(IF(A749&lt;&gt;"",VLOOKUP(Alunos!E749,'TP2'!A3:D1000,4, FALSE),""),"")</f>
        <v/>
      </c>
      <c r="G749" s="2" t="str">
        <f>IF(A749&lt;&gt;"", SUMIF(B1:F1,"&lt;&gt;",B749:F749),"")</f>
        <v/>
      </c>
      <c r="H749" s="2" t="str">
        <f>IF(AND(A749&lt;&gt;"",G749&lt;&gt;""),ROUND(G749,0),"")</f>
        <v/>
      </c>
      <c r="I749" s="2" t="str">
        <f>IFERROR(IF(A749&lt;&gt;"",VLOOKUP(Alunos!A749,Recurso!A3:D1000,4, FALSE),""), "")</f>
        <v/>
      </c>
      <c r="J749" s="2" t="str">
        <f>IF(AND(A749&lt;&gt;"",I749&lt;&gt;""), SUMIFS(B749:I749,B1:I1,"&lt;&gt;",B2:I2,"&lt;&gt;Exame",B2:I2,"&lt;&gt;exame",B2:I2,"&lt;&gt;Nota",B2:I2,"&lt;&gt;Total"),"")</f>
        <v/>
      </c>
      <c r="K749" s="2" t="str">
        <f>IF(AND(A749&lt;&gt;"",J749&lt;&gt;""),ROUND(J749,0),"")</f>
        <v/>
      </c>
    </row>
    <row r="750" spans="2:11" x14ac:dyDescent="0.3">
      <c r="B750" s="2" t="str">
        <f>IFERROR(IF(A750&lt;&gt;"",VLOOKUP(Alunos!A750,Exame!A3:D1000,4, FALSE),""), "")</f>
        <v/>
      </c>
      <c r="C750" s="2" t="str">
        <f>IF(A750&lt;&gt;"",VLOOKUP(Alunos!A750,Agrupamentos!A3:C1000,2, FALSE),"")</f>
        <v/>
      </c>
      <c r="D750" s="2" t="str">
        <f>IFERROR(IF(A750&lt;&gt;"",VLOOKUP(Alunos!C750,'TP1'!A3:E1000,5, FALSE),""),"")</f>
        <v/>
      </c>
      <c r="E750" s="2" t="str">
        <f>IF(A750&lt;&gt;"",VLOOKUP(Alunos!A750,Agrupamentos!A3:C1000,3, FALSE),"")</f>
        <v/>
      </c>
      <c r="F750" s="2" t="str">
        <f>IFERROR(IF(A750&lt;&gt;"",VLOOKUP(Alunos!E750,'TP2'!A3:D1000,4, FALSE),""),"")</f>
        <v/>
      </c>
      <c r="G750" s="2" t="str">
        <f>IF(A750&lt;&gt;"", SUMIF(B1:F1,"&lt;&gt;",B750:F750),"")</f>
        <v/>
      </c>
      <c r="H750" s="2" t="str">
        <f>IF(AND(A750&lt;&gt;"",G750&lt;&gt;""),ROUND(G750,0),"")</f>
        <v/>
      </c>
      <c r="I750" s="2" t="str">
        <f>IFERROR(IF(A750&lt;&gt;"",VLOOKUP(Alunos!A750,Recurso!A3:D1000,4, FALSE),""), "")</f>
        <v/>
      </c>
      <c r="J750" s="2" t="str">
        <f>IF(AND(A750&lt;&gt;"",I750&lt;&gt;""), SUMIFS(B750:I750,B1:I1,"&lt;&gt;",B2:I2,"&lt;&gt;Exame",B2:I2,"&lt;&gt;exame",B2:I2,"&lt;&gt;Nota",B2:I2,"&lt;&gt;Total"),"")</f>
        <v/>
      </c>
      <c r="K750" s="2" t="str">
        <f>IF(AND(A750&lt;&gt;"",J750&lt;&gt;""),ROUND(J750,0),"")</f>
        <v/>
      </c>
    </row>
    <row r="751" spans="2:11" x14ac:dyDescent="0.3">
      <c r="B751" s="2" t="str">
        <f>IFERROR(IF(A751&lt;&gt;"",VLOOKUP(Alunos!A751,Exame!A3:D1000,4, FALSE),""), "")</f>
        <v/>
      </c>
      <c r="C751" s="2" t="str">
        <f>IF(A751&lt;&gt;"",VLOOKUP(Alunos!A751,Agrupamentos!A3:C1000,2, FALSE),"")</f>
        <v/>
      </c>
      <c r="D751" s="2" t="str">
        <f>IFERROR(IF(A751&lt;&gt;"",VLOOKUP(Alunos!C751,'TP1'!A3:E1000,5, FALSE),""),"")</f>
        <v/>
      </c>
      <c r="E751" s="2" t="str">
        <f>IF(A751&lt;&gt;"",VLOOKUP(Alunos!A751,Agrupamentos!A3:C1000,3, FALSE),"")</f>
        <v/>
      </c>
      <c r="F751" s="2" t="str">
        <f>IFERROR(IF(A751&lt;&gt;"",VLOOKUP(Alunos!E751,'TP2'!A3:D1000,4, FALSE),""),"")</f>
        <v/>
      </c>
      <c r="G751" s="2" t="str">
        <f>IF(A751&lt;&gt;"", SUMIF(B1:F1,"&lt;&gt;",B751:F751),"")</f>
        <v/>
      </c>
      <c r="H751" s="2" t="str">
        <f>IF(AND(A751&lt;&gt;"",G751&lt;&gt;""),ROUND(G751,0),"")</f>
        <v/>
      </c>
      <c r="I751" s="2" t="str">
        <f>IFERROR(IF(A751&lt;&gt;"",VLOOKUP(Alunos!A751,Recurso!A3:D1000,4, FALSE),""), "")</f>
        <v/>
      </c>
      <c r="J751" s="2" t="str">
        <f>IF(AND(A751&lt;&gt;"",I751&lt;&gt;""), SUMIFS(B751:I751,B1:I1,"&lt;&gt;",B2:I2,"&lt;&gt;Exame",B2:I2,"&lt;&gt;exame",B2:I2,"&lt;&gt;Nota",B2:I2,"&lt;&gt;Total"),"")</f>
        <v/>
      </c>
      <c r="K751" s="2" t="str">
        <f>IF(AND(A751&lt;&gt;"",J751&lt;&gt;""),ROUND(J751,0),"")</f>
        <v/>
      </c>
    </row>
    <row r="752" spans="2:11" x14ac:dyDescent="0.3">
      <c r="B752" s="2" t="str">
        <f>IFERROR(IF(A752&lt;&gt;"",VLOOKUP(Alunos!A752,Exame!A3:D1000,4, FALSE),""), "")</f>
        <v/>
      </c>
      <c r="C752" s="2" t="str">
        <f>IF(A752&lt;&gt;"",VLOOKUP(Alunos!A752,Agrupamentos!A3:C1000,2, FALSE),"")</f>
        <v/>
      </c>
      <c r="D752" s="2" t="str">
        <f>IFERROR(IF(A752&lt;&gt;"",VLOOKUP(Alunos!C752,'TP1'!A3:E1000,5, FALSE),""),"")</f>
        <v/>
      </c>
      <c r="E752" s="2" t="str">
        <f>IF(A752&lt;&gt;"",VLOOKUP(Alunos!A752,Agrupamentos!A3:C1000,3, FALSE),"")</f>
        <v/>
      </c>
      <c r="F752" s="2" t="str">
        <f>IFERROR(IF(A752&lt;&gt;"",VLOOKUP(Alunos!E752,'TP2'!A3:D1000,4, FALSE),""),"")</f>
        <v/>
      </c>
      <c r="G752" s="2" t="str">
        <f>IF(A752&lt;&gt;"", SUMIF(B1:F1,"&lt;&gt;",B752:F752),"")</f>
        <v/>
      </c>
      <c r="H752" s="2" t="str">
        <f>IF(AND(A752&lt;&gt;"",G752&lt;&gt;""),ROUND(G752,0),"")</f>
        <v/>
      </c>
      <c r="I752" s="2" t="str">
        <f>IFERROR(IF(A752&lt;&gt;"",VLOOKUP(Alunos!A752,Recurso!A3:D1000,4, FALSE),""), "")</f>
        <v/>
      </c>
      <c r="J752" s="2" t="str">
        <f>IF(AND(A752&lt;&gt;"",I752&lt;&gt;""), SUMIFS(B752:I752,B1:I1,"&lt;&gt;",B2:I2,"&lt;&gt;Exame",B2:I2,"&lt;&gt;exame",B2:I2,"&lt;&gt;Nota",B2:I2,"&lt;&gt;Total"),"")</f>
        <v/>
      </c>
      <c r="K752" s="2" t="str">
        <f>IF(AND(A752&lt;&gt;"",J752&lt;&gt;""),ROUND(J752,0),"")</f>
        <v/>
      </c>
    </row>
    <row r="753" spans="2:11" x14ac:dyDescent="0.3">
      <c r="B753" s="2" t="str">
        <f>IFERROR(IF(A753&lt;&gt;"",VLOOKUP(Alunos!A753,Exame!A3:D1000,4, FALSE),""), "")</f>
        <v/>
      </c>
      <c r="C753" s="2" t="str">
        <f>IF(A753&lt;&gt;"",VLOOKUP(Alunos!A753,Agrupamentos!A3:C1000,2, FALSE),"")</f>
        <v/>
      </c>
      <c r="D753" s="2" t="str">
        <f>IFERROR(IF(A753&lt;&gt;"",VLOOKUP(Alunos!C753,'TP1'!A3:E1000,5, FALSE),""),"")</f>
        <v/>
      </c>
      <c r="E753" s="2" t="str">
        <f>IF(A753&lt;&gt;"",VLOOKUP(Alunos!A753,Agrupamentos!A3:C1000,3, FALSE),"")</f>
        <v/>
      </c>
      <c r="F753" s="2" t="str">
        <f>IFERROR(IF(A753&lt;&gt;"",VLOOKUP(Alunos!E753,'TP2'!A3:D1000,4, FALSE),""),"")</f>
        <v/>
      </c>
      <c r="G753" s="2" t="str">
        <f>IF(A753&lt;&gt;"", SUMIF(B1:F1,"&lt;&gt;",B753:F753),"")</f>
        <v/>
      </c>
      <c r="H753" s="2" t="str">
        <f>IF(AND(A753&lt;&gt;"",G753&lt;&gt;""),ROUND(G753,0),"")</f>
        <v/>
      </c>
      <c r="I753" s="2" t="str">
        <f>IFERROR(IF(A753&lt;&gt;"",VLOOKUP(Alunos!A753,Recurso!A3:D1000,4, FALSE),""), "")</f>
        <v/>
      </c>
      <c r="J753" s="2" t="str">
        <f>IF(AND(A753&lt;&gt;"",I753&lt;&gt;""), SUMIFS(B753:I753,B1:I1,"&lt;&gt;",B2:I2,"&lt;&gt;Exame",B2:I2,"&lt;&gt;exame",B2:I2,"&lt;&gt;Nota",B2:I2,"&lt;&gt;Total"),"")</f>
        <v/>
      </c>
      <c r="K753" s="2" t="str">
        <f>IF(AND(A753&lt;&gt;"",J753&lt;&gt;""),ROUND(J753,0),"")</f>
        <v/>
      </c>
    </row>
    <row r="754" spans="2:11" x14ac:dyDescent="0.3">
      <c r="B754" s="2" t="str">
        <f>IFERROR(IF(A754&lt;&gt;"",VLOOKUP(Alunos!A754,Exame!A3:D1000,4, FALSE),""), "")</f>
        <v/>
      </c>
      <c r="C754" s="2" t="str">
        <f>IF(A754&lt;&gt;"",VLOOKUP(Alunos!A754,Agrupamentos!A3:C1000,2, FALSE),"")</f>
        <v/>
      </c>
      <c r="D754" s="2" t="str">
        <f>IFERROR(IF(A754&lt;&gt;"",VLOOKUP(Alunos!C754,'TP1'!A3:E1000,5, FALSE),""),"")</f>
        <v/>
      </c>
      <c r="E754" s="2" t="str">
        <f>IF(A754&lt;&gt;"",VLOOKUP(Alunos!A754,Agrupamentos!A3:C1000,3, FALSE),"")</f>
        <v/>
      </c>
      <c r="F754" s="2" t="str">
        <f>IFERROR(IF(A754&lt;&gt;"",VLOOKUP(Alunos!E754,'TP2'!A3:D1000,4, FALSE),""),"")</f>
        <v/>
      </c>
      <c r="G754" s="2" t="str">
        <f>IF(A754&lt;&gt;"", SUMIF(B1:F1,"&lt;&gt;",B754:F754),"")</f>
        <v/>
      </c>
      <c r="H754" s="2" t="str">
        <f>IF(AND(A754&lt;&gt;"",G754&lt;&gt;""),ROUND(G754,0),"")</f>
        <v/>
      </c>
      <c r="I754" s="2" t="str">
        <f>IFERROR(IF(A754&lt;&gt;"",VLOOKUP(Alunos!A754,Recurso!A3:D1000,4, FALSE),""), "")</f>
        <v/>
      </c>
      <c r="J754" s="2" t="str">
        <f>IF(AND(A754&lt;&gt;"",I754&lt;&gt;""), SUMIFS(B754:I754,B1:I1,"&lt;&gt;",B2:I2,"&lt;&gt;Exame",B2:I2,"&lt;&gt;exame",B2:I2,"&lt;&gt;Nota",B2:I2,"&lt;&gt;Total"),"")</f>
        <v/>
      </c>
      <c r="K754" s="2" t="str">
        <f>IF(AND(A754&lt;&gt;"",J754&lt;&gt;""),ROUND(J754,0),"")</f>
        <v/>
      </c>
    </row>
    <row r="755" spans="2:11" x14ac:dyDescent="0.3">
      <c r="B755" s="2" t="str">
        <f>IFERROR(IF(A755&lt;&gt;"",VLOOKUP(Alunos!A755,Exame!A3:D1000,4, FALSE),""), "")</f>
        <v/>
      </c>
      <c r="C755" s="2" t="str">
        <f>IF(A755&lt;&gt;"",VLOOKUP(Alunos!A755,Agrupamentos!A3:C1000,2, FALSE),"")</f>
        <v/>
      </c>
      <c r="D755" s="2" t="str">
        <f>IFERROR(IF(A755&lt;&gt;"",VLOOKUP(Alunos!C755,'TP1'!A3:E1000,5, FALSE),""),"")</f>
        <v/>
      </c>
      <c r="E755" s="2" t="str">
        <f>IF(A755&lt;&gt;"",VLOOKUP(Alunos!A755,Agrupamentos!A3:C1000,3, FALSE),"")</f>
        <v/>
      </c>
      <c r="F755" s="2" t="str">
        <f>IFERROR(IF(A755&lt;&gt;"",VLOOKUP(Alunos!E755,'TP2'!A3:D1000,4, FALSE),""),"")</f>
        <v/>
      </c>
      <c r="G755" s="2" t="str">
        <f>IF(A755&lt;&gt;"", SUMIF(B1:F1,"&lt;&gt;",B755:F755),"")</f>
        <v/>
      </c>
      <c r="H755" s="2" t="str">
        <f>IF(AND(A755&lt;&gt;"",G755&lt;&gt;""),ROUND(G755,0),"")</f>
        <v/>
      </c>
      <c r="I755" s="2" t="str">
        <f>IFERROR(IF(A755&lt;&gt;"",VLOOKUP(Alunos!A755,Recurso!A3:D1000,4, FALSE),""), "")</f>
        <v/>
      </c>
      <c r="J755" s="2" t="str">
        <f>IF(AND(A755&lt;&gt;"",I755&lt;&gt;""), SUMIFS(B755:I755,B1:I1,"&lt;&gt;",B2:I2,"&lt;&gt;Exame",B2:I2,"&lt;&gt;exame",B2:I2,"&lt;&gt;Nota",B2:I2,"&lt;&gt;Total"),"")</f>
        <v/>
      </c>
      <c r="K755" s="2" t="str">
        <f>IF(AND(A755&lt;&gt;"",J755&lt;&gt;""),ROUND(J755,0),"")</f>
        <v/>
      </c>
    </row>
    <row r="756" spans="2:11" x14ac:dyDescent="0.3">
      <c r="B756" s="2" t="str">
        <f>IFERROR(IF(A756&lt;&gt;"",VLOOKUP(Alunos!A756,Exame!A3:D1000,4, FALSE),""), "")</f>
        <v/>
      </c>
      <c r="C756" s="2" t="str">
        <f>IF(A756&lt;&gt;"",VLOOKUP(Alunos!A756,Agrupamentos!A3:C1000,2, FALSE),"")</f>
        <v/>
      </c>
      <c r="D756" s="2" t="str">
        <f>IFERROR(IF(A756&lt;&gt;"",VLOOKUP(Alunos!C756,'TP1'!A3:E1000,5, FALSE),""),"")</f>
        <v/>
      </c>
      <c r="E756" s="2" t="str">
        <f>IF(A756&lt;&gt;"",VLOOKUP(Alunos!A756,Agrupamentos!A3:C1000,3, FALSE),"")</f>
        <v/>
      </c>
      <c r="F756" s="2" t="str">
        <f>IFERROR(IF(A756&lt;&gt;"",VLOOKUP(Alunos!E756,'TP2'!A3:D1000,4, FALSE),""),"")</f>
        <v/>
      </c>
      <c r="G756" s="2" t="str">
        <f>IF(A756&lt;&gt;"", SUMIF(B1:F1,"&lt;&gt;",B756:F756),"")</f>
        <v/>
      </c>
      <c r="H756" s="2" t="str">
        <f>IF(AND(A756&lt;&gt;"",G756&lt;&gt;""),ROUND(G756,0),"")</f>
        <v/>
      </c>
      <c r="I756" s="2" t="str">
        <f>IFERROR(IF(A756&lt;&gt;"",VLOOKUP(Alunos!A756,Recurso!A3:D1000,4, FALSE),""), "")</f>
        <v/>
      </c>
      <c r="J756" s="2" t="str">
        <f>IF(AND(A756&lt;&gt;"",I756&lt;&gt;""), SUMIFS(B756:I756,B1:I1,"&lt;&gt;",B2:I2,"&lt;&gt;Exame",B2:I2,"&lt;&gt;exame",B2:I2,"&lt;&gt;Nota",B2:I2,"&lt;&gt;Total"),"")</f>
        <v/>
      </c>
      <c r="K756" s="2" t="str">
        <f>IF(AND(A756&lt;&gt;"",J756&lt;&gt;""),ROUND(J756,0),"")</f>
        <v/>
      </c>
    </row>
    <row r="757" spans="2:11" x14ac:dyDescent="0.3">
      <c r="B757" s="2" t="str">
        <f>IFERROR(IF(A757&lt;&gt;"",VLOOKUP(Alunos!A757,Exame!A3:D1000,4, FALSE),""), "")</f>
        <v/>
      </c>
      <c r="C757" s="2" t="str">
        <f>IF(A757&lt;&gt;"",VLOOKUP(Alunos!A757,Agrupamentos!A3:C1000,2, FALSE),"")</f>
        <v/>
      </c>
      <c r="D757" s="2" t="str">
        <f>IFERROR(IF(A757&lt;&gt;"",VLOOKUP(Alunos!C757,'TP1'!A3:E1000,5, FALSE),""),"")</f>
        <v/>
      </c>
      <c r="E757" s="2" t="str">
        <f>IF(A757&lt;&gt;"",VLOOKUP(Alunos!A757,Agrupamentos!A3:C1000,3, FALSE),"")</f>
        <v/>
      </c>
      <c r="F757" s="2" t="str">
        <f>IFERROR(IF(A757&lt;&gt;"",VLOOKUP(Alunos!E757,'TP2'!A3:D1000,4, FALSE),""),"")</f>
        <v/>
      </c>
      <c r="G757" s="2" t="str">
        <f>IF(A757&lt;&gt;"", SUMIF(B1:F1,"&lt;&gt;",B757:F757),"")</f>
        <v/>
      </c>
      <c r="H757" s="2" t="str">
        <f>IF(AND(A757&lt;&gt;"",G757&lt;&gt;""),ROUND(G757,0),"")</f>
        <v/>
      </c>
      <c r="I757" s="2" t="str">
        <f>IFERROR(IF(A757&lt;&gt;"",VLOOKUP(Alunos!A757,Recurso!A3:D1000,4, FALSE),""), "")</f>
        <v/>
      </c>
      <c r="J757" s="2" t="str">
        <f>IF(AND(A757&lt;&gt;"",I757&lt;&gt;""), SUMIFS(B757:I757,B1:I1,"&lt;&gt;",B2:I2,"&lt;&gt;Exame",B2:I2,"&lt;&gt;exame",B2:I2,"&lt;&gt;Nota",B2:I2,"&lt;&gt;Total"),"")</f>
        <v/>
      </c>
      <c r="K757" s="2" t="str">
        <f>IF(AND(A757&lt;&gt;"",J757&lt;&gt;""),ROUND(J757,0),"")</f>
        <v/>
      </c>
    </row>
    <row r="758" spans="2:11" x14ac:dyDescent="0.3">
      <c r="B758" s="2" t="str">
        <f>IFERROR(IF(A758&lt;&gt;"",VLOOKUP(Alunos!A758,Exame!A3:D1000,4, FALSE),""), "")</f>
        <v/>
      </c>
      <c r="C758" s="2" t="str">
        <f>IF(A758&lt;&gt;"",VLOOKUP(Alunos!A758,Agrupamentos!A3:C1000,2, FALSE),"")</f>
        <v/>
      </c>
      <c r="D758" s="2" t="str">
        <f>IFERROR(IF(A758&lt;&gt;"",VLOOKUP(Alunos!C758,'TP1'!A3:E1000,5, FALSE),""),"")</f>
        <v/>
      </c>
      <c r="E758" s="2" t="str">
        <f>IF(A758&lt;&gt;"",VLOOKUP(Alunos!A758,Agrupamentos!A3:C1000,3, FALSE),"")</f>
        <v/>
      </c>
      <c r="F758" s="2" t="str">
        <f>IFERROR(IF(A758&lt;&gt;"",VLOOKUP(Alunos!E758,'TP2'!A3:D1000,4, FALSE),""),"")</f>
        <v/>
      </c>
      <c r="G758" s="2" t="str">
        <f>IF(A758&lt;&gt;"", SUMIF(B1:F1,"&lt;&gt;",B758:F758),"")</f>
        <v/>
      </c>
      <c r="H758" s="2" t="str">
        <f>IF(AND(A758&lt;&gt;"",G758&lt;&gt;""),ROUND(G758,0),"")</f>
        <v/>
      </c>
      <c r="I758" s="2" t="str">
        <f>IFERROR(IF(A758&lt;&gt;"",VLOOKUP(Alunos!A758,Recurso!A3:D1000,4, FALSE),""), "")</f>
        <v/>
      </c>
      <c r="J758" s="2" t="str">
        <f>IF(AND(A758&lt;&gt;"",I758&lt;&gt;""), SUMIFS(B758:I758,B1:I1,"&lt;&gt;",B2:I2,"&lt;&gt;Exame",B2:I2,"&lt;&gt;exame",B2:I2,"&lt;&gt;Nota",B2:I2,"&lt;&gt;Total"),"")</f>
        <v/>
      </c>
      <c r="K758" s="2" t="str">
        <f>IF(AND(A758&lt;&gt;"",J758&lt;&gt;""),ROUND(J758,0),"")</f>
        <v/>
      </c>
    </row>
    <row r="759" spans="2:11" x14ac:dyDescent="0.3">
      <c r="B759" s="2" t="str">
        <f>IFERROR(IF(A759&lt;&gt;"",VLOOKUP(Alunos!A759,Exame!A3:D1000,4, FALSE),""), "")</f>
        <v/>
      </c>
      <c r="C759" s="2" t="str">
        <f>IF(A759&lt;&gt;"",VLOOKUP(Alunos!A759,Agrupamentos!A3:C1000,2, FALSE),"")</f>
        <v/>
      </c>
      <c r="D759" s="2" t="str">
        <f>IFERROR(IF(A759&lt;&gt;"",VLOOKUP(Alunos!C759,'TP1'!A3:E1000,5, FALSE),""),"")</f>
        <v/>
      </c>
      <c r="E759" s="2" t="str">
        <f>IF(A759&lt;&gt;"",VLOOKUP(Alunos!A759,Agrupamentos!A3:C1000,3, FALSE),"")</f>
        <v/>
      </c>
      <c r="F759" s="2" t="str">
        <f>IFERROR(IF(A759&lt;&gt;"",VLOOKUP(Alunos!E759,'TP2'!A3:D1000,4, FALSE),""),"")</f>
        <v/>
      </c>
      <c r="G759" s="2" t="str">
        <f>IF(A759&lt;&gt;"", SUMIF(B1:F1,"&lt;&gt;",B759:F759),"")</f>
        <v/>
      </c>
      <c r="H759" s="2" t="str">
        <f>IF(AND(A759&lt;&gt;"",G759&lt;&gt;""),ROUND(G759,0),"")</f>
        <v/>
      </c>
      <c r="I759" s="2" t="str">
        <f>IFERROR(IF(A759&lt;&gt;"",VLOOKUP(Alunos!A759,Recurso!A3:D1000,4, FALSE),""), "")</f>
        <v/>
      </c>
      <c r="J759" s="2" t="str">
        <f>IF(AND(A759&lt;&gt;"",I759&lt;&gt;""), SUMIFS(B759:I759,B1:I1,"&lt;&gt;",B2:I2,"&lt;&gt;Exame",B2:I2,"&lt;&gt;exame",B2:I2,"&lt;&gt;Nota",B2:I2,"&lt;&gt;Total"),"")</f>
        <v/>
      </c>
      <c r="K759" s="2" t="str">
        <f>IF(AND(A759&lt;&gt;"",J759&lt;&gt;""),ROUND(J759,0),"")</f>
        <v/>
      </c>
    </row>
    <row r="760" spans="2:11" x14ac:dyDescent="0.3">
      <c r="B760" s="2" t="str">
        <f>IFERROR(IF(A760&lt;&gt;"",VLOOKUP(Alunos!A760,Exame!A3:D1000,4, FALSE),""), "")</f>
        <v/>
      </c>
      <c r="C760" s="2" t="str">
        <f>IF(A760&lt;&gt;"",VLOOKUP(Alunos!A760,Agrupamentos!A3:C1000,2, FALSE),"")</f>
        <v/>
      </c>
      <c r="D760" s="2" t="str">
        <f>IFERROR(IF(A760&lt;&gt;"",VLOOKUP(Alunos!C760,'TP1'!A3:E1000,5, FALSE),""),"")</f>
        <v/>
      </c>
      <c r="E760" s="2" t="str">
        <f>IF(A760&lt;&gt;"",VLOOKUP(Alunos!A760,Agrupamentos!A3:C1000,3, FALSE),"")</f>
        <v/>
      </c>
      <c r="F760" s="2" t="str">
        <f>IFERROR(IF(A760&lt;&gt;"",VLOOKUP(Alunos!E760,'TP2'!A3:D1000,4, FALSE),""),"")</f>
        <v/>
      </c>
      <c r="G760" s="2" t="str">
        <f>IF(A760&lt;&gt;"", SUMIF(B1:F1,"&lt;&gt;",B760:F760),"")</f>
        <v/>
      </c>
      <c r="H760" s="2" t="str">
        <f>IF(AND(A760&lt;&gt;"",G760&lt;&gt;""),ROUND(G760,0),"")</f>
        <v/>
      </c>
      <c r="I760" s="2" t="str">
        <f>IFERROR(IF(A760&lt;&gt;"",VLOOKUP(Alunos!A760,Recurso!A3:D1000,4, FALSE),""), "")</f>
        <v/>
      </c>
      <c r="J760" s="2" t="str">
        <f>IF(AND(A760&lt;&gt;"",I760&lt;&gt;""), SUMIFS(B760:I760,B1:I1,"&lt;&gt;",B2:I2,"&lt;&gt;Exame",B2:I2,"&lt;&gt;exame",B2:I2,"&lt;&gt;Nota",B2:I2,"&lt;&gt;Total"),"")</f>
        <v/>
      </c>
      <c r="K760" s="2" t="str">
        <f>IF(AND(A760&lt;&gt;"",J760&lt;&gt;""),ROUND(J760,0),"")</f>
        <v/>
      </c>
    </row>
    <row r="761" spans="2:11" x14ac:dyDescent="0.3">
      <c r="B761" s="2" t="str">
        <f>IFERROR(IF(A761&lt;&gt;"",VLOOKUP(Alunos!A761,Exame!A3:D1000,4, FALSE),""), "")</f>
        <v/>
      </c>
      <c r="C761" s="2" t="str">
        <f>IF(A761&lt;&gt;"",VLOOKUP(Alunos!A761,Agrupamentos!A3:C1000,2, FALSE),"")</f>
        <v/>
      </c>
      <c r="D761" s="2" t="str">
        <f>IFERROR(IF(A761&lt;&gt;"",VLOOKUP(Alunos!C761,'TP1'!A3:E1000,5, FALSE),""),"")</f>
        <v/>
      </c>
      <c r="E761" s="2" t="str">
        <f>IF(A761&lt;&gt;"",VLOOKUP(Alunos!A761,Agrupamentos!A3:C1000,3, FALSE),"")</f>
        <v/>
      </c>
      <c r="F761" s="2" t="str">
        <f>IFERROR(IF(A761&lt;&gt;"",VLOOKUP(Alunos!E761,'TP2'!A3:D1000,4, FALSE),""),"")</f>
        <v/>
      </c>
      <c r="G761" s="2" t="str">
        <f>IF(A761&lt;&gt;"", SUMIF(B1:F1,"&lt;&gt;",B761:F761),"")</f>
        <v/>
      </c>
      <c r="H761" s="2" t="str">
        <f>IF(AND(A761&lt;&gt;"",G761&lt;&gt;""),ROUND(G761,0),"")</f>
        <v/>
      </c>
      <c r="I761" s="2" t="str">
        <f>IFERROR(IF(A761&lt;&gt;"",VLOOKUP(Alunos!A761,Recurso!A3:D1000,4, FALSE),""), "")</f>
        <v/>
      </c>
      <c r="J761" s="2" t="str">
        <f>IF(AND(A761&lt;&gt;"",I761&lt;&gt;""), SUMIFS(B761:I761,B1:I1,"&lt;&gt;",B2:I2,"&lt;&gt;Exame",B2:I2,"&lt;&gt;exame",B2:I2,"&lt;&gt;Nota",B2:I2,"&lt;&gt;Total"),"")</f>
        <v/>
      </c>
      <c r="K761" s="2" t="str">
        <f>IF(AND(A761&lt;&gt;"",J761&lt;&gt;""),ROUND(J761,0),"")</f>
        <v/>
      </c>
    </row>
    <row r="762" spans="2:11" x14ac:dyDescent="0.3">
      <c r="B762" s="2" t="str">
        <f>IFERROR(IF(A762&lt;&gt;"",VLOOKUP(Alunos!A762,Exame!A3:D1000,4, FALSE),""), "")</f>
        <v/>
      </c>
      <c r="C762" s="2" t="str">
        <f>IF(A762&lt;&gt;"",VLOOKUP(Alunos!A762,Agrupamentos!A3:C1000,2, FALSE),"")</f>
        <v/>
      </c>
      <c r="D762" s="2" t="str">
        <f>IFERROR(IF(A762&lt;&gt;"",VLOOKUP(Alunos!C762,'TP1'!A3:E1000,5, FALSE),""),"")</f>
        <v/>
      </c>
      <c r="E762" s="2" t="str">
        <f>IF(A762&lt;&gt;"",VLOOKUP(Alunos!A762,Agrupamentos!A3:C1000,3, FALSE),"")</f>
        <v/>
      </c>
      <c r="F762" s="2" t="str">
        <f>IFERROR(IF(A762&lt;&gt;"",VLOOKUP(Alunos!E762,'TP2'!A3:D1000,4, FALSE),""),"")</f>
        <v/>
      </c>
      <c r="G762" s="2" t="str">
        <f>IF(A762&lt;&gt;"", SUMIF(B1:F1,"&lt;&gt;",B762:F762),"")</f>
        <v/>
      </c>
      <c r="H762" s="2" t="str">
        <f>IF(AND(A762&lt;&gt;"",G762&lt;&gt;""),ROUND(G762,0),"")</f>
        <v/>
      </c>
      <c r="I762" s="2" t="str">
        <f>IFERROR(IF(A762&lt;&gt;"",VLOOKUP(Alunos!A762,Recurso!A3:D1000,4, FALSE),""), "")</f>
        <v/>
      </c>
      <c r="J762" s="2" t="str">
        <f>IF(AND(A762&lt;&gt;"",I762&lt;&gt;""), SUMIFS(B762:I762,B1:I1,"&lt;&gt;",B2:I2,"&lt;&gt;Exame",B2:I2,"&lt;&gt;exame",B2:I2,"&lt;&gt;Nota",B2:I2,"&lt;&gt;Total"),"")</f>
        <v/>
      </c>
      <c r="K762" s="2" t="str">
        <f>IF(AND(A762&lt;&gt;"",J762&lt;&gt;""),ROUND(J762,0),"")</f>
        <v/>
      </c>
    </row>
    <row r="763" spans="2:11" x14ac:dyDescent="0.3">
      <c r="B763" s="2" t="str">
        <f>IFERROR(IF(A763&lt;&gt;"",VLOOKUP(Alunos!A763,Exame!A3:D1000,4, FALSE),""), "")</f>
        <v/>
      </c>
      <c r="C763" s="2" t="str">
        <f>IF(A763&lt;&gt;"",VLOOKUP(Alunos!A763,Agrupamentos!A3:C1000,2, FALSE),"")</f>
        <v/>
      </c>
      <c r="D763" s="2" t="str">
        <f>IFERROR(IF(A763&lt;&gt;"",VLOOKUP(Alunos!C763,'TP1'!A3:E1000,5, FALSE),""),"")</f>
        <v/>
      </c>
      <c r="E763" s="2" t="str">
        <f>IF(A763&lt;&gt;"",VLOOKUP(Alunos!A763,Agrupamentos!A3:C1000,3, FALSE),"")</f>
        <v/>
      </c>
      <c r="F763" s="2" t="str">
        <f>IFERROR(IF(A763&lt;&gt;"",VLOOKUP(Alunos!E763,'TP2'!A3:D1000,4, FALSE),""),"")</f>
        <v/>
      </c>
      <c r="G763" s="2" t="str">
        <f>IF(A763&lt;&gt;"", SUMIF(B1:F1,"&lt;&gt;",B763:F763),"")</f>
        <v/>
      </c>
      <c r="H763" s="2" t="str">
        <f>IF(AND(A763&lt;&gt;"",G763&lt;&gt;""),ROUND(G763,0),"")</f>
        <v/>
      </c>
      <c r="I763" s="2" t="str">
        <f>IFERROR(IF(A763&lt;&gt;"",VLOOKUP(Alunos!A763,Recurso!A3:D1000,4, FALSE),""), "")</f>
        <v/>
      </c>
      <c r="J763" s="2" t="str">
        <f>IF(AND(A763&lt;&gt;"",I763&lt;&gt;""), SUMIFS(B763:I763,B1:I1,"&lt;&gt;",B2:I2,"&lt;&gt;Exame",B2:I2,"&lt;&gt;exame",B2:I2,"&lt;&gt;Nota",B2:I2,"&lt;&gt;Total"),"")</f>
        <v/>
      </c>
      <c r="K763" s="2" t="str">
        <f>IF(AND(A763&lt;&gt;"",J763&lt;&gt;""),ROUND(J763,0),"")</f>
        <v/>
      </c>
    </row>
    <row r="764" spans="2:11" x14ac:dyDescent="0.3">
      <c r="B764" s="2" t="str">
        <f>IFERROR(IF(A764&lt;&gt;"",VLOOKUP(Alunos!A764,Exame!A3:D1000,4, FALSE),""), "")</f>
        <v/>
      </c>
      <c r="C764" s="2" t="str">
        <f>IF(A764&lt;&gt;"",VLOOKUP(Alunos!A764,Agrupamentos!A3:C1000,2, FALSE),"")</f>
        <v/>
      </c>
      <c r="D764" s="2" t="str">
        <f>IFERROR(IF(A764&lt;&gt;"",VLOOKUP(Alunos!C764,'TP1'!A3:E1000,5, FALSE),""),"")</f>
        <v/>
      </c>
      <c r="E764" s="2" t="str">
        <f>IF(A764&lt;&gt;"",VLOOKUP(Alunos!A764,Agrupamentos!A3:C1000,3, FALSE),"")</f>
        <v/>
      </c>
      <c r="F764" s="2" t="str">
        <f>IFERROR(IF(A764&lt;&gt;"",VLOOKUP(Alunos!E764,'TP2'!A3:D1000,4, FALSE),""),"")</f>
        <v/>
      </c>
      <c r="G764" s="2" t="str">
        <f>IF(A764&lt;&gt;"", SUMIF(B1:F1,"&lt;&gt;",B764:F764),"")</f>
        <v/>
      </c>
      <c r="H764" s="2" t="str">
        <f>IF(AND(A764&lt;&gt;"",G764&lt;&gt;""),ROUND(G764,0),"")</f>
        <v/>
      </c>
      <c r="I764" s="2" t="str">
        <f>IFERROR(IF(A764&lt;&gt;"",VLOOKUP(Alunos!A764,Recurso!A3:D1000,4, FALSE),""), "")</f>
        <v/>
      </c>
      <c r="J764" s="2" t="str">
        <f>IF(AND(A764&lt;&gt;"",I764&lt;&gt;""), SUMIFS(B764:I764,B1:I1,"&lt;&gt;",B2:I2,"&lt;&gt;Exame",B2:I2,"&lt;&gt;exame",B2:I2,"&lt;&gt;Nota",B2:I2,"&lt;&gt;Total"),"")</f>
        <v/>
      </c>
      <c r="K764" s="2" t="str">
        <f>IF(AND(A764&lt;&gt;"",J764&lt;&gt;""),ROUND(J764,0),"")</f>
        <v/>
      </c>
    </row>
    <row r="765" spans="2:11" x14ac:dyDescent="0.3">
      <c r="B765" s="2" t="str">
        <f>IFERROR(IF(A765&lt;&gt;"",VLOOKUP(Alunos!A765,Exame!A3:D1000,4, FALSE),""), "")</f>
        <v/>
      </c>
      <c r="C765" s="2" t="str">
        <f>IF(A765&lt;&gt;"",VLOOKUP(Alunos!A765,Agrupamentos!A3:C1000,2, FALSE),"")</f>
        <v/>
      </c>
      <c r="D765" s="2" t="str">
        <f>IFERROR(IF(A765&lt;&gt;"",VLOOKUP(Alunos!C765,'TP1'!A3:E1000,5, FALSE),""),"")</f>
        <v/>
      </c>
      <c r="E765" s="2" t="str">
        <f>IF(A765&lt;&gt;"",VLOOKUP(Alunos!A765,Agrupamentos!A3:C1000,3, FALSE),"")</f>
        <v/>
      </c>
      <c r="F765" s="2" t="str">
        <f>IFERROR(IF(A765&lt;&gt;"",VLOOKUP(Alunos!E765,'TP2'!A3:D1000,4, FALSE),""),"")</f>
        <v/>
      </c>
      <c r="G765" s="2" t="str">
        <f>IF(A765&lt;&gt;"", SUMIF(B1:F1,"&lt;&gt;",B765:F765),"")</f>
        <v/>
      </c>
      <c r="H765" s="2" t="str">
        <f>IF(AND(A765&lt;&gt;"",G765&lt;&gt;""),ROUND(G765,0),"")</f>
        <v/>
      </c>
      <c r="I765" s="2" t="str">
        <f>IFERROR(IF(A765&lt;&gt;"",VLOOKUP(Alunos!A765,Recurso!A3:D1000,4, FALSE),""), "")</f>
        <v/>
      </c>
      <c r="J765" s="2" t="str">
        <f>IF(AND(A765&lt;&gt;"",I765&lt;&gt;""), SUMIFS(B765:I765,B1:I1,"&lt;&gt;",B2:I2,"&lt;&gt;Exame",B2:I2,"&lt;&gt;exame",B2:I2,"&lt;&gt;Nota",B2:I2,"&lt;&gt;Total"),"")</f>
        <v/>
      </c>
      <c r="K765" s="2" t="str">
        <f>IF(AND(A765&lt;&gt;"",J765&lt;&gt;""),ROUND(J765,0),"")</f>
        <v/>
      </c>
    </row>
    <row r="766" spans="2:11" x14ac:dyDescent="0.3">
      <c r="B766" s="2" t="str">
        <f>IFERROR(IF(A766&lt;&gt;"",VLOOKUP(Alunos!A766,Exame!A3:D1000,4, FALSE),""), "")</f>
        <v/>
      </c>
      <c r="C766" s="2" t="str">
        <f>IF(A766&lt;&gt;"",VLOOKUP(Alunos!A766,Agrupamentos!A3:C1000,2, FALSE),"")</f>
        <v/>
      </c>
      <c r="D766" s="2" t="str">
        <f>IFERROR(IF(A766&lt;&gt;"",VLOOKUP(Alunos!C766,'TP1'!A3:E1000,5, FALSE),""),"")</f>
        <v/>
      </c>
      <c r="E766" s="2" t="str">
        <f>IF(A766&lt;&gt;"",VLOOKUP(Alunos!A766,Agrupamentos!A3:C1000,3, FALSE),"")</f>
        <v/>
      </c>
      <c r="F766" s="2" t="str">
        <f>IFERROR(IF(A766&lt;&gt;"",VLOOKUP(Alunos!E766,'TP2'!A3:D1000,4, FALSE),""),"")</f>
        <v/>
      </c>
      <c r="G766" s="2" t="str">
        <f>IF(A766&lt;&gt;"", SUMIF(B1:F1,"&lt;&gt;",B766:F766),"")</f>
        <v/>
      </c>
      <c r="H766" s="2" t="str">
        <f>IF(AND(A766&lt;&gt;"",G766&lt;&gt;""),ROUND(G766,0),"")</f>
        <v/>
      </c>
      <c r="I766" s="2" t="str">
        <f>IFERROR(IF(A766&lt;&gt;"",VLOOKUP(Alunos!A766,Recurso!A3:D1000,4, FALSE),""), "")</f>
        <v/>
      </c>
      <c r="J766" s="2" t="str">
        <f>IF(AND(A766&lt;&gt;"",I766&lt;&gt;""), SUMIFS(B766:I766,B1:I1,"&lt;&gt;",B2:I2,"&lt;&gt;Exame",B2:I2,"&lt;&gt;exame",B2:I2,"&lt;&gt;Nota",B2:I2,"&lt;&gt;Total"),"")</f>
        <v/>
      </c>
      <c r="K766" s="2" t="str">
        <f>IF(AND(A766&lt;&gt;"",J766&lt;&gt;""),ROUND(J766,0),"")</f>
        <v/>
      </c>
    </row>
    <row r="767" spans="2:11" x14ac:dyDescent="0.3">
      <c r="B767" s="2" t="str">
        <f>IFERROR(IF(A767&lt;&gt;"",VLOOKUP(Alunos!A767,Exame!A3:D1000,4, FALSE),""), "")</f>
        <v/>
      </c>
      <c r="C767" s="2" t="str">
        <f>IF(A767&lt;&gt;"",VLOOKUP(Alunos!A767,Agrupamentos!A3:C1000,2, FALSE),"")</f>
        <v/>
      </c>
      <c r="D767" s="2" t="str">
        <f>IFERROR(IF(A767&lt;&gt;"",VLOOKUP(Alunos!C767,'TP1'!A3:E1000,5, FALSE),""),"")</f>
        <v/>
      </c>
      <c r="E767" s="2" t="str">
        <f>IF(A767&lt;&gt;"",VLOOKUP(Alunos!A767,Agrupamentos!A3:C1000,3, FALSE),"")</f>
        <v/>
      </c>
      <c r="F767" s="2" t="str">
        <f>IFERROR(IF(A767&lt;&gt;"",VLOOKUP(Alunos!E767,'TP2'!A3:D1000,4, FALSE),""),"")</f>
        <v/>
      </c>
      <c r="G767" s="2" t="str">
        <f>IF(A767&lt;&gt;"", SUMIF(B1:F1,"&lt;&gt;",B767:F767),"")</f>
        <v/>
      </c>
      <c r="H767" s="2" t="str">
        <f>IF(AND(A767&lt;&gt;"",G767&lt;&gt;""),ROUND(G767,0),"")</f>
        <v/>
      </c>
      <c r="I767" s="2" t="str">
        <f>IFERROR(IF(A767&lt;&gt;"",VLOOKUP(Alunos!A767,Recurso!A3:D1000,4, FALSE),""), "")</f>
        <v/>
      </c>
      <c r="J767" s="2" t="str">
        <f>IF(AND(A767&lt;&gt;"",I767&lt;&gt;""), SUMIFS(B767:I767,B1:I1,"&lt;&gt;",B2:I2,"&lt;&gt;Exame",B2:I2,"&lt;&gt;exame",B2:I2,"&lt;&gt;Nota",B2:I2,"&lt;&gt;Total"),"")</f>
        <v/>
      </c>
      <c r="K767" s="2" t="str">
        <f>IF(AND(A767&lt;&gt;"",J767&lt;&gt;""),ROUND(J767,0),"")</f>
        <v/>
      </c>
    </row>
    <row r="768" spans="2:11" x14ac:dyDescent="0.3">
      <c r="B768" s="2" t="str">
        <f>IFERROR(IF(A768&lt;&gt;"",VLOOKUP(Alunos!A768,Exame!A3:D1000,4, FALSE),""), "")</f>
        <v/>
      </c>
      <c r="C768" s="2" t="str">
        <f>IF(A768&lt;&gt;"",VLOOKUP(Alunos!A768,Agrupamentos!A3:C1000,2, FALSE),"")</f>
        <v/>
      </c>
      <c r="D768" s="2" t="str">
        <f>IFERROR(IF(A768&lt;&gt;"",VLOOKUP(Alunos!C768,'TP1'!A3:E1000,5, FALSE),""),"")</f>
        <v/>
      </c>
      <c r="E768" s="2" t="str">
        <f>IF(A768&lt;&gt;"",VLOOKUP(Alunos!A768,Agrupamentos!A3:C1000,3, FALSE),"")</f>
        <v/>
      </c>
      <c r="F768" s="2" t="str">
        <f>IFERROR(IF(A768&lt;&gt;"",VLOOKUP(Alunos!E768,'TP2'!A3:D1000,4, FALSE),""),"")</f>
        <v/>
      </c>
      <c r="G768" s="2" t="str">
        <f>IF(A768&lt;&gt;"", SUMIF(B1:F1,"&lt;&gt;",B768:F768),"")</f>
        <v/>
      </c>
      <c r="H768" s="2" t="str">
        <f>IF(AND(A768&lt;&gt;"",G768&lt;&gt;""),ROUND(G768,0),"")</f>
        <v/>
      </c>
      <c r="I768" s="2" t="str">
        <f>IFERROR(IF(A768&lt;&gt;"",VLOOKUP(Alunos!A768,Recurso!A3:D1000,4, FALSE),""), "")</f>
        <v/>
      </c>
      <c r="J768" s="2" t="str">
        <f>IF(AND(A768&lt;&gt;"",I768&lt;&gt;""), SUMIFS(B768:I768,B1:I1,"&lt;&gt;",B2:I2,"&lt;&gt;Exame",B2:I2,"&lt;&gt;exame",B2:I2,"&lt;&gt;Nota",B2:I2,"&lt;&gt;Total"),"")</f>
        <v/>
      </c>
      <c r="K768" s="2" t="str">
        <f>IF(AND(A768&lt;&gt;"",J768&lt;&gt;""),ROUND(J768,0),"")</f>
        <v/>
      </c>
    </row>
    <row r="769" spans="2:11" x14ac:dyDescent="0.3">
      <c r="B769" s="2" t="str">
        <f>IFERROR(IF(A769&lt;&gt;"",VLOOKUP(Alunos!A769,Exame!A3:D1000,4, FALSE),""), "")</f>
        <v/>
      </c>
      <c r="C769" s="2" t="str">
        <f>IF(A769&lt;&gt;"",VLOOKUP(Alunos!A769,Agrupamentos!A3:C1000,2, FALSE),"")</f>
        <v/>
      </c>
      <c r="D769" s="2" t="str">
        <f>IFERROR(IF(A769&lt;&gt;"",VLOOKUP(Alunos!C769,'TP1'!A3:E1000,5, FALSE),""),"")</f>
        <v/>
      </c>
      <c r="E769" s="2" t="str">
        <f>IF(A769&lt;&gt;"",VLOOKUP(Alunos!A769,Agrupamentos!A3:C1000,3, FALSE),"")</f>
        <v/>
      </c>
      <c r="F769" s="2" t="str">
        <f>IFERROR(IF(A769&lt;&gt;"",VLOOKUP(Alunos!E769,'TP2'!A3:D1000,4, FALSE),""),"")</f>
        <v/>
      </c>
      <c r="G769" s="2" t="str">
        <f>IF(A769&lt;&gt;"", SUMIF(B1:F1,"&lt;&gt;",B769:F769),"")</f>
        <v/>
      </c>
      <c r="H769" s="2" t="str">
        <f>IF(AND(A769&lt;&gt;"",G769&lt;&gt;""),ROUND(G769,0),"")</f>
        <v/>
      </c>
      <c r="I769" s="2" t="str">
        <f>IFERROR(IF(A769&lt;&gt;"",VLOOKUP(Alunos!A769,Recurso!A3:D1000,4, FALSE),""), "")</f>
        <v/>
      </c>
      <c r="J769" s="2" t="str">
        <f>IF(AND(A769&lt;&gt;"",I769&lt;&gt;""), SUMIFS(B769:I769,B1:I1,"&lt;&gt;",B2:I2,"&lt;&gt;Exame",B2:I2,"&lt;&gt;exame",B2:I2,"&lt;&gt;Nota",B2:I2,"&lt;&gt;Total"),"")</f>
        <v/>
      </c>
      <c r="K769" s="2" t="str">
        <f>IF(AND(A769&lt;&gt;"",J769&lt;&gt;""),ROUND(J769,0),"")</f>
        <v/>
      </c>
    </row>
    <row r="770" spans="2:11" x14ac:dyDescent="0.3">
      <c r="B770" s="2" t="str">
        <f>IFERROR(IF(A770&lt;&gt;"",VLOOKUP(Alunos!A770,Exame!A3:D1000,4, FALSE),""), "")</f>
        <v/>
      </c>
      <c r="C770" s="2" t="str">
        <f>IF(A770&lt;&gt;"",VLOOKUP(Alunos!A770,Agrupamentos!A3:C1000,2, FALSE),"")</f>
        <v/>
      </c>
      <c r="D770" s="2" t="str">
        <f>IFERROR(IF(A770&lt;&gt;"",VLOOKUP(Alunos!C770,'TP1'!A3:E1000,5, FALSE),""),"")</f>
        <v/>
      </c>
      <c r="E770" s="2" t="str">
        <f>IF(A770&lt;&gt;"",VLOOKUP(Alunos!A770,Agrupamentos!A3:C1000,3, FALSE),"")</f>
        <v/>
      </c>
      <c r="F770" s="2" t="str">
        <f>IFERROR(IF(A770&lt;&gt;"",VLOOKUP(Alunos!E770,'TP2'!A3:D1000,4, FALSE),""),"")</f>
        <v/>
      </c>
      <c r="G770" s="2" t="str">
        <f>IF(A770&lt;&gt;"", SUMIF(B1:F1,"&lt;&gt;",B770:F770),"")</f>
        <v/>
      </c>
      <c r="H770" s="2" t="str">
        <f>IF(AND(A770&lt;&gt;"",G770&lt;&gt;""),ROUND(G770,0),"")</f>
        <v/>
      </c>
      <c r="I770" s="2" t="str">
        <f>IFERROR(IF(A770&lt;&gt;"",VLOOKUP(Alunos!A770,Recurso!A3:D1000,4, FALSE),""), "")</f>
        <v/>
      </c>
      <c r="J770" s="2" t="str">
        <f>IF(AND(A770&lt;&gt;"",I770&lt;&gt;""), SUMIFS(B770:I770,B1:I1,"&lt;&gt;",B2:I2,"&lt;&gt;Exame",B2:I2,"&lt;&gt;exame",B2:I2,"&lt;&gt;Nota",B2:I2,"&lt;&gt;Total"),"")</f>
        <v/>
      </c>
      <c r="K770" s="2" t="str">
        <f>IF(AND(A770&lt;&gt;"",J770&lt;&gt;""),ROUND(J770,0),"")</f>
        <v/>
      </c>
    </row>
    <row r="771" spans="2:11" x14ac:dyDescent="0.3">
      <c r="B771" s="2" t="str">
        <f>IFERROR(IF(A771&lt;&gt;"",VLOOKUP(Alunos!A771,Exame!A3:D1000,4, FALSE),""), "")</f>
        <v/>
      </c>
      <c r="C771" s="2" t="str">
        <f>IF(A771&lt;&gt;"",VLOOKUP(Alunos!A771,Agrupamentos!A3:C1000,2, FALSE),"")</f>
        <v/>
      </c>
      <c r="D771" s="2" t="str">
        <f>IFERROR(IF(A771&lt;&gt;"",VLOOKUP(Alunos!C771,'TP1'!A3:E1000,5, FALSE),""),"")</f>
        <v/>
      </c>
      <c r="E771" s="2" t="str">
        <f>IF(A771&lt;&gt;"",VLOOKUP(Alunos!A771,Agrupamentos!A3:C1000,3, FALSE),"")</f>
        <v/>
      </c>
      <c r="F771" s="2" t="str">
        <f>IFERROR(IF(A771&lt;&gt;"",VLOOKUP(Alunos!E771,'TP2'!A3:D1000,4, FALSE),""),"")</f>
        <v/>
      </c>
      <c r="G771" s="2" t="str">
        <f>IF(A771&lt;&gt;"", SUMIF(B1:F1,"&lt;&gt;",B771:F771),"")</f>
        <v/>
      </c>
      <c r="H771" s="2" t="str">
        <f>IF(AND(A771&lt;&gt;"",G771&lt;&gt;""),ROUND(G771,0),"")</f>
        <v/>
      </c>
      <c r="I771" s="2" t="str">
        <f>IFERROR(IF(A771&lt;&gt;"",VLOOKUP(Alunos!A771,Recurso!A3:D1000,4, FALSE),""), "")</f>
        <v/>
      </c>
      <c r="J771" s="2" t="str">
        <f>IF(AND(A771&lt;&gt;"",I771&lt;&gt;""), SUMIFS(B771:I771,B1:I1,"&lt;&gt;",B2:I2,"&lt;&gt;Exame",B2:I2,"&lt;&gt;exame",B2:I2,"&lt;&gt;Nota",B2:I2,"&lt;&gt;Total"),"")</f>
        <v/>
      </c>
      <c r="K771" s="2" t="str">
        <f>IF(AND(A771&lt;&gt;"",J771&lt;&gt;""),ROUND(J771,0),"")</f>
        <v/>
      </c>
    </row>
    <row r="772" spans="2:11" x14ac:dyDescent="0.3">
      <c r="B772" s="2" t="str">
        <f>IFERROR(IF(A772&lt;&gt;"",VLOOKUP(Alunos!A772,Exame!A3:D1000,4, FALSE),""), "")</f>
        <v/>
      </c>
      <c r="C772" s="2" t="str">
        <f>IF(A772&lt;&gt;"",VLOOKUP(Alunos!A772,Agrupamentos!A3:C1000,2, FALSE),"")</f>
        <v/>
      </c>
      <c r="D772" s="2" t="str">
        <f>IFERROR(IF(A772&lt;&gt;"",VLOOKUP(Alunos!C772,'TP1'!A3:E1000,5, FALSE),""),"")</f>
        <v/>
      </c>
      <c r="E772" s="2" t="str">
        <f>IF(A772&lt;&gt;"",VLOOKUP(Alunos!A772,Agrupamentos!A3:C1000,3, FALSE),"")</f>
        <v/>
      </c>
      <c r="F772" s="2" t="str">
        <f>IFERROR(IF(A772&lt;&gt;"",VLOOKUP(Alunos!E772,'TP2'!A3:D1000,4, FALSE),""),"")</f>
        <v/>
      </c>
      <c r="G772" s="2" t="str">
        <f>IF(A772&lt;&gt;"", SUMIF(B1:F1,"&lt;&gt;",B772:F772),"")</f>
        <v/>
      </c>
      <c r="H772" s="2" t="str">
        <f>IF(AND(A772&lt;&gt;"",G772&lt;&gt;""),ROUND(G772,0),"")</f>
        <v/>
      </c>
      <c r="I772" s="2" t="str">
        <f>IFERROR(IF(A772&lt;&gt;"",VLOOKUP(Alunos!A772,Recurso!A3:D1000,4, FALSE),""), "")</f>
        <v/>
      </c>
      <c r="J772" s="2" t="str">
        <f>IF(AND(A772&lt;&gt;"",I772&lt;&gt;""), SUMIFS(B772:I772,B1:I1,"&lt;&gt;",B2:I2,"&lt;&gt;Exame",B2:I2,"&lt;&gt;exame",B2:I2,"&lt;&gt;Nota",B2:I2,"&lt;&gt;Total"),"")</f>
        <v/>
      </c>
      <c r="K772" s="2" t="str">
        <f>IF(AND(A772&lt;&gt;"",J772&lt;&gt;""),ROUND(J772,0),"")</f>
        <v/>
      </c>
    </row>
    <row r="773" spans="2:11" x14ac:dyDescent="0.3">
      <c r="B773" s="2" t="str">
        <f>IFERROR(IF(A773&lt;&gt;"",VLOOKUP(Alunos!A773,Exame!A3:D1000,4, FALSE),""), "")</f>
        <v/>
      </c>
      <c r="C773" s="2" t="str">
        <f>IF(A773&lt;&gt;"",VLOOKUP(Alunos!A773,Agrupamentos!A3:C1000,2, FALSE),"")</f>
        <v/>
      </c>
      <c r="D773" s="2" t="str">
        <f>IFERROR(IF(A773&lt;&gt;"",VLOOKUP(Alunos!C773,'TP1'!A3:E1000,5, FALSE),""),"")</f>
        <v/>
      </c>
      <c r="E773" s="2" t="str">
        <f>IF(A773&lt;&gt;"",VLOOKUP(Alunos!A773,Agrupamentos!A3:C1000,3, FALSE),"")</f>
        <v/>
      </c>
      <c r="F773" s="2" t="str">
        <f>IFERROR(IF(A773&lt;&gt;"",VLOOKUP(Alunos!E773,'TP2'!A3:D1000,4, FALSE),""),"")</f>
        <v/>
      </c>
      <c r="G773" s="2" t="str">
        <f>IF(A773&lt;&gt;"", SUMIF(B1:F1,"&lt;&gt;",B773:F773),"")</f>
        <v/>
      </c>
      <c r="H773" s="2" t="str">
        <f>IF(AND(A773&lt;&gt;"",G773&lt;&gt;""),ROUND(G773,0),"")</f>
        <v/>
      </c>
      <c r="I773" s="2" t="str">
        <f>IFERROR(IF(A773&lt;&gt;"",VLOOKUP(Alunos!A773,Recurso!A3:D1000,4, FALSE),""), "")</f>
        <v/>
      </c>
      <c r="J773" s="2" t="str">
        <f>IF(AND(A773&lt;&gt;"",I773&lt;&gt;""), SUMIFS(B773:I773,B1:I1,"&lt;&gt;",B2:I2,"&lt;&gt;Exame",B2:I2,"&lt;&gt;exame",B2:I2,"&lt;&gt;Nota",B2:I2,"&lt;&gt;Total"),"")</f>
        <v/>
      </c>
      <c r="K773" s="2" t="str">
        <f>IF(AND(A773&lt;&gt;"",J773&lt;&gt;""),ROUND(J773,0),"")</f>
        <v/>
      </c>
    </row>
    <row r="774" spans="2:11" x14ac:dyDescent="0.3">
      <c r="B774" s="2" t="str">
        <f>IFERROR(IF(A774&lt;&gt;"",VLOOKUP(Alunos!A774,Exame!A3:D1000,4, FALSE),""), "")</f>
        <v/>
      </c>
      <c r="C774" s="2" t="str">
        <f>IF(A774&lt;&gt;"",VLOOKUP(Alunos!A774,Agrupamentos!A3:C1000,2, FALSE),"")</f>
        <v/>
      </c>
      <c r="D774" s="2" t="str">
        <f>IFERROR(IF(A774&lt;&gt;"",VLOOKUP(Alunos!C774,'TP1'!A3:E1000,5, FALSE),""),"")</f>
        <v/>
      </c>
      <c r="E774" s="2" t="str">
        <f>IF(A774&lt;&gt;"",VLOOKUP(Alunos!A774,Agrupamentos!A3:C1000,3, FALSE),"")</f>
        <v/>
      </c>
      <c r="F774" s="2" t="str">
        <f>IFERROR(IF(A774&lt;&gt;"",VLOOKUP(Alunos!E774,'TP2'!A3:D1000,4, FALSE),""),"")</f>
        <v/>
      </c>
      <c r="G774" s="2" t="str">
        <f>IF(A774&lt;&gt;"", SUMIF(B1:F1,"&lt;&gt;",B774:F774),"")</f>
        <v/>
      </c>
      <c r="H774" s="2" t="str">
        <f>IF(AND(A774&lt;&gt;"",G774&lt;&gt;""),ROUND(G774,0),"")</f>
        <v/>
      </c>
      <c r="I774" s="2" t="str">
        <f>IFERROR(IF(A774&lt;&gt;"",VLOOKUP(Alunos!A774,Recurso!A3:D1000,4, FALSE),""), "")</f>
        <v/>
      </c>
      <c r="J774" s="2" t="str">
        <f>IF(AND(A774&lt;&gt;"",I774&lt;&gt;""), SUMIFS(B774:I774,B1:I1,"&lt;&gt;",B2:I2,"&lt;&gt;Exame",B2:I2,"&lt;&gt;exame",B2:I2,"&lt;&gt;Nota",B2:I2,"&lt;&gt;Total"),"")</f>
        <v/>
      </c>
      <c r="K774" s="2" t="str">
        <f>IF(AND(A774&lt;&gt;"",J774&lt;&gt;""),ROUND(J774,0),"")</f>
        <v/>
      </c>
    </row>
    <row r="775" spans="2:11" x14ac:dyDescent="0.3">
      <c r="B775" s="2" t="str">
        <f>IFERROR(IF(A775&lt;&gt;"",VLOOKUP(Alunos!A775,Exame!A3:D1000,4, FALSE),""), "")</f>
        <v/>
      </c>
      <c r="C775" s="2" t="str">
        <f>IF(A775&lt;&gt;"",VLOOKUP(Alunos!A775,Agrupamentos!A3:C1000,2, FALSE),"")</f>
        <v/>
      </c>
      <c r="D775" s="2" t="str">
        <f>IFERROR(IF(A775&lt;&gt;"",VLOOKUP(Alunos!C775,'TP1'!A3:E1000,5, FALSE),""),"")</f>
        <v/>
      </c>
      <c r="E775" s="2" t="str">
        <f>IF(A775&lt;&gt;"",VLOOKUP(Alunos!A775,Agrupamentos!A3:C1000,3, FALSE),"")</f>
        <v/>
      </c>
      <c r="F775" s="2" t="str">
        <f>IFERROR(IF(A775&lt;&gt;"",VLOOKUP(Alunos!E775,'TP2'!A3:D1000,4, FALSE),""),"")</f>
        <v/>
      </c>
      <c r="G775" s="2" t="str">
        <f>IF(A775&lt;&gt;"", SUMIF(B1:F1,"&lt;&gt;",B775:F775),"")</f>
        <v/>
      </c>
      <c r="H775" s="2" t="str">
        <f>IF(AND(A775&lt;&gt;"",G775&lt;&gt;""),ROUND(G775,0),"")</f>
        <v/>
      </c>
      <c r="I775" s="2" t="str">
        <f>IFERROR(IF(A775&lt;&gt;"",VLOOKUP(Alunos!A775,Recurso!A3:D1000,4, FALSE),""), "")</f>
        <v/>
      </c>
      <c r="J775" s="2" t="str">
        <f>IF(AND(A775&lt;&gt;"",I775&lt;&gt;""), SUMIFS(B775:I775,B1:I1,"&lt;&gt;",B2:I2,"&lt;&gt;Exame",B2:I2,"&lt;&gt;exame",B2:I2,"&lt;&gt;Nota",B2:I2,"&lt;&gt;Total"),"")</f>
        <v/>
      </c>
      <c r="K775" s="2" t="str">
        <f>IF(AND(A775&lt;&gt;"",J775&lt;&gt;""),ROUND(J775,0),"")</f>
        <v/>
      </c>
    </row>
    <row r="776" spans="2:11" x14ac:dyDescent="0.3">
      <c r="B776" s="2" t="str">
        <f>IFERROR(IF(A776&lt;&gt;"",VLOOKUP(Alunos!A776,Exame!A3:D1000,4, FALSE),""), "")</f>
        <v/>
      </c>
      <c r="C776" s="2" t="str">
        <f>IF(A776&lt;&gt;"",VLOOKUP(Alunos!A776,Agrupamentos!A3:C1000,2, FALSE),"")</f>
        <v/>
      </c>
      <c r="D776" s="2" t="str">
        <f>IFERROR(IF(A776&lt;&gt;"",VLOOKUP(Alunos!C776,'TP1'!A3:E1000,5, FALSE),""),"")</f>
        <v/>
      </c>
      <c r="E776" s="2" t="str">
        <f>IF(A776&lt;&gt;"",VLOOKUP(Alunos!A776,Agrupamentos!A3:C1000,3, FALSE),"")</f>
        <v/>
      </c>
      <c r="F776" s="2" t="str">
        <f>IFERROR(IF(A776&lt;&gt;"",VLOOKUP(Alunos!E776,'TP2'!A3:D1000,4, FALSE),""),"")</f>
        <v/>
      </c>
      <c r="G776" s="2" t="str">
        <f>IF(A776&lt;&gt;"", SUMIF(B1:F1,"&lt;&gt;",B776:F776),"")</f>
        <v/>
      </c>
      <c r="H776" s="2" t="str">
        <f>IF(AND(A776&lt;&gt;"",G776&lt;&gt;""),ROUND(G776,0),"")</f>
        <v/>
      </c>
      <c r="I776" s="2" t="str">
        <f>IFERROR(IF(A776&lt;&gt;"",VLOOKUP(Alunos!A776,Recurso!A3:D1000,4, FALSE),""), "")</f>
        <v/>
      </c>
      <c r="J776" s="2" t="str">
        <f>IF(AND(A776&lt;&gt;"",I776&lt;&gt;""), SUMIFS(B776:I776,B1:I1,"&lt;&gt;",B2:I2,"&lt;&gt;Exame",B2:I2,"&lt;&gt;exame",B2:I2,"&lt;&gt;Nota",B2:I2,"&lt;&gt;Total"),"")</f>
        <v/>
      </c>
      <c r="K776" s="2" t="str">
        <f>IF(AND(A776&lt;&gt;"",J776&lt;&gt;""),ROUND(J776,0),"")</f>
        <v/>
      </c>
    </row>
    <row r="777" spans="2:11" x14ac:dyDescent="0.3">
      <c r="B777" s="2" t="str">
        <f>IFERROR(IF(A777&lt;&gt;"",VLOOKUP(Alunos!A777,Exame!A3:D1000,4, FALSE),""), "")</f>
        <v/>
      </c>
      <c r="C777" s="2" t="str">
        <f>IF(A777&lt;&gt;"",VLOOKUP(Alunos!A777,Agrupamentos!A3:C1000,2, FALSE),"")</f>
        <v/>
      </c>
      <c r="D777" s="2" t="str">
        <f>IFERROR(IF(A777&lt;&gt;"",VLOOKUP(Alunos!C777,'TP1'!A3:E1000,5, FALSE),""),"")</f>
        <v/>
      </c>
      <c r="E777" s="2" t="str">
        <f>IF(A777&lt;&gt;"",VLOOKUP(Alunos!A777,Agrupamentos!A3:C1000,3, FALSE),"")</f>
        <v/>
      </c>
      <c r="F777" s="2" t="str">
        <f>IFERROR(IF(A777&lt;&gt;"",VLOOKUP(Alunos!E777,'TP2'!A3:D1000,4, FALSE),""),"")</f>
        <v/>
      </c>
      <c r="G777" s="2" t="str">
        <f>IF(A777&lt;&gt;"", SUMIF(B1:F1,"&lt;&gt;",B777:F777),"")</f>
        <v/>
      </c>
      <c r="H777" s="2" t="str">
        <f>IF(AND(A777&lt;&gt;"",G777&lt;&gt;""),ROUND(G777,0),"")</f>
        <v/>
      </c>
      <c r="I777" s="2" t="str">
        <f>IFERROR(IF(A777&lt;&gt;"",VLOOKUP(Alunos!A777,Recurso!A3:D1000,4, FALSE),""), "")</f>
        <v/>
      </c>
      <c r="J777" s="2" t="str">
        <f>IF(AND(A777&lt;&gt;"",I777&lt;&gt;""), SUMIFS(B777:I777,B1:I1,"&lt;&gt;",B2:I2,"&lt;&gt;Exame",B2:I2,"&lt;&gt;exame",B2:I2,"&lt;&gt;Nota",B2:I2,"&lt;&gt;Total"),"")</f>
        <v/>
      </c>
      <c r="K777" s="2" t="str">
        <f>IF(AND(A777&lt;&gt;"",J777&lt;&gt;""),ROUND(J777,0),"")</f>
        <v/>
      </c>
    </row>
    <row r="778" spans="2:11" x14ac:dyDescent="0.3">
      <c r="B778" s="2" t="str">
        <f>IFERROR(IF(A778&lt;&gt;"",VLOOKUP(Alunos!A778,Exame!A3:D1000,4, FALSE),""), "")</f>
        <v/>
      </c>
      <c r="C778" s="2" t="str">
        <f>IF(A778&lt;&gt;"",VLOOKUP(Alunos!A778,Agrupamentos!A3:C1000,2, FALSE),"")</f>
        <v/>
      </c>
      <c r="D778" s="2" t="str">
        <f>IFERROR(IF(A778&lt;&gt;"",VLOOKUP(Alunos!C778,'TP1'!A3:E1000,5, FALSE),""),"")</f>
        <v/>
      </c>
      <c r="E778" s="2" t="str">
        <f>IF(A778&lt;&gt;"",VLOOKUP(Alunos!A778,Agrupamentos!A3:C1000,3, FALSE),"")</f>
        <v/>
      </c>
      <c r="F778" s="2" t="str">
        <f>IFERROR(IF(A778&lt;&gt;"",VLOOKUP(Alunos!E778,'TP2'!A3:D1000,4, FALSE),""),"")</f>
        <v/>
      </c>
      <c r="G778" s="2" t="str">
        <f>IF(A778&lt;&gt;"", SUMIF(B1:F1,"&lt;&gt;",B778:F778),"")</f>
        <v/>
      </c>
      <c r="H778" s="2" t="str">
        <f>IF(AND(A778&lt;&gt;"",G778&lt;&gt;""),ROUND(G778,0),"")</f>
        <v/>
      </c>
      <c r="I778" s="2" t="str">
        <f>IFERROR(IF(A778&lt;&gt;"",VLOOKUP(Alunos!A778,Recurso!A3:D1000,4, FALSE),""), "")</f>
        <v/>
      </c>
      <c r="J778" s="2" t="str">
        <f>IF(AND(A778&lt;&gt;"",I778&lt;&gt;""), SUMIFS(B778:I778,B1:I1,"&lt;&gt;",B2:I2,"&lt;&gt;Exame",B2:I2,"&lt;&gt;exame",B2:I2,"&lt;&gt;Nota",B2:I2,"&lt;&gt;Total"),"")</f>
        <v/>
      </c>
      <c r="K778" s="2" t="str">
        <f>IF(AND(A778&lt;&gt;"",J778&lt;&gt;""),ROUND(J778,0),"")</f>
        <v/>
      </c>
    </row>
    <row r="779" spans="2:11" x14ac:dyDescent="0.3">
      <c r="B779" s="2" t="str">
        <f>IFERROR(IF(A779&lt;&gt;"",VLOOKUP(Alunos!A779,Exame!A3:D1000,4, FALSE),""), "")</f>
        <v/>
      </c>
      <c r="C779" s="2" t="str">
        <f>IF(A779&lt;&gt;"",VLOOKUP(Alunos!A779,Agrupamentos!A3:C1000,2, FALSE),"")</f>
        <v/>
      </c>
      <c r="D779" s="2" t="str">
        <f>IFERROR(IF(A779&lt;&gt;"",VLOOKUP(Alunos!C779,'TP1'!A3:E1000,5, FALSE),""),"")</f>
        <v/>
      </c>
      <c r="E779" s="2" t="str">
        <f>IF(A779&lt;&gt;"",VLOOKUP(Alunos!A779,Agrupamentos!A3:C1000,3, FALSE),"")</f>
        <v/>
      </c>
      <c r="F779" s="2" t="str">
        <f>IFERROR(IF(A779&lt;&gt;"",VLOOKUP(Alunos!E779,'TP2'!A3:D1000,4, FALSE),""),"")</f>
        <v/>
      </c>
      <c r="G779" s="2" t="str">
        <f>IF(A779&lt;&gt;"", SUMIF(B1:F1,"&lt;&gt;",B779:F779),"")</f>
        <v/>
      </c>
      <c r="H779" s="2" t="str">
        <f>IF(AND(A779&lt;&gt;"",G779&lt;&gt;""),ROUND(G779,0),"")</f>
        <v/>
      </c>
      <c r="I779" s="2" t="str">
        <f>IFERROR(IF(A779&lt;&gt;"",VLOOKUP(Alunos!A779,Recurso!A3:D1000,4, FALSE),""), "")</f>
        <v/>
      </c>
      <c r="J779" s="2" t="str">
        <f>IF(AND(A779&lt;&gt;"",I779&lt;&gt;""), SUMIFS(B779:I779,B1:I1,"&lt;&gt;",B2:I2,"&lt;&gt;Exame",B2:I2,"&lt;&gt;exame",B2:I2,"&lt;&gt;Nota",B2:I2,"&lt;&gt;Total"),"")</f>
        <v/>
      </c>
      <c r="K779" s="2" t="str">
        <f>IF(AND(A779&lt;&gt;"",J779&lt;&gt;""),ROUND(J779,0),"")</f>
        <v/>
      </c>
    </row>
    <row r="780" spans="2:11" x14ac:dyDescent="0.3">
      <c r="B780" s="2" t="str">
        <f>IFERROR(IF(A780&lt;&gt;"",VLOOKUP(Alunos!A780,Exame!A3:D1000,4, FALSE),""), "")</f>
        <v/>
      </c>
      <c r="C780" s="2" t="str">
        <f>IF(A780&lt;&gt;"",VLOOKUP(Alunos!A780,Agrupamentos!A3:C1000,2, FALSE),"")</f>
        <v/>
      </c>
      <c r="D780" s="2" t="str">
        <f>IFERROR(IF(A780&lt;&gt;"",VLOOKUP(Alunos!C780,'TP1'!A3:E1000,5, FALSE),""),"")</f>
        <v/>
      </c>
      <c r="E780" s="2" t="str">
        <f>IF(A780&lt;&gt;"",VLOOKUP(Alunos!A780,Agrupamentos!A3:C1000,3, FALSE),"")</f>
        <v/>
      </c>
      <c r="F780" s="2" t="str">
        <f>IFERROR(IF(A780&lt;&gt;"",VLOOKUP(Alunos!E780,'TP2'!A3:D1000,4, FALSE),""),"")</f>
        <v/>
      </c>
      <c r="G780" s="2" t="str">
        <f>IF(A780&lt;&gt;"", SUMIF(B1:F1,"&lt;&gt;",B780:F780),"")</f>
        <v/>
      </c>
      <c r="H780" s="2" t="str">
        <f>IF(AND(A780&lt;&gt;"",G780&lt;&gt;""),ROUND(G780,0),"")</f>
        <v/>
      </c>
      <c r="I780" s="2" t="str">
        <f>IFERROR(IF(A780&lt;&gt;"",VLOOKUP(Alunos!A780,Recurso!A3:D1000,4, FALSE),""), "")</f>
        <v/>
      </c>
      <c r="J780" s="2" t="str">
        <f>IF(AND(A780&lt;&gt;"",I780&lt;&gt;""), SUMIFS(B780:I780,B1:I1,"&lt;&gt;",B2:I2,"&lt;&gt;Exame",B2:I2,"&lt;&gt;exame",B2:I2,"&lt;&gt;Nota",B2:I2,"&lt;&gt;Total"),"")</f>
        <v/>
      </c>
      <c r="K780" s="2" t="str">
        <f>IF(AND(A780&lt;&gt;"",J780&lt;&gt;""),ROUND(J780,0),"")</f>
        <v/>
      </c>
    </row>
    <row r="781" spans="2:11" x14ac:dyDescent="0.3">
      <c r="B781" s="2" t="str">
        <f>IFERROR(IF(A781&lt;&gt;"",VLOOKUP(Alunos!A781,Exame!A3:D1000,4, FALSE),""), "")</f>
        <v/>
      </c>
      <c r="C781" s="2" t="str">
        <f>IF(A781&lt;&gt;"",VLOOKUP(Alunos!A781,Agrupamentos!A3:C1000,2, FALSE),"")</f>
        <v/>
      </c>
      <c r="D781" s="2" t="str">
        <f>IFERROR(IF(A781&lt;&gt;"",VLOOKUP(Alunos!C781,'TP1'!A3:E1000,5, FALSE),""),"")</f>
        <v/>
      </c>
      <c r="E781" s="2" t="str">
        <f>IF(A781&lt;&gt;"",VLOOKUP(Alunos!A781,Agrupamentos!A3:C1000,3, FALSE),"")</f>
        <v/>
      </c>
      <c r="F781" s="2" t="str">
        <f>IFERROR(IF(A781&lt;&gt;"",VLOOKUP(Alunos!E781,'TP2'!A3:D1000,4, FALSE),""),"")</f>
        <v/>
      </c>
      <c r="G781" s="2" t="str">
        <f>IF(A781&lt;&gt;"", SUMIF(B1:F1,"&lt;&gt;",B781:F781),"")</f>
        <v/>
      </c>
      <c r="H781" s="2" t="str">
        <f>IF(AND(A781&lt;&gt;"",G781&lt;&gt;""),ROUND(G781,0),"")</f>
        <v/>
      </c>
      <c r="I781" s="2" t="str">
        <f>IFERROR(IF(A781&lt;&gt;"",VLOOKUP(Alunos!A781,Recurso!A3:D1000,4, FALSE),""), "")</f>
        <v/>
      </c>
      <c r="J781" s="2" t="str">
        <f>IF(AND(A781&lt;&gt;"",I781&lt;&gt;""), SUMIFS(B781:I781,B1:I1,"&lt;&gt;",B2:I2,"&lt;&gt;Exame",B2:I2,"&lt;&gt;exame",B2:I2,"&lt;&gt;Nota",B2:I2,"&lt;&gt;Total"),"")</f>
        <v/>
      </c>
      <c r="K781" s="2" t="str">
        <f>IF(AND(A781&lt;&gt;"",J781&lt;&gt;""),ROUND(J781,0),"")</f>
        <v/>
      </c>
    </row>
    <row r="782" spans="2:11" x14ac:dyDescent="0.3">
      <c r="B782" s="2" t="str">
        <f>IFERROR(IF(A782&lt;&gt;"",VLOOKUP(Alunos!A782,Exame!A3:D1000,4, FALSE),""), "")</f>
        <v/>
      </c>
      <c r="C782" s="2" t="str">
        <f>IF(A782&lt;&gt;"",VLOOKUP(Alunos!A782,Agrupamentos!A3:C1000,2, FALSE),"")</f>
        <v/>
      </c>
      <c r="D782" s="2" t="str">
        <f>IFERROR(IF(A782&lt;&gt;"",VLOOKUP(Alunos!C782,'TP1'!A3:E1000,5, FALSE),""),"")</f>
        <v/>
      </c>
      <c r="E782" s="2" t="str">
        <f>IF(A782&lt;&gt;"",VLOOKUP(Alunos!A782,Agrupamentos!A3:C1000,3, FALSE),"")</f>
        <v/>
      </c>
      <c r="F782" s="2" t="str">
        <f>IFERROR(IF(A782&lt;&gt;"",VLOOKUP(Alunos!E782,'TP2'!A3:D1000,4, FALSE),""),"")</f>
        <v/>
      </c>
      <c r="G782" s="2" t="str">
        <f>IF(A782&lt;&gt;"", SUMIF(B1:F1,"&lt;&gt;",B782:F782),"")</f>
        <v/>
      </c>
      <c r="H782" s="2" t="str">
        <f>IF(AND(A782&lt;&gt;"",G782&lt;&gt;""),ROUND(G782,0),"")</f>
        <v/>
      </c>
      <c r="I782" s="2" t="str">
        <f>IFERROR(IF(A782&lt;&gt;"",VLOOKUP(Alunos!A782,Recurso!A3:D1000,4, FALSE),""), "")</f>
        <v/>
      </c>
      <c r="J782" s="2" t="str">
        <f>IF(AND(A782&lt;&gt;"",I782&lt;&gt;""), SUMIFS(B782:I782,B1:I1,"&lt;&gt;",B2:I2,"&lt;&gt;Exame",B2:I2,"&lt;&gt;exame",B2:I2,"&lt;&gt;Nota",B2:I2,"&lt;&gt;Total"),"")</f>
        <v/>
      </c>
      <c r="K782" s="2" t="str">
        <f>IF(AND(A782&lt;&gt;"",J782&lt;&gt;""),ROUND(J782,0),"")</f>
        <v/>
      </c>
    </row>
    <row r="783" spans="2:11" x14ac:dyDescent="0.3">
      <c r="B783" s="2" t="str">
        <f>IFERROR(IF(A783&lt;&gt;"",VLOOKUP(Alunos!A783,Exame!A3:D1000,4, FALSE),""), "")</f>
        <v/>
      </c>
      <c r="C783" s="2" t="str">
        <f>IF(A783&lt;&gt;"",VLOOKUP(Alunos!A783,Agrupamentos!A3:C1000,2, FALSE),"")</f>
        <v/>
      </c>
      <c r="D783" s="2" t="str">
        <f>IFERROR(IF(A783&lt;&gt;"",VLOOKUP(Alunos!C783,'TP1'!A3:E1000,5, FALSE),""),"")</f>
        <v/>
      </c>
      <c r="E783" s="2" t="str">
        <f>IF(A783&lt;&gt;"",VLOOKUP(Alunos!A783,Agrupamentos!A3:C1000,3, FALSE),"")</f>
        <v/>
      </c>
      <c r="F783" s="2" t="str">
        <f>IFERROR(IF(A783&lt;&gt;"",VLOOKUP(Alunos!E783,'TP2'!A3:D1000,4, FALSE),""),"")</f>
        <v/>
      </c>
      <c r="G783" s="2" t="str">
        <f>IF(A783&lt;&gt;"", SUMIF(B1:F1,"&lt;&gt;",B783:F783),"")</f>
        <v/>
      </c>
      <c r="H783" s="2" t="str">
        <f>IF(AND(A783&lt;&gt;"",G783&lt;&gt;""),ROUND(G783,0),"")</f>
        <v/>
      </c>
      <c r="I783" s="2" t="str">
        <f>IFERROR(IF(A783&lt;&gt;"",VLOOKUP(Alunos!A783,Recurso!A3:D1000,4, FALSE),""), "")</f>
        <v/>
      </c>
      <c r="J783" s="2" t="str">
        <f>IF(AND(A783&lt;&gt;"",I783&lt;&gt;""), SUMIFS(B783:I783,B1:I1,"&lt;&gt;",B2:I2,"&lt;&gt;Exame",B2:I2,"&lt;&gt;exame",B2:I2,"&lt;&gt;Nota",B2:I2,"&lt;&gt;Total"),"")</f>
        <v/>
      </c>
      <c r="K783" s="2" t="str">
        <f>IF(AND(A783&lt;&gt;"",J783&lt;&gt;""),ROUND(J783,0),"")</f>
        <v/>
      </c>
    </row>
    <row r="784" spans="2:11" x14ac:dyDescent="0.3">
      <c r="B784" s="2" t="str">
        <f>IFERROR(IF(A784&lt;&gt;"",VLOOKUP(Alunos!A784,Exame!A3:D1000,4, FALSE),""), "")</f>
        <v/>
      </c>
      <c r="C784" s="2" t="str">
        <f>IF(A784&lt;&gt;"",VLOOKUP(Alunos!A784,Agrupamentos!A3:C1000,2, FALSE),"")</f>
        <v/>
      </c>
      <c r="D784" s="2" t="str">
        <f>IFERROR(IF(A784&lt;&gt;"",VLOOKUP(Alunos!C784,'TP1'!A3:E1000,5, FALSE),""),"")</f>
        <v/>
      </c>
      <c r="E784" s="2" t="str">
        <f>IF(A784&lt;&gt;"",VLOOKUP(Alunos!A784,Agrupamentos!A3:C1000,3, FALSE),"")</f>
        <v/>
      </c>
      <c r="F784" s="2" t="str">
        <f>IFERROR(IF(A784&lt;&gt;"",VLOOKUP(Alunos!E784,'TP2'!A3:D1000,4, FALSE),""),"")</f>
        <v/>
      </c>
      <c r="G784" s="2" t="str">
        <f>IF(A784&lt;&gt;"", SUMIF(B1:F1,"&lt;&gt;",B784:F784),"")</f>
        <v/>
      </c>
      <c r="H784" s="2" t="str">
        <f>IF(AND(A784&lt;&gt;"",G784&lt;&gt;""),ROUND(G784,0),"")</f>
        <v/>
      </c>
      <c r="I784" s="2" t="str">
        <f>IFERROR(IF(A784&lt;&gt;"",VLOOKUP(Alunos!A784,Recurso!A3:D1000,4, FALSE),""), "")</f>
        <v/>
      </c>
      <c r="J784" s="2" t="str">
        <f>IF(AND(A784&lt;&gt;"",I784&lt;&gt;""), SUMIFS(B784:I784,B1:I1,"&lt;&gt;",B2:I2,"&lt;&gt;Exame",B2:I2,"&lt;&gt;exame",B2:I2,"&lt;&gt;Nota",B2:I2,"&lt;&gt;Total"),"")</f>
        <v/>
      </c>
      <c r="K784" s="2" t="str">
        <f>IF(AND(A784&lt;&gt;"",J784&lt;&gt;""),ROUND(J784,0),"")</f>
        <v/>
      </c>
    </row>
    <row r="785" spans="2:11" x14ac:dyDescent="0.3">
      <c r="B785" s="2" t="str">
        <f>IFERROR(IF(A785&lt;&gt;"",VLOOKUP(Alunos!A785,Exame!A3:D1000,4, FALSE),""), "")</f>
        <v/>
      </c>
      <c r="C785" s="2" t="str">
        <f>IF(A785&lt;&gt;"",VLOOKUP(Alunos!A785,Agrupamentos!A3:C1000,2, FALSE),"")</f>
        <v/>
      </c>
      <c r="D785" s="2" t="str">
        <f>IFERROR(IF(A785&lt;&gt;"",VLOOKUP(Alunos!C785,'TP1'!A3:E1000,5, FALSE),""),"")</f>
        <v/>
      </c>
      <c r="E785" s="2" t="str">
        <f>IF(A785&lt;&gt;"",VLOOKUP(Alunos!A785,Agrupamentos!A3:C1000,3, FALSE),"")</f>
        <v/>
      </c>
      <c r="F785" s="2" t="str">
        <f>IFERROR(IF(A785&lt;&gt;"",VLOOKUP(Alunos!E785,'TP2'!A3:D1000,4, FALSE),""),"")</f>
        <v/>
      </c>
      <c r="G785" s="2" t="str">
        <f>IF(A785&lt;&gt;"", SUMIF(B1:F1,"&lt;&gt;",B785:F785),"")</f>
        <v/>
      </c>
      <c r="H785" s="2" t="str">
        <f>IF(AND(A785&lt;&gt;"",G785&lt;&gt;""),ROUND(G785,0),"")</f>
        <v/>
      </c>
      <c r="I785" s="2" t="str">
        <f>IFERROR(IF(A785&lt;&gt;"",VLOOKUP(Alunos!A785,Recurso!A3:D1000,4, FALSE),""), "")</f>
        <v/>
      </c>
      <c r="J785" s="2" t="str">
        <f>IF(AND(A785&lt;&gt;"",I785&lt;&gt;""), SUMIFS(B785:I785,B1:I1,"&lt;&gt;",B2:I2,"&lt;&gt;Exame",B2:I2,"&lt;&gt;exame",B2:I2,"&lt;&gt;Nota",B2:I2,"&lt;&gt;Total"),"")</f>
        <v/>
      </c>
      <c r="K785" s="2" t="str">
        <f>IF(AND(A785&lt;&gt;"",J785&lt;&gt;""),ROUND(J785,0),"")</f>
        <v/>
      </c>
    </row>
    <row r="786" spans="2:11" x14ac:dyDescent="0.3">
      <c r="B786" s="2" t="str">
        <f>IFERROR(IF(A786&lt;&gt;"",VLOOKUP(Alunos!A786,Exame!A3:D1000,4, FALSE),""), "")</f>
        <v/>
      </c>
      <c r="C786" s="2" t="str">
        <f>IF(A786&lt;&gt;"",VLOOKUP(Alunos!A786,Agrupamentos!A3:C1000,2, FALSE),"")</f>
        <v/>
      </c>
      <c r="D786" s="2" t="str">
        <f>IFERROR(IF(A786&lt;&gt;"",VLOOKUP(Alunos!C786,'TP1'!A3:E1000,5, FALSE),""),"")</f>
        <v/>
      </c>
      <c r="E786" s="2" t="str">
        <f>IF(A786&lt;&gt;"",VLOOKUP(Alunos!A786,Agrupamentos!A3:C1000,3, FALSE),"")</f>
        <v/>
      </c>
      <c r="F786" s="2" t="str">
        <f>IFERROR(IF(A786&lt;&gt;"",VLOOKUP(Alunos!E786,'TP2'!A3:D1000,4, FALSE),""),"")</f>
        <v/>
      </c>
      <c r="G786" s="2" t="str">
        <f>IF(A786&lt;&gt;"", SUMIF(B1:F1,"&lt;&gt;",B786:F786),"")</f>
        <v/>
      </c>
      <c r="H786" s="2" t="str">
        <f>IF(AND(A786&lt;&gt;"",G786&lt;&gt;""),ROUND(G786,0),"")</f>
        <v/>
      </c>
      <c r="I786" s="2" t="str">
        <f>IFERROR(IF(A786&lt;&gt;"",VLOOKUP(Alunos!A786,Recurso!A3:D1000,4, FALSE),""), "")</f>
        <v/>
      </c>
      <c r="J786" s="2" t="str">
        <f>IF(AND(A786&lt;&gt;"",I786&lt;&gt;""), SUMIFS(B786:I786,B1:I1,"&lt;&gt;",B2:I2,"&lt;&gt;Exame",B2:I2,"&lt;&gt;exame",B2:I2,"&lt;&gt;Nota",B2:I2,"&lt;&gt;Total"),"")</f>
        <v/>
      </c>
      <c r="K786" s="2" t="str">
        <f>IF(AND(A786&lt;&gt;"",J786&lt;&gt;""),ROUND(J786,0),"")</f>
        <v/>
      </c>
    </row>
    <row r="787" spans="2:11" x14ac:dyDescent="0.3">
      <c r="B787" s="2" t="str">
        <f>IFERROR(IF(A787&lt;&gt;"",VLOOKUP(Alunos!A787,Exame!A3:D1000,4, FALSE),""), "")</f>
        <v/>
      </c>
      <c r="C787" s="2" t="str">
        <f>IF(A787&lt;&gt;"",VLOOKUP(Alunos!A787,Agrupamentos!A3:C1000,2, FALSE),"")</f>
        <v/>
      </c>
      <c r="D787" s="2" t="str">
        <f>IFERROR(IF(A787&lt;&gt;"",VLOOKUP(Alunos!C787,'TP1'!A3:E1000,5, FALSE),""),"")</f>
        <v/>
      </c>
      <c r="E787" s="2" t="str">
        <f>IF(A787&lt;&gt;"",VLOOKUP(Alunos!A787,Agrupamentos!A3:C1000,3, FALSE),"")</f>
        <v/>
      </c>
      <c r="F787" s="2" t="str">
        <f>IFERROR(IF(A787&lt;&gt;"",VLOOKUP(Alunos!E787,'TP2'!A3:D1000,4, FALSE),""),"")</f>
        <v/>
      </c>
      <c r="G787" s="2" t="str">
        <f>IF(A787&lt;&gt;"", SUMIF(B1:F1,"&lt;&gt;",B787:F787),"")</f>
        <v/>
      </c>
      <c r="H787" s="2" t="str">
        <f>IF(AND(A787&lt;&gt;"",G787&lt;&gt;""),ROUND(G787,0),"")</f>
        <v/>
      </c>
      <c r="I787" s="2" t="str">
        <f>IFERROR(IF(A787&lt;&gt;"",VLOOKUP(Alunos!A787,Recurso!A3:D1000,4, FALSE),""), "")</f>
        <v/>
      </c>
      <c r="J787" s="2" t="str">
        <f>IF(AND(A787&lt;&gt;"",I787&lt;&gt;""), SUMIFS(B787:I787,B1:I1,"&lt;&gt;",B2:I2,"&lt;&gt;Exame",B2:I2,"&lt;&gt;exame",B2:I2,"&lt;&gt;Nota",B2:I2,"&lt;&gt;Total"),"")</f>
        <v/>
      </c>
      <c r="K787" s="2" t="str">
        <f>IF(AND(A787&lt;&gt;"",J787&lt;&gt;""),ROUND(J787,0),"")</f>
        <v/>
      </c>
    </row>
    <row r="788" spans="2:11" x14ac:dyDescent="0.3">
      <c r="B788" s="2" t="str">
        <f>IFERROR(IF(A788&lt;&gt;"",VLOOKUP(Alunos!A788,Exame!A3:D1000,4, FALSE),""), "")</f>
        <v/>
      </c>
      <c r="C788" s="2" t="str">
        <f>IF(A788&lt;&gt;"",VLOOKUP(Alunos!A788,Agrupamentos!A3:C1000,2, FALSE),"")</f>
        <v/>
      </c>
      <c r="D788" s="2" t="str">
        <f>IFERROR(IF(A788&lt;&gt;"",VLOOKUP(Alunos!C788,'TP1'!A3:E1000,5, FALSE),""),"")</f>
        <v/>
      </c>
      <c r="E788" s="2" t="str">
        <f>IF(A788&lt;&gt;"",VLOOKUP(Alunos!A788,Agrupamentos!A3:C1000,3, FALSE),"")</f>
        <v/>
      </c>
      <c r="F788" s="2" t="str">
        <f>IFERROR(IF(A788&lt;&gt;"",VLOOKUP(Alunos!E788,'TP2'!A3:D1000,4, FALSE),""),"")</f>
        <v/>
      </c>
      <c r="G788" s="2" t="str">
        <f>IF(A788&lt;&gt;"", SUMIF(B1:F1,"&lt;&gt;",B788:F788),"")</f>
        <v/>
      </c>
      <c r="H788" s="2" t="str">
        <f>IF(AND(A788&lt;&gt;"",G788&lt;&gt;""),ROUND(G788,0),"")</f>
        <v/>
      </c>
      <c r="I788" s="2" t="str">
        <f>IFERROR(IF(A788&lt;&gt;"",VLOOKUP(Alunos!A788,Recurso!A3:D1000,4, FALSE),""), "")</f>
        <v/>
      </c>
      <c r="J788" s="2" t="str">
        <f>IF(AND(A788&lt;&gt;"",I788&lt;&gt;""), SUMIFS(B788:I788,B1:I1,"&lt;&gt;",B2:I2,"&lt;&gt;Exame",B2:I2,"&lt;&gt;exame",B2:I2,"&lt;&gt;Nota",B2:I2,"&lt;&gt;Total"),"")</f>
        <v/>
      </c>
      <c r="K788" s="2" t="str">
        <f>IF(AND(A788&lt;&gt;"",J788&lt;&gt;""),ROUND(J788,0),"")</f>
        <v/>
      </c>
    </row>
    <row r="789" spans="2:11" x14ac:dyDescent="0.3">
      <c r="B789" s="2" t="str">
        <f>IFERROR(IF(A789&lt;&gt;"",VLOOKUP(Alunos!A789,Exame!A3:D1000,4, FALSE),""), "")</f>
        <v/>
      </c>
      <c r="C789" s="2" t="str">
        <f>IF(A789&lt;&gt;"",VLOOKUP(Alunos!A789,Agrupamentos!A3:C1000,2, FALSE),"")</f>
        <v/>
      </c>
      <c r="D789" s="2" t="str">
        <f>IFERROR(IF(A789&lt;&gt;"",VLOOKUP(Alunos!C789,'TP1'!A3:E1000,5, FALSE),""),"")</f>
        <v/>
      </c>
      <c r="E789" s="2" t="str">
        <f>IF(A789&lt;&gt;"",VLOOKUP(Alunos!A789,Agrupamentos!A3:C1000,3, FALSE),"")</f>
        <v/>
      </c>
      <c r="F789" s="2" t="str">
        <f>IFERROR(IF(A789&lt;&gt;"",VLOOKUP(Alunos!E789,'TP2'!A3:D1000,4, FALSE),""),"")</f>
        <v/>
      </c>
      <c r="G789" s="2" t="str">
        <f>IF(A789&lt;&gt;"", SUMIF(B1:F1,"&lt;&gt;",B789:F789),"")</f>
        <v/>
      </c>
      <c r="H789" s="2" t="str">
        <f>IF(AND(A789&lt;&gt;"",G789&lt;&gt;""),ROUND(G789,0),"")</f>
        <v/>
      </c>
      <c r="I789" s="2" t="str">
        <f>IFERROR(IF(A789&lt;&gt;"",VLOOKUP(Alunos!A789,Recurso!A3:D1000,4, FALSE),""), "")</f>
        <v/>
      </c>
      <c r="J789" s="2" t="str">
        <f>IF(AND(A789&lt;&gt;"",I789&lt;&gt;""), SUMIFS(B789:I789,B1:I1,"&lt;&gt;",B2:I2,"&lt;&gt;Exame",B2:I2,"&lt;&gt;exame",B2:I2,"&lt;&gt;Nota",B2:I2,"&lt;&gt;Total"),"")</f>
        <v/>
      </c>
      <c r="K789" s="2" t="str">
        <f>IF(AND(A789&lt;&gt;"",J789&lt;&gt;""),ROUND(J789,0),"")</f>
        <v/>
      </c>
    </row>
    <row r="790" spans="2:11" x14ac:dyDescent="0.3">
      <c r="B790" s="2" t="str">
        <f>IFERROR(IF(A790&lt;&gt;"",VLOOKUP(Alunos!A790,Exame!A3:D1000,4, FALSE),""), "")</f>
        <v/>
      </c>
      <c r="C790" s="2" t="str">
        <f>IF(A790&lt;&gt;"",VLOOKUP(Alunos!A790,Agrupamentos!A3:C1000,2, FALSE),"")</f>
        <v/>
      </c>
      <c r="D790" s="2" t="str">
        <f>IFERROR(IF(A790&lt;&gt;"",VLOOKUP(Alunos!C790,'TP1'!A3:E1000,5, FALSE),""),"")</f>
        <v/>
      </c>
      <c r="E790" s="2" t="str">
        <f>IF(A790&lt;&gt;"",VLOOKUP(Alunos!A790,Agrupamentos!A3:C1000,3, FALSE),"")</f>
        <v/>
      </c>
      <c r="F790" s="2" t="str">
        <f>IFERROR(IF(A790&lt;&gt;"",VLOOKUP(Alunos!E790,'TP2'!A3:D1000,4, FALSE),""),"")</f>
        <v/>
      </c>
      <c r="G790" s="2" t="str">
        <f>IF(A790&lt;&gt;"", SUMIF(B1:F1,"&lt;&gt;",B790:F790),"")</f>
        <v/>
      </c>
      <c r="H790" s="2" t="str">
        <f>IF(AND(A790&lt;&gt;"",G790&lt;&gt;""),ROUND(G790,0),"")</f>
        <v/>
      </c>
      <c r="I790" s="2" t="str">
        <f>IFERROR(IF(A790&lt;&gt;"",VLOOKUP(Alunos!A790,Recurso!A3:D1000,4, FALSE),""), "")</f>
        <v/>
      </c>
      <c r="J790" s="2" t="str">
        <f>IF(AND(A790&lt;&gt;"",I790&lt;&gt;""), SUMIFS(B790:I790,B1:I1,"&lt;&gt;",B2:I2,"&lt;&gt;Exame",B2:I2,"&lt;&gt;exame",B2:I2,"&lt;&gt;Nota",B2:I2,"&lt;&gt;Total"),"")</f>
        <v/>
      </c>
      <c r="K790" s="2" t="str">
        <f>IF(AND(A790&lt;&gt;"",J790&lt;&gt;""),ROUND(J790,0),"")</f>
        <v/>
      </c>
    </row>
    <row r="791" spans="2:11" x14ac:dyDescent="0.3">
      <c r="B791" s="2" t="str">
        <f>IFERROR(IF(A791&lt;&gt;"",VLOOKUP(Alunos!A791,Exame!A3:D1000,4, FALSE),""), "")</f>
        <v/>
      </c>
      <c r="C791" s="2" t="str">
        <f>IF(A791&lt;&gt;"",VLOOKUP(Alunos!A791,Agrupamentos!A3:C1000,2, FALSE),"")</f>
        <v/>
      </c>
      <c r="D791" s="2" t="str">
        <f>IFERROR(IF(A791&lt;&gt;"",VLOOKUP(Alunos!C791,'TP1'!A3:E1000,5, FALSE),""),"")</f>
        <v/>
      </c>
      <c r="E791" s="2" t="str">
        <f>IF(A791&lt;&gt;"",VLOOKUP(Alunos!A791,Agrupamentos!A3:C1000,3, FALSE),"")</f>
        <v/>
      </c>
      <c r="F791" s="2" t="str">
        <f>IFERROR(IF(A791&lt;&gt;"",VLOOKUP(Alunos!E791,'TP2'!A3:D1000,4, FALSE),""),"")</f>
        <v/>
      </c>
      <c r="G791" s="2" t="str">
        <f>IF(A791&lt;&gt;"", SUMIF(B1:F1,"&lt;&gt;",B791:F791),"")</f>
        <v/>
      </c>
      <c r="H791" s="2" t="str">
        <f>IF(AND(A791&lt;&gt;"",G791&lt;&gt;""),ROUND(G791,0),"")</f>
        <v/>
      </c>
      <c r="I791" s="2" t="str">
        <f>IFERROR(IF(A791&lt;&gt;"",VLOOKUP(Alunos!A791,Recurso!A3:D1000,4, FALSE),""), "")</f>
        <v/>
      </c>
      <c r="J791" s="2" t="str">
        <f>IF(AND(A791&lt;&gt;"",I791&lt;&gt;""), SUMIFS(B791:I791,B1:I1,"&lt;&gt;",B2:I2,"&lt;&gt;Exame",B2:I2,"&lt;&gt;exame",B2:I2,"&lt;&gt;Nota",B2:I2,"&lt;&gt;Total"),"")</f>
        <v/>
      </c>
      <c r="K791" s="2" t="str">
        <f>IF(AND(A791&lt;&gt;"",J791&lt;&gt;""),ROUND(J791,0),"")</f>
        <v/>
      </c>
    </row>
    <row r="792" spans="2:11" x14ac:dyDescent="0.3">
      <c r="B792" s="2" t="str">
        <f>IFERROR(IF(A792&lt;&gt;"",VLOOKUP(Alunos!A792,Exame!A3:D1000,4, FALSE),""), "")</f>
        <v/>
      </c>
      <c r="C792" s="2" t="str">
        <f>IF(A792&lt;&gt;"",VLOOKUP(Alunos!A792,Agrupamentos!A3:C1000,2, FALSE),"")</f>
        <v/>
      </c>
      <c r="D792" s="2" t="str">
        <f>IFERROR(IF(A792&lt;&gt;"",VLOOKUP(Alunos!C792,'TP1'!A3:E1000,5, FALSE),""),"")</f>
        <v/>
      </c>
      <c r="E792" s="2" t="str">
        <f>IF(A792&lt;&gt;"",VLOOKUP(Alunos!A792,Agrupamentos!A3:C1000,3, FALSE),"")</f>
        <v/>
      </c>
      <c r="F792" s="2" t="str">
        <f>IFERROR(IF(A792&lt;&gt;"",VLOOKUP(Alunos!E792,'TP2'!A3:D1000,4, FALSE),""),"")</f>
        <v/>
      </c>
      <c r="G792" s="2" t="str">
        <f>IF(A792&lt;&gt;"", SUMIF(B1:F1,"&lt;&gt;",B792:F792),"")</f>
        <v/>
      </c>
      <c r="H792" s="2" t="str">
        <f>IF(AND(A792&lt;&gt;"",G792&lt;&gt;""),ROUND(G792,0),"")</f>
        <v/>
      </c>
      <c r="I792" s="2" t="str">
        <f>IFERROR(IF(A792&lt;&gt;"",VLOOKUP(Alunos!A792,Recurso!A3:D1000,4, FALSE),""), "")</f>
        <v/>
      </c>
      <c r="J792" s="2" t="str">
        <f>IF(AND(A792&lt;&gt;"",I792&lt;&gt;""), SUMIFS(B792:I792,B1:I1,"&lt;&gt;",B2:I2,"&lt;&gt;Exame",B2:I2,"&lt;&gt;exame",B2:I2,"&lt;&gt;Nota",B2:I2,"&lt;&gt;Total"),"")</f>
        <v/>
      </c>
      <c r="K792" s="2" t="str">
        <f>IF(AND(A792&lt;&gt;"",J792&lt;&gt;""),ROUND(J792,0),"")</f>
        <v/>
      </c>
    </row>
    <row r="793" spans="2:11" x14ac:dyDescent="0.3">
      <c r="B793" s="2" t="str">
        <f>IFERROR(IF(A793&lt;&gt;"",VLOOKUP(Alunos!A793,Exame!A3:D1000,4, FALSE),""), "")</f>
        <v/>
      </c>
      <c r="C793" s="2" t="str">
        <f>IF(A793&lt;&gt;"",VLOOKUP(Alunos!A793,Agrupamentos!A3:C1000,2, FALSE),"")</f>
        <v/>
      </c>
      <c r="D793" s="2" t="str">
        <f>IFERROR(IF(A793&lt;&gt;"",VLOOKUP(Alunos!C793,'TP1'!A3:E1000,5, FALSE),""),"")</f>
        <v/>
      </c>
      <c r="E793" s="2" t="str">
        <f>IF(A793&lt;&gt;"",VLOOKUP(Alunos!A793,Agrupamentos!A3:C1000,3, FALSE),"")</f>
        <v/>
      </c>
      <c r="F793" s="2" t="str">
        <f>IFERROR(IF(A793&lt;&gt;"",VLOOKUP(Alunos!E793,'TP2'!A3:D1000,4, FALSE),""),"")</f>
        <v/>
      </c>
      <c r="G793" s="2" t="str">
        <f>IF(A793&lt;&gt;"", SUMIF(B1:F1,"&lt;&gt;",B793:F793),"")</f>
        <v/>
      </c>
      <c r="H793" s="2" t="str">
        <f>IF(AND(A793&lt;&gt;"",G793&lt;&gt;""),ROUND(G793,0),"")</f>
        <v/>
      </c>
      <c r="I793" s="2" t="str">
        <f>IFERROR(IF(A793&lt;&gt;"",VLOOKUP(Alunos!A793,Recurso!A3:D1000,4, FALSE),""), "")</f>
        <v/>
      </c>
      <c r="J793" s="2" t="str">
        <f>IF(AND(A793&lt;&gt;"",I793&lt;&gt;""), SUMIFS(B793:I793,B1:I1,"&lt;&gt;",B2:I2,"&lt;&gt;Exame",B2:I2,"&lt;&gt;exame",B2:I2,"&lt;&gt;Nota",B2:I2,"&lt;&gt;Total"),"")</f>
        <v/>
      </c>
      <c r="K793" s="2" t="str">
        <f>IF(AND(A793&lt;&gt;"",J793&lt;&gt;""),ROUND(J793,0),"")</f>
        <v/>
      </c>
    </row>
    <row r="794" spans="2:11" x14ac:dyDescent="0.3">
      <c r="B794" s="2" t="str">
        <f>IFERROR(IF(A794&lt;&gt;"",VLOOKUP(Alunos!A794,Exame!A3:D1000,4, FALSE),""), "")</f>
        <v/>
      </c>
      <c r="C794" s="2" t="str">
        <f>IF(A794&lt;&gt;"",VLOOKUP(Alunos!A794,Agrupamentos!A3:C1000,2, FALSE),"")</f>
        <v/>
      </c>
      <c r="D794" s="2" t="str">
        <f>IFERROR(IF(A794&lt;&gt;"",VLOOKUP(Alunos!C794,'TP1'!A3:E1000,5, FALSE),""),"")</f>
        <v/>
      </c>
      <c r="E794" s="2" t="str">
        <f>IF(A794&lt;&gt;"",VLOOKUP(Alunos!A794,Agrupamentos!A3:C1000,3, FALSE),"")</f>
        <v/>
      </c>
      <c r="F794" s="2" t="str">
        <f>IFERROR(IF(A794&lt;&gt;"",VLOOKUP(Alunos!E794,'TP2'!A3:D1000,4, FALSE),""),"")</f>
        <v/>
      </c>
      <c r="G794" s="2" t="str">
        <f>IF(A794&lt;&gt;"", SUMIF(B1:F1,"&lt;&gt;",B794:F794),"")</f>
        <v/>
      </c>
      <c r="H794" s="2" t="str">
        <f>IF(AND(A794&lt;&gt;"",G794&lt;&gt;""),ROUND(G794,0),"")</f>
        <v/>
      </c>
      <c r="I794" s="2" t="str">
        <f>IFERROR(IF(A794&lt;&gt;"",VLOOKUP(Alunos!A794,Recurso!A3:D1000,4, FALSE),""), "")</f>
        <v/>
      </c>
      <c r="J794" s="2" t="str">
        <f>IF(AND(A794&lt;&gt;"",I794&lt;&gt;""), SUMIFS(B794:I794,B1:I1,"&lt;&gt;",B2:I2,"&lt;&gt;Exame",B2:I2,"&lt;&gt;exame",B2:I2,"&lt;&gt;Nota",B2:I2,"&lt;&gt;Total"),"")</f>
        <v/>
      </c>
      <c r="K794" s="2" t="str">
        <f>IF(AND(A794&lt;&gt;"",J794&lt;&gt;""),ROUND(J794,0),"")</f>
        <v/>
      </c>
    </row>
    <row r="795" spans="2:11" x14ac:dyDescent="0.3">
      <c r="B795" s="2" t="str">
        <f>IFERROR(IF(A795&lt;&gt;"",VLOOKUP(Alunos!A795,Exame!A3:D1000,4, FALSE),""), "")</f>
        <v/>
      </c>
      <c r="C795" s="2" t="str">
        <f>IF(A795&lt;&gt;"",VLOOKUP(Alunos!A795,Agrupamentos!A3:C1000,2, FALSE),"")</f>
        <v/>
      </c>
      <c r="D795" s="2" t="str">
        <f>IFERROR(IF(A795&lt;&gt;"",VLOOKUP(Alunos!C795,'TP1'!A3:E1000,5, FALSE),""),"")</f>
        <v/>
      </c>
      <c r="E795" s="2" t="str">
        <f>IF(A795&lt;&gt;"",VLOOKUP(Alunos!A795,Agrupamentos!A3:C1000,3, FALSE),"")</f>
        <v/>
      </c>
      <c r="F795" s="2" t="str">
        <f>IFERROR(IF(A795&lt;&gt;"",VLOOKUP(Alunos!E795,'TP2'!A3:D1000,4, FALSE),""),"")</f>
        <v/>
      </c>
      <c r="G795" s="2" t="str">
        <f>IF(A795&lt;&gt;"", SUMIF(B1:F1,"&lt;&gt;",B795:F795),"")</f>
        <v/>
      </c>
      <c r="H795" s="2" t="str">
        <f>IF(AND(A795&lt;&gt;"",G795&lt;&gt;""),ROUND(G795,0),"")</f>
        <v/>
      </c>
      <c r="I795" s="2" t="str">
        <f>IFERROR(IF(A795&lt;&gt;"",VLOOKUP(Alunos!A795,Recurso!A3:D1000,4, FALSE),""), "")</f>
        <v/>
      </c>
      <c r="J795" s="2" t="str">
        <f>IF(AND(A795&lt;&gt;"",I795&lt;&gt;""), SUMIFS(B795:I795,B1:I1,"&lt;&gt;",B2:I2,"&lt;&gt;Exame",B2:I2,"&lt;&gt;exame",B2:I2,"&lt;&gt;Nota",B2:I2,"&lt;&gt;Total"),"")</f>
        <v/>
      </c>
      <c r="K795" s="2" t="str">
        <f>IF(AND(A795&lt;&gt;"",J795&lt;&gt;""),ROUND(J795,0),"")</f>
        <v/>
      </c>
    </row>
    <row r="796" spans="2:11" x14ac:dyDescent="0.3">
      <c r="B796" s="2" t="str">
        <f>IFERROR(IF(A796&lt;&gt;"",VLOOKUP(Alunos!A796,Exame!A3:D1000,4, FALSE),""), "")</f>
        <v/>
      </c>
      <c r="C796" s="2" t="str">
        <f>IF(A796&lt;&gt;"",VLOOKUP(Alunos!A796,Agrupamentos!A3:C1000,2, FALSE),"")</f>
        <v/>
      </c>
      <c r="D796" s="2" t="str">
        <f>IFERROR(IF(A796&lt;&gt;"",VLOOKUP(Alunos!C796,'TP1'!A3:E1000,5, FALSE),""),"")</f>
        <v/>
      </c>
      <c r="E796" s="2" t="str">
        <f>IF(A796&lt;&gt;"",VLOOKUP(Alunos!A796,Agrupamentos!A3:C1000,3, FALSE),"")</f>
        <v/>
      </c>
      <c r="F796" s="2" t="str">
        <f>IFERROR(IF(A796&lt;&gt;"",VLOOKUP(Alunos!E796,'TP2'!A3:D1000,4, FALSE),""),"")</f>
        <v/>
      </c>
      <c r="G796" s="2" t="str">
        <f>IF(A796&lt;&gt;"", SUMIF(B1:F1,"&lt;&gt;",B796:F796),"")</f>
        <v/>
      </c>
      <c r="H796" s="2" t="str">
        <f>IF(AND(A796&lt;&gt;"",G796&lt;&gt;""),ROUND(G796,0),"")</f>
        <v/>
      </c>
      <c r="I796" s="2" t="str">
        <f>IFERROR(IF(A796&lt;&gt;"",VLOOKUP(Alunos!A796,Recurso!A3:D1000,4, FALSE),""), "")</f>
        <v/>
      </c>
      <c r="J796" s="2" t="str">
        <f>IF(AND(A796&lt;&gt;"",I796&lt;&gt;""), SUMIFS(B796:I796,B1:I1,"&lt;&gt;",B2:I2,"&lt;&gt;Exame",B2:I2,"&lt;&gt;exame",B2:I2,"&lt;&gt;Nota",B2:I2,"&lt;&gt;Total"),"")</f>
        <v/>
      </c>
      <c r="K796" s="2" t="str">
        <f>IF(AND(A796&lt;&gt;"",J796&lt;&gt;""),ROUND(J796,0),"")</f>
        <v/>
      </c>
    </row>
    <row r="797" spans="2:11" x14ac:dyDescent="0.3">
      <c r="B797" s="2" t="str">
        <f>IFERROR(IF(A797&lt;&gt;"",VLOOKUP(Alunos!A797,Exame!A3:D1000,4, FALSE),""), "")</f>
        <v/>
      </c>
      <c r="C797" s="2" t="str">
        <f>IF(A797&lt;&gt;"",VLOOKUP(Alunos!A797,Agrupamentos!A3:C1000,2, FALSE),"")</f>
        <v/>
      </c>
      <c r="D797" s="2" t="str">
        <f>IFERROR(IF(A797&lt;&gt;"",VLOOKUP(Alunos!C797,'TP1'!A3:E1000,5, FALSE),""),"")</f>
        <v/>
      </c>
      <c r="E797" s="2" t="str">
        <f>IF(A797&lt;&gt;"",VLOOKUP(Alunos!A797,Agrupamentos!A3:C1000,3, FALSE),"")</f>
        <v/>
      </c>
      <c r="F797" s="2" t="str">
        <f>IFERROR(IF(A797&lt;&gt;"",VLOOKUP(Alunos!E797,'TP2'!A3:D1000,4, FALSE),""),"")</f>
        <v/>
      </c>
      <c r="G797" s="2" t="str">
        <f>IF(A797&lt;&gt;"", SUMIF(B1:F1,"&lt;&gt;",B797:F797),"")</f>
        <v/>
      </c>
      <c r="H797" s="2" t="str">
        <f>IF(AND(A797&lt;&gt;"",G797&lt;&gt;""),ROUND(G797,0),"")</f>
        <v/>
      </c>
      <c r="I797" s="2" t="str">
        <f>IFERROR(IF(A797&lt;&gt;"",VLOOKUP(Alunos!A797,Recurso!A3:D1000,4, FALSE),""), "")</f>
        <v/>
      </c>
      <c r="J797" s="2" t="str">
        <f>IF(AND(A797&lt;&gt;"",I797&lt;&gt;""), SUMIFS(B797:I797,B1:I1,"&lt;&gt;",B2:I2,"&lt;&gt;Exame",B2:I2,"&lt;&gt;exame",B2:I2,"&lt;&gt;Nota",B2:I2,"&lt;&gt;Total"),"")</f>
        <v/>
      </c>
      <c r="K797" s="2" t="str">
        <f>IF(AND(A797&lt;&gt;"",J797&lt;&gt;""),ROUND(J797,0),"")</f>
        <v/>
      </c>
    </row>
    <row r="798" spans="2:11" x14ac:dyDescent="0.3">
      <c r="B798" s="2" t="str">
        <f>IFERROR(IF(A798&lt;&gt;"",VLOOKUP(Alunos!A798,Exame!A3:D1000,4, FALSE),""), "")</f>
        <v/>
      </c>
      <c r="C798" s="2" t="str">
        <f>IF(A798&lt;&gt;"",VLOOKUP(Alunos!A798,Agrupamentos!A3:C1000,2, FALSE),"")</f>
        <v/>
      </c>
      <c r="D798" s="2" t="str">
        <f>IFERROR(IF(A798&lt;&gt;"",VLOOKUP(Alunos!C798,'TP1'!A3:E1000,5, FALSE),""),"")</f>
        <v/>
      </c>
      <c r="E798" s="2" t="str">
        <f>IF(A798&lt;&gt;"",VLOOKUP(Alunos!A798,Agrupamentos!A3:C1000,3, FALSE),"")</f>
        <v/>
      </c>
      <c r="F798" s="2" t="str">
        <f>IFERROR(IF(A798&lt;&gt;"",VLOOKUP(Alunos!E798,'TP2'!A3:D1000,4, FALSE),""),"")</f>
        <v/>
      </c>
      <c r="G798" s="2" t="str">
        <f>IF(A798&lt;&gt;"", SUMIF(B1:F1,"&lt;&gt;",B798:F798),"")</f>
        <v/>
      </c>
      <c r="H798" s="2" t="str">
        <f>IF(AND(A798&lt;&gt;"",G798&lt;&gt;""),ROUND(G798,0),"")</f>
        <v/>
      </c>
      <c r="I798" s="2" t="str">
        <f>IFERROR(IF(A798&lt;&gt;"",VLOOKUP(Alunos!A798,Recurso!A3:D1000,4, FALSE),""), "")</f>
        <v/>
      </c>
      <c r="J798" s="2" t="str">
        <f>IF(AND(A798&lt;&gt;"",I798&lt;&gt;""), SUMIFS(B798:I798,B1:I1,"&lt;&gt;",B2:I2,"&lt;&gt;Exame",B2:I2,"&lt;&gt;exame",B2:I2,"&lt;&gt;Nota",B2:I2,"&lt;&gt;Total"),"")</f>
        <v/>
      </c>
      <c r="K798" s="2" t="str">
        <f>IF(AND(A798&lt;&gt;"",J798&lt;&gt;""),ROUND(J798,0),"")</f>
        <v/>
      </c>
    </row>
    <row r="799" spans="2:11" x14ac:dyDescent="0.3">
      <c r="B799" s="2" t="str">
        <f>IFERROR(IF(A799&lt;&gt;"",VLOOKUP(Alunos!A799,Exame!A3:D1000,4, FALSE),""), "")</f>
        <v/>
      </c>
      <c r="C799" s="2" t="str">
        <f>IF(A799&lt;&gt;"",VLOOKUP(Alunos!A799,Agrupamentos!A3:C1000,2, FALSE),"")</f>
        <v/>
      </c>
      <c r="D799" s="2" t="str">
        <f>IFERROR(IF(A799&lt;&gt;"",VLOOKUP(Alunos!C799,'TP1'!A3:E1000,5, FALSE),""),"")</f>
        <v/>
      </c>
      <c r="E799" s="2" t="str">
        <f>IF(A799&lt;&gt;"",VLOOKUP(Alunos!A799,Agrupamentos!A3:C1000,3, FALSE),"")</f>
        <v/>
      </c>
      <c r="F799" s="2" t="str">
        <f>IFERROR(IF(A799&lt;&gt;"",VLOOKUP(Alunos!E799,'TP2'!A3:D1000,4, FALSE),""),"")</f>
        <v/>
      </c>
      <c r="G799" s="2" t="str">
        <f>IF(A799&lt;&gt;"", SUMIF(B1:F1,"&lt;&gt;",B799:F799),"")</f>
        <v/>
      </c>
      <c r="H799" s="2" t="str">
        <f>IF(AND(A799&lt;&gt;"",G799&lt;&gt;""),ROUND(G799,0),"")</f>
        <v/>
      </c>
      <c r="I799" s="2" t="str">
        <f>IFERROR(IF(A799&lt;&gt;"",VLOOKUP(Alunos!A799,Recurso!A3:D1000,4, FALSE),""), "")</f>
        <v/>
      </c>
      <c r="J799" s="2" t="str">
        <f>IF(AND(A799&lt;&gt;"",I799&lt;&gt;""), SUMIFS(B799:I799,B1:I1,"&lt;&gt;",B2:I2,"&lt;&gt;Exame",B2:I2,"&lt;&gt;exame",B2:I2,"&lt;&gt;Nota",B2:I2,"&lt;&gt;Total"),"")</f>
        <v/>
      </c>
      <c r="K799" s="2" t="str">
        <f>IF(AND(A799&lt;&gt;"",J799&lt;&gt;""),ROUND(J799,0),"")</f>
        <v/>
      </c>
    </row>
    <row r="800" spans="2:11" x14ac:dyDescent="0.3">
      <c r="B800" s="2" t="str">
        <f>IFERROR(IF(A800&lt;&gt;"",VLOOKUP(Alunos!A800,Exame!A3:D1000,4, FALSE),""), "")</f>
        <v/>
      </c>
      <c r="C800" s="2" t="str">
        <f>IF(A800&lt;&gt;"",VLOOKUP(Alunos!A800,Agrupamentos!A3:C1000,2, FALSE),"")</f>
        <v/>
      </c>
      <c r="D800" s="2" t="str">
        <f>IFERROR(IF(A800&lt;&gt;"",VLOOKUP(Alunos!C800,'TP1'!A3:E1000,5, FALSE),""),"")</f>
        <v/>
      </c>
      <c r="E800" s="2" t="str">
        <f>IF(A800&lt;&gt;"",VLOOKUP(Alunos!A800,Agrupamentos!A3:C1000,3, FALSE),"")</f>
        <v/>
      </c>
      <c r="F800" s="2" t="str">
        <f>IFERROR(IF(A800&lt;&gt;"",VLOOKUP(Alunos!E800,'TP2'!A3:D1000,4, FALSE),""),"")</f>
        <v/>
      </c>
      <c r="G800" s="2" t="str">
        <f>IF(A800&lt;&gt;"", SUMIF(B1:F1,"&lt;&gt;",B800:F800),"")</f>
        <v/>
      </c>
      <c r="H800" s="2" t="str">
        <f>IF(AND(A800&lt;&gt;"",G800&lt;&gt;""),ROUND(G800,0),"")</f>
        <v/>
      </c>
      <c r="I800" s="2" t="str">
        <f>IFERROR(IF(A800&lt;&gt;"",VLOOKUP(Alunos!A800,Recurso!A3:D1000,4, FALSE),""), "")</f>
        <v/>
      </c>
      <c r="J800" s="2" t="str">
        <f>IF(AND(A800&lt;&gt;"",I800&lt;&gt;""), SUMIFS(B800:I800,B1:I1,"&lt;&gt;",B2:I2,"&lt;&gt;Exame",B2:I2,"&lt;&gt;exame",B2:I2,"&lt;&gt;Nota",B2:I2,"&lt;&gt;Total"),"")</f>
        <v/>
      </c>
      <c r="K800" s="2" t="str">
        <f>IF(AND(A800&lt;&gt;"",J800&lt;&gt;""),ROUND(J800,0),"")</f>
        <v/>
      </c>
    </row>
    <row r="801" spans="2:11" x14ac:dyDescent="0.3">
      <c r="B801" s="2" t="str">
        <f>IFERROR(IF(A801&lt;&gt;"",VLOOKUP(Alunos!A801,Exame!A3:D1000,4, FALSE),""), "")</f>
        <v/>
      </c>
      <c r="C801" s="2" t="str">
        <f>IF(A801&lt;&gt;"",VLOOKUP(Alunos!A801,Agrupamentos!A3:C1000,2, FALSE),"")</f>
        <v/>
      </c>
      <c r="D801" s="2" t="str">
        <f>IFERROR(IF(A801&lt;&gt;"",VLOOKUP(Alunos!C801,'TP1'!A3:E1000,5, FALSE),""),"")</f>
        <v/>
      </c>
      <c r="E801" s="2" t="str">
        <f>IF(A801&lt;&gt;"",VLOOKUP(Alunos!A801,Agrupamentos!A3:C1000,3, FALSE),"")</f>
        <v/>
      </c>
      <c r="F801" s="2" t="str">
        <f>IFERROR(IF(A801&lt;&gt;"",VLOOKUP(Alunos!E801,'TP2'!A3:D1000,4, FALSE),""),"")</f>
        <v/>
      </c>
      <c r="G801" s="2" t="str">
        <f>IF(A801&lt;&gt;"", SUMIF(B1:F1,"&lt;&gt;",B801:F801),"")</f>
        <v/>
      </c>
      <c r="H801" s="2" t="str">
        <f>IF(AND(A801&lt;&gt;"",G801&lt;&gt;""),ROUND(G801,0),"")</f>
        <v/>
      </c>
      <c r="I801" s="2" t="str">
        <f>IFERROR(IF(A801&lt;&gt;"",VLOOKUP(Alunos!A801,Recurso!A3:D1000,4, FALSE),""), "")</f>
        <v/>
      </c>
      <c r="J801" s="2" t="str">
        <f>IF(AND(A801&lt;&gt;"",I801&lt;&gt;""), SUMIFS(B801:I801,B1:I1,"&lt;&gt;",B2:I2,"&lt;&gt;Exame",B2:I2,"&lt;&gt;exame",B2:I2,"&lt;&gt;Nota",B2:I2,"&lt;&gt;Total"),"")</f>
        <v/>
      </c>
      <c r="K801" s="2" t="str">
        <f>IF(AND(A801&lt;&gt;"",J801&lt;&gt;""),ROUND(J801,0),"")</f>
        <v/>
      </c>
    </row>
    <row r="802" spans="2:11" x14ac:dyDescent="0.3">
      <c r="B802" s="2" t="str">
        <f>IFERROR(IF(A802&lt;&gt;"",VLOOKUP(Alunos!A802,Exame!A3:D1000,4, FALSE),""), "")</f>
        <v/>
      </c>
      <c r="C802" s="2" t="str">
        <f>IF(A802&lt;&gt;"",VLOOKUP(Alunos!A802,Agrupamentos!A3:C1000,2, FALSE),"")</f>
        <v/>
      </c>
      <c r="D802" s="2" t="str">
        <f>IFERROR(IF(A802&lt;&gt;"",VLOOKUP(Alunos!C802,'TP1'!A3:E1000,5, FALSE),""),"")</f>
        <v/>
      </c>
      <c r="E802" s="2" t="str">
        <f>IF(A802&lt;&gt;"",VLOOKUP(Alunos!A802,Agrupamentos!A3:C1000,3, FALSE),"")</f>
        <v/>
      </c>
      <c r="F802" s="2" t="str">
        <f>IFERROR(IF(A802&lt;&gt;"",VLOOKUP(Alunos!E802,'TP2'!A3:D1000,4, FALSE),""),"")</f>
        <v/>
      </c>
      <c r="G802" s="2" t="str">
        <f>IF(A802&lt;&gt;"", SUMIF(B1:F1,"&lt;&gt;",B802:F802),"")</f>
        <v/>
      </c>
      <c r="H802" s="2" t="str">
        <f>IF(AND(A802&lt;&gt;"",G802&lt;&gt;""),ROUND(G802,0),"")</f>
        <v/>
      </c>
      <c r="I802" s="2" t="str">
        <f>IFERROR(IF(A802&lt;&gt;"",VLOOKUP(Alunos!A802,Recurso!A3:D1000,4, FALSE),""), "")</f>
        <v/>
      </c>
      <c r="J802" s="2" t="str">
        <f>IF(AND(A802&lt;&gt;"",I802&lt;&gt;""), SUMIFS(B802:I802,B1:I1,"&lt;&gt;",B2:I2,"&lt;&gt;Exame",B2:I2,"&lt;&gt;exame",B2:I2,"&lt;&gt;Nota",B2:I2,"&lt;&gt;Total"),"")</f>
        <v/>
      </c>
      <c r="K802" s="2" t="str">
        <f>IF(AND(A802&lt;&gt;"",J802&lt;&gt;""),ROUND(J802,0),"")</f>
        <v/>
      </c>
    </row>
    <row r="803" spans="2:11" x14ac:dyDescent="0.3">
      <c r="B803" s="2" t="str">
        <f>IFERROR(IF(A803&lt;&gt;"",VLOOKUP(Alunos!A803,Exame!A3:D1000,4, FALSE),""), "")</f>
        <v/>
      </c>
      <c r="C803" s="2" t="str">
        <f>IF(A803&lt;&gt;"",VLOOKUP(Alunos!A803,Agrupamentos!A3:C1000,2, FALSE),"")</f>
        <v/>
      </c>
      <c r="D803" s="2" t="str">
        <f>IFERROR(IF(A803&lt;&gt;"",VLOOKUP(Alunos!C803,'TP1'!A3:E1000,5, FALSE),""),"")</f>
        <v/>
      </c>
      <c r="E803" s="2" t="str">
        <f>IF(A803&lt;&gt;"",VLOOKUP(Alunos!A803,Agrupamentos!A3:C1000,3, FALSE),"")</f>
        <v/>
      </c>
      <c r="F803" s="2" t="str">
        <f>IFERROR(IF(A803&lt;&gt;"",VLOOKUP(Alunos!E803,'TP2'!A3:D1000,4, FALSE),""),"")</f>
        <v/>
      </c>
      <c r="G803" s="2" t="str">
        <f>IF(A803&lt;&gt;"", SUMIF(B1:F1,"&lt;&gt;",B803:F803),"")</f>
        <v/>
      </c>
      <c r="H803" s="2" t="str">
        <f>IF(AND(A803&lt;&gt;"",G803&lt;&gt;""),ROUND(G803,0),"")</f>
        <v/>
      </c>
      <c r="I803" s="2" t="str">
        <f>IFERROR(IF(A803&lt;&gt;"",VLOOKUP(Alunos!A803,Recurso!A3:D1000,4, FALSE),""), "")</f>
        <v/>
      </c>
      <c r="J803" s="2" t="str">
        <f>IF(AND(A803&lt;&gt;"",I803&lt;&gt;""), SUMIFS(B803:I803,B1:I1,"&lt;&gt;",B2:I2,"&lt;&gt;Exame",B2:I2,"&lt;&gt;exame",B2:I2,"&lt;&gt;Nota",B2:I2,"&lt;&gt;Total"),"")</f>
        <v/>
      </c>
      <c r="K803" s="2" t="str">
        <f>IF(AND(A803&lt;&gt;"",J803&lt;&gt;""),ROUND(J803,0),"")</f>
        <v/>
      </c>
    </row>
    <row r="804" spans="2:11" x14ac:dyDescent="0.3">
      <c r="B804" s="2" t="str">
        <f>IFERROR(IF(A804&lt;&gt;"",VLOOKUP(Alunos!A804,Exame!A3:D1000,4, FALSE),""), "")</f>
        <v/>
      </c>
      <c r="C804" s="2" t="str">
        <f>IF(A804&lt;&gt;"",VLOOKUP(Alunos!A804,Agrupamentos!A3:C1000,2, FALSE),"")</f>
        <v/>
      </c>
      <c r="D804" s="2" t="str">
        <f>IFERROR(IF(A804&lt;&gt;"",VLOOKUP(Alunos!C804,'TP1'!A3:E1000,5, FALSE),""),"")</f>
        <v/>
      </c>
      <c r="E804" s="2" t="str">
        <f>IF(A804&lt;&gt;"",VLOOKUP(Alunos!A804,Agrupamentos!A3:C1000,3, FALSE),"")</f>
        <v/>
      </c>
      <c r="F804" s="2" t="str">
        <f>IFERROR(IF(A804&lt;&gt;"",VLOOKUP(Alunos!E804,'TP2'!A3:D1000,4, FALSE),""),"")</f>
        <v/>
      </c>
      <c r="G804" s="2" t="str">
        <f>IF(A804&lt;&gt;"", SUMIF(B1:F1,"&lt;&gt;",B804:F804),"")</f>
        <v/>
      </c>
      <c r="H804" s="2" t="str">
        <f>IF(AND(A804&lt;&gt;"",G804&lt;&gt;""),ROUND(G804,0),"")</f>
        <v/>
      </c>
      <c r="I804" s="2" t="str">
        <f>IFERROR(IF(A804&lt;&gt;"",VLOOKUP(Alunos!A804,Recurso!A3:D1000,4, FALSE),""), "")</f>
        <v/>
      </c>
      <c r="J804" s="2" t="str">
        <f>IF(AND(A804&lt;&gt;"",I804&lt;&gt;""), SUMIFS(B804:I804,B1:I1,"&lt;&gt;",B2:I2,"&lt;&gt;Exame",B2:I2,"&lt;&gt;exame",B2:I2,"&lt;&gt;Nota",B2:I2,"&lt;&gt;Total"),"")</f>
        <v/>
      </c>
      <c r="K804" s="2" t="str">
        <f>IF(AND(A804&lt;&gt;"",J804&lt;&gt;""),ROUND(J804,0),"")</f>
        <v/>
      </c>
    </row>
    <row r="805" spans="2:11" x14ac:dyDescent="0.3">
      <c r="B805" s="2" t="str">
        <f>IFERROR(IF(A805&lt;&gt;"",VLOOKUP(Alunos!A805,Exame!A3:D1000,4, FALSE),""), "")</f>
        <v/>
      </c>
      <c r="C805" s="2" t="str">
        <f>IF(A805&lt;&gt;"",VLOOKUP(Alunos!A805,Agrupamentos!A3:C1000,2, FALSE),"")</f>
        <v/>
      </c>
      <c r="D805" s="2" t="str">
        <f>IFERROR(IF(A805&lt;&gt;"",VLOOKUP(Alunos!C805,'TP1'!A3:E1000,5, FALSE),""),"")</f>
        <v/>
      </c>
      <c r="E805" s="2" t="str">
        <f>IF(A805&lt;&gt;"",VLOOKUP(Alunos!A805,Agrupamentos!A3:C1000,3, FALSE),"")</f>
        <v/>
      </c>
      <c r="F805" s="2" t="str">
        <f>IFERROR(IF(A805&lt;&gt;"",VLOOKUP(Alunos!E805,'TP2'!A3:D1000,4, FALSE),""),"")</f>
        <v/>
      </c>
      <c r="G805" s="2" t="str">
        <f>IF(A805&lt;&gt;"", SUMIF(B1:F1,"&lt;&gt;",B805:F805),"")</f>
        <v/>
      </c>
      <c r="H805" s="2" t="str">
        <f>IF(AND(A805&lt;&gt;"",G805&lt;&gt;""),ROUND(G805,0),"")</f>
        <v/>
      </c>
      <c r="I805" s="2" t="str">
        <f>IFERROR(IF(A805&lt;&gt;"",VLOOKUP(Alunos!A805,Recurso!A3:D1000,4, FALSE),""), "")</f>
        <v/>
      </c>
      <c r="J805" s="2" t="str">
        <f>IF(AND(A805&lt;&gt;"",I805&lt;&gt;""), SUMIFS(B805:I805,B1:I1,"&lt;&gt;",B2:I2,"&lt;&gt;Exame",B2:I2,"&lt;&gt;exame",B2:I2,"&lt;&gt;Nota",B2:I2,"&lt;&gt;Total"),"")</f>
        <v/>
      </c>
      <c r="K805" s="2" t="str">
        <f>IF(AND(A805&lt;&gt;"",J805&lt;&gt;""),ROUND(J805,0),"")</f>
        <v/>
      </c>
    </row>
    <row r="806" spans="2:11" x14ac:dyDescent="0.3">
      <c r="B806" s="2" t="str">
        <f>IFERROR(IF(A806&lt;&gt;"",VLOOKUP(Alunos!A806,Exame!A3:D1000,4, FALSE),""), "")</f>
        <v/>
      </c>
      <c r="C806" s="2" t="str">
        <f>IF(A806&lt;&gt;"",VLOOKUP(Alunos!A806,Agrupamentos!A3:C1000,2, FALSE),"")</f>
        <v/>
      </c>
      <c r="D806" s="2" t="str">
        <f>IFERROR(IF(A806&lt;&gt;"",VLOOKUP(Alunos!C806,'TP1'!A3:E1000,5, FALSE),""),"")</f>
        <v/>
      </c>
      <c r="E806" s="2" t="str">
        <f>IF(A806&lt;&gt;"",VLOOKUP(Alunos!A806,Agrupamentos!A3:C1000,3, FALSE),"")</f>
        <v/>
      </c>
      <c r="F806" s="2" t="str">
        <f>IFERROR(IF(A806&lt;&gt;"",VLOOKUP(Alunos!E806,'TP2'!A3:D1000,4, FALSE),""),"")</f>
        <v/>
      </c>
      <c r="G806" s="2" t="str">
        <f>IF(A806&lt;&gt;"", SUMIF(B1:F1,"&lt;&gt;",B806:F806),"")</f>
        <v/>
      </c>
      <c r="H806" s="2" t="str">
        <f>IF(AND(A806&lt;&gt;"",G806&lt;&gt;""),ROUND(G806,0),"")</f>
        <v/>
      </c>
      <c r="I806" s="2" t="str">
        <f>IFERROR(IF(A806&lt;&gt;"",VLOOKUP(Alunos!A806,Recurso!A3:D1000,4, FALSE),""), "")</f>
        <v/>
      </c>
      <c r="J806" s="2" t="str">
        <f>IF(AND(A806&lt;&gt;"",I806&lt;&gt;""), SUMIFS(B806:I806,B1:I1,"&lt;&gt;",B2:I2,"&lt;&gt;Exame",B2:I2,"&lt;&gt;exame",B2:I2,"&lt;&gt;Nota",B2:I2,"&lt;&gt;Total"),"")</f>
        <v/>
      </c>
      <c r="K806" s="2" t="str">
        <f>IF(AND(A806&lt;&gt;"",J806&lt;&gt;""),ROUND(J806,0),"")</f>
        <v/>
      </c>
    </row>
    <row r="807" spans="2:11" x14ac:dyDescent="0.3">
      <c r="B807" s="2" t="str">
        <f>IFERROR(IF(A807&lt;&gt;"",VLOOKUP(Alunos!A807,Exame!A3:D1000,4, FALSE),""), "")</f>
        <v/>
      </c>
      <c r="C807" s="2" t="str">
        <f>IF(A807&lt;&gt;"",VLOOKUP(Alunos!A807,Agrupamentos!A3:C1000,2, FALSE),"")</f>
        <v/>
      </c>
      <c r="D807" s="2" t="str">
        <f>IFERROR(IF(A807&lt;&gt;"",VLOOKUP(Alunos!C807,'TP1'!A3:E1000,5, FALSE),""),"")</f>
        <v/>
      </c>
      <c r="E807" s="2" t="str">
        <f>IF(A807&lt;&gt;"",VLOOKUP(Alunos!A807,Agrupamentos!A3:C1000,3, FALSE),"")</f>
        <v/>
      </c>
      <c r="F807" s="2" t="str">
        <f>IFERROR(IF(A807&lt;&gt;"",VLOOKUP(Alunos!E807,'TP2'!A3:D1000,4, FALSE),""),"")</f>
        <v/>
      </c>
      <c r="G807" s="2" t="str">
        <f>IF(A807&lt;&gt;"", SUMIF(B1:F1,"&lt;&gt;",B807:F807),"")</f>
        <v/>
      </c>
      <c r="H807" s="2" t="str">
        <f>IF(AND(A807&lt;&gt;"",G807&lt;&gt;""),ROUND(G807,0),"")</f>
        <v/>
      </c>
      <c r="I807" s="2" t="str">
        <f>IFERROR(IF(A807&lt;&gt;"",VLOOKUP(Alunos!A807,Recurso!A3:D1000,4, FALSE),""), "")</f>
        <v/>
      </c>
      <c r="J807" s="2" t="str">
        <f>IF(AND(A807&lt;&gt;"",I807&lt;&gt;""), SUMIFS(B807:I807,B1:I1,"&lt;&gt;",B2:I2,"&lt;&gt;Exame",B2:I2,"&lt;&gt;exame",B2:I2,"&lt;&gt;Nota",B2:I2,"&lt;&gt;Total"),"")</f>
        <v/>
      </c>
      <c r="K807" s="2" t="str">
        <f>IF(AND(A807&lt;&gt;"",J807&lt;&gt;""),ROUND(J807,0),"")</f>
        <v/>
      </c>
    </row>
    <row r="808" spans="2:11" x14ac:dyDescent="0.3">
      <c r="B808" s="2" t="str">
        <f>IFERROR(IF(A808&lt;&gt;"",VLOOKUP(Alunos!A808,Exame!A3:D1000,4, FALSE),""), "")</f>
        <v/>
      </c>
      <c r="C808" s="2" t="str">
        <f>IF(A808&lt;&gt;"",VLOOKUP(Alunos!A808,Agrupamentos!A3:C1000,2, FALSE),"")</f>
        <v/>
      </c>
      <c r="D808" s="2" t="str">
        <f>IFERROR(IF(A808&lt;&gt;"",VLOOKUP(Alunos!C808,'TP1'!A3:E1000,5, FALSE),""),"")</f>
        <v/>
      </c>
      <c r="E808" s="2" t="str">
        <f>IF(A808&lt;&gt;"",VLOOKUP(Alunos!A808,Agrupamentos!A3:C1000,3, FALSE),"")</f>
        <v/>
      </c>
      <c r="F808" s="2" t="str">
        <f>IFERROR(IF(A808&lt;&gt;"",VLOOKUP(Alunos!E808,'TP2'!A3:D1000,4, FALSE),""),"")</f>
        <v/>
      </c>
      <c r="G808" s="2" t="str">
        <f>IF(A808&lt;&gt;"", SUMIF(B1:F1,"&lt;&gt;",B808:F808),"")</f>
        <v/>
      </c>
      <c r="H808" s="2" t="str">
        <f>IF(AND(A808&lt;&gt;"",G808&lt;&gt;""),ROUND(G808,0),"")</f>
        <v/>
      </c>
      <c r="I808" s="2" t="str">
        <f>IFERROR(IF(A808&lt;&gt;"",VLOOKUP(Alunos!A808,Recurso!A3:D1000,4, FALSE),""), "")</f>
        <v/>
      </c>
      <c r="J808" s="2" t="str">
        <f>IF(AND(A808&lt;&gt;"",I808&lt;&gt;""), SUMIFS(B808:I808,B1:I1,"&lt;&gt;",B2:I2,"&lt;&gt;Exame",B2:I2,"&lt;&gt;exame",B2:I2,"&lt;&gt;Nota",B2:I2,"&lt;&gt;Total"),"")</f>
        <v/>
      </c>
      <c r="K808" s="2" t="str">
        <f>IF(AND(A808&lt;&gt;"",J808&lt;&gt;""),ROUND(J808,0),"")</f>
        <v/>
      </c>
    </row>
    <row r="809" spans="2:11" x14ac:dyDescent="0.3">
      <c r="B809" s="2" t="str">
        <f>IFERROR(IF(A809&lt;&gt;"",VLOOKUP(Alunos!A809,Exame!A3:D1000,4, FALSE),""), "")</f>
        <v/>
      </c>
      <c r="C809" s="2" t="str">
        <f>IF(A809&lt;&gt;"",VLOOKUP(Alunos!A809,Agrupamentos!A3:C1000,2, FALSE),"")</f>
        <v/>
      </c>
      <c r="D809" s="2" t="str">
        <f>IFERROR(IF(A809&lt;&gt;"",VLOOKUP(Alunos!C809,'TP1'!A3:E1000,5, FALSE),""),"")</f>
        <v/>
      </c>
      <c r="E809" s="2" t="str">
        <f>IF(A809&lt;&gt;"",VLOOKUP(Alunos!A809,Agrupamentos!A3:C1000,3, FALSE),"")</f>
        <v/>
      </c>
      <c r="F809" s="2" t="str">
        <f>IFERROR(IF(A809&lt;&gt;"",VLOOKUP(Alunos!E809,'TP2'!A3:D1000,4, FALSE),""),"")</f>
        <v/>
      </c>
      <c r="G809" s="2" t="str">
        <f>IF(A809&lt;&gt;"", SUMIF(B1:F1,"&lt;&gt;",B809:F809),"")</f>
        <v/>
      </c>
      <c r="H809" s="2" t="str">
        <f>IF(AND(A809&lt;&gt;"",G809&lt;&gt;""),ROUND(G809,0),"")</f>
        <v/>
      </c>
      <c r="I809" s="2" t="str">
        <f>IFERROR(IF(A809&lt;&gt;"",VLOOKUP(Alunos!A809,Recurso!A3:D1000,4, FALSE),""), "")</f>
        <v/>
      </c>
      <c r="J809" s="2" t="str">
        <f>IF(AND(A809&lt;&gt;"",I809&lt;&gt;""), SUMIFS(B809:I809,B1:I1,"&lt;&gt;",B2:I2,"&lt;&gt;Exame",B2:I2,"&lt;&gt;exame",B2:I2,"&lt;&gt;Nota",B2:I2,"&lt;&gt;Total"),"")</f>
        <v/>
      </c>
      <c r="K809" s="2" t="str">
        <f>IF(AND(A809&lt;&gt;"",J809&lt;&gt;""),ROUND(J809,0),"")</f>
        <v/>
      </c>
    </row>
    <row r="810" spans="2:11" x14ac:dyDescent="0.3">
      <c r="B810" s="2" t="str">
        <f>IFERROR(IF(A810&lt;&gt;"",VLOOKUP(Alunos!A810,Exame!A3:D1000,4, FALSE),""), "")</f>
        <v/>
      </c>
      <c r="C810" s="2" t="str">
        <f>IF(A810&lt;&gt;"",VLOOKUP(Alunos!A810,Agrupamentos!A3:C1000,2, FALSE),"")</f>
        <v/>
      </c>
      <c r="D810" s="2" t="str">
        <f>IFERROR(IF(A810&lt;&gt;"",VLOOKUP(Alunos!C810,'TP1'!A3:E1000,5, FALSE),""),"")</f>
        <v/>
      </c>
      <c r="E810" s="2" t="str">
        <f>IF(A810&lt;&gt;"",VLOOKUP(Alunos!A810,Agrupamentos!A3:C1000,3, FALSE),"")</f>
        <v/>
      </c>
      <c r="F810" s="2" t="str">
        <f>IFERROR(IF(A810&lt;&gt;"",VLOOKUP(Alunos!E810,'TP2'!A3:D1000,4, FALSE),""),"")</f>
        <v/>
      </c>
      <c r="G810" s="2" t="str">
        <f>IF(A810&lt;&gt;"", SUMIF(B1:F1,"&lt;&gt;",B810:F810),"")</f>
        <v/>
      </c>
      <c r="H810" s="2" t="str">
        <f>IF(AND(A810&lt;&gt;"",G810&lt;&gt;""),ROUND(G810,0),"")</f>
        <v/>
      </c>
      <c r="I810" s="2" t="str">
        <f>IFERROR(IF(A810&lt;&gt;"",VLOOKUP(Alunos!A810,Recurso!A3:D1000,4, FALSE),""), "")</f>
        <v/>
      </c>
      <c r="J810" s="2" t="str">
        <f>IF(AND(A810&lt;&gt;"",I810&lt;&gt;""), SUMIFS(B810:I810,B1:I1,"&lt;&gt;",B2:I2,"&lt;&gt;Exame",B2:I2,"&lt;&gt;exame",B2:I2,"&lt;&gt;Nota",B2:I2,"&lt;&gt;Total"),"")</f>
        <v/>
      </c>
      <c r="K810" s="2" t="str">
        <f>IF(AND(A810&lt;&gt;"",J810&lt;&gt;""),ROUND(J810,0),"")</f>
        <v/>
      </c>
    </row>
    <row r="811" spans="2:11" x14ac:dyDescent="0.3">
      <c r="B811" s="2" t="str">
        <f>IFERROR(IF(A811&lt;&gt;"",VLOOKUP(Alunos!A811,Exame!A3:D1000,4, FALSE),""), "")</f>
        <v/>
      </c>
      <c r="C811" s="2" t="str">
        <f>IF(A811&lt;&gt;"",VLOOKUP(Alunos!A811,Agrupamentos!A3:C1000,2, FALSE),"")</f>
        <v/>
      </c>
      <c r="D811" s="2" t="str">
        <f>IFERROR(IF(A811&lt;&gt;"",VLOOKUP(Alunos!C811,'TP1'!A3:E1000,5, FALSE),""),"")</f>
        <v/>
      </c>
      <c r="E811" s="2" t="str">
        <f>IF(A811&lt;&gt;"",VLOOKUP(Alunos!A811,Agrupamentos!A3:C1000,3, FALSE),"")</f>
        <v/>
      </c>
      <c r="F811" s="2" t="str">
        <f>IFERROR(IF(A811&lt;&gt;"",VLOOKUP(Alunos!E811,'TP2'!A3:D1000,4, FALSE),""),"")</f>
        <v/>
      </c>
      <c r="G811" s="2" t="str">
        <f>IF(A811&lt;&gt;"", SUMIF(B1:F1,"&lt;&gt;",B811:F811),"")</f>
        <v/>
      </c>
      <c r="H811" s="2" t="str">
        <f>IF(AND(A811&lt;&gt;"",G811&lt;&gt;""),ROUND(G811,0),"")</f>
        <v/>
      </c>
      <c r="I811" s="2" t="str">
        <f>IFERROR(IF(A811&lt;&gt;"",VLOOKUP(Alunos!A811,Recurso!A3:D1000,4, FALSE),""), "")</f>
        <v/>
      </c>
      <c r="J811" s="2" t="str">
        <f>IF(AND(A811&lt;&gt;"",I811&lt;&gt;""), SUMIFS(B811:I811,B1:I1,"&lt;&gt;",B2:I2,"&lt;&gt;Exame",B2:I2,"&lt;&gt;exame",B2:I2,"&lt;&gt;Nota",B2:I2,"&lt;&gt;Total"),"")</f>
        <v/>
      </c>
      <c r="K811" s="2" t="str">
        <f>IF(AND(A811&lt;&gt;"",J811&lt;&gt;""),ROUND(J811,0),"")</f>
        <v/>
      </c>
    </row>
    <row r="812" spans="2:11" x14ac:dyDescent="0.3">
      <c r="B812" s="2" t="str">
        <f>IFERROR(IF(A812&lt;&gt;"",VLOOKUP(Alunos!A812,Exame!A3:D1000,4, FALSE),""), "")</f>
        <v/>
      </c>
      <c r="C812" s="2" t="str">
        <f>IF(A812&lt;&gt;"",VLOOKUP(Alunos!A812,Agrupamentos!A3:C1000,2, FALSE),"")</f>
        <v/>
      </c>
      <c r="D812" s="2" t="str">
        <f>IFERROR(IF(A812&lt;&gt;"",VLOOKUP(Alunos!C812,'TP1'!A3:E1000,5, FALSE),""),"")</f>
        <v/>
      </c>
      <c r="E812" s="2" t="str">
        <f>IF(A812&lt;&gt;"",VLOOKUP(Alunos!A812,Agrupamentos!A3:C1000,3, FALSE),"")</f>
        <v/>
      </c>
      <c r="F812" s="2" t="str">
        <f>IFERROR(IF(A812&lt;&gt;"",VLOOKUP(Alunos!E812,'TP2'!A3:D1000,4, FALSE),""),"")</f>
        <v/>
      </c>
      <c r="G812" s="2" t="str">
        <f>IF(A812&lt;&gt;"", SUMIF(B1:F1,"&lt;&gt;",B812:F812),"")</f>
        <v/>
      </c>
      <c r="H812" s="2" t="str">
        <f>IF(AND(A812&lt;&gt;"",G812&lt;&gt;""),ROUND(G812,0),"")</f>
        <v/>
      </c>
      <c r="I812" s="2" t="str">
        <f>IFERROR(IF(A812&lt;&gt;"",VLOOKUP(Alunos!A812,Recurso!A3:D1000,4, FALSE),""), "")</f>
        <v/>
      </c>
      <c r="J812" s="2" t="str">
        <f>IF(AND(A812&lt;&gt;"",I812&lt;&gt;""), SUMIFS(B812:I812,B1:I1,"&lt;&gt;",B2:I2,"&lt;&gt;Exame",B2:I2,"&lt;&gt;exame",B2:I2,"&lt;&gt;Nota",B2:I2,"&lt;&gt;Total"),"")</f>
        <v/>
      </c>
      <c r="K812" s="2" t="str">
        <f>IF(AND(A812&lt;&gt;"",J812&lt;&gt;""),ROUND(J812,0),"")</f>
        <v/>
      </c>
    </row>
    <row r="813" spans="2:11" x14ac:dyDescent="0.3">
      <c r="B813" s="2" t="str">
        <f>IFERROR(IF(A813&lt;&gt;"",VLOOKUP(Alunos!A813,Exame!A3:D1000,4, FALSE),""), "")</f>
        <v/>
      </c>
      <c r="C813" s="2" t="str">
        <f>IF(A813&lt;&gt;"",VLOOKUP(Alunos!A813,Agrupamentos!A3:C1000,2, FALSE),"")</f>
        <v/>
      </c>
      <c r="D813" s="2" t="str">
        <f>IFERROR(IF(A813&lt;&gt;"",VLOOKUP(Alunos!C813,'TP1'!A3:E1000,5, FALSE),""),"")</f>
        <v/>
      </c>
      <c r="E813" s="2" t="str">
        <f>IF(A813&lt;&gt;"",VLOOKUP(Alunos!A813,Agrupamentos!A3:C1000,3, FALSE),"")</f>
        <v/>
      </c>
      <c r="F813" s="2" t="str">
        <f>IFERROR(IF(A813&lt;&gt;"",VLOOKUP(Alunos!E813,'TP2'!A3:D1000,4, FALSE),""),"")</f>
        <v/>
      </c>
      <c r="G813" s="2" t="str">
        <f>IF(A813&lt;&gt;"", SUMIF(B1:F1,"&lt;&gt;",B813:F813),"")</f>
        <v/>
      </c>
      <c r="H813" s="2" t="str">
        <f>IF(AND(A813&lt;&gt;"",G813&lt;&gt;""),ROUND(G813,0),"")</f>
        <v/>
      </c>
      <c r="I813" s="2" t="str">
        <f>IFERROR(IF(A813&lt;&gt;"",VLOOKUP(Alunos!A813,Recurso!A3:D1000,4, FALSE),""), "")</f>
        <v/>
      </c>
      <c r="J813" s="2" t="str">
        <f>IF(AND(A813&lt;&gt;"",I813&lt;&gt;""), SUMIFS(B813:I813,B1:I1,"&lt;&gt;",B2:I2,"&lt;&gt;Exame",B2:I2,"&lt;&gt;exame",B2:I2,"&lt;&gt;Nota",B2:I2,"&lt;&gt;Total"),"")</f>
        <v/>
      </c>
      <c r="K813" s="2" t="str">
        <f>IF(AND(A813&lt;&gt;"",J813&lt;&gt;""),ROUND(J813,0),"")</f>
        <v/>
      </c>
    </row>
    <row r="814" spans="2:11" x14ac:dyDescent="0.3">
      <c r="B814" s="2" t="str">
        <f>IFERROR(IF(A814&lt;&gt;"",VLOOKUP(Alunos!A814,Exame!A3:D1000,4, FALSE),""), "")</f>
        <v/>
      </c>
      <c r="C814" s="2" t="str">
        <f>IF(A814&lt;&gt;"",VLOOKUP(Alunos!A814,Agrupamentos!A3:C1000,2, FALSE),"")</f>
        <v/>
      </c>
      <c r="D814" s="2" t="str">
        <f>IFERROR(IF(A814&lt;&gt;"",VLOOKUP(Alunos!C814,'TP1'!A3:E1000,5, FALSE),""),"")</f>
        <v/>
      </c>
      <c r="E814" s="2" t="str">
        <f>IF(A814&lt;&gt;"",VLOOKUP(Alunos!A814,Agrupamentos!A3:C1000,3, FALSE),"")</f>
        <v/>
      </c>
      <c r="F814" s="2" t="str">
        <f>IFERROR(IF(A814&lt;&gt;"",VLOOKUP(Alunos!E814,'TP2'!A3:D1000,4, FALSE),""),"")</f>
        <v/>
      </c>
      <c r="G814" s="2" t="str">
        <f>IF(A814&lt;&gt;"", SUMIF(B1:F1,"&lt;&gt;",B814:F814),"")</f>
        <v/>
      </c>
      <c r="H814" s="2" t="str">
        <f>IF(AND(A814&lt;&gt;"",G814&lt;&gt;""),ROUND(G814,0),"")</f>
        <v/>
      </c>
      <c r="I814" s="2" t="str">
        <f>IFERROR(IF(A814&lt;&gt;"",VLOOKUP(Alunos!A814,Recurso!A3:D1000,4, FALSE),""), "")</f>
        <v/>
      </c>
      <c r="J814" s="2" t="str">
        <f>IF(AND(A814&lt;&gt;"",I814&lt;&gt;""), SUMIFS(B814:I814,B1:I1,"&lt;&gt;",B2:I2,"&lt;&gt;Exame",B2:I2,"&lt;&gt;exame",B2:I2,"&lt;&gt;Nota",B2:I2,"&lt;&gt;Total"),"")</f>
        <v/>
      </c>
      <c r="K814" s="2" t="str">
        <f>IF(AND(A814&lt;&gt;"",J814&lt;&gt;""),ROUND(J814,0),"")</f>
        <v/>
      </c>
    </row>
    <row r="815" spans="2:11" x14ac:dyDescent="0.3">
      <c r="B815" s="2" t="str">
        <f>IFERROR(IF(A815&lt;&gt;"",VLOOKUP(Alunos!A815,Exame!A3:D1000,4, FALSE),""), "")</f>
        <v/>
      </c>
      <c r="C815" s="2" t="str">
        <f>IF(A815&lt;&gt;"",VLOOKUP(Alunos!A815,Agrupamentos!A3:C1000,2, FALSE),"")</f>
        <v/>
      </c>
      <c r="D815" s="2" t="str">
        <f>IFERROR(IF(A815&lt;&gt;"",VLOOKUP(Alunos!C815,'TP1'!A3:E1000,5, FALSE),""),"")</f>
        <v/>
      </c>
      <c r="E815" s="2" t="str">
        <f>IF(A815&lt;&gt;"",VLOOKUP(Alunos!A815,Agrupamentos!A3:C1000,3, FALSE),"")</f>
        <v/>
      </c>
      <c r="F815" s="2" t="str">
        <f>IFERROR(IF(A815&lt;&gt;"",VLOOKUP(Alunos!E815,'TP2'!A3:D1000,4, FALSE),""),"")</f>
        <v/>
      </c>
      <c r="G815" s="2" t="str">
        <f>IF(A815&lt;&gt;"", SUMIF(B1:F1,"&lt;&gt;",B815:F815),"")</f>
        <v/>
      </c>
      <c r="H815" s="2" t="str">
        <f>IF(AND(A815&lt;&gt;"",G815&lt;&gt;""),ROUND(G815,0),"")</f>
        <v/>
      </c>
      <c r="I815" s="2" t="str">
        <f>IFERROR(IF(A815&lt;&gt;"",VLOOKUP(Alunos!A815,Recurso!A3:D1000,4, FALSE),""), "")</f>
        <v/>
      </c>
      <c r="J815" s="2" t="str">
        <f>IF(AND(A815&lt;&gt;"",I815&lt;&gt;""), SUMIFS(B815:I815,B1:I1,"&lt;&gt;",B2:I2,"&lt;&gt;Exame",B2:I2,"&lt;&gt;exame",B2:I2,"&lt;&gt;Nota",B2:I2,"&lt;&gt;Total"),"")</f>
        <v/>
      </c>
      <c r="K815" s="2" t="str">
        <f>IF(AND(A815&lt;&gt;"",J815&lt;&gt;""),ROUND(J815,0),"")</f>
        <v/>
      </c>
    </row>
    <row r="816" spans="2:11" x14ac:dyDescent="0.3">
      <c r="B816" s="2" t="str">
        <f>IFERROR(IF(A816&lt;&gt;"",VLOOKUP(Alunos!A816,Exame!A3:D1000,4, FALSE),""), "")</f>
        <v/>
      </c>
      <c r="C816" s="2" t="str">
        <f>IF(A816&lt;&gt;"",VLOOKUP(Alunos!A816,Agrupamentos!A3:C1000,2, FALSE),"")</f>
        <v/>
      </c>
      <c r="D816" s="2" t="str">
        <f>IFERROR(IF(A816&lt;&gt;"",VLOOKUP(Alunos!C816,'TP1'!A3:E1000,5, FALSE),""),"")</f>
        <v/>
      </c>
      <c r="E816" s="2" t="str">
        <f>IF(A816&lt;&gt;"",VLOOKUP(Alunos!A816,Agrupamentos!A3:C1000,3, FALSE),"")</f>
        <v/>
      </c>
      <c r="F816" s="2" t="str">
        <f>IFERROR(IF(A816&lt;&gt;"",VLOOKUP(Alunos!E816,'TP2'!A3:D1000,4, FALSE),""),"")</f>
        <v/>
      </c>
      <c r="G816" s="2" t="str">
        <f>IF(A816&lt;&gt;"", SUMIF(B1:F1,"&lt;&gt;",B816:F816),"")</f>
        <v/>
      </c>
      <c r="H816" s="2" t="str">
        <f>IF(AND(A816&lt;&gt;"",G816&lt;&gt;""),ROUND(G816,0),"")</f>
        <v/>
      </c>
      <c r="I816" s="2" t="str">
        <f>IFERROR(IF(A816&lt;&gt;"",VLOOKUP(Alunos!A816,Recurso!A3:D1000,4, FALSE),""), "")</f>
        <v/>
      </c>
      <c r="J816" s="2" t="str">
        <f>IF(AND(A816&lt;&gt;"",I816&lt;&gt;""), SUMIFS(B816:I816,B1:I1,"&lt;&gt;",B2:I2,"&lt;&gt;Exame",B2:I2,"&lt;&gt;exame",B2:I2,"&lt;&gt;Nota",B2:I2,"&lt;&gt;Total"),"")</f>
        <v/>
      </c>
      <c r="K816" s="2" t="str">
        <f>IF(AND(A816&lt;&gt;"",J816&lt;&gt;""),ROUND(J816,0),"")</f>
        <v/>
      </c>
    </row>
    <row r="817" spans="2:11" x14ac:dyDescent="0.3">
      <c r="B817" s="2" t="str">
        <f>IFERROR(IF(A817&lt;&gt;"",VLOOKUP(Alunos!A817,Exame!A3:D1000,4, FALSE),""), "")</f>
        <v/>
      </c>
      <c r="C817" s="2" t="str">
        <f>IF(A817&lt;&gt;"",VLOOKUP(Alunos!A817,Agrupamentos!A3:C1000,2, FALSE),"")</f>
        <v/>
      </c>
      <c r="D817" s="2" t="str">
        <f>IFERROR(IF(A817&lt;&gt;"",VLOOKUP(Alunos!C817,'TP1'!A3:E1000,5, FALSE),""),"")</f>
        <v/>
      </c>
      <c r="E817" s="2" t="str">
        <f>IF(A817&lt;&gt;"",VLOOKUP(Alunos!A817,Agrupamentos!A3:C1000,3, FALSE),"")</f>
        <v/>
      </c>
      <c r="F817" s="2" t="str">
        <f>IFERROR(IF(A817&lt;&gt;"",VLOOKUP(Alunos!E817,'TP2'!A3:D1000,4, FALSE),""),"")</f>
        <v/>
      </c>
      <c r="G817" s="2" t="str">
        <f>IF(A817&lt;&gt;"", SUMIF(B1:F1,"&lt;&gt;",B817:F817),"")</f>
        <v/>
      </c>
      <c r="H817" s="2" t="str">
        <f>IF(AND(A817&lt;&gt;"",G817&lt;&gt;""),ROUND(G817,0),"")</f>
        <v/>
      </c>
      <c r="I817" s="2" t="str">
        <f>IFERROR(IF(A817&lt;&gt;"",VLOOKUP(Alunos!A817,Recurso!A3:D1000,4, FALSE),""), "")</f>
        <v/>
      </c>
      <c r="J817" s="2" t="str">
        <f>IF(AND(A817&lt;&gt;"",I817&lt;&gt;""), SUMIFS(B817:I817,B1:I1,"&lt;&gt;",B2:I2,"&lt;&gt;Exame",B2:I2,"&lt;&gt;exame",B2:I2,"&lt;&gt;Nota",B2:I2,"&lt;&gt;Total"),"")</f>
        <v/>
      </c>
      <c r="K817" s="2" t="str">
        <f>IF(AND(A817&lt;&gt;"",J817&lt;&gt;""),ROUND(J817,0),"")</f>
        <v/>
      </c>
    </row>
    <row r="818" spans="2:11" x14ac:dyDescent="0.3">
      <c r="B818" s="2" t="str">
        <f>IFERROR(IF(A818&lt;&gt;"",VLOOKUP(Alunos!A818,Exame!A3:D1000,4, FALSE),""), "")</f>
        <v/>
      </c>
      <c r="C818" s="2" t="str">
        <f>IF(A818&lt;&gt;"",VLOOKUP(Alunos!A818,Agrupamentos!A3:C1000,2, FALSE),"")</f>
        <v/>
      </c>
      <c r="D818" s="2" t="str">
        <f>IFERROR(IF(A818&lt;&gt;"",VLOOKUP(Alunos!C818,'TP1'!A3:E1000,5, FALSE),""),"")</f>
        <v/>
      </c>
      <c r="E818" s="2" t="str">
        <f>IF(A818&lt;&gt;"",VLOOKUP(Alunos!A818,Agrupamentos!A3:C1000,3, FALSE),"")</f>
        <v/>
      </c>
      <c r="F818" s="2" t="str">
        <f>IFERROR(IF(A818&lt;&gt;"",VLOOKUP(Alunos!E818,'TP2'!A3:D1000,4, FALSE),""),"")</f>
        <v/>
      </c>
      <c r="G818" s="2" t="str">
        <f>IF(A818&lt;&gt;"", SUMIF(B1:F1,"&lt;&gt;",B818:F818),"")</f>
        <v/>
      </c>
      <c r="H818" s="2" t="str">
        <f>IF(AND(A818&lt;&gt;"",G818&lt;&gt;""),ROUND(G818,0),"")</f>
        <v/>
      </c>
      <c r="I818" s="2" t="str">
        <f>IFERROR(IF(A818&lt;&gt;"",VLOOKUP(Alunos!A818,Recurso!A3:D1000,4, FALSE),""), "")</f>
        <v/>
      </c>
      <c r="J818" s="2" t="str">
        <f>IF(AND(A818&lt;&gt;"",I818&lt;&gt;""), SUMIFS(B818:I818,B1:I1,"&lt;&gt;",B2:I2,"&lt;&gt;Exame",B2:I2,"&lt;&gt;exame",B2:I2,"&lt;&gt;Nota",B2:I2,"&lt;&gt;Total"),"")</f>
        <v/>
      </c>
      <c r="K818" s="2" t="str">
        <f>IF(AND(A818&lt;&gt;"",J818&lt;&gt;""),ROUND(J818,0),"")</f>
        <v/>
      </c>
    </row>
    <row r="819" spans="2:11" x14ac:dyDescent="0.3">
      <c r="B819" s="2" t="str">
        <f>IFERROR(IF(A819&lt;&gt;"",VLOOKUP(Alunos!A819,Exame!A3:D1000,4, FALSE),""), "")</f>
        <v/>
      </c>
      <c r="C819" s="2" t="str">
        <f>IF(A819&lt;&gt;"",VLOOKUP(Alunos!A819,Agrupamentos!A3:C1000,2, FALSE),"")</f>
        <v/>
      </c>
      <c r="D819" s="2" t="str">
        <f>IFERROR(IF(A819&lt;&gt;"",VLOOKUP(Alunos!C819,'TP1'!A3:E1000,5, FALSE),""),"")</f>
        <v/>
      </c>
      <c r="E819" s="2" t="str">
        <f>IF(A819&lt;&gt;"",VLOOKUP(Alunos!A819,Agrupamentos!A3:C1000,3, FALSE),"")</f>
        <v/>
      </c>
      <c r="F819" s="2" t="str">
        <f>IFERROR(IF(A819&lt;&gt;"",VLOOKUP(Alunos!E819,'TP2'!A3:D1000,4, FALSE),""),"")</f>
        <v/>
      </c>
      <c r="G819" s="2" t="str">
        <f>IF(A819&lt;&gt;"", SUMIF(B1:F1,"&lt;&gt;",B819:F819),"")</f>
        <v/>
      </c>
      <c r="H819" s="2" t="str">
        <f>IF(AND(A819&lt;&gt;"",G819&lt;&gt;""),ROUND(G819,0),"")</f>
        <v/>
      </c>
      <c r="I819" s="2" t="str">
        <f>IFERROR(IF(A819&lt;&gt;"",VLOOKUP(Alunos!A819,Recurso!A3:D1000,4, FALSE),""), "")</f>
        <v/>
      </c>
      <c r="J819" s="2" t="str">
        <f>IF(AND(A819&lt;&gt;"",I819&lt;&gt;""), SUMIFS(B819:I819,B1:I1,"&lt;&gt;",B2:I2,"&lt;&gt;Exame",B2:I2,"&lt;&gt;exame",B2:I2,"&lt;&gt;Nota",B2:I2,"&lt;&gt;Total"),"")</f>
        <v/>
      </c>
      <c r="K819" s="2" t="str">
        <f>IF(AND(A819&lt;&gt;"",J819&lt;&gt;""),ROUND(J819,0),"")</f>
        <v/>
      </c>
    </row>
    <row r="820" spans="2:11" x14ac:dyDescent="0.3">
      <c r="B820" s="2" t="str">
        <f>IFERROR(IF(A820&lt;&gt;"",VLOOKUP(Alunos!A820,Exame!A3:D1000,4, FALSE),""), "")</f>
        <v/>
      </c>
      <c r="C820" s="2" t="str">
        <f>IF(A820&lt;&gt;"",VLOOKUP(Alunos!A820,Agrupamentos!A3:C1000,2, FALSE),"")</f>
        <v/>
      </c>
      <c r="D820" s="2" t="str">
        <f>IFERROR(IF(A820&lt;&gt;"",VLOOKUP(Alunos!C820,'TP1'!A3:E1000,5, FALSE),""),"")</f>
        <v/>
      </c>
      <c r="E820" s="2" t="str">
        <f>IF(A820&lt;&gt;"",VLOOKUP(Alunos!A820,Agrupamentos!A3:C1000,3, FALSE),"")</f>
        <v/>
      </c>
      <c r="F820" s="2" t="str">
        <f>IFERROR(IF(A820&lt;&gt;"",VLOOKUP(Alunos!E820,'TP2'!A3:D1000,4, FALSE),""),"")</f>
        <v/>
      </c>
      <c r="G820" s="2" t="str">
        <f>IF(A820&lt;&gt;"", SUMIF(B1:F1,"&lt;&gt;",B820:F820),"")</f>
        <v/>
      </c>
      <c r="H820" s="2" t="str">
        <f>IF(AND(A820&lt;&gt;"",G820&lt;&gt;""),ROUND(G820,0),"")</f>
        <v/>
      </c>
      <c r="I820" s="2" t="str">
        <f>IFERROR(IF(A820&lt;&gt;"",VLOOKUP(Alunos!A820,Recurso!A3:D1000,4, FALSE),""), "")</f>
        <v/>
      </c>
      <c r="J820" s="2" t="str">
        <f>IF(AND(A820&lt;&gt;"",I820&lt;&gt;""), SUMIFS(B820:I820,B1:I1,"&lt;&gt;",B2:I2,"&lt;&gt;Exame",B2:I2,"&lt;&gt;exame",B2:I2,"&lt;&gt;Nota",B2:I2,"&lt;&gt;Total"),"")</f>
        <v/>
      </c>
      <c r="K820" s="2" t="str">
        <f>IF(AND(A820&lt;&gt;"",J820&lt;&gt;""),ROUND(J820,0),"")</f>
        <v/>
      </c>
    </row>
    <row r="821" spans="2:11" x14ac:dyDescent="0.3">
      <c r="B821" s="2" t="str">
        <f>IFERROR(IF(A821&lt;&gt;"",VLOOKUP(Alunos!A821,Exame!A3:D1000,4, FALSE),""), "")</f>
        <v/>
      </c>
      <c r="C821" s="2" t="str">
        <f>IF(A821&lt;&gt;"",VLOOKUP(Alunos!A821,Agrupamentos!A3:C1000,2, FALSE),"")</f>
        <v/>
      </c>
      <c r="D821" s="2" t="str">
        <f>IFERROR(IF(A821&lt;&gt;"",VLOOKUP(Alunos!C821,'TP1'!A3:E1000,5, FALSE),""),"")</f>
        <v/>
      </c>
      <c r="E821" s="2" t="str">
        <f>IF(A821&lt;&gt;"",VLOOKUP(Alunos!A821,Agrupamentos!A3:C1000,3, FALSE),"")</f>
        <v/>
      </c>
      <c r="F821" s="2" t="str">
        <f>IFERROR(IF(A821&lt;&gt;"",VLOOKUP(Alunos!E821,'TP2'!A3:D1000,4, FALSE),""),"")</f>
        <v/>
      </c>
      <c r="G821" s="2" t="str">
        <f>IF(A821&lt;&gt;"", SUMIF(B1:F1,"&lt;&gt;",B821:F821),"")</f>
        <v/>
      </c>
      <c r="H821" s="2" t="str">
        <f>IF(AND(A821&lt;&gt;"",G821&lt;&gt;""),ROUND(G821,0),"")</f>
        <v/>
      </c>
      <c r="I821" s="2" t="str">
        <f>IFERROR(IF(A821&lt;&gt;"",VLOOKUP(Alunos!A821,Recurso!A3:D1000,4, FALSE),""), "")</f>
        <v/>
      </c>
      <c r="J821" s="2" t="str">
        <f>IF(AND(A821&lt;&gt;"",I821&lt;&gt;""), SUMIFS(B821:I821,B1:I1,"&lt;&gt;",B2:I2,"&lt;&gt;Exame",B2:I2,"&lt;&gt;exame",B2:I2,"&lt;&gt;Nota",B2:I2,"&lt;&gt;Total"),"")</f>
        <v/>
      </c>
      <c r="K821" s="2" t="str">
        <f>IF(AND(A821&lt;&gt;"",J821&lt;&gt;""),ROUND(J821,0),"")</f>
        <v/>
      </c>
    </row>
    <row r="822" spans="2:11" x14ac:dyDescent="0.3">
      <c r="B822" s="2" t="str">
        <f>IFERROR(IF(A822&lt;&gt;"",VLOOKUP(Alunos!A822,Exame!A3:D1000,4, FALSE),""), "")</f>
        <v/>
      </c>
      <c r="C822" s="2" t="str">
        <f>IF(A822&lt;&gt;"",VLOOKUP(Alunos!A822,Agrupamentos!A3:C1000,2, FALSE),"")</f>
        <v/>
      </c>
      <c r="D822" s="2" t="str">
        <f>IFERROR(IF(A822&lt;&gt;"",VLOOKUP(Alunos!C822,'TP1'!A3:E1000,5, FALSE),""),"")</f>
        <v/>
      </c>
      <c r="E822" s="2" t="str">
        <f>IF(A822&lt;&gt;"",VLOOKUP(Alunos!A822,Agrupamentos!A3:C1000,3, FALSE),"")</f>
        <v/>
      </c>
      <c r="F822" s="2" t="str">
        <f>IFERROR(IF(A822&lt;&gt;"",VLOOKUP(Alunos!E822,'TP2'!A3:D1000,4, FALSE),""),"")</f>
        <v/>
      </c>
      <c r="G822" s="2" t="str">
        <f>IF(A822&lt;&gt;"", SUMIF(B1:F1,"&lt;&gt;",B822:F822),"")</f>
        <v/>
      </c>
      <c r="H822" s="2" t="str">
        <f>IF(AND(A822&lt;&gt;"",G822&lt;&gt;""),ROUND(G822,0),"")</f>
        <v/>
      </c>
      <c r="I822" s="2" t="str">
        <f>IFERROR(IF(A822&lt;&gt;"",VLOOKUP(Alunos!A822,Recurso!A3:D1000,4, FALSE),""), "")</f>
        <v/>
      </c>
      <c r="J822" s="2" t="str">
        <f>IF(AND(A822&lt;&gt;"",I822&lt;&gt;""), SUMIFS(B822:I822,B1:I1,"&lt;&gt;",B2:I2,"&lt;&gt;Exame",B2:I2,"&lt;&gt;exame",B2:I2,"&lt;&gt;Nota",B2:I2,"&lt;&gt;Total"),"")</f>
        <v/>
      </c>
      <c r="K822" s="2" t="str">
        <f>IF(AND(A822&lt;&gt;"",J822&lt;&gt;""),ROUND(J822,0),"")</f>
        <v/>
      </c>
    </row>
    <row r="823" spans="2:11" x14ac:dyDescent="0.3">
      <c r="B823" s="2" t="str">
        <f>IFERROR(IF(A823&lt;&gt;"",VLOOKUP(Alunos!A823,Exame!A3:D1000,4, FALSE),""), "")</f>
        <v/>
      </c>
      <c r="C823" s="2" t="str">
        <f>IF(A823&lt;&gt;"",VLOOKUP(Alunos!A823,Agrupamentos!A3:C1000,2, FALSE),"")</f>
        <v/>
      </c>
      <c r="D823" s="2" t="str">
        <f>IFERROR(IF(A823&lt;&gt;"",VLOOKUP(Alunos!C823,'TP1'!A3:E1000,5, FALSE),""),"")</f>
        <v/>
      </c>
      <c r="E823" s="2" t="str">
        <f>IF(A823&lt;&gt;"",VLOOKUP(Alunos!A823,Agrupamentos!A3:C1000,3, FALSE),"")</f>
        <v/>
      </c>
      <c r="F823" s="2" t="str">
        <f>IFERROR(IF(A823&lt;&gt;"",VLOOKUP(Alunos!E823,'TP2'!A3:D1000,4, FALSE),""),"")</f>
        <v/>
      </c>
      <c r="G823" s="2" t="str">
        <f>IF(A823&lt;&gt;"", SUMIF(B1:F1,"&lt;&gt;",B823:F823),"")</f>
        <v/>
      </c>
      <c r="H823" s="2" t="str">
        <f>IF(AND(A823&lt;&gt;"",G823&lt;&gt;""),ROUND(G823,0),"")</f>
        <v/>
      </c>
      <c r="I823" s="2" t="str">
        <f>IFERROR(IF(A823&lt;&gt;"",VLOOKUP(Alunos!A823,Recurso!A3:D1000,4, FALSE),""), "")</f>
        <v/>
      </c>
      <c r="J823" s="2" t="str">
        <f>IF(AND(A823&lt;&gt;"",I823&lt;&gt;""), SUMIFS(B823:I823,B1:I1,"&lt;&gt;",B2:I2,"&lt;&gt;Exame",B2:I2,"&lt;&gt;exame",B2:I2,"&lt;&gt;Nota",B2:I2,"&lt;&gt;Total"),"")</f>
        <v/>
      </c>
      <c r="K823" s="2" t="str">
        <f>IF(AND(A823&lt;&gt;"",J823&lt;&gt;""),ROUND(J823,0),"")</f>
        <v/>
      </c>
    </row>
    <row r="824" spans="2:11" x14ac:dyDescent="0.3">
      <c r="B824" s="2" t="str">
        <f>IFERROR(IF(A824&lt;&gt;"",VLOOKUP(Alunos!A824,Exame!A3:D1000,4, FALSE),""), "")</f>
        <v/>
      </c>
      <c r="C824" s="2" t="str">
        <f>IF(A824&lt;&gt;"",VLOOKUP(Alunos!A824,Agrupamentos!A3:C1000,2, FALSE),"")</f>
        <v/>
      </c>
      <c r="D824" s="2" t="str">
        <f>IFERROR(IF(A824&lt;&gt;"",VLOOKUP(Alunos!C824,'TP1'!A3:E1000,5, FALSE),""),"")</f>
        <v/>
      </c>
      <c r="E824" s="2" t="str">
        <f>IF(A824&lt;&gt;"",VLOOKUP(Alunos!A824,Agrupamentos!A3:C1000,3, FALSE),"")</f>
        <v/>
      </c>
      <c r="F824" s="2" t="str">
        <f>IFERROR(IF(A824&lt;&gt;"",VLOOKUP(Alunos!E824,'TP2'!A3:D1000,4, FALSE),""),"")</f>
        <v/>
      </c>
      <c r="G824" s="2" t="str">
        <f>IF(A824&lt;&gt;"", SUMIF(B1:F1,"&lt;&gt;",B824:F824),"")</f>
        <v/>
      </c>
      <c r="H824" s="2" t="str">
        <f>IF(AND(A824&lt;&gt;"",G824&lt;&gt;""),ROUND(G824,0),"")</f>
        <v/>
      </c>
      <c r="I824" s="2" t="str">
        <f>IFERROR(IF(A824&lt;&gt;"",VLOOKUP(Alunos!A824,Recurso!A3:D1000,4, FALSE),""), "")</f>
        <v/>
      </c>
      <c r="J824" s="2" t="str">
        <f>IF(AND(A824&lt;&gt;"",I824&lt;&gt;""), SUMIFS(B824:I824,B1:I1,"&lt;&gt;",B2:I2,"&lt;&gt;Exame",B2:I2,"&lt;&gt;exame",B2:I2,"&lt;&gt;Nota",B2:I2,"&lt;&gt;Total"),"")</f>
        <v/>
      </c>
      <c r="K824" s="2" t="str">
        <f>IF(AND(A824&lt;&gt;"",J824&lt;&gt;""),ROUND(J824,0),"")</f>
        <v/>
      </c>
    </row>
    <row r="825" spans="2:11" x14ac:dyDescent="0.3">
      <c r="B825" s="2" t="str">
        <f>IFERROR(IF(A825&lt;&gt;"",VLOOKUP(Alunos!A825,Exame!A3:D1000,4, FALSE),""), "")</f>
        <v/>
      </c>
      <c r="C825" s="2" t="str">
        <f>IF(A825&lt;&gt;"",VLOOKUP(Alunos!A825,Agrupamentos!A3:C1000,2, FALSE),"")</f>
        <v/>
      </c>
      <c r="D825" s="2" t="str">
        <f>IFERROR(IF(A825&lt;&gt;"",VLOOKUP(Alunos!C825,'TP1'!A3:E1000,5, FALSE),""),"")</f>
        <v/>
      </c>
      <c r="E825" s="2" t="str">
        <f>IF(A825&lt;&gt;"",VLOOKUP(Alunos!A825,Agrupamentos!A3:C1000,3, FALSE),"")</f>
        <v/>
      </c>
      <c r="F825" s="2" t="str">
        <f>IFERROR(IF(A825&lt;&gt;"",VLOOKUP(Alunos!E825,'TP2'!A3:D1000,4, FALSE),""),"")</f>
        <v/>
      </c>
      <c r="G825" s="2" t="str">
        <f>IF(A825&lt;&gt;"", SUMIF(B1:F1,"&lt;&gt;",B825:F825),"")</f>
        <v/>
      </c>
      <c r="H825" s="2" t="str">
        <f>IF(AND(A825&lt;&gt;"",G825&lt;&gt;""),ROUND(G825,0),"")</f>
        <v/>
      </c>
      <c r="I825" s="2" t="str">
        <f>IFERROR(IF(A825&lt;&gt;"",VLOOKUP(Alunos!A825,Recurso!A3:D1000,4, FALSE),""), "")</f>
        <v/>
      </c>
      <c r="J825" s="2" t="str">
        <f>IF(AND(A825&lt;&gt;"",I825&lt;&gt;""), SUMIFS(B825:I825,B1:I1,"&lt;&gt;",B2:I2,"&lt;&gt;Exame",B2:I2,"&lt;&gt;exame",B2:I2,"&lt;&gt;Nota",B2:I2,"&lt;&gt;Total"),"")</f>
        <v/>
      </c>
      <c r="K825" s="2" t="str">
        <f>IF(AND(A825&lt;&gt;"",J825&lt;&gt;""),ROUND(J825,0),"")</f>
        <v/>
      </c>
    </row>
    <row r="826" spans="2:11" x14ac:dyDescent="0.3">
      <c r="B826" s="2" t="str">
        <f>IFERROR(IF(A826&lt;&gt;"",VLOOKUP(Alunos!A826,Exame!A3:D1000,4, FALSE),""), "")</f>
        <v/>
      </c>
      <c r="C826" s="2" t="str">
        <f>IF(A826&lt;&gt;"",VLOOKUP(Alunos!A826,Agrupamentos!A3:C1000,2, FALSE),"")</f>
        <v/>
      </c>
      <c r="D826" s="2" t="str">
        <f>IFERROR(IF(A826&lt;&gt;"",VLOOKUP(Alunos!C826,'TP1'!A3:E1000,5, FALSE),""),"")</f>
        <v/>
      </c>
      <c r="E826" s="2" t="str">
        <f>IF(A826&lt;&gt;"",VLOOKUP(Alunos!A826,Agrupamentos!A3:C1000,3, FALSE),"")</f>
        <v/>
      </c>
      <c r="F826" s="2" t="str">
        <f>IFERROR(IF(A826&lt;&gt;"",VLOOKUP(Alunos!E826,'TP2'!A3:D1000,4, FALSE),""),"")</f>
        <v/>
      </c>
      <c r="G826" s="2" t="str">
        <f>IF(A826&lt;&gt;"", SUMIF(B1:F1,"&lt;&gt;",B826:F826),"")</f>
        <v/>
      </c>
      <c r="H826" s="2" t="str">
        <f>IF(AND(A826&lt;&gt;"",G826&lt;&gt;""),ROUND(G826,0),"")</f>
        <v/>
      </c>
      <c r="I826" s="2" t="str">
        <f>IFERROR(IF(A826&lt;&gt;"",VLOOKUP(Alunos!A826,Recurso!A3:D1000,4, FALSE),""), "")</f>
        <v/>
      </c>
      <c r="J826" s="2" t="str">
        <f>IF(AND(A826&lt;&gt;"",I826&lt;&gt;""), SUMIFS(B826:I826,B1:I1,"&lt;&gt;",B2:I2,"&lt;&gt;Exame",B2:I2,"&lt;&gt;exame",B2:I2,"&lt;&gt;Nota",B2:I2,"&lt;&gt;Total"),"")</f>
        <v/>
      </c>
      <c r="K826" s="2" t="str">
        <f>IF(AND(A826&lt;&gt;"",J826&lt;&gt;""),ROUND(J826,0),"")</f>
        <v/>
      </c>
    </row>
    <row r="827" spans="2:11" x14ac:dyDescent="0.3">
      <c r="B827" s="2" t="str">
        <f>IFERROR(IF(A827&lt;&gt;"",VLOOKUP(Alunos!A827,Exame!A3:D1000,4, FALSE),""), "")</f>
        <v/>
      </c>
      <c r="C827" s="2" t="str">
        <f>IF(A827&lt;&gt;"",VLOOKUP(Alunos!A827,Agrupamentos!A3:C1000,2, FALSE),"")</f>
        <v/>
      </c>
      <c r="D827" s="2" t="str">
        <f>IFERROR(IF(A827&lt;&gt;"",VLOOKUP(Alunos!C827,'TP1'!A3:E1000,5, FALSE),""),"")</f>
        <v/>
      </c>
      <c r="E827" s="2" t="str">
        <f>IF(A827&lt;&gt;"",VLOOKUP(Alunos!A827,Agrupamentos!A3:C1000,3, FALSE),"")</f>
        <v/>
      </c>
      <c r="F827" s="2" t="str">
        <f>IFERROR(IF(A827&lt;&gt;"",VLOOKUP(Alunos!E827,'TP2'!A3:D1000,4, FALSE),""),"")</f>
        <v/>
      </c>
      <c r="G827" s="2" t="str">
        <f>IF(A827&lt;&gt;"", SUMIF(B1:F1,"&lt;&gt;",B827:F827),"")</f>
        <v/>
      </c>
      <c r="H827" s="2" t="str">
        <f>IF(AND(A827&lt;&gt;"",G827&lt;&gt;""),ROUND(G827,0),"")</f>
        <v/>
      </c>
      <c r="I827" s="2" t="str">
        <f>IFERROR(IF(A827&lt;&gt;"",VLOOKUP(Alunos!A827,Recurso!A3:D1000,4, FALSE),""), "")</f>
        <v/>
      </c>
      <c r="J827" s="2" t="str">
        <f>IF(AND(A827&lt;&gt;"",I827&lt;&gt;""), SUMIFS(B827:I827,B1:I1,"&lt;&gt;",B2:I2,"&lt;&gt;Exame",B2:I2,"&lt;&gt;exame",B2:I2,"&lt;&gt;Nota",B2:I2,"&lt;&gt;Total"),"")</f>
        <v/>
      </c>
      <c r="K827" s="2" t="str">
        <f>IF(AND(A827&lt;&gt;"",J827&lt;&gt;""),ROUND(J827,0),"")</f>
        <v/>
      </c>
    </row>
    <row r="828" spans="2:11" x14ac:dyDescent="0.3">
      <c r="B828" s="2" t="str">
        <f>IFERROR(IF(A828&lt;&gt;"",VLOOKUP(Alunos!A828,Exame!A3:D1000,4, FALSE),""), "")</f>
        <v/>
      </c>
      <c r="C828" s="2" t="str">
        <f>IF(A828&lt;&gt;"",VLOOKUP(Alunos!A828,Agrupamentos!A3:C1000,2, FALSE),"")</f>
        <v/>
      </c>
      <c r="D828" s="2" t="str">
        <f>IFERROR(IF(A828&lt;&gt;"",VLOOKUP(Alunos!C828,'TP1'!A3:E1000,5, FALSE),""),"")</f>
        <v/>
      </c>
      <c r="E828" s="2" t="str">
        <f>IF(A828&lt;&gt;"",VLOOKUP(Alunos!A828,Agrupamentos!A3:C1000,3, FALSE),"")</f>
        <v/>
      </c>
      <c r="F828" s="2" t="str">
        <f>IFERROR(IF(A828&lt;&gt;"",VLOOKUP(Alunos!E828,'TP2'!A3:D1000,4, FALSE),""),"")</f>
        <v/>
      </c>
      <c r="G828" s="2" t="str">
        <f>IF(A828&lt;&gt;"", SUMIF(B1:F1,"&lt;&gt;",B828:F828),"")</f>
        <v/>
      </c>
      <c r="H828" s="2" t="str">
        <f>IF(AND(A828&lt;&gt;"",G828&lt;&gt;""),ROUND(G828,0),"")</f>
        <v/>
      </c>
      <c r="I828" s="2" t="str">
        <f>IFERROR(IF(A828&lt;&gt;"",VLOOKUP(Alunos!A828,Recurso!A3:D1000,4, FALSE),""), "")</f>
        <v/>
      </c>
      <c r="J828" s="2" t="str">
        <f>IF(AND(A828&lt;&gt;"",I828&lt;&gt;""), SUMIFS(B828:I828,B1:I1,"&lt;&gt;",B2:I2,"&lt;&gt;Exame",B2:I2,"&lt;&gt;exame",B2:I2,"&lt;&gt;Nota",B2:I2,"&lt;&gt;Total"),"")</f>
        <v/>
      </c>
      <c r="K828" s="2" t="str">
        <f>IF(AND(A828&lt;&gt;"",J828&lt;&gt;""),ROUND(J828,0),"")</f>
        <v/>
      </c>
    </row>
    <row r="829" spans="2:11" x14ac:dyDescent="0.3">
      <c r="B829" s="2" t="str">
        <f>IFERROR(IF(A829&lt;&gt;"",VLOOKUP(Alunos!A829,Exame!A3:D1000,4, FALSE),""), "")</f>
        <v/>
      </c>
      <c r="C829" s="2" t="str">
        <f>IF(A829&lt;&gt;"",VLOOKUP(Alunos!A829,Agrupamentos!A3:C1000,2, FALSE),"")</f>
        <v/>
      </c>
      <c r="D829" s="2" t="str">
        <f>IFERROR(IF(A829&lt;&gt;"",VLOOKUP(Alunos!C829,'TP1'!A3:E1000,5, FALSE),""),"")</f>
        <v/>
      </c>
      <c r="E829" s="2" t="str">
        <f>IF(A829&lt;&gt;"",VLOOKUP(Alunos!A829,Agrupamentos!A3:C1000,3, FALSE),"")</f>
        <v/>
      </c>
      <c r="F829" s="2" t="str">
        <f>IFERROR(IF(A829&lt;&gt;"",VLOOKUP(Alunos!E829,'TP2'!A3:D1000,4, FALSE),""),"")</f>
        <v/>
      </c>
      <c r="G829" s="2" t="str">
        <f>IF(A829&lt;&gt;"", SUMIF(B1:F1,"&lt;&gt;",B829:F829),"")</f>
        <v/>
      </c>
      <c r="H829" s="2" t="str">
        <f>IF(AND(A829&lt;&gt;"",G829&lt;&gt;""),ROUND(G829,0),"")</f>
        <v/>
      </c>
      <c r="I829" s="2" t="str">
        <f>IFERROR(IF(A829&lt;&gt;"",VLOOKUP(Alunos!A829,Recurso!A3:D1000,4, FALSE),""), "")</f>
        <v/>
      </c>
      <c r="J829" s="2" t="str">
        <f>IF(AND(A829&lt;&gt;"",I829&lt;&gt;""), SUMIFS(B829:I829,B1:I1,"&lt;&gt;",B2:I2,"&lt;&gt;Exame",B2:I2,"&lt;&gt;exame",B2:I2,"&lt;&gt;Nota",B2:I2,"&lt;&gt;Total"),"")</f>
        <v/>
      </c>
      <c r="K829" s="2" t="str">
        <f>IF(AND(A829&lt;&gt;"",J829&lt;&gt;""),ROUND(J829,0),"")</f>
        <v/>
      </c>
    </row>
    <row r="830" spans="2:11" x14ac:dyDescent="0.3">
      <c r="B830" s="2" t="str">
        <f>IFERROR(IF(A830&lt;&gt;"",VLOOKUP(Alunos!A830,Exame!A3:D1000,4, FALSE),""), "")</f>
        <v/>
      </c>
      <c r="C830" s="2" t="str">
        <f>IF(A830&lt;&gt;"",VLOOKUP(Alunos!A830,Agrupamentos!A3:C1000,2, FALSE),"")</f>
        <v/>
      </c>
      <c r="D830" s="2" t="str">
        <f>IFERROR(IF(A830&lt;&gt;"",VLOOKUP(Alunos!C830,'TP1'!A3:E1000,5, FALSE),""),"")</f>
        <v/>
      </c>
      <c r="E830" s="2" t="str">
        <f>IF(A830&lt;&gt;"",VLOOKUP(Alunos!A830,Agrupamentos!A3:C1000,3, FALSE),"")</f>
        <v/>
      </c>
      <c r="F830" s="2" t="str">
        <f>IFERROR(IF(A830&lt;&gt;"",VLOOKUP(Alunos!E830,'TP2'!A3:D1000,4, FALSE),""),"")</f>
        <v/>
      </c>
      <c r="G830" s="2" t="str">
        <f>IF(A830&lt;&gt;"", SUMIF(B1:F1,"&lt;&gt;",B830:F830),"")</f>
        <v/>
      </c>
      <c r="H830" s="2" t="str">
        <f>IF(AND(A830&lt;&gt;"",G830&lt;&gt;""),ROUND(G830,0),"")</f>
        <v/>
      </c>
      <c r="I830" s="2" t="str">
        <f>IFERROR(IF(A830&lt;&gt;"",VLOOKUP(Alunos!A830,Recurso!A3:D1000,4, FALSE),""), "")</f>
        <v/>
      </c>
      <c r="J830" s="2" t="str">
        <f>IF(AND(A830&lt;&gt;"",I830&lt;&gt;""), SUMIFS(B830:I830,B1:I1,"&lt;&gt;",B2:I2,"&lt;&gt;Exame",B2:I2,"&lt;&gt;exame",B2:I2,"&lt;&gt;Nota",B2:I2,"&lt;&gt;Total"),"")</f>
        <v/>
      </c>
      <c r="K830" s="2" t="str">
        <f>IF(AND(A830&lt;&gt;"",J830&lt;&gt;""),ROUND(J830,0),"")</f>
        <v/>
      </c>
    </row>
    <row r="831" spans="2:11" x14ac:dyDescent="0.3">
      <c r="B831" s="2" t="str">
        <f>IFERROR(IF(A831&lt;&gt;"",VLOOKUP(Alunos!A831,Exame!A3:D1000,4, FALSE),""), "")</f>
        <v/>
      </c>
      <c r="C831" s="2" t="str">
        <f>IF(A831&lt;&gt;"",VLOOKUP(Alunos!A831,Agrupamentos!A3:C1000,2, FALSE),"")</f>
        <v/>
      </c>
      <c r="D831" s="2" t="str">
        <f>IFERROR(IF(A831&lt;&gt;"",VLOOKUP(Alunos!C831,'TP1'!A3:E1000,5, FALSE),""),"")</f>
        <v/>
      </c>
      <c r="E831" s="2" t="str">
        <f>IF(A831&lt;&gt;"",VLOOKUP(Alunos!A831,Agrupamentos!A3:C1000,3, FALSE),"")</f>
        <v/>
      </c>
      <c r="F831" s="2" t="str">
        <f>IFERROR(IF(A831&lt;&gt;"",VLOOKUP(Alunos!E831,'TP2'!A3:D1000,4, FALSE),""),"")</f>
        <v/>
      </c>
      <c r="G831" s="2" t="str">
        <f>IF(A831&lt;&gt;"", SUMIF(B1:F1,"&lt;&gt;",B831:F831),"")</f>
        <v/>
      </c>
      <c r="H831" s="2" t="str">
        <f>IF(AND(A831&lt;&gt;"",G831&lt;&gt;""),ROUND(G831,0),"")</f>
        <v/>
      </c>
      <c r="I831" s="2" t="str">
        <f>IFERROR(IF(A831&lt;&gt;"",VLOOKUP(Alunos!A831,Recurso!A3:D1000,4, FALSE),""), "")</f>
        <v/>
      </c>
      <c r="J831" s="2" t="str">
        <f>IF(AND(A831&lt;&gt;"",I831&lt;&gt;""), SUMIFS(B831:I831,B1:I1,"&lt;&gt;",B2:I2,"&lt;&gt;Exame",B2:I2,"&lt;&gt;exame",B2:I2,"&lt;&gt;Nota",B2:I2,"&lt;&gt;Total"),"")</f>
        <v/>
      </c>
      <c r="K831" s="2" t="str">
        <f>IF(AND(A831&lt;&gt;"",J831&lt;&gt;""),ROUND(J831,0),"")</f>
        <v/>
      </c>
    </row>
    <row r="832" spans="2:11" x14ac:dyDescent="0.3">
      <c r="B832" s="2" t="str">
        <f>IFERROR(IF(A832&lt;&gt;"",VLOOKUP(Alunos!A832,Exame!A3:D1000,4, FALSE),""), "")</f>
        <v/>
      </c>
      <c r="C832" s="2" t="str">
        <f>IF(A832&lt;&gt;"",VLOOKUP(Alunos!A832,Agrupamentos!A3:C1000,2, FALSE),"")</f>
        <v/>
      </c>
      <c r="D832" s="2" t="str">
        <f>IFERROR(IF(A832&lt;&gt;"",VLOOKUP(Alunos!C832,'TP1'!A3:E1000,5, FALSE),""),"")</f>
        <v/>
      </c>
      <c r="E832" s="2" t="str">
        <f>IF(A832&lt;&gt;"",VLOOKUP(Alunos!A832,Agrupamentos!A3:C1000,3, FALSE),"")</f>
        <v/>
      </c>
      <c r="F832" s="2" t="str">
        <f>IFERROR(IF(A832&lt;&gt;"",VLOOKUP(Alunos!E832,'TP2'!A3:D1000,4, FALSE),""),"")</f>
        <v/>
      </c>
      <c r="G832" s="2" t="str">
        <f>IF(A832&lt;&gt;"", SUMIF(B1:F1,"&lt;&gt;",B832:F832),"")</f>
        <v/>
      </c>
      <c r="H832" s="2" t="str">
        <f>IF(AND(A832&lt;&gt;"",G832&lt;&gt;""),ROUND(G832,0),"")</f>
        <v/>
      </c>
      <c r="I832" s="2" t="str">
        <f>IFERROR(IF(A832&lt;&gt;"",VLOOKUP(Alunos!A832,Recurso!A3:D1000,4, FALSE),""), "")</f>
        <v/>
      </c>
      <c r="J832" s="2" t="str">
        <f>IF(AND(A832&lt;&gt;"",I832&lt;&gt;""), SUMIFS(B832:I832,B1:I1,"&lt;&gt;",B2:I2,"&lt;&gt;Exame",B2:I2,"&lt;&gt;exame",B2:I2,"&lt;&gt;Nota",B2:I2,"&lt;&gt;Total"),"")</f>
        <v/>
      </c>
      <c r="K832" s="2" t="str">
        <f>IF(AND(A832&lt;&gt;"",J832&lt;&gt;""),ROUND(J832,0),"")</f>
        <v/>
      </c>
    </row>
    <row r="833" spans="2:11" x14ac:dyDescent="0.3">
      <c r="B833" s="2" t="str">
        <f>IFERROR(IF(A833&lt;&gt;"",VLOOKUP(Alunos!A833,Exame!A3:D1000,4, FALSE),""), "")</f>
        <v/>
      </c>
      <c r="C833" s="2" t="str">
        <f>IF(A833&lt;&gt;"",VLOOKUP(Alunos!A833,Agrupamentos!A3:C1000,2, FALSE),"")</f>
        <v/>
      </c>
      <c r="D833" s="2" t="str">
        <f>IFERROR(IF(A833&lt;&gt;"",VLOOKUP(Alunos!C833,'TP1'!A3:E1000,5, FALSE),""),"")</f>
        <v/>
      </c>
      <c r="E833" s="2" t="str">
        <f>IF(A833&lt;&gt;"",VLOOKUP(Alunos!A833,Agrupamentos!A3:C1000,3, FALSE),"")</f>
        <v/>
      </c>
      <c r="F833" s="2" t="str">
        <f>IFERROR(IF(A833&lt;&gt;"",VLOOKUP(Alunos!E833,'TP2'!A3:D1000,4, FALSE),""),"")</f>
        <v/>
      </c>
      <c r="G833" s="2" t="str">
        <f>IF(A833&lt;&gt;"", SUMIF(B1:F1,"&lt;&gt;",B833:F833),"")</f>
        <v/>
      </c>
      <c r="H833" s="2" t="str">
        <f>IF(AND(A833&lt;&gt;"",G833&lt;&gt;""),ROUND(G833,0),"")</f>
        <v/>
      </c>
      <c r="I833" s="2" t="str">
        <f>IFERROR(IF(A833&lt;&gt;"",VLOOKUP(Alunos!A833,Recurso!A3:D1000,4, FALSE),""), "")</f>
        <v/>
      </c>
      <c r="J833" s="2" t="str">
        <f>IF(AND(A833&lt;&gt;"",I833&lt;&gt;""), SUMIFS(B833:I833,B1:I1,"&lt;&gt;",B2:I2,"&lt;&gt;Exame",B2:I2,"&lt;&gt;exame",B2:I2,"&lt;&gt;Nota",B2:I2,"&lt;&gt;Total"),"")</f>
        <v/>
      </c>
      <c r="K833" s="2" t="str">
        <f>IF(AND(A833&lt;&gt;"",J833&lt;&gt;""),ROUND(J833,0),"")</f>
        <v/>
      </c>
    </row>
    <row r="834" spans="2:11" x14ac:dyDescent="0.3">
      <c r="B834" s="2" t="str">
        <f>IFERROR(IF(A834&lt;&gt;"",VLOOKUP(Alunos!A834,Exame!A3:D1000,4, FALSE),""), "")</f>
        <v/>
      </c>
      <c r="C834" s="2" t="str">
        <f>IF(A834&lt;&gt;"",VLOOKUP(Alunos!A834,Agrupamentos!A3:C1000,2, FALSE),"")</f>
        <v/>
      </c>
      <c r="D834" s="2" t="str">
        <f>IFERROR(IF(A834&lt;&gt;"",VLOOKUP(Alunos!C834,'TP1'!A3:E1000,5, FALSE),""),"")</f>
        <v/>
      </c>
      <c r="E834" s="2" t="str">
        <f>IF(A834&lt;&gt;"",VLOOKUP(Alunos!A834,Agrupamentos!A3:C1000,3, FALSE),"")</f>
        <v/>
      </c>
      <c r="F834" s="2" t="str">
        <f>IFERROR(IF(A834&lt;&gt;"",VLOOKUP(Alunos!E834,'TP2'!A3:D1000,4, FALSE),""),"")</f>
        <v/>
      </c>
      <c r="G834" s="2" t="str">
        <f>IF(A834&lt;&gt;"", SUMIF(B1:F1,"&lt;&gt;",B834:F834),"")</f>
        <v/>
      </c>
      <c r="H834" s="2" t="str">
        <f>IF(AND(A834&lt;&gt;"",G834&lt;&gt;""),ROUND(G834,0),"")</f>
        <v/>
      </c>
      <c r="I834" s="2" t="str">
        <f>IFERROR(IF(A834&lt;&gt;"",VLOOKUP(Alunos!A834,Recurso!A3:D1000,4, FALSE),""), "")</f>
        <v/>
      </c>
      <c r="J834" s="2" t="str">
        <f>IF(AND(A834&lt;&gt;"",I834&lt;&gt;""), SUMIFS(B834:I834,B1:I1,"&lt;&gt;",B2:I2,"&lt;&gt;Exame",B2:I2,"&lt;&gt;exame",B2:I2,"&lt;&gt;Nota",B2:I2,"&lt;&gt;Total"),"")</f>
        <v/>
      </c>
      <c r="K834" s="2" t="str">
        <f>IF(AND(A834&lt;&gt;"",J834&lt;&gt;""),ROUND(J834,0),"")</f>
        <v/>
      </c>
    </row>
    <row r="835" spans="2:11" x14ac:dyDescent="0.3">
      <c r="B835" s="2" t="str">
        <f>IFERROR(IF(A835&lt;&gt;"",VLOOKUP(Alunos!A835,Exame!A3:D1000,4, FALSE),""), "")</f>
        <v/>
      </c>
      <c r="C835" s="2" t="str">
        <f>IF(A835&lt;&gt;"",VLOOKUP(Alunos!A835,Agrupamentos!A3:C1000,2, FALSE),"")</f>
        <v/>
      </c>
      <c r="D835" s="2" t="str">
        <f>IFERROR(IF(A835&lt;&gt;"",VLOOKUP(Alunos!C835,'TP1'!A3:E1000,5, FALSE),""),"")</f>
        <v/>
      </c>
      <c r="E835" s="2" t="str">
        <f>IF(A835&lt;&gt;"",VLOOKUP(Alunos!A835,Agrupamentos!A3:C1000,3, FALSE),"")</f>
        <v/>
      </c>
      <c r="F835" s="2" t="str">
        <f>IFERROR(IF(A835&lt;&gt;"",VLOOKUP(Alunos!E835,'TP2'!A3:D1000,4, FALSE),""),"")</f>
        <v/>
      </c>
      <c r="G835" s="2" t="str">
        <f>IF(A835&lt;&gt;"", SUMIF(B1:F1,"&lt;&gt;",B835:F835),"")</f>
        <v/>
      </c>
      <c r="H835" s="2" t="str">
        <f>IF(AND(A835&lt;&gt;"",G835&lt;&gt;""),ROUND(G835,0),"")</f>
        <v/>
      </c>
      <c r="I835" s="2" t="str">
        <f>IFERROR(IF(A835&lt;&gt;"",VLOOKUP(Alunos!A835,Recurso!A3:D1000,4, FALSE),""), "")</f>
        <v/>
      </c>
      <c r="J835" s="2" t="str">
        <f>IF(AND(A835&lt;&gt;"",I835&lt;&gt;""), SUMIFS(B835:I835,B1:I1,"&lt;&gt;",B2:I2,"&lt;&gt;Exame",B2:I2,"&lt;&gt;exame",B2:I2,"&lt;&gt;Nota",B2:I2,"&lt;&gt;Total"),"")</f>
        <v/>
      </c>
      <c r="K835" s="2" t="str">
        <f>IF(AND(A835&lt;&gt;"",J835&lt;&gt;""),ROUND(J835,0),"")</f>
        <v/>
      </c>
    </row>
    <row r="836" spans="2:11" x14ac:dyDescent="0.3">
      <c r="B836" s="2" t="str">
        <f>IFERROR(IF(A836&lt;&gt;"",VLOOKUP(Alunos!A836,Exame!A3:D1000,4, FALSE),""), "")</f>
        <v/>
      </c>
      <c r="C836" s="2" t="str">
        <f>IF(A836&lt;&gt;"",VLOOKUP(Alunos!A836,Agrupamentos!A3:C1000,2, FALSE),"")</f>
        <v/>
      </c>
      <c r="D836" s="2" t="str">
        <f>IFERROR(IF(A836&lt;&gt;"",VLOOKUP(Alunos!C836,'TP1'!A3:E1000,5, FALSE),""),"")</f>
        <v/>
      </c>
      <c r="E836" s="2" t="str">
        <f>IF(A836&lt;&gt;"",VLOOKUP(Alunos!A836,Agrupamentos!A3:C1000,3, FALSE),"")</f>
        <v/>
      </c>
      <c r="F836" s="2" t="str">
        <f>IFERROR(IF(A836&lt;&gt;"",VLOOKUP(Alunos!E836,'TP2'!A3:D1000,4, FALSE),""),"")</f>
        <v/>
      </c>
      <c r="G836" s="2" t="str">
        <f>IF(A836&lt;&gt;"", SUMIF(B1:F1,"&lt;&gt;",B836:F836),"")</f>
        <v/>
      </c>
      <c r="H836" s="2" t="str">
        <f>IF(AND(A836&lt;&gt;"",G836&lt;&gt;""),ROUND(G836,0),"")</f>
        <v/>
      </c>
      <c r="I836" s="2" t="str">
        <f>IFERROR(IF(A836&lt;&gt;"",VLOOKUP(Alunos!A836,Recurso!A3:D1000,4, FALSE),""), "")</f>
        <v/>
      </c>
      <c r="J836" s="2" t="str">
        <f>IF(AND(A836&lt;&gt;"",I836&lt;&gt;""), SUMIFS(B836:I836,B1:I1,"&lt;&gt;",B2:I2,"&lt;&gt;Exame",B2:I2,"&lt;&gt;exame",B2:I2,"&lt;&gt;Nota",B2:I2,"&lt;&gt;Total"),"")</f>
        <v/>
      </c>
      <c r="K836" s="2" t="str">
        <f>IF(AND(A836&lt;&gt;"",J836&lt;&gt;""),ROUND(J836,0),"")</f>
        <v/>
      </c>
    </row>
    <row r="837" spans="2:11" x14ac:dyDescent="0.3">
      <c r="B837" s="2" t="str">
        <f>IFERROR(IF(A837&lt;&gt;"",VLOOKUP(Alunos!A837,Exame!A3:D1000,4, FALSE),""), "")</f>
        <v/>
      </c>
      <c r="C837" s="2" t="str">
        <f>IF(A837&lt;&gt;"",VLOOKUP(Alunos!A837,Agrupamentos!A3:C1000,2, FALSE),"")</f>
        <v/>
      </c>
      <c r="D837" s="2" t="str">
        <f>IFERROR(IF(A837&lt;&gt;"",VLOOKUP(Alunos!C837,'TP1'!A3:E1000,5, FALSE),""),"")</f>
        <v/>
      </c>
      <c r="E837" s="2" t="str">
        <f>IF(A837&lt;&gt;"",VLOOKUP(Alunos!A837,Agrupamentos!A3:C1000,3, FALSE),"")</f>
        <v/>
      </c>
      <c r="F837" s="2" t="str">
        <f>IFERROR(IF(A837&lt;&gt;"",VLOOKUP(Alunos!E837,'TP2'!A3:D1000,4, FALSE),""),"")</f>
        <v/>
      </c>
      <c r="G837" s="2" t="str">
        <f>IF(A837&lt;&gt;"", SUMIF(B1:F1,"&lt;&gt;",B837:F837),"")</f>
        <v/>
      </c>
      <c r="H837" s="2" t="str">
        <f>IF(AND(A837&lt;&gt;"",G837&lt;&gt;""),ROUND(G837,0),"")</f>
        <v/>
      </c>
      <c r="I837" s="2" t="str">
        <f>IFERROR(IF(A837&lt;&gt;"",VLOOKUP(Alunos!A837,Recurso!A3:D1000,4, FALSE),""), "")</f>
        <v/>
      </c>
      <c r="J837" s="2" t="str">
        <f>IF(AND(A837&lt;&gt;"",I837&lt;&gt;""), SUMIFS(B837:I837,B1:I1,"&lt;&gt;",B2:I2,"&lt;&gt;Exame",B2:I2,"&lt;&gt;exame",B2:I2,"&lt;&gt;Nota",B2:I2,"&lt;&gt;Total"),"")</f>
        <v/>
      </c>
      <c r="K837" s="2" t="str">
        <f>IF(AND(A837&lt;&gt;"",J837&lt;&gt;""),ROUND(J837,0),"")</f>
        <v/>
      </c>
    </row>
    <row r="838" spans="2:11" x14ac:dyDescent="0.3">
      <c r="B838" s="2" t="str">
        <f>IFERROR(IF(A838&lt;&gt;"",VLOOKUP(Alunos!A838,Exame!A3:D1000,4, FALSE),""), "")</f>
        <v/>
      </c>
      <c r="C838" s="2" t="str">
        <f>IF(A838&lt;&gt;"",VLOOKUP(Alunos!A838,Agrupamentos!A3:C1000,2, FALSE),"")</f>
        <v/>
      </c>
      <c r="D838" s="2" t="str">
        <f>IFERROR(IF(A838&lt;&gt;"",VLOOKUP(Alunos!C838,'TP1'!A3:E1000,5, FALSE),""),"")</f>
        <v/>
      </c>
      <c r="E838" s="2" t="str">
        <f>IF(A838&lt;&gt;"",VLOOKUP(Alunos!A838,Agrupamentos!A3:C1000,3, FALSE),"")</f>
        <v/>
      </c>
      <c r="F838" s="2" t="str">
        <f>IFERROR(IF(A838&lt;&gt;"",VLOOKUP(Alunos!E838,'TP2'!A3:D1000,4, FALSE),""),"")</f>
        <v/>
      </c>
      <c r="G838" s="2" t="str">
        <f>IF(A838&lt;&gt;"", SUMIF(B1:F1,"&lt;&gt;",B838:F838),"")</f>
        <v/>
      </c>
      <c r="H838" s="2" t="str">
        <f>IF(AND(A838&lt;&gt;"",G838&lt;&gt;""),ROUND(G838,0),"")</f>
        <v/>
      </c>
      <c r="I838" s="2" t="str">
        <f>IFERROR(IF(A838&lt;&gt;"",VLOOKUP(Alunos!A838,Recurso!A3:D1000,4, FALSE),""), "")</f>
        <v/>
      </c>
      <c r="J838" s="2" t="str">
        <f>IF(AND(A838&lt;&gt;"",I838&lt;&gt;""), SUMIFS(B838:I838,B1:I1,"&lt;&gt;",B2:I2,"&lt;&gt;Exame",B2:I2,"&lt;&gt;exame",B2:I2,"&lt;&gt;Nota",B2:I2,"&lt;&gt;Total"),"")</f>
        <v/>
      </c>
      <c r="K838" s="2" t="str">
        <f>IF(AND(A838&lt;&gt;"",J838&lt;&gt;""),ROUND(J838,0),"")</f>
        <v/>
      </c>
    </row>
    <row r="839" spans="2:11" x14ac:dyDescent="0.3">
      <c r="B839" s="2" t="str">
        <f>IFERROR(IF(A839&lt;&gt;"",VLOOKUP(Alunos!A839,Exame!A3:D1000,4, FALSE),""), "")</f>
        <v/>
      </c>
      <c r="C839" s="2" t="str">
        <f>IF(A839&lt;&gt;"",VLOOKUP(Alunos!A839,Agrupamentos!A3:C1000,2, FALSE),"")</f>
        <v/>
      </c>
      <c r="D839" s="2" t="str">
        <f>IFERROR(IF(A839&lt;&gt;"",VLOOKUP(Alunos!C839,'TP1'!A3:E1000,5, FALSE),""),"")</f>
        <v/>
      </c>
      <c r="E839" s="2" t="str">
        <f>IF(A839&lt;&gt;"",VLOOKUP(Alunos!A839,Agrupamentos!A3:C1000,3, FALSE),"")</f>
        <v/>
      </c>
      <c r="F839" s="2" t="str">
        <f>IFERROR(IF(A839&lt;&gt;"",VLOOKUP(Alunos!E839,'TP2'!A3:D1000,4, FALSE),""),"")</f>
        <v/>
      </c>
      <c r="G839" s="2" t="str">
        <f>IF(A839&lt;&gt;"", SUMIF(B1:F1,"&lt;&gt;",B839:F839),"")</f>
        <v/>
      </c>
      <c r="H839" s="2" t="str">
        <f>IF(AND(A839&lt;&gt;"",G839&lt;&gt;""),ROUND(G839,0),"")</f>
        <v/>
      </c>
      <c r="I839" s="2" t="str">
        <f>IFERROR(IF(A839&lt;&gt;"",VLOOKUP(Alunos!A839,Recurso!A3:D1000,4, FALSE),""), "")</f>
        <v/>
      </c>
      <c r="J839" s="2" t="str">
        <f>IF(AND(A839&lt;&gt;"",I839&lt;&gt;""), SUMIFS(B839:I839,B1:I1,"&lt;&gt;",B2:I2,"&lt;&gt;Exame",B2:I2,"&lt;&gt;exame",B2:I2,"&lt;&gt;Nota",B2:I2,"&lt;&gt;Total"),"")</f>
        <v/>
      </c>
      <c r="K839" s="2" t="str">
        <f>IF(AND(A839&lt;&gt;"",J839&lt;&gt;""),ROUND(J839,0),"")</f>
        <v/>
      </c>
    </row>
    <row r="840" spans="2:11" x14ac:dyDescent="0.3">
      <c r="B840" s="2" t="str">
        <f>IFERROR(IF(A840&lt;&gt;"",VLOOKUP(Alunos!A840,Exame!A3:D1000,4, FALSE),""), "")</f>
        <v/>
      </c>
      <c r="C840" s="2" t="str">
        <f>IF(A840&lt;&gt;"",VLOOKUP(Alunos!A840,Agrupamentos!A3:C1000,2, FALSE),"")</f>
        <v/>
      </c>
      <c r="D840" s="2" t="str">
        <f>IFERROR(IF(A840&lt;&gt;"",VLOOKUP(Alunos!C840,'TP1'!A3:E1000,5, FALSE),""),"")</f>
        <v/>
      </c>
      <c r="E840" s="2" t="str">
        <f>IF(A840&lt;&gt;"",VLOOKUP(Alunos!A840,Agrupamentos!A3:C1000,3, FALSE),"")</f>
        <v/>
      </c>
      <c r="F840" s="2" t="str">
        <f>IFERROR(IF(A840&lt;&gt;"",VLOOKUP(Alunos!E840,'TP2'!A3:D1000,4, FALSE),""),"")</f>
        <v/>
      </c>
      <c r="G840" s="2" t="str">
        <f>IF(A840&lt;&gt;"", SUMIF(B1:F1,"&lt;&gt;",B840:F840),"")</f>
        <v/>
      </c>
      <c r="H840" s="2" t="str">
        <f>IF(AND(A840&lt;&gt;"",G840&lt;&gt;""),ROUND(G840,0),"")</f>
        <v/>
      </c>
      <c r="I840" s="2" t="str">
        <f>IFERROR(IF(A840&lt;&gt;"",VLOOKUP(Alunos!A840,Recurso!A3:D1000,4, FALSE),""), "")</f>
        <v/>
      </c>
      <c r="J840" s="2" t="str">
        <f>IF(AND(A840&lt;&gt;"",I840&lt;&gt;""), SUMIFS(B840:I840,B1:I1,"&lt;&gt;",B2:I2,"&lt;&gt;Exame",B2:I2,"&lt;&gt;exame",B2:I2,"&lt;&gt;Nota",B2:I2,"&lt;&gt;Total"),"")</f>
        <v/>
      </c>
      <c r="K840" s="2" t="str">
        <f>IF(AND(A840&lt;&gt;"",J840&lt;&gt;""),ROUND(J840,0),"")</f>
        <v/>
      </c>
    </row>
    <row r="841" spans="2:11" x14ac:dyDescent="0.3">
      <c r="B841" s="2" t="str">
        <f>IFERROR(IF(A841&lt;&gt;"",VLOOKUP(Alunos!A841,Exame!A3:D1000,4, FALSE),""), "")</f>
        <v/>
      </c>
      <c r="C841" s="2" t="str">
        <f>IF(A841&lt;&gt;"",VLOOKUP(Alunos!A841,Agrupamentos!A3:C1000,2, FALSE),"")</f>
        <v/>
      </c>
      <c r="D841" s="2" t="str">
        <f>IFERROR(IF(A841&lt;&gt;"",VLOOKUP(Alunos!C841,'TP1'!A3:E1000,5, FALSE),""),"")</f>
        <v/>
      </c>
      <c r="E841" s="2" t="str">
        <f>IF(A841&lt;&gt;"",VLOOKUP(Alunos!A841,Agrupamentos!A3:C1000,3, FALSE),"")</f>
        <v/>
      </c>
      <c r="F841" s="2" t="str">
        <f>IFERROR(IF(A841&lt;&gt;"",VLOOKUP(Alunos!E841,'TP2'!A3:D1000,4, FALSE),""),"")</f>
        <v/>
      </c>
      <c r="G841" s="2" t="str">
        <f>IF(A841&lt;&gt;"", SUMIF(B1:F1,"&lt;&gt;",B841:F841),"")</f>
        <v/>
      </c>
      <c r="H841" s="2" t="str">
        <f>IF(AND(A841&lt;&gt;"",G841&lt;&gt;""),ROUND(G841,0),"")</f>
        <v/>
      </c>
      <c r="I841" s="2" t="str">
        <f>IFERROR(IF(A841&lt;&gt;"",VLOOKUP(Alunos!A841,Recurso!A3:D1000,4, FALSE),""), "")</f>
        <v/>
      </c>
      <c r="J841" s="2" t="str">
        <f>IF(AND(A841&lt;&gt;"",I841&lt;&gt;""), SUMIFS(B841:I841,B1:I1,"&lt;&gt;",B2:I2,"&lt;&gt;Exame",B2:I2,"&lt;&gt;exame",B2:I2,"&lt;&gt;Nota",B2:I2,"&lt;&gt;Total"),"")</f>
        <v/>
      </c>
      <c r="K841" s="2" t="str">
        <f>IF(AND(A841&lt;&gt;"",J841&lt;&gt;""),ROUND(J841,0),"")</f>
        <v/>
      </c>
    </row>
    <row r="842" spans="2:11" x14ac:dyDescent="0.3">
      <c r="B842" s="2" t="str">
        <f>IFERROR(IF(A842&lt;&gt;"",VLOOKUP(Alunos!A842,Exame!A3:D1000,4, FALSE),""), "")</f>
        <v/>
      </c>
      <c r="C842" s="2" t="str">
        <f>IF(A842&lt;&gt;"",VLOOKUP(Alunos!A842,Agrupamentos!A3:C1000,2, FALSE),"")</f>
        <v/>
      </c>
      <c r="D842" s="2" t="str">
        <f>IFERROR(IF(A842&lt;&gt;"",VLOOKUP(Alunos!C842,'TP1'!A3:E1000,5, FALSE),""),"")</f>
        <v/>
      </c>
      <c r="E842" s="2" t="str">
        <f>IF(A842&lt;&gt;"",VLOOKUP(Alunos!A842,Agrupamentos!A3:C1000,3, FALSE),"")</f>
        <v/>
      </c>
      <c r="F842" s="2" t="str">
        <f>IFERROR(IF(A842&lt;&gt;"",VLOOKUP(Alunos!E842,'TP2'!A3:D1000,4, FALSE),""),"")</f>
        <v/>
      </c>
      <c r="G842" s="2" t="str">
        <f>IF(A842&lt;&gt;"", SUMIF(B1:F1,"&lt;&gt;",B842:F842),"")</f>
        <v/>
      </c>
      <c r="H842" s="2" t="str">
        <f>IF(AND(A842&lt;&gt;"",G842&lt;&gt;""),ROUND(G842,0),"")</f>
        <v/>
      </c>
      <c r="I842" s="2" t="str">
        <f>IFERROR(IF(A842&lt;&gt;"",VLOOKUP(Alunos!A842,Recurso!A3:D1000,4, FALSE),""), "")</f>
        <v/>
      </c>
      <c r="J842" s="2" t="str">
        <f>IF(AND(A842&lt;&gt;"",I842&lt;&gt;""), SUMIFS(B842:I842,B1:I1,"&lt;&gt;",B2:I2,"&lt;&gt;Exame",B2:I2,"&lt;&gt;exame",B2:I2,"&lt;&gt;Nota",B2:I2,"&lt;&gt;Total"),"")</f>
        <v/>
      </c>
      <c r="K842" s="2" t="str">
        <f>IF(AND(A842&lt;&gt;"",J842&lt;&gt;""),ROUND(J842,0),"")</f>
        <v/>
      </c>
    </row>
    <row r="843" spans="2:11" x14ac:dyDescent="0.3">
      <c r="B843" s="2" t="str">
        <f>IFERROR(IF(A843&lt;&gt;"",VLOOKUP(Alunos!A843,Exame!A3:D1000,4, FALSE),""), "")</f>
        <v/>
      </c>
      <c r="C843" s="2" t="str">
        <f>IF(A843&lt;&gt;"",VLOOKUP(Alunos!A843,Agrupamentos!A3:C1000,2, FALSE),"")</f>
        <v/>
      </c>
      <c r="D843" s="2" t="str">
        <f>IFERROR(IF(A843&lt;&gt;"",VLOOKUP(Alunos!C843,'TP1'!A3:E1000,5, FALSE),""),"")</f>
        <v/>
      </c>
      <c r="E843" s="2" t="str">
        <f>IF(A843&lt;&gt;"",VLOOKUP(Alunos!A843,Agrupamentos!A3:C1000,3, FALSE),"")</f>
        <v/>
      </c>
      <c r="F843" s="2" t="str">
        <f>IFERROR(IF(A843&lt;&gt;"",VLOOKUP(Alunos!E843,'TP2'!A3:D1000,4, FALSE),""),"")</f>
        <v/>
      </c>
      <c r="G843" s="2" t="str">
        <f>IF(A843&lt;&gt;"", SUMIF(B1:F1,"&lt;&gt;",B843:F843),"")</f>
        <v/>
      </c>
      <c r="H843" s="2" t="str">
        <f>IF(AND(A843&lt;&gt;"",G843&lt;&gt;""),ROUND(G843,0),"")</f>
        <v/>
      </c>
      <c r="I843" s="2" t="str">
        <f>IFERROR(IF(A843&lt;&gt;"",VLOOKUP(Alunos!A843,Recurso!A3:D1000,4, FALSE),""), "")</f>
        <v/>
      </c>
      <c r="J843" s="2" t="str">
        <f>IF(AND(A843&lt;&gt;"",I843&lt;&gt;""), SUMIFS(B843:I843,B1:I1,"&lt;&gt;",B2:I2,"&lt;&gt;Exame",B2:I2,"&lt;&gt;exame",B2:I2,"&lt;&gt;Nota",B2:I2,"&lt;&gt;Total"),"")</f>
        <v/>
      </c>
      <c r="K843" s="2" t="str">
        <f>IF(AND(A843&lt;&gt;"",J843&lt;&gt;""),ROUND(J843,0),"")</f>
        <v/>
      </c>
    </row>
    <row r="844" spans="2:11" x14ac:dyDescent="0.3">
      <c r="B844" s="2" t="str">
        <f>IFERROR(IF(A844&lt;&gt;"",VLOOKUP(Alunos!A844,Exame!A3:D1000,4, FALSE),""), "")</f>
        <v/>
      </c>
      <c r="C844" s="2" t="str">
        <f>IF(A844&lt;&gt;"",VLOOKUP(Alunos!A844,Agrupamentos!A3:C1000,2, FALSE),"")</f>
        <v/>
      </c>
      <c r="D844" s="2" t="str">
        <f>IFERROR(IF(A844&lt;&gt;"",VLOOKUP(Alunos!C844,'TP1'!A3:E1000,5, FALSE),""),"")</f>
        <v/>
      </c>
      <c r="E844" s="2" t="str">
        <f>IF(A844&lt;&gt;"",VLOOKUP(Alunos!A844,Agrupamentos!A3:C1000,3, FALSE),"")</f>
        <v/>
      </c>
      <c r="F844" s="2" t="str">
        <f>IFERROR(IF(A844&lt;&gt;"",VLOOKUP(Alunos!E844,'TP2'!A3:D1000,4, FALSE),""),"")</f>
        <v/>
      </c>
      <c r="G844" s="2" t="str">
        <f>IF(A844&lt;&gt;"", SUMIF(B1:F1,"&lt;&gt;",B844:F844),"")</f>
        <v/>
      </c>
      <c r="H844" s="2" t="str">
        <f>IF(AND(A844&lt;&gt;"",G844&lt;&gt;""),ROUND(G844,0),"")</f>
        <v/>
      </c>
      <c r="I844" s="2" t="str">
        <f>IFERROR(IF(A844&lt;&gt;"",VLOOKUP(Alunos!A844,Recurso!A3:D1000,4, FALSE),""), "")</f>
        <v/>
      </c>
      <c r="J844" s="2" t="str">
        <f>IF(AND(A844&lt;&gt;"",I844&lt;&gt;""), SUMIFS(B844:I844,B1:I1,"&lt;&gt;",B2:I2,"&lt;&gt;Exame",B2:I2,"&lt;&gt;exame",B2:I2,"&lt;&gt;Nota",B2:I2,"&lt;&gt;Total"),"")</f>
        <v/>
      </c>
      <c r="K844" s="2" t="str">
        <f>IF(AND(A844&lt;&gt;"",J844&lt;&gt;""),ROUND(J844,0),"")</f>
        <v/>
      </c>
    </row>
    <row r="845" spans="2:11" x14ac:dyDescent="0.3">
      <c r="B845" s="2" t="str">
        <f>IFERROR(IF(A845&lt;&gt;"",VLOOKUP(Alunos!A845,Exame!A3:D1000,4, FALSE),""), "")</f>
        <v/>
      </c>
      <c r="C845" s="2" t="str">
        <f>IF(A845&lt;&gt;"",VLOOKUP(Alunos!A845,Agrupamentos!A3:C1000,2, FALSE),"")</f>
        <v/>
      </c>
      <c r="D845" s="2" t="str">
        <f>IFERROR(IF(A845&lt;&gt;"",VLOOKUP(Alunos!C845,'TP1'!A3:E1000,5, FALSE),""),"")</f>
        <v/>
      </c>
      <c r="E845" s="2" t="str">
        <f>IF(A845&lt;&gt;"",VLOOKUP(Alunos!A845,Agrupamentos!A3:C1000,3, FALSE),"")</f>
        <v/>
      </c>
      <c r="F845" s="2" t="str">
        <f>IFERROR(IF(A845&lt;&gt;"",VLOOKUP(Alunos!E845,'TP2'!A3:D1000,4, FALSE),""),"")</f>
        <v/>
      </c>
      <c r="G845" s="2" t="str">
        <f>IF(A845&lt;&gt;"", SUMIF(B1:F1,"&lt;&gt;",B845:F845),"")</f>
        <v/>
      </c>
      <c r="H845" s="2" t="str">
        <f>IF(AND(A845&lt;&gt;"",G845&lt;&gt;""),ROUND(G845,0),"")</f>
        <v/>
      </c>
      <c r="I845" s="2" t="str">
        <f>IFERROR(IF(A845&lt;&gt;"",VLOOKUP(Alunos!A845,Recurso!A3:D1000,4, FALSE),""), "")</f>
        <v/>
      </c>
      <c r="J845" s="2" t="str">
        <f>IF(AND(A845&lt;&gt;"",I845&lt;&gt;""), SUMIFS(B845:I845,B1:I1,"&lt;&gt;",B2:I2,"&lt;&gt;Exame",B2:I2,"&lt;&gt;exame",B2:I2,"&lt;&gt;Nota",B2:I2,"&lt;&gt;Total"),"")</f>
        <v/>
      </c>
      <c r="K845" s="2" t="str">
        <f>IF(AND(A845&lt;&gt;"",J845&lt;&gt;""),ROUND(J845,0),"")</f>
        <v/>
      </c>
    </row>
    <row r="846" spans="2:11" x14ac:dyDescent="0.3">
      <c r="B846" s="2" t="str">
        <f>IFERROR(IF(A846&lt;&gt;"",VLOOKUP(Alunos!A846,Exame!A3:D1000,4, FALSE),""), "")</f>
        <v/>
      </c>
      <c r="C846" s="2" t="str">
        <f>IF(A846&lt;&gt;"",VLOOKUP(Alunos!A846,Agrupamentos!A3:C1000,2, FALSE),"")</f>
        <v/>
      </c>
      <c r="D846" s="2" t="str">
        <f>IFERROR(IF(A846&lt;&gt;"",VLOOKUP(Alunos!C846,'TP1'!A3:E1000,5, FALSE),""),"")</f>
        <v/>
      </c>
      <c r="E846" s="2" t="str">
        <f>IF(A846&lt;&gt;"",VLOOKUP(Alunos!A846,Agrupamentos!A3:C1000,3, FALSE),"")</f>
        <v/>
      </c>
      <c r="F846" s="2" t="str">
        <f>IFERROR(IF(A846&lt;&gt;"",VLOOKUP(Alunos!E846,'TP2'!A3:D1000,4, FALSE),""),"")</f>
        <v/>
      </c>
      <c r="G846" s="2" t="str">
        <f>IF(A846&lt;&gt;"", SUMIF(B1:F1,"&lt;&gt;",B846:F846),"")</f>
        <v/>
      </c>
      <c r="H846" s="2" t="str">
        <f>IF(AND(A846&lt;&gt;"",G846&lt;&gt;""),ROUND(G846,0),"")</f>
        <v/>
      </c>
      <c r="I846" s="2" t="str">
        <f>IFERROR(IF(A846&lt;&gt;"",VLOOKUP(Alunos!A846,Recurso!A3:D1000,4, FALSE),""), "")</f>
        <v/>
      </c>
      <c r="J846" s="2" t="str">
        <f>IF(AND(A846&lt;&gt;"",I846&lt;&gt;""), SUMIFS(B846:I846,B1:I1,"&lt;&gt;",B2:I2,"&lt;&gt;Exame",B2:I2,"&lt;&gt;exame",B2:I2,"&lt;&gt;Nota",B2:I2,"&lt;&gt;Total"),"")</f>
        <v/>
      </c>
      <c r="K846" s="2" t="str">
        <f>IF(AND(A846&lt;&gt;"",J846&lt;&gt;""),ROUND(J846,0),"")</f>
        <v/>
      </c>
    </row>
    <row r="847" spans="2:11" x14ac:dyDescent="0.3">
      <c r="B847" s="2" t="str">
        <f>IFERROR(IF(A847&lt;&gt;"",VLOOKUP(Alunos!A847,Exame!A3:D1000,4, FALSE),""), "")</f>
        <v/>
      </c>
      <c r="C847" s="2" t="str">
        <f>IF(A847&lt;&gt;"",VLOOKUP(Alunos!A847,Agrupamentos!A3:C1000,2, FALSE),"")</f>
        <v/>
      </c>
      <c r="D847" s="2" t="str">
        <f>IFERROR(IF(A847&lt;&gt;"",VLOOKUP(Alunos!C847,'TP1'!A3:E1000,5, FALSE),""),"")</f>
        <v/>
      </c>
      <c r="E847" s="2" t="str">
        <f>IF(A847&lt;&gt;"",VLOOKUP(Alunos!A847,Agrupamentos!A3:C1000,3, FALSE),"")</f>
        <v/>
      </c>
      <c r="F847" s="2" t="str">
        <f>IFERROR(IF(A847&lt;&gt;"",VLOOKUP(Alunos!E847,'TP2'!A3:D1000,4, FALSE),""),"")</f>
        <v/>
      </c>
      <c r="G847" s="2" t="str">
        <f>IF(A847&lt;&gt;"", SUMIF(B1:F1,"&lt;&gt;",B847:F847),"")</f>
        <v/>
      </c>
      <c r="H847" s="2" t="str">
        <f>IF(AND(A847&lt;&gt;"",G847&lt;&gt;""),ROUND(G847,0),"")</f>
        <v/>
      </c>
      <c r="I847" s="2" t="str">
        <f>IFERROR(IF(A847&lt;&gt;"",VLOOKUP(Alunos!A847,Recurso!A3:D1000,4, FALSE),""), "")</f>
        <v/>
      </c>
      <c r="J847" s="2" t="str">
        <f>IF(AND(A847&lt;&gt;"",I847&lt;&gt;""), SUMIFS(B847:I847,B1:I1,"&lt;&gt;",B2:I2,"&lt;&gt;Exame",B2:I2,"&lt;&gt;exame",B2:I2,"&lt;&gt;Nota",B2:I2,"&lt;&gt;Total"),"")</f>
        <v/>
      </c>
      <c r="K847" s="2" t="str">
        <f>IF(AND(A847&lt;&gt;"",J847&lt;&gt;""),ROUND(J847,0),"")</f>
        <v/>
      </c>
    </row>
    <row r="848" spans="2:11" x14ac:dyDescent="0.3">
      <c r="B848" s="2" t="str">
        <f>IFERROR(IF(A848&lt;&gt;"",VLOOKUP(Alunos!A848,Exame!A3:D1000,4, FALSE),""), "")</f>
        <v/>
      </c>
      <c r="C848" s="2" t="str">
        <f>IF(A848&lt;&gt;"",VLOOKUP(Alunos!A848,Agrupamentos!A3:C1000,2, FALSE),"")</f>
        <v/>
      </c>
      <c r="D848" s="2" t="str">
        <f>IFERROR(IF(A848&lt;&gt;"",VLOOKUP(Alunos!C848,'TP1'!A3:E1000,5, FALSE),""),"")</f>
        <v/>
      </c>
      <c r="E848" s="2" t="str">
        <f>IF(A848&lt;&gt;"",VLOOKUP(Alunos!A848,Agrupamentos!A3:C1000,3, FALSE),"")</f>
        <v/>
      </c>
      <c r="F848" s="2" t="str">
        <f>IFERROR(IF(A848&lt;&gt;"",VLOOKUP(Alunos!E848,'TP2'!A3:D1000,4, FALSE),""),"")</f>
        <v/>
      </c>
      <c r="G848" s="2" t="str">
        <f>IF(A848&lt;&gt;"", SUMIF(B1:F1,"&lt;&gt;",B848:F848),"")</f>
        <v/>
      </c>
      <c r="H848" s="2" t="str">
        <f>IF(AND(A848&lt;&gt;"",G848&lt;&gt;""),ROUND(G848,0),"")</f>
        <v/>
      </c>
      <c r="I848" s="2" t="str">
        <f>IFERROR(IF(A848&lt;&gt;"",VLOOKUP(Alunos!A848,Recurso!A3:D1000,4, FALSE),""), "")</f>
        <v/>
      </c>
      <c r="J848" s="2" t="str">
        <f>IF(AND(A848&lt;&gt;"",I848&lt;&gt;""), SUMIFS(B848:I848,B1:I1,"&lt;&gt;",B2:I2,"&lt;&gt;Exame",B2:I2,"&lt;&gt;exame",B2:I2,"&lt;&gt;Nota",B2:I2,"&lt;&gt;Total"),"")</f>
        <v/>
      </c>
      <c r="K848" s="2" t="str">
        <f>IF(AND(A848&lt;&gt;"",J848&lt;&gt;""),ROUND(J848,0),"")</f>
        <v/>
      </c>
    </row>
    <row r="849" spans="2:11" x14ac:dyDescent="0.3">
      <c r="B849" s="2" t="str">
        <f>IFERROR(IF(A849&lt;&gt;"",VLOOKUP(Alunos!A849,Exame!A3:D1000,4, FALSE),""), "")</f>
        <v/>
      </c>
      <c r="C849" s="2" t="str">
        <f>IF(A849&lt;&gt;"",VLOOKUP(Alunos!A849,Agrupamentos!A3:C1000,2, FALSE),"")</f>
        <v/>
      </c>
      <c r="D849" s="2" t="str">
        <f>IFERROR(IF(A849&lt;&gt;"",VLOOKUP(Alunos!C849,'TP1'!A3:E1000,5, FALSE),""),"")</f>
        <v/>
      </c>
      <c r="E849" s="2" t="str">
        <f>IF(A849&lt;&gt;"",VLOOKUP(Alunos!A849,Agrupamentos!A3:C1000,3, FALSE),"")</f>
        <v/>
      </c>
      <c r="F849" s="2" t="str">
        <f>IFERROR(IF(A849&lt;&gt;"",VLOOKUP(Alunos!E849,'TP2'!A3:D1000,4, FALSE),""),"")</f>
        <v/>
      </c>
      <c r="G849" s="2" t="str">
        <f>IF(A849&lt;&gt;"", SUMIF(B1:F1,"&lt;&gt;",B849:F849),"")</f>
        <v/>
      </c>
      <c r="H849" s="2" t="str">
        <f>IF(AND(A849&lt;&gt;"",G849&lt;&gt;""),ROUND(G849,0),"")</f>
        <v/>
      </c>
      <c r="I849" s="2" t="str">
        <f>IFERROR(IF(A849&lt;&gt;"",VLOOKUP(Alunos!A849,Recurso!A3:D1000,4, FALSE),""), "")</f>
        <v/>
      </c>
      <c r="J849" s="2" t="str">
        <f>IF(AND(A849&lt;&gt;"",I849&lt;&gt;""), SUMIFS(B849:I849,B1:I1,"&lt;&gt;",B2:I2,"&lt;&gt;Exame",B2:I2,"&lt;&gt;exame",B2:I2,"&lt;&gt;Nota",B2:I2,"&lt;&gt;Total"),"")</f>
        <v/>
      </c>
      <c r="K849" s="2" t="str">
        <f>IF(AND(A849&lt;&gt;"",J849&lt;&gt;""),ROUND(J849,0),"")</f>
        <v/>
      </c>
    </row>
    <row r="850" spans="2:11" x14ac:dyDescent="0.3">
      <c r="B850" s="2" t="str">
        <f>IFERROR(IF(A850&lt;&gt;"",VLOOKUP(Alunos!A850,Exame!A3:D1000,4, FALSE),""), "")</f>
        <v/>
      </c>
      <c r="C850" s="2" t="str">
        <f>IF(A850&lt;&gt;"",VLOOKUP(Alunos!A850,Agrupamentos!A3:C1000,2, FALSE),"")</f>
        <v/>
      </c>
      <c r="D850" s="2" t="str">
        <f>IFERROR(IF(A850&lt;&gt;"",VLOOKUP(Alunos!C850,'TP1'!A3:E1000,5, FALSE),""),"")</f>
        <v/>
      </c>
      <c r="E850" s="2" t="str">
        <f>IF(A850&lt;&gt;"",VLOOKUP(Alunos!A850,Agrupamentos!A3:C1000,3, FALSE),"")</f>
        <v/>
      </c>
      <c r="F850" s="2" t="str">
        <f>IFERROR(IF(A850&lt;&gt;"",VLOOKUP(Alunos!E850,'TP2'!A3:D1000,4, FALSE),""),"")</f>
        <v/>
      </c>
      <c r="G850" s="2" t="str">
        <f>IF(A850&lt;&gt;"", SUMIF(B1:F1,"&lt;&gt;",B850:F850),"")</f>
        <v/>
      </c>
      <c r="H850" s="2" t="str">
        <f>IF(AND(A850&lt;&gt;"",G850&lt;&gt;""),ROUND(G850,0),"")</f>
        <v/>
      </c>
      <c r="I850" s="2" t="str">
        <f>IFERROR(IF(A850&lt;&gt;"",VLOOKUP(Alunos!A850,Recurso!A3:D1000,4, FALSE),""), "")</f>
        <v/>
      </c>
      <c r="J850" s="2" t="str">
        <f>IF(AND(A850&lt;&gt;"",I850&lt;&gt;""), SUMIFS(B850:I850,B1:I1,"&lt;&gt;",B2:I2,"&lt;&gt;Exame",B2:I2,"&lt;&gt;exame",B2:I2,"&lt;&gt;Nota",B2:I2,"&lt;&gt;Total"),"")</f>
        <v/>
      </c>
      <c r="K850" s="2" t="str">
        <f>IF(AND(A850&lt;&gt;"",J850&lt;&gt;""),ROUND(J850,0),"")</f>
        <v/>
      </c>
    </row>
    <row r="851" spans="2:11" x14ac:dyDescent="0.3">
      <c r="B851" s="2" t="str">
        <f>IFERROR(IF(A851&lt;&gt;"",VLOOKUP(Alunos!A851,Exame!A3:D1000,4, FALSE),""), "")</f>
        <v/>
      </c>
      <c r="C851" s="2" t="str">
        <f>IF(A851&lt;&gt;"",VLOOKUP(Alunos!A851,Agrupamentos!A3:C1000,2, FALSE),"")</f>
        <v/>
      </c>
      <c r="D851" s="2" t="str">
        <f>IFERROR(IF(A851&lt;&gt;"",VLOOKUP(Alunos!C851,'TP1'!A3:E1000,5, FALSE),""),"")</f>
        <v/>
      </c>
      <c r="E851" s="2" t="str">
        <f>IF(A851&lt;&gt;"",VLOOKUP(Alunos!A851,Agrupamentos!A3:C1000,3, FALSE),"")</f>
        <v/>
      </c>
      <c r="F851" s="2" t="str">
        <f>IFERROR(IF(A851&lt;&gt;"",VLOOKUP(Alunos!E851,'TP2'!A3:D1000,4, FALSE),""),"")</f>
        <v/>
      </c>
      <c r="G851" s="2" t="str">
        <f>IF(A851&lt;&gt;"", SUMIF(B1:F1,"&lt;&gt;",B851:F851),"")</f>
        <v/>
      </c>
      <c r="H851" s="2" t="str">
        <f>IF(AND(A851&lt;&gt;"",G851&lt;&gt;""),ROUND(G851,0),"")</f>
        <v/>
      </c>
      <c r="I851" s="2" t="str">
        <f>IFERROR(IF(A851&lt;&gt;"",VLOOKUP(Alunos!A851,Recurso!A3:D1000,4, FALSE),""), "")</f>
        <v/>
      </c>
      <c r="J851" s="2" t="str">
        <f>IF(AND(A851&lt;&gt;"",I851&lt;&gt;""), SUMIFS(B851:I851,B1:I1,"&lt;&gt;",B2:I2,"&lt;&gt;Exame",B2:I2,"&lt;&gt;exame",B2:I2,"&lt;&gt;Nota",B2:I2,"&lt;&gt;Total"),"")</f>
        <v/>
      </c>
      <c r="K851" s="2" t="str">
        <f>IF(AND(A851&lt;&gt;"",J851&lt;&gt;""),ROUND(J851,0),"")</f>
        <v/>
      </c>
    </row>
    <row r="852" spans="2:11" x14ac:dyDescent="0.3">
      <c r="B852" s="2" t="str">
        <f>IFERROR(IF(A852&lt;&gt;"",VLOOKUP(Alunos!A852,Exame!A3:D1000,4, FALSE),""), "")</f>
        <v/>
      </c>
      <c r="C852" s="2" t="str">
        <f>IF(A852&lt;&gt;"",VLOOKUP(Alunos!A852,Agrupamentos!A3:C1000,2, FALSE),"")</f>
        <v/>
      </c>
      <c r="D852" s="2" t="str">
        <f>IFERROR(IF(A852&lt;&gt;"",VLOOKUP(Alunos!C852,'TP1'!A3:E1000,5, FALSE),""),"")</f>
        <v/>
      </c>
      <c r="E852" s="2" t="str">
        <f>IF(A852&lt;&gt;"",VLOOKUP(Alunos!A852,Agrupamentos!A3:C1000,3, FALSE),"")</f>
        <v/>
      </c>
      <c r="F852" s="2" t="str">
        <f>IFERROR(IF(A852&lt;&gt;"",VLOOKUP(Alunos!E852,'TP2'!A3:D1000,4, FALSE),""),"")</f>
        <v/>
      </c>
      <c r="G852" s="2" t="str">
        <f>IF(A852&lt;&gt;"", SUMIF(B1:F1,"&lt;&gt;",B852:F852),"")</f>
        <v/>
      </c>
      <c r="H852" s="2" t="str">
        <f>IF(AND(A852&lt;&gt;"",G852&lt;&gt;""),ROUND(G852,0),"")</f>
        <v/>
      </c>
      <c r="I852" s="2" t="str">
        <f>IFERROR(IF(A852&lt;&gt;"",VLOOKUP(Alunos!A852,Recurso!A3:D1000,4, FALSE),""), "")</f>
        <v/>
      </c>
      <c r="J852" s="2" t="str">
        <f>IF(AND(A852&lt;&gt;"",I852&lt;&gt;""), SUMIFS(B852:I852,B1:I1,"&lt;&gt;",B2:I2,"&lt;&gt;Exame",B2:I2,"&lt;&gt;exame",B2:I2,"&lt;&gt;Nota",B2:I2,"&lt;&gt;Total"),"")</f>
        <v/>
      </c>
      <c r="K852" s="2" t="str">
        <f>IF(AND(A852&lt;&gt;"",J852&lt;&gt;""),ROUND(J852,0),"")</f>
        <v/>
      </c>
    </row>
    <row r="853" spans="2:11" x14ac:dyDescent="0.3">
      <c r="B853" s="2" t="str">
        <f>IFERROR(IF(A853&lt;&gt;"",VLOOKUP(Alunos!A853,Exame!A3:D1000,4, FALSE),""), "")</f>
        <v/>
      </c>
      <c r="C853" s="2" t="str">
        <f>IF(A853&lt;&gt;"",VLOOKUP(Alunos!A853,Agrupamentos!A3:C1000,2, FALSE),"")</f>
        <v/>
      </c>
      <c r="D853" s="2" t="str">
        <f>IFERROR(IF(A853&lt;&gt;"",VLOOKUP(Alunos!C853,'TP1'!A3:E1000,5, FALSE),""),"")</f>
        <v/>
      </c>
      <c r="E853" s="2" t="str">
        <f>IF(A853&lt;&gt;"",VLOOKUP(Alunos!A853,Agrupamentos!A3:C1000,3, FALSE),"")</f>
        <v/>
      </c>
      <c r="F853" s="2" t="str">
        <f>IFERROR(IF(A853&lt;&gt;"",VLOOKUP(Alunos!E853,'TP2'!A3:D1000,4, FALSE),""),"")</f>
        <v/>
      </c>
      <c r="G853" s="2" t="str">
        <f>IF(A853&lt;&gt;"", SUMIF(B1:F1,"&lt;&gt;",B853:F853),"")</f>
        <v/>
      </c>
      <c r="H853" s="2" t="str">
        <f>IF(AND(A853&lt;&gt;"",G853&lt;&gt;""),ROUND(G853,0),"")</f>
        <v/>
      </c>
      <c r="I853" s="2" t="str">
        <f>IFERROR(IF(A853&lt;&gt;"",VLOOKUP(Alunos!A853,Recurso!A3:D1000,4, FALSE),""), "")</f>
        <v/>
      </c>
      <c r="J853" s="2" t="str">
        <f>IF(AND(A853&lt;&gt;"",I853&lt;&gt;""), SUMIFS(B853:I853,B1:I1,"&lt;&gt;",B2:I2,"&lt;&gt;Exame",B2:I2,"&lt;&gt;exame",B2:I2,"&lt;&gt;Nota",B2:I2,"&lt;&gt;Total"),"")</f>
        <v/>
      </c>
      <c r="K853" s="2" t="str">
        <f>IF(AND(A853&lt;&gt;"",J853&lt;&gt;""),ROUND(J853,0),"")</f>
        <v/>
      </c>
    </row>
    <row r="854" spans="2:11" x14ac:dyDescent="0.3">
      <c r="B854" s="2" t="str">
        <f>IFERROR(IF(A854&lt;&gt;"",VLOOKUP(Alunos!A854,Exame!A3:D1000,4, FALSE),""), "")</f>
        <v/>
      </c>
      <c r="C854" s="2" t="str">
        <f>IF(A854&lt;&gt;"",VLOOKUP(Alunos!A854,Agrupamentos!A3:C1000,2, FALSE),"")</f>
        <v/>
      </c>
      <c r="D854" s="2" t="str">
        <f>IFERROR(IF(A854&lt;&gt;"",VLOOKUP(Alunos!C854,'TP1'!A3:E1000,5, FALSE),""),"")</f>
        <v/>
      </c>
      <c r="E854" s="2" t="str">
        <f>IF(A854&lt;&gt;"",VLOOKUP(Alunos!A854,Agrupamentos!A3:C1000,3, FALSE),"")</f>
        <v/>
      </c>
      <c r="F854" s="2" t="str">
        <f>IFERROR(IF(A854&lt;&gt;"",VLOOKUP(Alunos!E854,'TP2'!A3:D1000,4, FALSE),""),"")</f>
        <v/>
      </c>
      <c r="G854" s="2" t="str">
        <f>IF(A854&lt;&gt;"", SUMIF(B1:F1,"&lt;&gt;",B854:F854),"")</f>
        <v/>
      </c>
      <c r="H854" s="2" t="str">
        <f>IF(AND(A854&lt;&gt;"",G854&lt;&gt;""),ROUND(G854,0),"")</f>
        <v/>
      </c>
      <c r="I854" s="2" t="str">
        <f>IFERROR(IF(A854&lt;&gt;"",VLOOKUP(Alunos!A854,Recurso!A3:D1000,4, FALSE),""), "")</f>
        <v/>
      </c>
      <c r="J854" s="2" t="str">
        <f>IF(AND(A854&lt;&gt;"",I854&lt;&gt;""), SUMIFS(B854:I854,B1:I1,"&lt;&gt;",B2:I2,"&lt;&gt;Exame",B2:I2,"&lt;&gt;exame",B2:I2,"&lt;&gt;Nota",B2:I2,"&lt;&gt;Total"),"")</f>
        <v/>
      </c>
      <c r="K854" s="2" t="str">
        <f>IF(AND(A854&lt;&gt;"",J854&lt;&gt;""),ROUND(J854,0),"")</f>
        <v/>
      </c>
    </row>
    <row r="855" spans="2:11" x14ac:dyDescent="0.3">
      <c r="B855" s="2" t="str">
        <f>IFERROR(IF(A855&lt;&gt;"",VLOOKUP(Alunos!A855,Exame!A3:D1000,4, FALSE),""), "")</f>
        <v/>
      </c>
      <c r="C855" s="2" t="str">
        <f>IF(A855&lt;&gt;"",VLOOKUP(Alunos!A855,Agrupamentos!A3:C1000,2, FALSE),"")</f>
        <v/>
      </c>
      <c r="D855" s="2" t="str">
        <f>IFERROR(IF(A855&lt;&gt;"",VLOOKUP(Alunos!C855,'TP1'!A3:E1000,5, FALSE),""),"")</f>
        <v/>
      </c>
      <c r="E855" s="2" t="str">
        <f>IF(A855&lt;&gt;"",VLOOKUP(Alunos!A855,Agrupamentos!A3:C1000,3, FALSE),"")</f>
        <v/>
      </c>
      <c r="F855" s="2" t="str">
        <f>IFERROR(IF(A855&lt;&gt;"",VLOOKUP(Alunos!E855,'TP2'!A3:D1000,4, FALSE),""),"")</f>
        <v/>
      </c>
      <c r="G855" s="2" t="str">
        <f>IF(A855&lt;&gt;"", SUMIF(B1:F1,"&lt;&gt;",B855:F855),"")</f>
        <v/>
      </c>
      <c r="H855" s="2" t="str">
        <f>IF(AND(A855&lt;&gt;"",G855&lt;&gt;""),ROUND(G855,0),"")</f>
        <v/>
      </c>
      <c r="I855" s="2" t="str">
        <f>IFERROR(IF(A855&lt;&gt;"",VLOOKUP(Alunos!A855,Recurso!A3:D1000,4, FALSE),""), "")</f>
        <v/>
      </c>
      <c r="J855" s="2" t="str">
        <f>IF(AND(A855&lt;&gt;"",I855&lt;&gt;""), SUMIFS(B855:I855,B1:I1,"&lt;&gt;",B2:I2,"&lt;&gt;Exame",B2:I2,"&lt;&gt;exame",B2:I2,"&lt;&gt;Nota",B2:I2,"&lt;&gt;Total"),"")</f>
        <v/>
      </c>
      <c r="K855" s="2" t="str">
        <f>IF(AND(A855&lt;&gt;"",J855&lt;&gt;""),ROUND(J855,0),"")</f>
        <v/>
      </c>
    </row>
    <row r="856" spans="2:11" x14ac:dyDescent="0.3">
      <c r="B856" s="2" t="str">
        <f>IFERROR(IF(A856&lt;&gt;"",VLOOKUP(Alunos!A856,Exame!A3:D1000,4, FALSE),""), "")</f>
        <v/>
      </c>
      <c r="C856" s="2" t="str">
        <f>IF(A856&lt;&gt;"",VLOOKUP(Alunos!A856,Agrupamentos!A3:C1000,2, FALSE),"")</f>
        <v/>
      </c>
      <c r="D856" s="2" t="str">
        <f>IFERROR(IF(A856&lt;&gt;"",VLOOKUP(Alunos!C856,'TP1'!A3:E1000,5, FALSE),""),"")</f>
        <v/>
      </c>
      <c r="E856" s="2" t="str">
        <f>IF(A856&lt;&gt;"",VLOOKUP(Alunos!A856,Agrupamentos!A3:C1000,3, FALSE),"")</f>
        <v/>
      </c>
      <c r="F856" s="2" t="str">
        <f>IFERROR(IF(A856&lt;&gt;"",VLOOKUP(Alunos!E856,'TP2'!A3:D1000,4, FALSE),""),"")</f>
        <v/>
      </c>
      <c r="G856" s="2" t="str">
        <f>IF(A856&lt;&gt;"", SUMIF(B1:F1,"&lt;&gt;",B856:F856),"")</f>
        <v/>
      </c>
      <c r="H856" s="2" t="str">
        <f>IF(AND(A856&lt;&gt;"",G856&lt;&gt;""),ROUND(G856,0),"")</f>
        <v/>
      </c>
      <c r="I856" s="2" t="str">
        <f>IFERROR(IF(A856&lt;&gt;"",VLOOKUP(Alunos!A856,Recurso!A3:D1000,4, FALSE),""), "")</f>
        <v/>
      </c>
      <c r="J856" s="2" t="str">
        <f>IF(AND(A856&lt;&gt;"",I856&lt;&gt;""), SUMIFS(B856:I856,B1:I1,"&lt;&gt;",B2:I2,"&lt;&gt;Exame",B2:I2,"&lt;&gt;exame",B2:I2,"&lt;&gt;Nota",B2:I2,"&lt;&gt;Total"),"")</f>
        <v/>
      </c>
      <c r="K856" s="2" t="str">
        <f>IF(AND(A856&lt;&gt;"",J856&lt;&gt;""),ROUND(J856,0),"")</f>
        <v/>
      </c>
    </row>
    <row r="857" spans="2:11" x14ac:dyDescent="0.3">
      <c r="B857" s="2" t="str">
        <f>IFERROR(IF(A857&lt;&gt;"",VLOOKUP(Alunos!A857,Exame!A3:D1000,4, FALSE),""), "")</f>
        <v/>
      </c>
      <c r="C857" s="2" t="str">
        <f>IF(A857&lt;&gt;"",VLOOKUP(Alunos!A857,Agrupamentos!A3:C1000,2, FALSE),"")</f>
        <v/>
      </c>
      <c r="D857" s="2" t="str">
        <f>IFERROR(IF(A857&lt;&gt;"",VLOOKUP(Alunos!C857,'TP1'!A3:E1000,5, FALSE),""),"")</f>
        <v/>
      </c>
      <c r="E857" s="2" t="str">
        <f>IF(A857&lt;&gt;"",VLOOKUP(Alunos!A857,Agrupamentos!A3:C1000,3, FALSE),"")</f>
        <v/>
      </c>
      <c r="F857" s="2" t="str">
        <f>IFERROR(IF(A857&lt;&gt;"",VLOOKUP(Alunos!E857,'TP2'!A3:D1000,4, FALSE),""),"")</f>
        <v/>
      </c>
      <c r="G857" s="2" t="str">
        <f>IF(A857&lt;&gt;"", SUMIF(B1:F1,"&lt;&gt;",B857:F857),"")</f>
        <v/>
      </c>
      <c r="H857" s="2" t="str">
        <f>IF(AND(A857&lt;&gt;"",G857&lt;&gt;""),ROUND(G857,0),"")</f>
        <v/>
      </c>
      <c r="I857" s="2" t="str">
        <f>IFERROR(IF(A857&lt;&gt;"",VLOOKUP(Alunos!A857,Recurso!A3:D1000,4, FALSE),""), "")</f>
        <v/>
      </c>
      <c r="J857" s="2" t="str">
        <f>IF(AND(A857&lt;&gt;"",I857&lt;&gt;""), SUMIFS(B857:I857,B1:I1,"&lt;&gt;",B2:I2,"&lt;&gt;Exame",B2:I2,"&lt;&gt;exame",B2:I2,"&lt;&gt;Nota",B2:I2,"&lt;&gt;Total"),"")</f>
        <v/>
      </c>
      <c r="K857" s="2" t="str">
        <f>IF(AND(A857&lt;&gt;"",J857&lt;&gt;""),ROUND(J857,0),"")</f>
        <v/>
      </c>
    </row>
    <row r="858" spans="2:11" x14ac:dyDescent="0.3">
      <c r="B858" s="2" t="str">
        <f>IFERROR(IF(A858&lt;&gt;"",VLOOKUP(Alunos!A858,Exame!A3:D1000,4, FALSE),""), "")</f>
        <v/>
      </c>
      <c r="C858" s="2" t="str">
        <f>IF(A858&lt;&gt;"",VLOOKUP(Alunos!A858,Agrupamentos!A3:C1000,2, FALSE),"")</f>
        <v/>
      </c>
      <c r="D858" s="2" t="str">
        <f>IFERROR(IF(A858&lt;&gt;"",VLOOKUP(Alunos!C858,'TP1'!A3:E1000,5, FALSE),""),"")</f>
        <v/>
      </c>
      <c r="E858" s="2" t="str">
        <f>IF(A858&lt;&gt;"",VLOOKUP(Alunos!A858,Agrupamentos!A3:C1000,3, FALSE),"")</f>
        <v/>
      </c>
      <c r="F858" s="2" t="str">
        <f>IFERROR(IF(A858&lt;&gt;"",VLOOKUP(Alunos!E858,'TP2'!A3:D1000,4, FALSE),""),"")</f>
        <v/>
      </c>
      <c r="G858" s="2" t="str">
        <f>IF(A858&lt;&gt;"", SUMIF(B1:F1,"&lt;&gt;",B858:F858),"")</f>
        <v/>
      </c>
      <c r="H858" s="2" t="str">
        <f>IF(AND(A858&lt;&gt;"",G858&lt;&gt;""),ROUND(G858,0),"")</f>
        <v/>
      </c>
      <c r="I858" s="2" t="str">
        <f>IFERROR(IF(A858&lt;&gt;"",VLOOKUP(Alunos!A858,Recurso!A3:D1000,4, FALSE),""), "")</f>
        <v/>
      </c>
      <c r="J858" s="2" t="str">
        <f>IF(AND(A858&lt;&gt;"",I858&lt;&gt;""), SUMIFS(B858:I858,B1:I1,"&lt;&gt;",B2:I2,"&lt;&gt;Exame",B2:I2,"&lt;&gt;exame",B2:I2,"&lt;&gt;Nota",B2:I2,"&lt;&gt;Total"),"")</f>
        <v/>
      </c>
      <c r="K858" s="2" t="str">
        <f>IF(AND(A858&lt;&gt;"",J858&lt;&gt;""),ROUND(J858,0),"")</f>
        <v/>
      </c>
    </row>
    <row r="859" spans="2:11" x14ac:dyDescent="0.3">
      <c r="B859" s="2" t="str">
        <f>IFERROR(IF(A859&lt;&gt;"",VLOOKUP(Alunos!A859,Exame!A3:D1000,4, FALSE),""), "")</f>
        <v/>
      </c>
      <c r="C859" s="2" t="str">
        <f>IF(A859&lt;&gt;"",VLOOKUP(Alunos!A859,Agrupamentos!A3:C1000,2, FALSE),"")</f>
        <v/>
      </c>
      <c r="D859" s="2" t="str">
        <f>IFERROR(IF(A859&lt;&gt;"",VLOOKUP(Alunos!C859,'TP1'!A3:E1000,5, FALSE),""),"")</f>
        <v/>
      </c>
      <c r="E859" s="2" t="str">
        <f>IF(A859&lt;&gt;"",VLOOKUP(Alunos!A859,Agrupamentos!A3:C1000,3, FALSE),"")</f>
        <v/>
      </c>
      <c r="F859" s="2" t="str">
        <f>IFERROR(IF(A859&lt;&gt;"",VLOOKUP(Alunos!E859,'TP2'!A3:D1000,4, FALSE),""),"")</f>
        <v/>
      </c>
      <c r="G859" s="2" t="str">
        <f>IF(A859&lt;&gt;"", SUMIF(B1:F1,"&lt;&gt;",B859:F859),"")</f>
        <v/>
      </c>
      <c r="H859" s="2" t="str">
        <f>IF(AND(A859&lt;&gt;"",G859&lt;&gt;""),ROUND(G859,0),"")</f>
        <v/>
      </c>
      <c r="I859" s="2" t="str">
        <f>IFERROR(IF(A859&lt;&gt;"",VLOOKUP(Alunos!A859,Recurso!A3:D1000,4, FALSE),""), "")</f>
        <v/>
      </c>
      <c r="J859" s="2" t="str">
        <f>IF(AND(A859&lt;&gt;"",I859&lt;&gt;""), SUMIFS(B859:I859,B1:I1,"&lt;&gt;",B2:I2,"&lt;&gt;Exame",B2:I2,"&lt;&gt;exame",B2:I2,"&lt;&gt;Nota",B2:I2,"&lt;&gt;Total"),"")</f>
        <v/>
      </c>
      <c r="K859" s="2" t="str">
        <f>IF(AND(A859&lt;&gt;"",J859&lt;&gt;""),ROUND(J859,0),"")</f>
        <v/>
      </c>
    </row>
    <row r="860" spans="2:11" x14ac:dyDescent="0.3">
      <c r="B860" s="2" t="str">
        <f>IFERROR(IF(A860&lt;&gt;"",VLOOKUP(Alunos!A860,Exame!A3:D1000,4, FALSE),""), "")</f>
        <v/>
      </c>
      <c r="C860" s="2" t="str">
        <f>IF(A860&lt;&gt;"",VLOOKUP(Alunos!A860,Agrupamentos!A3:C1000,2, FALSE),"")</f>
        <v/>
      </c>
      <c r="D860" s="2" t="str">
        <f>IFERROR(IF(A860&lt;&gt;"",VLOOKUP(Alunos!C860,'TP1'!A3:E1000,5, FALSE),""),"")</f>
        <v/>
      </c>
      <c r="E860" s="2" t="str">
        <f>IF(A860&lt;&gt;"",VLOOKUP(Alunos!A860,Agrupamentos!A3:C1000,3, FALSE),"")</f>
        <v/>
      </c>
      <c r="F860" s="2" t="str">
        <f>IFERROR(IF(A860&lt;&gt;"",VLOOKUP(Alunos!E860,'TP2'!A3:D1000,4, FALSE),""),"")</f>
        <v/>
      </c>
      <c r="G860" s="2" t="str">
        <f>IF(A860&lt;&gt;"", SUMIF(B1:F1,"&lt;&gt;",B860:F860),"")</f>
        <v/>
      </c>
      <c r="H860" s="2" t="str">
        <f>IF(AND(A860&lt;&gt;"",G860&lt;&gt;""),ROUND(G860,0),"")</f>
        <v/>
      </c>
      <c r="I860" s="2" t="str">
        <f>IFERROR(IF(A860&lt;&gt;"",VLOOKUP(Alunos!A860,Recurso!A3:D1000,4, FALSE),""), "")</f>
        <v/>
      </c>
      <c r="J860" s="2" t="str">
        <f>IF(AND(A860&lt;&gt;"",I860&lt;&gt;""), SUMIFS(B860:I860,B1:I1,"&lt;&gt;",B2:I2,"&lt;&gt;Exame",B2:I2,"&lt;&gt;exame",B2:I2,"&lt;&gt;Nota",B2:I2,"&lt;&gt;Total"),"")</f>
        <v/>
      </c>
      <c r="K860" s="2" t="str">
        <f>IF(AND(A860&lt;&gt;"",J860&lt;&gt;""),ROUND(J860,0),"")</f>
        <v/>
      </c>
    </row>
    <row r="861" spans="2:11" x14ac:dyDescent="0.3">
      <c r="B861" s="2" t="str">
        <f>IFERROR(IF(A861&lt;&gt;"",VLOOKUP(Alunos!A861,Exame!A3:D1000,4, FALSE),""), "")</f>
        <v/>
      </c>
      <c r="C861" s="2" t="str">
        <f>IF(A861&lt;&gt;"",VLOOKUP(Alunos!A861,Agrupamentos!A3:C1000,2, FALSE),"")</f>
        <v/>
      </c>
      <c r="D861" s="2" t="str">
        <f>IFERROR(IF(A861&lt;&gt;"",VLOOKUP(Alunos!C861,'TP1'!A3:E1000,5, FALSE),""),"")</f>
        <v/>
      </c>
      <c r="E861" s="2" t="str">
        <f>IF(A861&lt;&gt;"",VLOOKUP(Alunos!A861,Agrupamentos!A3:C1000,3, FALSE),"")</f>
        <v/>
      </c>
      <c r="F861" s="2" t="str">
        <f>IFERROR(IF(A861&lt;&gt;"",VLOOKUP(Alunos!E861,'TP2'!A3:D1000,4, FALSE),""),"")</f>
        <v/>
      </c>
      <c r="G861" s="2" t="str">
        <f>IF(A861&lt;&gt;"", SUMIF(B1:F1,"&lt;&gt;",B861:F861),"")</f>
        <v/>
      </c>
      <c r="H861" s="2" t="str">
        <f>IF(AND(A861&lt;&gt;"",G861&lt;&gt;""),ROUND(G861,0),"")</f>
        <v/>
      </c>
      <c r="I861" s="2" t="str">
        <f>IFERROR(IF(A861&lt;&gt;"",VLOOKUP(Alunos!A861,Recurso!A3:D1000,4, FALSE),""), "")</f>
        <v/>
      </c>
      <c r="J861" s="2" t="str">
        <f>IF(AND(A861&lt;&gt;"",I861&lt;&gt;""), SUMIFS(B861:I861,B1:I1,"&lt;&gt;",B2:I2,"&lt;&gt;Exame",B2:I2,"&lt;&gt;exame",B2:I2,"&lt;&gt;Nota",B2:I2,"&lt;&gt;Total"),"")</f>
        <v/>
      </c>
      <c r="K861" s="2" t="str">
        <f>IF(AND(A861&lt;&gt;"",J861&lt;&gt;""),ROUND(J861,0),"")</f>
        <v/>
      </c>
    </row>
    <row r="862" spans="2:11" x14ac:dyDescent="0.3">
      <c r="B862" s="2" t="str">
        <f>IFERROR(IF(A862&lt;&gt;"",VLOOKUP(Alunos!A862,Exame!A3:D1000,4, FALSE),""), "")</f>
        <v/>
      </c>
      <c r="C862" s="2" t="str">
        <f>IF(A862&lt;&gt;"",VLOOKUP(Alunos!A862,Agrupamentos!A3:C1000,2, FALSE),"")</f>
        <v/>
      </c>
      <c r="D862" s="2" t="str">
        <f>IFERROR(IF(A862&lt;&gt;"",VLOOKUP(Alunos!C862,'TP1'!A3:E1000,5, FALSE),""),"")</f>
        <v/>
      </c>
      <c r="E862" s="2" t="str">
        <f>IF(A862&lt;&gt;"",VLOOKUP(Alunos!A862,Agrupamentos!A3:C1000,3, FALSE),"")</f>
        <v/>
      </c>
      <c r="F862" s="2" t="str">
        <f>IFERROR(IF(A862&lt;&gt;"",VLOOKUP(Alunos!E862,'TP2'!A3:D1000,4, FALSE),""),"")</f>
        <v/>
      </c>
      <c r="G862" s="2" t="str">
        <f>IF(A862&lt;&gt;"", SUMIF(B1:F1,"&lt;&gt;",B862:F862),"")</f>
        <v/>
      </c>
      <c r="H862" s="2" t="str">
        <f>IF(AND(A862&lt;&gt;"",G862&lt;&gt;""),ROUND(G862,0),"")</f>
        <v/>
      </c>
      <c r="I862" s="2" t="str">
        <f>IFERROR(IF(A862&lt;&gt;"",VLOOKUP(Alunos!A862,Recurso!A3:D1000,4, FALSE),""), "")</f>
        <v/>
      </c>
      <c r="J862" s="2" t="str">
        <f>IF(AND(A862&lt;&gt;"",I862&lt;&gt;""), SUMIFS(B862:I862,B1:I1,"&lt;&gt;",B2:I2,"&lt;&gt;Exame",B2:I2,"&lt;&gt;exame",B2:I2,"&lt;&gt;Nota",B2:I2,"&lt;&gt;Total"),"")</f>
        <v/>
      </c>
      <c r="K862" s="2" t="str">
        <f>IF(AND(A862&lt;&gt;"",J862&lt;&gt;""),ROUND(J862,0),"")</f>
        <v/>
      </c>
    </row>
    <row r="863" spans="2:11" x14ac:dyDescent="0.3">
      <c r="B863" s="2" t="str">
        <f>IFERROR(IF(A863&lt;&gt;"",VLOOKUP(Alunos!A863,Exame!A3:D1000,4, FALSE),""), "")</f>
        <v/>
      </c>
      <c r="C863" s="2" t="str">
        <f>IF(A863&lt;&gt;"",VLOOKUP(Alunos!A863,Agrupamentos!A3:C1000,2, FALSE),"")</f>
        <v/>
      </c>
      <c r="D863" s="2" t="str">
        <f>IFERROR(IF(A863&lt;&gt;"",VLOOKUP(Alunos!C863,'TP1'!A3:E1000,5, FALSE),""),"")</f>
        <v/>
      </c>
      <c r="E863" s="2" t="str">
        <f>IF(A863&lt;&gt;"",VLOOKUP(Alunos!A863,Agrupamentos!A3:C1000,3, FALSE),"")</f>
        <v/>
      </c>
      <c r="F863" s="2" t="str">
        <f>IFERROR(IF(A863&lt;&gt;"",VLOOKUP(Alunos!E863,'TP2'!A3:D1000,4, FALSE),""),"")</f>
        <v/>
      </c>
      <c r="G863" s="2" t="str">
        <f>IF(A863&lt;&gt;"", SUMIF(B1:F1,"&lt;&gt;",B863:F863),"")</f>
        <v/>
      </c>
      <c r="H863" s="2" t="str">
        <f>IF(AND(A863&lt;&gt;"",G863&lt;&gt;""),ROUND(G863,0),"")</f>
        <v/>
      </c>
      <c r="I863" s="2" t="str">
        <f>IFERROR(IF(A863&lt;&gt;"",VLOOKUP(Alunos!A863,Recurso!A3:D1000,4, FALSE),""), "")</f>
        <v/>
      </c>
      <c r="J863" s="2" t="str">
        <f>IF(AND(A863&lt;&gt;"",I863&lt;&gt;""), SUMIFS(B863:I863,B1:I1,"&lt;&gt;",B2:I2,"&lt;&gt;Exame",B2:I2,"&lt;&gt;exame",B2:I2,"&lt;&gt;Nota",B2:I2,"&lt;&gt;Total"),"")</f>
        <v/>
      </c>
      <c r="K863" s="2" t="str">
        <f>IF(AND(A863&lt;&gt;"",J863&lt;&gt;""),ROUND(J863,0),"")</f>
        <v/>
      </c>
    </row>
    <row r="864" spans="2:11" x14ac:dyDescent="0.3">
      <c r="B864" s="2" t="str">
        <f>IFERROR(IF(A864&lt;&gt;"",VLOOKUP(Alunos!A864,Exame!A3:D1000,4, FALSE),""), "")</f>
        <v/>
      </c>
      <c r="C864" s="2" t="str">
        <f>IF(A864&lt;&gt;"",VLOOKUP(Alunos!A864,Agrupamentos!A3:C1000,2, FALSE),"")</f>
        <v/>
      </c>
      <c r="D864" s="2" t="str">
        <f>IFERROR(IF(A864&lt;&gt;"",VLOOKUP(Alunos!C864,'TP1'!A3:E1000,5, FALSE),""),"")</f>
        <v/>
      </c>
      <c r="E864" s="2" t="str">
        <f>IF(A864&lt;&gt;"",VLOOKUP(Alunos!A864,Agrupamentos!A3:C1000,3, FALSE),"")</f>
        <v/>
      </c>
      <c r="F864" s="2" t="str">
        <f>IFERROR(IF(A864&lt;&gt;"",VLOOKUP(Alunos!E864,'TP2'!A3:D1000,4, FALSE),""),"")</f>
        <v/>
      </c>
      <c r="G864" s="2" t="str">
        <f>IF(A864&lt;&gt;"", SUMIF(B1:F1,"&lt;&gt;",B864:F864),"")</f>
        <v/>
      </c>
      <c r="H864" s="2" t="str">
        <f>IF(AND(A864&lt;&gt;"",G864&lt;&gt;""),ROUND(G864,0),"")</f>
        <v/>
      </c>
      <c r="I864" s="2" t="str">
        <f>IFERROR(IF(A864&lt;&gt;"",VLOOKUP(Alunos!A864,Recurso!A3:D1000,4, FALSE),""), "")</f>
        <v/>
      </c>
      <c r="J864" s="2" t="str">
        <f>IF(AND(A864&lt;&gt;"",I864&lt;&gt;""), SUMIFS(B864:I864,B1:I1,"&lt;&gt;",B2:I2,"&lt;&gt;Exame",B2:I2,"&lt;&gt;exame",B2:I2,"&lt;&gt;Nota",B2:I2,"&lt;&gt;Total"),"")</f>
        <v/>
      </c>
      <c r="K864" s="2" t="str">
        <f>IF(AND(A864&lt;&gt;"",J864&lt;&gt;""),ROUND(J864,0),"")</f>
        <v/>
      </c>
    </row>
    <row r="865" spans="2:11" x14ac:dyDescent="0.3">
      <c r="B865" s="2" t="str">
        <f>IFERROR(IF(A865&lt;&gt;"",VLOOKUP(Alunos!A865,Exame!A3:D1000,4, FALSE),""), "")</f>
        <v/>
      </c>
      <c r="C865" s="2" t="str">
        <f>IF(A865&lt;&gt;"",VLOOKUP(Alunos!A865,Agrupamentos!A3:C1000,2, FALSE),"")</f>
        <v/>
      </c>
      <c r="D865" s="2" t="str">
        <f>IFERROR(IF(A865&lt;&gt;"",VLOOKUP(Alunos!C865,'TP1'!A3:E1000,5, FALSE),""),"")</f>
        <v/>
      </c>
      <c r="E865" s="2" t="str">
        <f>IF(A865&lt;&gt;"",VLOOKUP(Alunos!A865,Agrupamentos!A3:C1000,3, FALSE),"")</f>
        <v/>
      </c>
      <c r="F865" s="2" t="str">
        <f>IFERROR(IF(A865&lt;&gt;"",VLOOKUP(Alunos!E865,'TP2'!A3:D1000,4, FALSE),""),"")</f>
        <v/>
      </c>
      <c r="G865" s="2" t="str">
        <f>IF(A865&lt;&gt;"", SUMIF(B1:F1,"&lt;&gt;",B865:F865),"")</f>
        <v/>
      </c>
      <c r="H865" s="2" t="str">
        <f>IF(AND(A865&lt;&gt;"",G865&lt;&gt;""),ROUND(G865,0),"")</f>
        <v/>
      </c>
      <c r="I865" s="2" t="str">
        <f>IFERROR(IF(A865&lt;&gt;"",VLOOKUP(Alunos!A865,Recurso!A3:D1000,4, FALSE),""), "")</f>
        <v/>
      </c>
      <c r="J865" s="2" t="str">
        <f>IF(AND(A865&lt;&gt;"",I865&lt;&gt;""), SUMIFS(B865:I865,B1:I1,"&lt;&gt;",B2:I2,"&lt;&gt;Exame",B2:I2,"&lt;&gt;exame",B2:I2,"&lt;&gt;Nota",B2:I2,"&lt;&gt;Total"),"")</f>
        <v/>
      </c>
      <c r="K865" s="2" t="str">
        <f>IF(AND(A865&lt;&gt;"",J865&lt;&gt;""),ROUND(J865,0),"")</f>
        <v/>
      </c>
    </row>
    <row r="866" spans="2:11" x14ac:dyDescent="0.3">
      <c r="B866" s="2" t="str">
        <f>IFERROR(IF(A866&lt;&gt;"",VLOOKUP(Alunos!A866,Exame!A3:D1000,4, FALSE),""), "")</f>
        <v/>
      </c>
      <c r="C866" s="2" t="str">
        <f>IF(A866&lt;&gt;"",VLOOKUP(Alunos!A866,Agrupamentos!A3:C1000,2, FALSE),"")</f>
        <v/>
      </c>
      <c r="D866" s="2" t="str">
        <f>IFERROR(IF(A866&lt;&gt;"",VLOOKUP(Alunos!C866,'TP1'!A3:E1000,5, FALSE),""),"")</f>
        <v/>
      </c>
      <c r="E866" s="2" t="str">
        <f>IF(A866&lt;&gt;"",VLOOKUP(Alunos!A866,Agrupamentos!A3:C1000,3, FALSE),"")</f>
        <v/>
      </c>
      <c r="F866" s="2" t="str">
        <f>IFERROR(IF(A866&lt;&gt;"",VLOOKUP(Alunos!E866,'TP2'!A3:D1000,4, FALSE),""),"")</f>
        <v/>
      </c>
      <c r="G866" s="2" t="str">
        <f>IF(A866&lt;&gt;"", SUMIF(B1:F1,"&lt;&gt;",B866:F866),"")</f>
        <v/>
      </c>
      <c r="H866" s="2" t="str">
        <f>IF(AND(A866&lt;&gt;"",G866&lt;&gt;""),ROUND(G866,0),"")</f>
        <v/>
      </c>
      <c r="I866" s="2" t="str">
        <f>IFERROR(IF(A866&lt;&gt;"",VLOOKUP(Alunos!A866,Recurso!A3:D1000,4, FALSE),""), "")</f>
        <v/>
      </c>
      <c r="J866" s="2" t="str">
        <f>IF(AND(A866&lt;&gt;"",I866&lt;&gt;""), SUMIFS(B866:I866,B1:I1,"&lt;&gt;",B2:I2,"&lt;&gt;Exame",B2:I2,"&lt;&gt;exame",B2:I2,"&lt;&gt;Nota",B2:I2,"&lt;&gt;Total"),"")</f>
        <v/>
      </c>
      <c r="K866" s="2" t="str">
        <f>IF(AND(A866&lt;&gt;"",J866&lt;&gt;""),ROUND(J866,0),"")</f>
        <v/>
      </c>
    </row>
    <row r="867" spans="2:11" x14ac:dyDescent="0.3">
      <c r="B867" s="2" t="str">
        <f>IFERROR(IF(A867&lt;&gt;"",VLOOKUP(Alunos!A867,Exame!A3:D1000,4, FALSE),""), "")</f>
        <v/>
      </c>
      <c r="C867" s="2" t="str">
        <f>IF(A867&lt;&gt;"",VLOOKUP(Alunos!A867,Agrupamentos!A3:C1000,2, FALSE),"")</f>
        <v/>
      </c>
      <c r="D867" s="2" t="str">
        <f>IFERROR(IF(A867&lt;&gt;"",VLOOKUP(Alunos!C867,'TP1'!A3:E1000,5, FALSE),""),"")</f>
        <v/>
      </c>
      <c r="E867" s="2" t="str">
        <f>IF(A867&lt;&gt;"",VLOOKUP(Alunos!A867,Agrupamentos!A3:C1000,3, FALSE),"")</f>
        <v/>
      </c>
      <c r="F867" s="2" t="str">
        <f>IFERROR(IF(A867&lt;&gt;"",VLOOKUP(Alunos!E867,'TP2'!A3:D1000,4, FALSE),""),"")</f>
        <v/>
      </c>
      <c r="G867" s="2" t="str">
        <f>IF(A867&lt;&gt;"", SUMIF(B1:F1,"&lt;&gt;",B867:F867),"")</f>
        <v/>
      </c>
      <c r="H867" s="2" t="str">
        <f>IF(AND(A867&lt;&gt;"",G867&lt;&gt;""),ROUND(G867,0),"")</f>
        <v/>
      </c>
      <c r="I867" s="2" t="str">
        <f>IFERROR(IF(A867&lt;&gt;"",VLOOKUP(Alunos!A867,Recurso!A3:D1000,4, FALSE),""), "")</f>
        <v/>
      </c>
      <c r="J867" s="2" t="str">
        <f>IF(AND(A867&lt;&gt;"",I867&lt;&gt;""), SUMIFS(B867:I867,B1:I1,"&lt;&gt;",B2:I2,"&lt;&gt;Exame",B2:I2,"&lt;&gt;exame",B2:I2,"&lt;&gt;Nota",B2:I2,"&lt;&gt;Total"),"")</f>
        <v/>
      </c>
      <c r="K867" s="2" t="str">
        <f>IF(AND(A867&lt;&gt;"",J867&lt;&gt;""),ROUND(J867,0),"")</f>
        <v/>
      </c>
    </row>
    <row r="868" spans="2:11" x14ac:dyDescent="0.3">
      <c r="B868" s="2" t="str">
        <f>IFERROR(IF(A868&lt;&gt;"",VLOOKUP(Alunos!A868,Exame!A3:D1000,4, FALSE),""), "")</f>
        <v/>
      </c>
      <c r="C868" s="2" t="str">
        <f>IF(A868&lt;&gt;"",VLOOKUP(Alunos!A868,Agrupamentos!A3:C1000,2, FALSE),"")</f>
        <v/>
      </c>
      <c r="D868" s="2" t="str">
        <f>IFERROR(IF(A868&lt;&gt;"",VLOOKUP(Alunos!C868,'TP1'!A3:E1000,5, FALSE),""),"")</f>
        <v/>
      </c>
      <c r="E868" s="2" t="str">
        <f>IF(A868&lt;&gt;"",VLOOKUP(Alunos!A868,Agrupamentos!A3:C1000,3, FALSE),"")</f>
        <v/>
      </c>
      <c r="F868" s="2" t="str">
        <f>IFERROR(IF(A868&lt;&gt;"",VLOOKUP(Alunos!E868,'TP2'!A3:D1000,4, FALSE),""),"")</f>
        <v/>
      </c>
      <c r="G868" s="2" t="str">
        <f>IF(A868&lt;&gt;"", SUMIF(B1:F1,"&lt;&gt;",B868:F868),"")</f>
        <v/>
      </c>
      <c r="H868" s="2" t="str">
        <f>IF(AND(A868&lt;&gt;"",G868&lt;&gt;""),ROUND(G868,0),"")</f>
        <v/>
      </c>
      <c r="I868" s="2" t="str">
        <f>IFERROR(IF(A868&lt;&gt;"",VLOOKUP(Alunos!A868,Recurso!A3:D1000,4, FALSE),""), "")</f>
        <v/>
      </c>
      <c r="J868" s="2" t="str">
        <f>IF(AND(A868&lt;&gt;"",I868&lt;&gt;""), SUMIFS(B868:I868,B1:I1,"&lt;&gt;",B2:I2,"&lt;&gt;Exame",B2:I2,"&lt;&gt;exame",B2:I2,"&lt;&gt;Nota",B2:I2,"&lt;&gt;Total"),"")</f>
        <v/>
      </c>
      <c r="K868" s="2" t="str">
        <f>IF(AND(A868&lt;&gt;"",J868&lt;&gt;""),ROUND(J868,0),"")</f>
        <v/>
      </c>
    </row>
    <row r="869" spans="2:11" x14ac:dyDescent="0.3">
      <c r="B869" s="2" t="str">
        <f>IFERROR(IF(A869&lt;&gt;"",VLOOKUP(Alunos!A869,Exame!A3:D1000,4, FALSE),""), "")</f>
        <v/>
      </c>
      <c r="C869" s="2" t="str">
        <f>IF(A869&lt;&gt;"",VLOOKUP(Alunos!A869,Agrupamentos!A3:C1000,2, FALSE),"")</f>
        <v/>
      </c>
      <c r="D869" s="2" t="str">
        <f>IFERROR(IF(A869&lt;&gt;"",VLOOKUP(Alunos!C869,'TP1'!A3:E1000,5, FALSE),""),"")</f>
        <v/>
      </c>
      <c r="E869" s="2" t="str">
        <f>IF(A869&lt;&gt;"",VLOOKUP(Alunos!A869,Agrupamentos!A3:C1000,3, FALSE),"")</f>
        <v/>
      </c>
      <c r="F869" s="2" t="str">
        <f>IFERROR(IF(A869&lt;&gt;"",VLOOKUP(Alunos!E869,'TP2'!A3:D1000,4, FALSE),""),"")</f>
        <v/>
      </c>
      <c r="G869" s="2" t="str">
        <f>IF(A869&lt;&gt;"", SUMIF(B1:F1,"&lt;&gt;",B869:F869),"")</f>
        <v/>
      </c>
      <c r="H869" s="2" t="str">
        <f>IF(AND(A869&lt;&gt;"",G869&lt;&gt;""),ROUND(G869,0),"")</f>
        <v/>
      </c>
      <c r="I869" s="2" t="str">
        <f>IFERROR(IF(A869&lt;&gt;"",VLOOKUP(Alunos!A869,Recurso!A3:D1000,4, FALSE),""), "")</f>
        <v/>
      </c>
      <c r="J869" s="2" t="str">
        <f>IF(AND(A869&lt;&gt;"",I869&lt;&gt;""), SUMIFS(B869:I869,B1:I1,"&lt;&gt;",B2:I2,"&lt;&gt;Exame",B2:I2,"&lt;&gt;exame",B2:I2,"&lt;&gt;Nota",B2:I2,"&lt;&gt;Total"),"")</f>
        <v/>
      </c>
      <c r="K869" s="2" t="str">
        <f>IF(AND(A869&lt;&gt;"",J869&lt;&gt;""),ROUND(J869,0),"")</f>
        <v/>
      </c>
    </row>
    <row r="870" spans="2:11" x14ac:dyDescent="0.3">
      <c r="B870" s="2" t="str">
        <f>IFERROR(IF(A870&lt;&gt;"",VLOOKUP(Alunos!A870,Exame!A3:D1000,4, FALSE),""), "")</f>
        <v/>
      </c>
      <c r="C870" s="2" t="str">
        <f>IF(A870&lt;&gt;"",VLOOKUP(Alunos!A870,Agrupamentos!A3:C1000,2, FALSE),"")</f>
        <v/>
      </c>
      <c r="D870" s="2" t="str">
        <f>IFERROR(IF(A870&lt;&gt;"",VLOOKUP(Alunos!C870,'TP1'!A3:E1000,5, FALSE),""),"")</f>
        <v/>
      </c>
      <c r="E870" s="2" t="str">
        <f>IF(A870&lt;&gt;"",VLOOKUP(Alunos!A870,Agrupamentos!A3:C1000,3, FALSE),"")</f>
        <v/>
      </c>
      <c r="F870" s="2" t="str">
        <f>IFERROR(IF(A870&lt;&gt;"",VLOOKUP(Alunos!E870,'TP2'!A3:D1000,4, FALSE),""),"")</f>
        <v/>
      </c>
      <c r="G870" s="2" t="str">
        <f>IF(A870&lt;&gt;"", SUMIF(B1:F1,"&lt;&gt;",B870:F870),"")</f>
        <v/>
      </c>
      <c r="H870" s="2" t="str">
        <f>IF(AND(A870&lt;&gt;"",G870&lt;&gt;""),ROUND(G870,0),"")</f>
        <v/>
      </c>
      <c r="I870" s="2" t="str">
        <f>IFERROR(IF(A870&lt;&gt;"",VLOOKUP(Alunos!A870,Recurso!A3:D1000,4, FALSE),""), "")</f>
        <v/>
      </c>
      <c r="J870" s="2" t="str">
        <f>IF(AND(A870&lt;&gt;"",I870&lt;&gt;""), SUMIFS(B870:I870,B1:I1,"&lt;&gt;",B2:I2,"&lt;&gt;Exame",B2:I2,"&lt;&gt;exame",B2:I2,"&lt;&gt;Nota",B2:I2,"&lt;&gt;Total"),"")</f>
        <v/>
      </c>
      <c r="K870" s="2" t="str">
        <f>IF(AND(A870&lt;&gt;"",J870&lt;&gt;""),ROUND(J870,0),"")</f>
        <v/>
      </c>
    </row>
    <row r="871" spans="2:11" x14ac:dyDescent="0.3">
      <c r="B871" s="2" t="str">
        <f>IFERROR(IF(A871&lt;&gt;"",VLOOKUP(Alunos!A871,Exame!A3:D1000,4, FALSE),""), "")</f>
        <v/>
      </c>
      <c r="C871" s="2" t="str">
        <f>IF(A871&lt;&gt;"",VLOOKUP(Alunos!A871,Agrupamentos!A3:C1000,2, FALSE),"")</f>
        <v/>
      </c>
      <c r="D871" s="2" t="str">
        <f>IFERROR(IF(A871&lt;&gt;"",VLOOKUP(Alunos!C871,'TP1'!A3:E1000,5, FALSE),""),"")</f>
        <v/>
      </c>
      <c r="E871" s="2" t="str">
        <f>IF(A871&lt;&gt;"",VLOOKUP(Alunos!A871,Agrupamentos!A3:C1000,3, FALSE),"")</f>
        <v/>
      </c>
      <c r="F871" s="2" t="str">
        <f>IFERROR(IF(A871&lt;&gt;"",VLOOKUP(Alunos!E871,'TP2'!A3:D1000,4, FALSE),""),"")</f>
        <v/>
      </c>
      <c r="G871" s="2" t="str">
        <f>IF(A871&lt;&gt;"", SUMIF(B1:F1,"&lt;&gt;",B871:F871),"")</f>
        <v/>
      </c>
      <c r="H871" s="2" t="str">
        <f>IF(AND(A871&lt;&gt;"",G871&lt;&gt;""),ROUND(G871,0),"")</f>
        <v/>
      </c>
      <c r="I871" s="2" t="str">
        <f>IFERROR(IF(A871&lt;&gt;"",VLOOKUP(Alunos!A871,Recurso!A3:D1000,4, FALSE),""), "")</f>
        <v/>
      </c>
      <c r="J871" s="2" t="str">
        <f>IF(AND(A871&lt;&gt;"",I871&lt;&gt;""), SUMIFS(B871:I871,B1:I1,"&lt;&gt;",B2:I2,"&lt;&gt;Exame",B2:I2,"&lt;&gt;exame",B2:I2,"&lt;&gt;Nota",B2:I2,"&lt;&gt;Total"),"")</f>
        <v/>
      </c>
      <c r="K871" s="2" t="str">
        <f>IF(AND(A871&lt;&gt;"",J871&lt;&gt;""),ROUND(J871,0),"")</f>
        <v/>
      </c>
    </row>
    <row r="872" spans="2:11" x14ac:dyDescent="0.3">
      <c r="B872" s="2" t="str">
        <f>IFERROR(IF(A872&lt;&gt;"",VLOOKUP(Alunos!A872,Exame!A3:D1000,4, FALSE),""), "")</f>
        <v/>
      </c>
      <c r="C872" s="2" t="str">
        <f>IF(A872&lt;&gt;"",VLOOKUP(Alunos!A872,Agrupamentos!A3:C1000,2, FALSE),"")</f>
        <v/>
      </c>
      <c r="D872" s="2" t="str">
        <f>IFERROR(IF(A872&lt;&gt;"",VLOOKUP(Alunos!C872,'TP1'!A3:E1000,5, FALSE),""),"")</f>
        <v/>
      </c>
      <c r="E872" s="2" t="str">
        <f>IF(A872&lt;&gt;"",VLOOKUP(Alunos!A872,Agrupamentos!A3:C1000,3, FALSE),"")</f>
        <v/>
      </c>
      <c r="F872" s="2" t="str">
        <f>IFERROR(IF(A872&lt;&gt;"",VLOOKUP(Alunos!E872,'TP2'!A3:D1000,4, FALSE),""),"")</f>
        <v/>
      </c>
      <c r="G872" s="2" t="str">
        <f>IF(A872&lt;&gt;"", SUMIF(B1:F1,"&lt;&gt;",B872:F872),"")</f>
        <v/>
      </c>
      <c r="H872" s="2" t="str">
        <f>IF(AND(A872&lt;&gt;"",G872&lt;&gt;""),ROUND(G872,0),"")</f>
        <v/>
      </c>
      <c r="I872" s="2" t="str">
        <f>IFERROR(IF(A872&lt;&gt;"",VLOOKUP(Alunos!A872,Recurso!A3:D1000,4, FALSE),""), "")</f>
        <v/>
      </c>
      <c r="J872" s="2" t="str">
        <f>IF(AND(A872&lt;&gt;"",I872&lt;&gt;""), SUMIFS(B872:I872,B1:I1,"&lt;&gt;",B2:I2,"&lt;&gt;Exame",B2:I2,"&lt;&gt;exame",B2:I2,"&lt;&gt;Nota",B2:I2,"&lt;&gt;Total"),"")</f>
        <v/>
      </c>
      <c r="K872" s="2" t="str">
        <f>IF(AND(A872&lt;&gt;"",J872&lt;&gt;""),ROUND(J872,0),"")</f>
        <v/>
      </c>
    </row>
    <row r="873" spans="2:11" x14ac:dyDescent="0.3">
      <c r="B873" s="2" t="str">
        <f>IFERROR(IF(A873&lt;&gt;"",VLOOKUP(Alunos!A873,Exame!A3:D1000,4, FALSE),""), "")</f>
        <v/>
      </c>
      <c r="C873" s="2" t="str">
        <f>IF(A873&lt;&gt;"",VLOOKUP(Alunos!A873,Agrupamentos!A3:C1000,2, FALSE),"")</f>
        <v/>
      </c>
      <c r="D873" s="2" t="str">
        <f>IFERROR(IF(A873&lt;&gt;"",VLOOKUP(Alunos!C873,'TP1'!A3:E1000,5, FALSE),""),"")</f>
        <v/>
      </c>
      <c r="E873" s="2" t="str">
        <f>IF(A873&lt;&gt;"",VLOOKUP(Alunos!A873,Agrupamentos!A3:C1000,3, FALSE),"")</f>
        <v/>
      </c>
      <c r="F873" s="2" t="str">
        <f>IFERROR(IF(A873&lt;&gt;"",VLOOKUP(Alunos!E873,'TP2'!A3:D1000,4, FALSE),""),"")</f>
        <v/>
      </c>
      <c r="G873" s="2" t="str">
        <f>IF(A873&lt;&gt;"", SUMIF(B1:F1,"&lt;&gt;",B873:F873),"")</f>
        <v/>
      </c>
      <c r="H873" s="2" t="str">
        <f>IF(AND(A873&lt;&gt;"",G873&lt;&gt;""),ROUND(G873,0),"")</f>
        <v/>
      </c>
      <c r="I873" s="2" t="str">
        <f>IFERROR(IF(A873&lt;&gt;"",VLOOKUP(Alunos!A873,Recurso!A3:D1000,4, FALSE),""), "")</f>
        <v/>
      </c>
      <c r="J873" s="2" t="str">
        <f>IF(AND(A873&lt;&gt;"",I873&lt;&gt;""), SUMIFS(B873:I873,B1:I1,"&lt;&gt;",B2:I2,"&lt;&gt;Exame",B2:I2,"&lt;&gt;exame",B2:I2,"&lt;&gt;Nota",B2:I2,"&lt;&gt;Total"),"")</f>
        <v/>
      </c>
      <c r="K873" s="2" t="str">
        <f>IF(AND(A873&lt;&gt;"",J873&lt;&gt;""),ROUND(J873,0),"")</f>
        <v/>
      </c>
    </row>
    <row r="874" spans="2:11" x14ac:dyDescent="0.3">
      <c r="B874" s="2" t="str">
        <f>IFERROR(IF(A874&lt;&gt;"",VLOOKUP(Alunos!A874,Exame!A3:D1000,4, FALSE),""), "")</f>
        <v/>
      </c>
      <c r="C874" s="2" t="str">
        <f>IF(A874&lt;&gt;"",VLOOKUP(Alunos!A874,Agrupamentos!A3:C1000,2, FALSE),"")</f>
        <v/>
      </c>
      <c r="D874" s="2" t="str">
        <f>IFERROR(IF(A874&lt;&gt;"",VLOOKUP(Alunos!C874,'TP1'!A3:E1000,5, FALSE),""),"")</f>
        <v/>
      </c>
      <c r="E874" s="2" t="str">
        <f>IF(A874&lt;&gt;"",VLOOKUP(Alunos!A874,Agrupamentos!A3:C1000,3, FALSE),"")</f>
        <v/>
      </c>
      <c r="F874" s="2" t="str">
        <f>IFERROR(IF(A874&lt;&gt;"",VLOOKUP(Alunos!E874,'TP2'!A3:D1000,4, FALSE),""),"")</f>
        <v/>
      </c>
      <c r="G874" s="2" t="str">
        <f>IF(A874&lt;&gt;"", SUMIF(B1:F1,"&lt;&gt;",B874:F874),"")</f>
        <v/>
      </c>
      <c r="H874" s="2" t="str">
        <f>IF(AND(A874&lt;&gt;"",G874&lt;&gt;""),ROUND(G874,0),"")</f>
        <v/>
      </c>
      <c r="I874" s="2" t="str">
        <f>IFERROR(IF(A874&lt;&gt;"",VLOOKUP(Alunos!A874,Recurso!A3:D1000,4, FALSE),""), "")</f>
        <v/>
      </c>
      <c r="J874" s="2" t="str">
        <f>IF(AND(A874&lt;&gt;"",I874&lt;&gt;""), SUMIFS(B874:I874,B1:I1,"&lt;&gt;",B2:I2,"&lt;&gt;Exame",B2:I2,"&lt;&gt;exame",B2:I2,"&lt;&gt;Nota",B2:I2,"&lt;&gt;Total"),"")</f>
        <v/>
      </c>
      <c r="K874" s="2" t="str">
        <f>IF(AND(A874&lt;&gt;"",J874&lt;&gt;""),ROUND(J874,0),"")</f>
        <v/>
      </c>
    </row>
    <row r="875" spans="2:11" x14ac:dyDescent="0.3">
      <c r="B875" s="2" t="str">
        <f>IFERROR(IF(A875&lt;&gt;"",VLOOKUP(Alunos!A875,Exame!A3:D1000,4, FALSE),""), "")</f>
        <v/>
      </c>
      <c r="C875" s="2" t="str">
        <f>IF(A875&lt;&gt;"",VLOOKUP(Alunos!A875,Agrupamentos!A3:C1000,2, FALSE),"")</f>
        <v/>
      </c>
      <c r="D875" s="2" t="str">
        <f>IFERROR(IF(A875&lt;&gt;"",VLOOKUP(Alunos!C875,'TP1'!A3:E1000,5, FALSE),""),"")</f>
        <v/>
      </c>
      <c r="E875" s="2" t="str">
        <f>IF(A875&lt;&gt;"",VLOOKUP(Alunos!A875,Agrupamentos!A3:C1000,3, FALSE),"")</f>
        <v/>
      </c>
      <c r="F875" s="2" t="str">
        <f>IFERROR(IF(A875&lt;&gt;"",VLOOKUP(Alunos!E875,'TP2'!A3:D1000,4, FALSE),""),"")</f>
        <v/>
      </c>
      <c r="G875" s="2" t="str">
        <f>IF(A875&lt;&gt;"", SUMIF(B1:F1,"&lt;&gt;",B875:F875),"")</f>
        <v/>
      </c>
      <c r="H875" s="2" t="str">
        <f>IF(AND(A875&lt;&gt;"",G875&lt;&gt;""),ROUND(G875,0),"")</f>
        <v/>
      </c>
      <c r="I875" s="2" t="str">
        <f>IFERROR(IF(A875&lt;&gt;"",VLOOKUP(Alunos!A875,Recurso!A3:D1000,4, FALSE),""), "")</f>
        <v/>
      </c>
      <c r="J875" s="2" t="str">
        <f>IF(AND(A875&lt;&gt;"",I875&lt;&gt;""), SUMIFS(B875:I875,B1:I1,"&lt;&gt;",B2:I2,"&lt;&gt;Exame",B2:I2,"&lt;&gt;exame",B2:I2,"&lt;&gt;Nota",B2:I2,"&lt;&gt;Total"),"")</f>
        <v/>
      </c>
      <c r="K875" s="2" t="str">
        <f>IF(AND(A875&lt;&gt;"",J875&lt;&gt;""),ROUND(J875,0),"")</f>
        <v/>
      </c>
    </row>
    <row r="876" spans="2:11" x14ac:dyDescent="0.3">
      <c r="B876" s="2" t="str">
        <f>IFERROR(IF(A876&lt;&gt;"",VLOOKUP(Alunos!A876,Exame!A3:D1000,4, FALSE),""), "")</f>
        <v/>
      </c>
      <c r="C876" s="2" t="str">
        <f>IF(A876&lt;&gt;"",VLOOKUP(Alunos!A876,Agrupamentos!A3:C1000,2, FALSE),"")</f>
        <v/>
      </c>
      <c r="D876" s="2" t="str">
        <f>IFERROR(IF(A876&lt;&gt;"",VLOOKUP(Alunos!C876,'TP1'!A3:E1000,5, FALSE),""),"")</f>
        <v/>
      </c>
      <c r="E876" s="2" t="str">
        <f>IF(A876&lt;&gt;"",VLOOKUP(Alunos!A876,Agrupamentos!A3:C1000,3, FALSE),"")</f>
        <v/>
      </c>
      <c r="F876" s="2" t="str">
        <f>IFERROR(IF(A876&lt;&gt;"",VLOOKUP(Alunos!E876,'TP2'!A3:D1000,4, FALSE),""),"")</f>
        <v/>
      </c>
      <c r="G876" s="2" t="str">
        <f>IF(A876&lt;&gt;"", SUMIF(B1:F1,"&lt;&gt;",B876:F876),"")</f>
        <v/>
      </c>
      <c r="H876" s="2" t="str">
        <f>IF(AND(A876&lt;&gt;"",G876&lt;&gt;""),ROUND(G876,0),"")</f>
        <v/>
      </c>
      <c r="I876" s="2" t="str">
        <f>IFERROR(IF(A876&lt;&gt;"",VLOOKUP(Alunos!A876,Recurso!A3:D1000,4, FALSE),""), "")</f>
        <v/>
      </c>
      <c r="J876" s="2" t="str">
        <f>IF(AND(A876&lt;&gt;"",I876&lt;&gt;""), SUMIFS(B876:I876,B1:I1,"&lt;&gt;",B2:I2,"&lt;&gt;Exame",B2:I2,"&lt;&gt;exame",B2:I2,"&lt;&gt;Nota",B2:I2,"&lt;&gt;Total"),"")</f>
        <v/>
      </c>
      <c r="K876" s="2" t="str">
        <f>IF(AND(A876&lt;&gt;"",J876&lt;&gt;""),ROUND(J876,0),"")</f>
        <v/>
      </c>
    </row>
    <row r="877" spans="2:11" x14ac:dyDescent="0.3">
      <c r="B877" s="2" t="str">
        <f>IFERROR(IF(A877&lt;&gt;"",VLOOKUP(Alunos!A877,Exame!A3:D1000,4, FALSE),""), "")</f>
        <v/>
      </c>
      <c r="C877" s="2" t="str">
        <f>IF(A877&lt;&gt;"",VLOOKUP(Alunos!A877,Agrupamentos!A3:C1000,2, FALSE),"")</f>
        <v/>
      </c>
      <c r="D877" s="2" t="str">
        <f>IFERROR(IF(A877&lt;&gt;"",VLOOKUP(Alunos!C877,'TP1'!A3:E1000,5, FALSE),""),"")</f>
        <v/>
      </c>
      <c r="E877" s="2" t="str">
        <f>IF(A877&lt;&gt;"",VLOOKUP(Alunos!A877,Agrupamentos!A3:C1000,3, FALSE),"")</f>
        <v/>
      </c>
      <c r="F877" s="2" t="str">
        <f>IFERROR(IF(A877&lt;&gt;"",VLOOKUP(Alunos!E877,'TP2'!A3:D1000,4, FALSE),""),"")</f>
        <v/>
      </c>
      <c r="G877" s="2" t="str">
        <f>IF(A877&lt;&gt;"", SUMIF(B1:F1,"&lt;&gt;",B877:F877),"")</f>
        <v/>
      </c>
      <c r="H877" s="2" t="str">
        <f>IF(AND(A877&lt;&gt;"",G877&lt;&gt;""),ROUND(G877,0),"")</f>
        <v/>
      </c>
      <c r="I877" s="2" t="str">
        <f>IFERROR(IF(A877&lt;&gt;"",VLOOKUP(Alunos!A877,Recurso!A3:D1000,4, FALSE),""), "")</f>
        <v/>
      </c>
      <c r="J877" s="2" t="str">
        <f>IF(AND(A877&lt;&gt;"",I877&lt;&gt;""), SUMIFS(B877:I877,B1:I1,"&lt;&gt;",B2:I2,"&lt;&gt;Exame",B2:I2,"&lt;&gt;exame",B2:I2,"&lt;&gt;Nota",B2:I2,"&lt;&gt;Total"),"")</f>
        <v/>
      </c>
      <c r="K877" s="2" t="str">
        <f>IF(AND(A877&lt;&gt;"",J877&lt;&gt;""),ROUND(J877,0),"")</f>
        <v/>
      </c>
    </row>
    <row r="878" spans="2:11" x14ac:dyDescent="0.3">
      <c r="B878" s="2" t="str">
        <f>IFERROR(IF(A878&lt;&gt;"",VLOOKUP(Alunos!A878,Exame!A3:D1000,4, FALSE),""), "")</f>
        <v/>
      </c>
      <c r="C878" s="2" t="str">
        <f>IF(A878&lt;&gt;"",VLOOKUP(Alunos!A878,Agrupamentos!A3:C1000,2, FALSE),"")</f>
        <v/>
      </c>
      <c r="D878" s="2" t="str">
        <f>IFERROR(IF(A878&lt;&gt;"",VLOOKUP(Alunos!C878,'TP1'!A3:E1000,5, FALSE),""),"")</f>
        <v/>
      </c>
      <c r="E878" s="2" t="str">
        <f>IF(A878&lt;&gt;"",VLOOKUP(Alunos!A878,Agrupamentos!A3:C1000,3, FALSE),"")</f>
        <v/>
      </c>
      <c r="F878" s="2" t="str">
        <f>IFERROR(IF(A878&lt;&gt;"",VLOOKUP(Alunos!E878,'TP2'!A3:D1000,4, FALSE),""),"")</f>
        <v/>
      </c>
      <c r="G878" s="2" t="str">
        <f>IF(A878&lt;&gt;"", SUMIF(B1:F1,"&lt;&gt;",B878:F878),"")</f>
        <v/>
      </c>
      <c r="H878" s="2" t="str">
        <f>IF(AND(A878&lt;&gt;"",G878&lt;&gt;""),ROUND(G878,0),"")</f>
        <v/>
      </c>
      <c r="I878" s="2" t="str">
        <f>IFERROR(IF(A878&lt;&gt;"",VLOOKUP(Alunos!A878,Recurso!A3:D1000,4, FALSE),""), "")</f>
        <v/>
      </c>
      <c r="J878" s="2" t="str">
        <f>IF(AND(A878&lt;&gt;"",I878&lt;&gt;""), SUMIFS(B878:I878,B1:I1,"&lt;&gt;",B2:I2,"&lt;&gt;Exame",B2:I2,"&lt;&gt;exame",B2:I2,"&lt;&gt;Nota",B2:I2,"&lt;&gt;Total"),"")</f>
        <v/>
      </c>
      <c r="K878" s="2" t="str">
        <f>IF(AND(A878&lt;&gt;"",J878&lt;&gt;""),ROUND(J878,0),"")</f>
        <v/>
      </c>
    </row>
    <row r="879" spans="2:11" x14ac:dyDescent="0.3">
      <c r="B879" s="2" t="str">
        <f>IFERROR(IF(A879&lt;&gt;"",VLOOKUP(Alunos!A879,Exame!A3:D1000,4, FALSE),""), "")</f>
        <v/>
      </c>
      <c r="C879" s="2" t="str">
        <f>IF(A879&lt;&gt;"",VLOOKUP(Alunos!A879,Agrupamentos!A3:C1000,2, FALSE),"")</f>
        <v/>
      </c>
      <c r="D879" s="2" t="str">
        <f>IFERROR(IF(A879&lt;&gt;"",VLOOKUP(Alunos!C879,'TP1'!A3:E1000,5, FALSE),""),"")</f>
        <v/>
      </c>
      <c r="E879" s="2" t="str">
        <f>IF(A879&lt;&gt;"",VLOOKUP(Alunos!A879,Agrupamentos!A3:C1000,3, FALSE),"")</f>
        <v/>
      </c>
      <c r="F879" s="2" t="str">
        <f>IFERROR(IF(A879&lt;&gt;"",VLOOKUP(Alunos!E879,'TP2'!A3:D1000,4, FALSE),""),"")</f>
        <v/>
      </c>
      <c r="G879" s="2" t="str">
        <f>IF(A879&lt;&gt;"", SUMIF(B1:F1,"&lt;&gt;",B879:F879),"")</f>
        <v/>
      </c>
      <c r="H879" s="2" t="str">
        <f>IF(AND(A879&lt;&gt;"",G879&lt;&gt;""),ROUND(G879,0),"")</f>
        <v/>
      </c>
      <c r="I879" s="2" t="str">
        <f>IFERROR(IF(A879&lt;&gt;"",VLOOKUP(Alunos!A879,Recurso!A3:D1000,4, FALSE),""), "")</f>
        <v/>
      </c>
      <c r="J879" s="2" t="str">
        <f>IF(AND(A879&lt;&gt;"",I879&lt;&gt;""), SUMIFS(B879:I879,B1:I1,"&lt;&gt;",B2:I2,"&lt;&gt;Exame",B2:I2,"&lt;&gt;exame",B2:I2,"&lt;&gt;Nota",B2:I2,"&lt;&gt;Total"),"")</f>
        <v/>
      </c>
      <c r="K879" s="2" t="str">
        <f>IF(AND(A879&lt;&gt;"",J879&lt;&gt;""),ROUND(J879,0),"")</f>
        <v/>
      </c>
    </row>
    <row r="880" spans="2:11" x14ac:dyDescent="0.3">
      <c r="B880" s="2" t="str">
        <f>IFERROR(IF(A880&lt;&gt;"",VLOOKUP(Alunos!A880,Exame!A3:D1000,4, FALSE),""), "")</f>
        <v/>
      </c>
      <c r="C880" s="2" t="str">
        <f>IF(A880&lt;&gt;"",VLOOKUP(Alunos!A880,Agrupamentos!A3:C1000,2, FALSE),"")</f>
        <v/>
      </c>
      <c r="D880" s="2" t="str">
        <f>IFERROR(IF(A880&lt;&gt;"",VLOOKUP(Alunos!C880,'TP1'!A3:E1000,5, FALSE),""),"")</f>
        <v/>
      </c>
      <c r="E880" s="2" t="str">
        <f>IF(A880&lt;&gt;"",VLOOKUP(Alunos!A880,Agrupamentos!A3:C1000,3, FALSE),"")</f>
        <v/>
      </c>
      <c r="F880" s="2" t="str">
        <f>IFERROR(IF(A880&lt;&gt;"",VLOOKUP(Alunos!E880,'TP2'!A3:D1000,4, FALSE),""),"")</f>
        <v/>
      </c>
      <c r="G880" s="2" t="str">
        <f>IF(A880&lt;&gt;"", SUMIF(B1:F1,"&lt;&gt;",B880:F880),"")</f>
        <v/>
      </c>
      <c r="H880" s="2" t="str">
        <f>IF(AND(A880&lt;&gt;"",G880&lt;&gt;""),ROUND(G880,0),"")</f>
        <v/>
      </c>
      <c r="I880" s="2" t="str">
        <f>IFERROR(IF(A880&lt;&gt;"",VLOOKUP(Alunos!A880,Recurso!A3:D1000,4, FALSE),""), "")</f>
        <v/>
      </c>
      <c r="J880" s="2" t="str">
        <f>IF(AND(A880&lt;&gt;"",I880&lt;&gt;""), SUMIFS(B880:I880,B1:I1,"&lt;&gt;",B2:I2,"&lt;&gt;Exame",B2:I2,"&lt;&gt;exame",B2:I2,"&lt;&gt;Nota",B2:I2,"&lt;&gt;Total"),"")</f>
        <v/>
      </c>
      <c r="K880" s="2" t="str">
        <f>IF(AND(A880&lt;&gt;"",J880&lt;&gt;""),ROUND(J880,0),"")</f>
        <v/>
      </c>
    </row>
    <row r="881" spans="2:11" x14ac:dyDescent="0.3">
      <c r="B881" s="2" t="str">
        <f>IFERROR(IF(A881&lt;&gt;"",VLOOKUP(Alunos!A881,Exame!A3:D1000,4, FALSE),""), "")</f>
        <v/>
      </c>
      <c r="C881" s="2" t="str">
        <f>IF(A881&lt;&gt;"",VLOOKUP(Alunos!A881,Agrupamentos!A3:C1000,2, FALSE),"")</f>
        <v/>
      </c>
      <c r="D881" s="2" t="str">
        <f>IFERROR(IF(A881&lt;&gt;"",VLOOKUP(Alunos!C881,'TP1'!A3:E1000,5, FALSE),""),"")</f>
        <v/>
      </c>
      <c r="E881" s="2" t="str">
        <f>IF(A881&lt;&gt;"",VLOOKUP(Alunos!A881,Agrupamentos!A3:C1000,3, FALSE),"")</f>
        <v/>
      </c>
      <c r="F881" s="2" t="str">
        <f>IFERROR(IF(A881&lt;&gt;"",VLOOKUP(Alunos!E881,'TP2'!A3:D1000,4, FALSE),""),"")</f>
        <v/>
      </c>
      <c r="G881" s="2" t="str">
        <f>IF(A881&lt;&gt;"", SUMIF(B1:F1,"&lt;&gt;",B881:F881),"")</f>
        <v/>
      </c>
      <c r="H881" s="2" t="str">
        <f>IF(AND(A881&lt;&gt;"",G881&lt;&gt;""),ROUND(G881,0),"")</f>
        <v/>
      </c>
      <c r="I881" s="2" t="str">
        <f>IFERROR(IF(A881&lt;&gt;"",VLOOKUP(Alunos!A881,Recurso!A3:D1000,4, FALSE),""), "")</f>
        <v/>
      </c>
      <c r="J881" s="2" t="str">
        <f>IF(AND(A881&lt;&gt;"",I881&lt;&gt;""), SUMIFS(B881:I881,B1:I1,"&lt;&gt;",B2:I2,"&lt;&gt;Exame",B2:I2,"&lt;&gt;exame",B2:I2,"&lt;&gt;Nota",B2:I2,"&lt;&gt;Total"),"")</f>
        <v/>
      </c>
      <c r="K881" s="2" t="str">
        <f>IF(AND(A881&lt;&gt;"",J881&lt;&gt;""),ROUND(J881,0),"")</f>
        <v/>
      </c>
    </row>
    <row r="882" spans="2:11" x14ac:dyDescent="0.3">
      <c r="B882" s="2" t="str">
        <f>IFERROR(IF(A882&lt;&gt;"",VLOOKUP(Alunos!A882,Exame!A3:D1000,4, FALSE),""), "")</f>
        <v/>
      </c>
      <c r="C882" s="2" t="str">
        <f>IF(A882&lt;&gt;"",VLOOKUP(Alunos!A882,Agrupamentos!A3:C1000,2, FALSE),"")</f>
        <v/>
      </c>
      <c r="D882" s="2" t="str">
        <f>IFERROR(IF(A882&lt;&gt;"",VLOOKUP(Alunos!C882,'TP1'!A3:E1000,5, FALSE),""),"")</f>
        <v/>
      </c>
      <c r="E882" s="2" t="str">
        <f>IF(A882&lt;&gt;"",VLOOKUP(Alunos!A882,Agrupamentos!A3:C1000,3, FALSE),"")</f>
        <v/>
      </c>
      <c r="F882" s="2" t="str">
        <f>IFERROR(IF(A882&lt;&gt;"",VLOOKUP(Alunos!E882,'TP2'!A3:D1000,4, FALSE),""),"")</f>
        <v/>
      </c>
      <c r="G882" s="2" t="str">
        <f>IF(A882&lt;&gt;"", SUMIF(B1:F1,"&lt;&gt;",B882:F882),"")</f>
        <v/>
      </c>
      <c r="H882" s="2" t="str">
        <f>IF(AND(A882&lt;&gt;"",G882&lt;&gt;""),ROUND(G882,0),"")</f>
        <v/>
      </c>
      <c r="I882" s="2" t="str">
        <f>IFERROR(IF(A882&lt;&gt;"",VLOOKUP(Alunos!A882,Recurso!A3:D1000,4, FALSE),""), "")</f>
        <v/>
      </c>
      <c r="J882" s="2" t="str">
        <f>IF(AND(A882&lt;&gt;"",I882&lt;&gt;""), SUMIFS(B882:I882,B1:I1,"&lt;&gt;",B2:I2,"&lt;&gt;Exame",B2:I2,"&lt;&gt;exame",B2:I2,"&lt;&gt;Nota",B2:I2,"&lt;&gt;Total"),"")</f>
        <v/>
      </c>
      <c r="K882" s="2" t="str">
        <f>IF(AND(A882&lt;&gt;"",J882&lt;&gt;""),ROUND(J882,0),"")</f>
        <v/>
      </c>
    </row>
    <row r="883" spans="2:11" x14ac:dyDescent="0.3">
      <c r="B883" s="2" t="str">
        <f>IFERROR(IF(A883&lt;&gt;"",VLOOKUP(Alunos!A883,Exame!A3:D1000,4, FALSE),""), "")</f>
        <v/>
      </c>
      <c r="C883" s="2" t="str">
        <f>IF(A883&lt;&gt;"",VLOOKUP(Alunos!A883,Agrupamentos!A3:C1000,2, FALSE),"")</f>
        <v/>
      </c>
      <c r="D883" s="2" t="str">
        <f>IFERROR(IF(A883&lt;&gt;"",VLOOKUP(Alunos!C883,'TP1'!A3:E1000,5, FALSE),""),"")</f>
        <v/>
      </c>
      <c r="E883" s="2" t="str">
        <f>IF(A883&lt;&gt;"",VLOOKUP(Alunos!A883,Agrupamentos!A3:C1000,3, FALSE),"")</f>
        <v/>
      </c>
      <c r="F883" s="2" t="str">
        <f>IFERROR(IF(A883&lt;&gt;"",VLOOKUP(Alunos!E883,'TP2'!A3:D1000,4, FALSE),""),"")</f>
        <v/>
      </c>
      <c r="G883" s="2" t="str">
        <f>IF(A883&lt;&gt;"", SUMIF(B1:F1,"&lt;&gt;",B883:F883),"")</f>
        <v/>
      </c>
      <c r="H883" s="2" t="str">
        <f>IF(AND(A883&lt;&gt;"",G883&lt;&gt;""),ROUND(G883,0),"")</f>
        <v/>
      </c>
      <c r="I883" s="2" t="str">
        <f>IFERROR(IF(A883&lt;&gt;"",VLOOKUP(Alunos!A883,Recurso!A3:D1000,4, FALSE),""), "")</f>
        <v/>
      </c>
      <c r="J883" s="2" t="str">
        <f>IF(AND(A883&lt;&gt;"",I883&lt;&gt;""), SUMIFS(B883:I883,B1:I1,"&lt;&gt;",B2:I2,"&lt;&gt;Exame",B2:I2,"&lt;&gt;exame",B2:I2,"&lt;&gt;Nota",B2:I2,"&lt;&gt;Total"),"")</f>
        <v/>
      </c>
      <c r="K883" s="2" t="str">
        <f>IF(AND(A883&lt;&gt;"",J883&lt;&gt;""),ROUND(J883,0),"")</f>
        <v/>
      </c>
    </row>
    <row r="884" spans="2:11" x14ac:dyDescent="0.3">
      <c r="B884" s="2" t="str">
        <f>IFERROR(IF(A884&lt;&gt;"",VLOOKUP(Alunos!A884,Exame!A3:D1000,4, FALSE),""), "")</f>
        <v/>
      </c>
      <c r="C884" s="2" t="str">
        <f>IF(A884&lt;&gt;"",VLOOKUP(Alunos!A884,Agrupamentos!A3:C1000,2, FALSE),"")</f>
        <v/>
      </c>
      <c r="D884" s="2" t="str">
        <f>IFERROR(IF(A884&lt;&gt;"",VLOOKUP(Alunos!C884,'TP1'!A3:E1000,5, FALSE),""),"")</f>
        <v/>
      </c>
      <c r="E884" s="2" t="str">
        <f>IF(A884&lt;&gt;"",VLOOKUP(Alunos!A884,Agrupamentos!A3:C1000,3, FALSE),"")</f>
        <v/>
      </c>
      <c r="F884" s="2" t="str">
        <f>IFERROR(IF(A884&lt;&gt;"",VLOOKUP(Alunos!E884,'TP2'!A3:D1000,4, FALSE),""),"")</f>
        <v/>
      </c>
      <c r="G884" s="2" t="str">
        <f>IF(A884&lt;&gt;"", SUMIF(B1:F1,"&lt;&gt;",B884:F884),"")</f>
        <v/>
      </c>
      <c r="H884" s="2" t="str">
        <f>IF(AND(A884&lt;&gt;"",G884&lt;&gt;""),ROUND(G884,0),"")</f>
        <v/>
      </c>
      <c r="I884" s="2" t="str">
        <f>IFERROR(IF(A884&lt;&gt;"",VLOOKUP(Alunos!A884,Recurso!A3:D1000,4, FALSE),""), "")</f>
        <v/>
      </c>
      <c r="J884" s="2" t="str">
        <f>IF(AND(A884&lt;&gt;"",I884&lt;&gt;""), SUMIFS(B884:I884,B1:I1,"&lt;&gt;",B2:I2,"&lt;&gt;Exame",B2:I2,"&lt;&gt;exame",B2:I2,"&lt;&gt;Nota",B2:I2,"&lt;&gt;Total"),"")</f>
        <v/>
      </c>
      <c r="K884" s="2" t="str">
        <f>IF(AND(A884&lt;&gt;"",J884&lt;&gt;""),ROUND(J884,0),"")</f>
        <v/>
      </c>
    </row>
    <row r="885" spans="2:11" x14ac:dyDescent="0.3">
      <c r="B885" s="2" t="str">
        <f>IFERROR(IF(A885&lt;&gt;"",VLOOKUP(Alunos!A885,Exame!A3:D1000,4, FALSE),""), "")</f>
        <v/>
      </c>
      <c r="C885" s="2" t="str">
        <f>IF(A885&lt;&gt;"",VLOOKUP(Alunos!A885,Agrupamentos!A3:C1000,2, FALSE),"")</f>
        <v/>
      </c>
      <c r="D885" s="2" t="str">
        <f>IFERROR(IF(A885&lt;&gt;"",VLOOKUP(Alunos!C885,'TP1'!A3:E1000,5, FALSE),""),"")</f>
        <v/>
      </c>
      <c r="E885" s="2" t="str">
        <f>IF(A885&lt;&gt;"",VLOOKUP(Alunos!A885,Agrupamentos!A3:C1000,3, FALSE),"")</f>
        <v/>
      </c>
      <c r="F885" s="2" t="str">
        <f>IFERROR(IF(A885&lt;&gt;"",VLOOKUP(Alunos!E885,'TP2'!A3:D1000,4, FALSE),""),"")</f>
        <v/>
      </c>
      <c r="G885" s="2" t="str">
        <f>IF(A885&lt;&gt;"", SUMIF(B1:F1,"&lt;&gt;",B885:F885),"")</f>
        <v/>
      </c>
      <c r="H885" s="2" t="str">
        <f>IF(AND(A885&lt;&gt;"",G885&lt;&gt;""),ROUND(G885,0),"")</f>
        <v/>
      </c>
      <c r="I885" s="2" t="str">
        <f>IFERROR(IF(A885&lt;&gt;"",VLOOKUP(Alunos!A885,Recurso!A3:D1000,4, FALSE),""), "")</f>
        <v/>
      </c>
      <c r="J885" s="2" t="str">
        <f>IF(AND(A885&lt;&gt;"",I885&lt;&gt;""), SUMIFS(B885:I885,B1:I1,"&lt;&gt;",B2:I2,"&lt;&gt;Exame",B2:I2,"&lt;&gt;exame",B2:I2,"&lt;&gt;Nota",B2:I2,"&lt;&gt;Total"),"")</f>
        <v/>
      </c>
      <c r="K885" s="2" t="str">
        <f>IF(AND(A885&lt;&gt;"",J885&lt;&gt;""),ROUND(J885,0),"")</f>
        <v/>
      </c>
    </row>
    <row r="886" spans="2:11" x14ac:dyDescent="0.3">
      <c r="B886" s="2" t="str">
        <f>IFERROR(IF(A886&lt;&gt;"",VLOOKUP(Alunos!A886,Exame!A3:D1000,4, FALSE),""), "")</f>
        <v/>
      </c>
      <c r="C886" s="2" t="str">
        <f>IF(A886&lt;&gt;"",VLOOKUP(Alunos!A886,Agrupamentos!A3:C1000,2, FALSE),"")</f>
        <v/>
      </c>
      <c r="D886" s="2" t="str">
        <f>IFERROR(IF(A886&lt;&gt;"",VLOOKUP(Alunos!C886,'TP1'!A3:E1000,5, FALSE),""),"")</f>
        <v/>
      </c>
      <c r="E886" s="2" t="str">
        <f>IF(A886&lt;&gt;"",VLOOKUP(Alunos!A886,Agrupamentos!A3:C1000,3, FALSE),"")</f>
        <v/>
      </c>
      <c r="F886" s="2" t="str">
        <f>IFERROR(IF(A886&lt;&gt;"",VLOOKUP(Alunos!E886,'TP2'!A3:D1000,4, FALSE),""),"")</f>
        <v/>
      </c>
      <c r="G886" s="2" t="str">
        <f>IF(A886&lt;&gt;"", SUMIF(B1:F1,"&lt;&gt;",B886:F886),"")</f>
        <v/>
      </c>
      <c r="H886" s="2" t="str">
        <f>IF(AND(A886&lt;&gt;"",G886&lt;&gt;""),ROUND(G886,0),"")</f>
        <v/>
      </c>
      <c r="I886" s="2" t="str">
        <f>IFERROR(IF(A886&lt;&gt;"",VLOOKUP(Alunos!A886,Recurso!A3:D1000,4, FALSE),""), "")</f>
        <v/>
      </c>
      <c r="J886" s="2" t="str">
        <f>IF(AND(A886&lt;&gt;"",I886&lt;&gt;""), SUMIFS(B886:I886,B1:I1,"&lt;&gt;",B2:I2,"&lt;&gt;Exame",B2:I2,"&lt;&gt;exame",B2:I2,"&lt;&gt;Nota",B2:I2,"&lt;&gt;Total"),"")</f>
        <v/>
      </c>
      <c r="K886" s="2" t="str">
        <f>IF(AND(A886&lt;&gt;"",J886&lt;&gt;""),ROUND(J886,0),"")</f>
        <v/>
      </c>
    </row>
    <row r="887" spans="2:11" x14ac:dyDescent="0.3">
      <c r="B887" s="2" t="str">
        <f>IFERROR(IF(A887&lt;&gt;"",VLOOKUP(Alunos!A887,Exame!A3:D1000,4, FALSE),""), "")</f>
        <v/>
      </c>
      <c r="C887" s="2" t="str">
        <f>IF(A887&lt;&gt;"",VLOOKUP(Alunos!A887,Agrupamentos!A3:C1000,2, FALSE),"")</f>
        <v/>
      </c>
      <c r="D887" s="2" t="str">
        <f>IFERROR(IF(A887&lt;&gt;"",VLOOKUP(Alunos!C887,'TP1'!A3:E1000,5, FALSE),""),"")</f>
        <v/>
      </c>
      <c r="E887" s="2" t="str">
        <f>IF(A887&lt;&gt;"",VLOOKUP(Alunos!A887,Agrupamentos!A3:C1000,3, FALSE),"")</f>
        <v/>
      </c>
      <c r="F887" s="2" t="str">
        <f>IFERROR(IF(A887&lt;&gt;"",VLOOKUP(Alunos!E887,'TP2'!A3:D1000,4, FALSE),""),"")</f>
        <v/>
      </c>
      <c r="G887" s="2" t="str">
        <f>IF(A887&lt;&gt;"", SUMIF(B1:F1,"&lt;&gt;",B887:F887),"")</f>
        <v/>
      </c>
      <c r="H887" s="2" t="str">
        <f>IF(AND(A887&lt;&gt;"",G887&lt;&gt;""),ROUND(G887,0),"")</f>
        <v/>
      </c>
      <c r="I887" s="2" t="str">
        <f>IFERROR(IF(A887&lt;&gt;"",VLOOKUP(Alunos!A887,Recurso!A3:D1000,4, FALSE),""), "")</f>
        <v/>
      </c>
      <c r="J887" s="2" t="str">
        <f>IF(AND(A887&lt;&gt;"",I887&lt;&gt;""), SUMIFS(B887:I887,B1:I1,"&lt;&gt;",B2:I2,"&lt;&gt;Exame",B2:I2,"&lt;&gt;exame",B2:I2,"&lt;&gt;Nota",B2:I2,"&lt;&gt;Total"),"")</f>
        <v/>
      </c>
      <c r="K887" s="2" t="str">
        <f>IF(AND(A887&lt;&gt;"",J887&lt;&gt;""),ROUND(J887,0),"")</f>
        <v/>
      </c>
    </row>
    <row r="888" spans="2:11" x14ac:dyDescent="0.3">
      <c r="B888" s="2" t="str">
        <f>IFERROR(IF(A888&lt;&gt;"",VLOOKUP(Alunos!A888,Exame!A3:D1000,4, FALSE),""), "")</f>
        <v/>
      </c>
      <c r="C888" s="2" t="str">
        <f>IF(A888&lt;&gt;"",VLOOKUP(Alunos!A888,Agrupamentos!A3:C1000,2, FALSE),"")</f>
        <v/>
      </c>
      <c r="D888" s="2" t="str">
        <f>IFERROR(IF(A888&lt;&gt;"",VLOOKUP(Alunos!C888,'TP1'!A3:E1000,5, FALSE),""),"")</f>
        <v/>
      </c>
      <c r="E888" s="2" t="str">
        <f>IF(A888&lt;&gt;"",VLOOKUP(Alunos!A888,Agrupamentos!A3:C1000,3, FALSE),"")</f>
        <v/>
      </c>
      <c r="F888" s="2" t="str">
        <f>IFERROR(IF(A888&lt;&gt;"",VLOOKUP(Alunos!E888,'TP2'!A3:D1000,4, FALSE),""),"")</f>
        <v/>
      </c>
      <c r="G888" s="2" t="str">
        <f>IF(A888&lt;&gt;"", SUMIF(B1:F1,"&lt;&gt;",B888:F888),"")</f>
        <v/>
      </c>
      <c r="H888" s="2" t="str">
        <f>IF(AND(A888&lt;&gt;"",G888&lt;&gt;""),ROUND(G888,0),"")</f>
        <v/>
      </c>
      <c r="I888" s="2" t="str">
        <f>IFERROR(IF(A888&lt;&gt;"",VLOOKUP(Alunos!A888,Recurso!A3:D1000,4, FALSE),""), "")</f>
        <v/>
      </c>
      <c r="J888" s="2" t="str">
        <f>IF(AND(A888&lt;&gt;"",I888&lt;&gt;""), SUMIFS(B888:I888,B1:I1,"&lt;&gt;",B2:I2,"&lt;&gt;Exame",B2:I2,"&lt;&gt;exame",B2:I2,"&lt;&gt;Nota",B2:I2,"&lt;&gt;Total"),"")</f>
        <v/>
      </c>
      <c r="K888" s="2" t="str">
        <f>IF(AND(A888&lt;&gt;"",J888&lt;&gt;""),ROUND(J888,0),"")</f>
        <v/>
      </c>
    </row>
    <row r="889" spans="2:11" x14ac:dyDescent="0.3">
      <c r="B889" s="2" t="str">
        <f>IFERROR(IF(A889&lt;&gt;"",VLOOKUP(Alunos!A889,Exame!A3:D1000,4, FALSE),""), "")</f>
        <v/>
      </c>
      <c r="C889" s="2" t="str">
        <f>IF(A889&lt;&gt;"",VLOOKUP(Alunos!A889,Agrupamentos!A3:C1000,2, FALSE),"")</f>
        <v/>
      </c>
      <c r="D889" s="2" t="str">
        <f>IFERROR(IF(A889&lt;&gt;"",VLOOKUP(Alunos!C889,'TP1'!A3:E1000,5, FALSE),""),"")</f>
        <v/>
      </c>
      <c r="E889" s="2" t="str">
        <f>IF(A889&lt;&gt;"",VLOOKUP(Alunos!A889,Agrupamentos!A3:C1000,3, FALSE),"")</f>
        <v/>
      </c>
      <c r="F889" s="2" t="str">
        <f>IFERROR(IF(A889&lt;&gt;"",VLOOKUP(Alunos!E889,'TP2'!A3:D1000,4, FALSE),""),"")</f>
        <v/>
      </c>
      <c r="G889" s="2" t="str">
        <f>IF(A889&lt;&gt;"", SUMIF(B1:F1,"&lt;&gt;",B889:F889),"")</f>
        <v/>
      </c>
      <c r="H889" s="2" t="str">
        <f>IF(AND(A889&lt;&gt;"",G889&lt;&gt;""),ROUND(G889,0),"")</f>
        <v/>
      </c>
      <c r="I889" s="2" t="str">
        <f>IFERROR(IF(A889&lt;&gt;"",VLOOKUP(Alunos!A889,Recurso!A3:D1000,4, FALSE),""), "")</f>
        <v/>
      </c>
      <c r="J889" s="2" t="str">
        <f>IF(AND(A889&lt;&gt;"",I889&lt;&gt;""), SUMIFS(B889:I889,B1:I1,"&lt;&gt;",B2:I2,"&lt;&gt;Exame",B2:I2,"&lt;&gt;exame",B2:I2,"&lt;&gt;Nota",B2:I2,"&lt;&gt;Total"),"")</f>
        <v/>
      </c>
      <c r="K889" s="2" t="str">
        <f>IF(AND(A889&lt;&gt;"",J889&lt;&gt;""),ROUND(J889,0),"")</f>
        <v/>
      </c>
    </row>
    <row r="890" spans="2:11" x14ac:dyDescent="0.3">
      <c r="B890" s="2" t="str">
        <f>IFERROR(IF(A890&lt;&gt;"",VLOOKUP(Alunos!A890,Exame!A3:D1000,4, FALSE),""), "")</f>
        <v/>
      </c>
      <c r="C890" s="2" t="str">
        <f>IF(A890&lt;&gt;"",VLOOKUP(Alunos!A890,Agrupamentos!A3:C1000,2, FALSE),"")</f>
        <v/>
      </c>
      <c r="D890" s="2" t="str">
        <f>IFERROR(IF(A890&lt;&gt;"",VLOOKUP(Alunos!C890,'TP1'!A3:E1000,5, FALSE),""),"")</f>
        <v/>
      </c>
      <c r="E890" s="2" t="str">
        <f>IF(A890&lt;&gt;"",VLOOKUP(Alunos!A890,Agrupamentos!A3:C1000,3, FALSE),"")</f>
        <v/>
      </c>
      <c r="F890" s="2" t="str">
        <f>IFERROR(IF(A890&lt;&gt;"",VLOOKUP(Alunos!E890,'TP2'!A3:D1000,4, FALSE),""),"")</f>
        <v/>
      </c>
      <c r="G890" s="2" t="str">
        <f>IF(A890&lt;&gt;"", SUMIF(B1:F1,"&lt;&gt;",B890:F890),"")</f>
        <v/>
      </c>
      <c r="H890" s="2" t="str">
        <f>IF(AND(A890&lt;&gt;"",G890&lt;&gt;""),ROUND(G890,0),"")</f>
        <v/>
      </c>
      <c r="I890" s="2" t="str">
        <f>IFERROR(IF(A890&lt;&gt;"",VLOOKUP(Alunos!A890,Recurso!A3:D1000,4, FALSE),""), "")</f>
        <v/>
      </c>
      <c r="J890" s="2" t="str">
        <f>IF(AND(A890&lt;&gt;"",I890&lt;&gt;""), SUMIFS(B890:I890,B1:I1,"&lt;&gt;",B2:I2,"&lt;&gt;Exame",B2:I2,"&lt;&gt;exame",B2:I2,"&lt;&gt;Nota",B2:I2,"&lt;&gt;Total"),"")</f>
        <v/>
      </c>
      <c r="K890" s="2" t="str">
        <f>IF(AND(A890&lt;&gt;"",J890&lt;&gt;""),ROUND(J890,0),"")</f>
        <v/>
      </c>
    </row>
    <row r="891" spans="2:11" x14ac:dyDescent="0.3">
      <c r="B891" s="2" t="str">
        <f>IFERROR(IF(A891&lt;&gt;"",VLOOKUP(Alunos!A891,Exame!A3:D1000,4, FALSE),""), "")</f>
        <v/>
      </c>
      <c r="C891" s="2" t="str">
        <f>IF(A891&lt;&gt;"",VLOOKUP(Alunos!A891,Agrupamentos!A3:C1000,2, FALSE),"")</f>
        <v/>
      </c>
      <c r="D891" s="2" t="str">
        <f>IFERROR(IF(A891&lt;&gt;"",VLOOKUP(Alunos!C891,'TP1'!A3:E1000,5, FALSE),""),"")</f>
        <v/>
      </c>
      <c r="E891" s="2" t="str">
        <f>IF(A891&lt;&gt;"",VLOOKUP(Alunos!A891,Agrupamentos!A3:C1000,3, FALSE),"")</f>
        <v/>
      </c>
      <c r="F891" s="2" t="str">
        <f>IFERROR(IF(A891&lt;&gt;"",VLOOKUP(Alunos!E891,'TP2'!A3:D1000,4, FALSE),""),"")</f>
        <v/>
      </c>
      <c r="G891" s="2" t="str">
        <f>IF(A891&lt;&gt;"", SUMIF(B1:F1,"&lt;&gt;",B891:F891),"")</f>
        <v/>
      </c>
      <c r="H891" s="2" t="str">
        <f>IF(AND(A891&lt;&gt;"",G891&lt;&gt;""),ROUND(G891,0),"")</f>
        <v/>
      </c>
      <c r="I891" s="2" t="str">
        <f>IFERROR(IF(A891&lt;&gt;"",VLOOKUP(Alunos!A891,Recurso!A3:D1000,4, FALSE),""), "")</f>
        <v/>
      </c>
      <c r="J891" s="2" t="str">
        <f>IF(AND(A891&lt;&gt;"",I891&lt;&gt;""), SUMIFS(B891:I891,B1:I1,"&lt;&gt;",B2:I2,"&lt;&gt;Exame",B2:I2,"&lt;&gt;exame",B2:I2,"&lt;&gt;Nota",B2:I2,"&lt;&gt;Total"),"")</f>
        <v/>
      </c>
      <c r="K891" s="2" t="str">
        <f>IF(AND(A891&lt;&gt;"",J891&lt;&gt;""),ROUND(J891,0),"")</f>
        <v/>
      </c>
    </row>
    <row r="892" spans="2:11" x14ac:dyDescent="0.3">
      <c r="B892" s="2" t="str">
        <f>IFERROR(IF(A892&lt;&gt;"",VLOOKUP(Alunos!A892,Exame!A3:D1000,4, FALSE),""), "")</f>
        <v/>
      </c>
      <c r="C892" s="2" t="str">
        <f>IF(A892&lt;&gt;"",VLOOKUP(Alunos!A892,Agrupamentos!A3:C1000,2, FALSE),"")</f>
        <v/>
      </c>
      <c r="D892" s="2" t="str">
        <f>IFERROR(IF(A892&lt;&gt;"",VLOOKUP(Alunos!C892,'TP1'!A3:E1000,5, FALSE),""),"")</f>
        <v/>
      </c>
      <c r="E892" s="2" t="str">
        <f>IF(A892&lt;&gt;"",VLOOKUP(Alunos!A892,Agrupamentos!A3:C1000,3, FALSE),"")</f>
        <v/>
      </c>
      <c r="F892" s="2" t="str">
        <f>IFERROR(IF(A892&lt;&gt;"",VLOOKUP(Alunos!E892,'TP2'!A3:D1000,4, FALSE),""),"")</f>
        <v/>
      </c>
      <c r="G892" s="2" t="str">
        <f>IF(A892&lt;&gt;"", SUMIF(B1:F1,"&lt;&gt;",B892:F892),"")</f>
        <v/>
      </c>
      <c r="H892" s="2" t="str">
        <f>IF(AND(A892&lt;&gt;"",G892&lt;&gt;""),ROUND(G892,0),"")</f>
        <v/>
      </c>
      <c r="I892" s="2" t="str">
        <f>IFERROR(IF(A892&lt;&gt;"",VLOOKUP(Alunos!A892,Recurso!A3:D1000,4, FALSE),""), "")</f>
        <v/>
      </c>
      <c r="J892" s="2" t="str">
        <f>IF(AND(A892&lt;&gt;"",I892&lt;&gt;""), SUMIFS(B892:I892,B1:I1,"&lt;&gt;",B2:I2,"&lt;&gt;Exame",B2:I2,"&lt;&gt;exame",B2:I2,"&lt;&gt;Nota",B2:I2,"&lt;&gt;Total"),"")</f>
        <v/>
      </c>
      <c r="K892" s="2" t="str">
        <f>IF(AND(A892&lt;&gt;"",J892&lt;&gt;""),ROUND(J892,0),"")</f>
        <v/>
      </c>
    </row>
    <row r="893" spans="2:11" x14ac:dyDescent="0.3">
      <c r="B893" s="2" t="str">
        <f>IFERROR(IF(A893&lt;&gt;"",VLOOKUP(Alunos!A893,Exame!A3:D1000,4, FALSE),""), "")</f>
        <v/>
      </c>
      <c r="C893" s="2" t="str">
        <f>IF(A893&lt;&gt;"",VLOOKUP(Alunos!A893,Agrupamentos!A3:C1000,2, FALSE),"")</f>
        <v/>
      </c>
      <c r="D893" s="2" t="str">
        <f>IFERROR(IF(A893&lt;&gt;"",VLOOKUP(Alunos!C893,'TP1'!A3:E1000,5, FALSE),""),"")</f>
        <v/>
      </c>
      <c r="E893" s="2" t="str">
        <f>IF(A893&lt;&gt;"",VLOOKUP(Alunos!A893,Agrupamentos!A3:C1000,3, FALSE),"")</f>
        <v/>
      </c>
      <c r="F893" s="2" t="str">
        <f>IFERROR(IF(A893&lt;&gt;"",VLOOKUP(Alunos!E893,'TP2'!A3:D1000,4, FALSE),""),"")</f>
        <v/>
      </c>
      <c r="G893" s="2" t="str">
        <f>IF(A893&lt;&gt;"", SUMIF(B1:F1,"&lt;&gt;",B893:F893),"")</f>
        <v/>
      </c>
      <c r="H893" s="2" t="str">
        <f>IF(AND(A893&lt;&gt;"",G893&lt;&gt;""),ROUND(G893,0),"")</f>
        <v/>
      </c>
      <c r="I893" s="2" t="str">
        <f>IFERROR(IF(A893&lt;&gt;"",VLOOKUP(Alunos!A893,Recurso!A3:D1000,4, FALSE),""), "")</f>
        <v/>
      </c>
      <c r="J893" s="2" t="str">
        <f>IF(AND(A893&lt;&gt;"",I893&lt;&gt;""), SUMIFS(B893:I893,B1:I1,"&lt;&gt;",B2:I2,"&lt;&gt;Exame",B2:I2,"&lt;&gt;exame",B2:I2,"&lt;&gt;Nota",B2:I2,"&lt;&gt;Total"),"")</f>
        <v/>
      </c>
      <c r="K893" s="2" t="str">
        <f>IF(AND(A893&lt;&gt;"",J893&lt;&gt;""),ROUND(J893,0),"")</f>
        <v/>
      </c>
    </row>
    <row r="894" spans="2:11" x14ac:dyDescent="0.3">
      <c r="B894" s="2" t="str">
        <f>IFERROR(IF(A894&lt;&gt;"",VLOOKUP(Alunos!A894,Exame!A3:D1000,4, FALSE),""), "")</f>
        <v/>
      </c>
      <c r="C894" s="2" t="str">
        <f>IF(A894&lt;&gt;"",VLOOKUP(Alunos!A894,Agrupamentos!A3:C1000,2, FALSE),"")</f>
        <v/>
      </c>
      <c r="D894" s="2" t="str">
        <f>IFERROR(IF(A894&lt;&gt;"",VLOOKUP(Alunos!C894,'TP1'!A3:E1000,5, FALSE),""),"")</f>
        <v/>
      </c>
      <c r="E894" s="2" t="str">
        <f>IF(A894&lt;&gt;"",VLOOKUP(Alunos!A894,Agrupamentos!A3:C1000,3, FALSE),"")</f>
        <v/>
      </c>
      <c r="F894" s="2" t="str">
        <f>IFERROR(IF(A894&lt;&gt;"",VLOOKUP(Alunos!E894,'TP2'!A3:D1000,4, FALSE),""),"")</f>
        <v/>
      </c>
      <c r="G894" s="2" t="str">
        <f>IF(A894&lt;&gt;"", SUMIF(B1:F1,"&lt;&gt;",B894:F894),"")</f>
        <v/>
      </c>
      <c r="H894" s="2" t="str">
        <f>IF(AND(A894&lt;&gt;"",G894&lt;&gt;""),ROUND(G894,0),"")</f>
        <v/>
      </c>
      <c r="I894" s="2" t="str">
        <f>IFERROR(IF(A894&lt;&gt;"",VLOOKUP(Alunos!A894,Recurso!A3:D1000,4, FALSE),""), "")</f>
        <v/>
      </c>
      <c r="J894" s="2" t="str">
        <f>IF(AND(A894&lt;&gt;"",I894&lt;&gt;""), SUMIFS(B894:I894,B1:I1,"&lt;&gt;",B2:I2,"&lt;&gt;Exame",B2:I2,"&lt;&gt;exame",B2:I2,"&lt;&gt;Nota",B2:I2,"&lt;&gt;Total"),"")</f>
        <v/>
      </c>
      <c r="K894" s="2" t="str">
        <f>IF(AND(A894&lt;&gt;"",J894&lt;&gt;""),ROUND(J894,0),"")</f>
        <v/>
      </c>
    </row>
    <row r="895" spans="2:11" x14ac:dyDescent="0.3">
      <c r="B895" s="2" t="str">
        <f>IFERROR(IF(A895&lt;&gt;"",VLOOKUP(Alunos!A895,Exame!A3:D1000,4, FALSE),""), "")</f>
        <v/>
      </c>
      <c r="C895" s="2" t="str">
        <f>IF(A895&lt;&gt;"",VLOOKUP(Alunos!A895,Agrupamentos!A3:C1000,2, FALSE),"")</f>
        <v/>
      </c>
      <c r="D895" s="2" t="str">
        <f>IFERROR(IF(A895&lt;&gt;"",VLOOKUP(Alunos!C895,'TP1'!A3:E1000,5, FALSE),""),"")</f>
        <v/>
      </c>
      <c r="E895" s="2" t="str">
        <f>IF(A895&lt;&gt;"",VLOOKUP(Alunos!A895,Agrupamentos!A3:C1000,3, FALSE),"")</f>
        <v/>
      </c>
      <c r="F895" s="2" t="str">
        <f>IFERROR(IF(A895&lt;&gt;"",VLOOKUP(Alunos!E895,'TP2'!A3:D1000,4, FALSE),""),"")</f>
        <v/>
      </c>
      <c r="G895" s="2" t="str">
        <f>IF(A895&lt;&gt;"", SUMIF(B1:F1,"&lt;&gt;",B895:F895),"")</f>
        <v/>
      </c>
      <c r="H895" s="2" t="str">
        <f>IF(AND(A895&lt;&gt;"",G895&lt;&gt;""),ROUND(G895,0),"")</f>
        <v/>
      </c>
      <c r="I895" s="2" t="str">
        <f>IFERROR(IF(A895&lt;&gt;"",VLOOKUP(Alunos!A895,Recurso!A3:D1000,4, FALSE),""), "")</f>
        <v/>
      </c>
      <c r="J895" s="2" t="str">
        <f>IF(AND(A895&lt;&gt;"",I895&lt;&gt;""), SUMIFS(B895:I895,B1:I1,"&lt;&gt;",B2:I2,"&lt;&gt;Exame",B2:I2,"&lt;&gt;exame",B2:I2,"&lt;&gt;Nota",B2:I2,"&lt;&gt;Total"),"")</f>
        <v/>
      </c>
      <c r="K895" s="2" t="str">
        <f>IF(AND(A895&lt;&gt;"",J895&lt;&gt;""),ROUND(J895,0),"")</f>
        <v/>
      </c>
    </row>
    <row r="896" spans="2:11" x14ac:dyDescent="0.3">
      <c r="B896" s="2" t="str">
        <f>IFERROR(IF(A896&lt;&gt;"",VLOOKUP(Alunos!A896,Exame!A3:D1000,4, FALSE),""), "")</f>
        <v/>
      </c>
      <c r="C896" s="2" t="str">
        <f>IF(A896&lt;&gt;"",VLOOKUP(Alunos!A896,Agrupamentos!A3:C1000,2, FALSE),"")</f>
        <v/>
      </c>
      <c r="D896" s="2" t="str">
        <f>IFERROR(IF(A896&lt;&gt;"",VLOOKUP(Alunos!C896,'TP1'!A3:E1000,5, FALSE),""),"")</f>
        <v/>
      </c>
      <c r="E896" s="2" t="str">
        <f>IF(A896&lt;&gt;"",VLOOKUP(Alunos!A896,Agrupamentos!A3:C1000,3, FALSE),"")</f>
        <v/>
      </c>
      <c r="F896" s="2" t="str">
        <f>IFERROR(IF(A896&lt;&gt;"",VLOOKUP(Alunos!E896,'TP2'!A3:D1000,4, FALSE),""),"")</f>
        <v/>
      </c>
      <c r="G896" s="2" t="str">
        <f>IF(A896&lt;&gt;"", SUMIF(B1:F1,"&lt;&gt;",B896:F896),"")</f>
        <v/>
      </c>
      <c r="H896" s="2" t="str">
        <f>IF(AND(A896&lt;&gt;"",G896&lt;&gt;""),ROUND(G896,0),"")</f>
        <v/>
      </c>
      <c r="I896" s="2" t="str">
        <f>IFERROR(IF(A896&lt;&gt;"",VLOOKUP(Alunos!A896,Recurso!A3:D1000,4, FALSE),""), "")</f>
        <v/>
      </c>
      <c r="J896" s="2" t="str">
        <f>IF(AND(A896&lt;&gt;"",I896&lt;&gt;""), SUMIFS(B896:I896,B1:I1,"&lt;&gt;",B2:I2,"&lt;&gt;Exame",B2:I2,"&lt;&gt;exame",B2:I2,"&lt;&gt;Nota",B2:I2,"&lt;&gt;Total"),"")</f>
        <v/>
      </c>
      <c r="K896" s="2" t="str">
        <f>IF(AND(A896&lt;&gt;"",J896&lt;&gt;""),ROUND(J896,0),"")</f>
        <v/>
      </c>
    </row>
    <row r="897" spans="2:11" x14ac:dyDescent="0.3">
      <c r="B897" s="2" t="str">
        <f>IFERROR(IF(A897&lt;&gt;"",VLOOKUP(Alunos!A897,Exame!A3:D1000,4, FALSE),""), "")</f>
        <v/>
      </c>
      <c r="C897" s="2" t="str">
        <f>IF(A897&lt;&gt;"",VLOOKUP(Alunos!A897,Agrupamentos!A3:C1000,2, FALSE),"")</f>
        <v/>
      </c>
      <c r="D897" s="2" t="str">
        <f>IFERROR(IF(A897&lt;&gt;"",VLOOKUP(Alunos!C897,'TP1'!A3:E1000,5, FALSE),""),"")</f>
        <v/>
      </c>
      <c r="E897" s="2" t="str">
        <f>IF(A897&lt;&gt;"",VLOOKUP(Alunos!A897,Agrupamentos!A3:C1000,3, FALSE),"")</f>
        <v/>
      </c>
      <c r="F897" s="2" t="str">
        <f>IFERROR(IF(A897&lt;&gt;"",VLOOKUP(Alunos!E897,'TP2'!A3:D1000,4, FALSE),""),"")</f>
        <v/>
      </c>
      <c r="G897" s="2" t="str">
        <f>IF(A897&lt;&gt;"", SUMIF(B1:F1,"&lt;&gt;",B897:F897),"")</f>
        <v/>
      </c>
      <c r="H897" s="2" t="str">
        <f>IF(AND(A897&lt;&gt;"",G897&lt;&gt;""),ROUND(G897,0),"")</f>
        <v/>
      </c>
      <c r="I897" s="2" t="str">
        <f>IFERROR(IF(A897&lt;&gt;"",VLOOKUP(Alunos!A897,Recurso!A3:D1000,4, FALSE),""), "")</f>
        <v/>
      </c>
      <c r="J897" s="2" t="str">
        <f>IF(AND(A897&lt;&gt;"",I897&lt;&gt;""), SUMIFS(B897:I897,B1:I1,"&lt;&gt;",B2:I2,"&lt;&gt;Exame",B2:I2,"&lt;&gt;exame",B2:I2,"&lt;&gt;Nota",B2:I2,"&lt;&gt;Total"),"")</f>
        <v/>
      </c>
      <c r="K897" s="2" t="str">
        <f>IF(AND(A897&lt;&gt;"",J897&lt;&gt;""),ROUND(J897,0),"")</f>
        <v/>
      </c>
    </row>
    <row r="898" spans="2:11" x14ac:dyDescent="0.3">
      <c r="B898" s="2" t="str">
        <f>IFERROR(IF(A898&lt;&gt;"",VLOOKUP(Alunos!A898,Exame!A3:D1000,4, FALSE),""), "")</f>
        <v/>
      </c>
      <c r="C898" s="2" t="str">
        <f>IF(A898&lt;&gt;"",VLOOKUP(Alunos!A898,Agrupamentos!A3:C1000,2, FALSE),"")</f>
        <v/>
      </c>
      <c r="D898" s="2" t="str">
        <f>IFERROR(IF(A898&lt;&gt;"",VLOOKUP(Alunos!C898,'TP1'!A3:E1000,5, FALSE),""),"")</f>
        <v/>
      </c>
      <c r="E898" s="2" t="str">
        <f>IF(A898&lt;&gt;"",VLOOKUP(Alunos!A898,Agrupamentos!A3:C1000,3, FALSE),"")</f>
        <v/>
      </c>
      <c r="F898" s="2" t="str">
        <f>IFERROR(IF(A898&lt;&gt;"",VLOOKUP(Alunos!E898,'TP2'!A3:D1000,4, FALSE),""),"")</f>
        <v/>
      </c>
      <c r="G898" s="2" t="str">
        <f>IF(A898&lt;&gt;"", SUMIF(B1:F1,"&lt;&gt;",B898:F898),"")</f>
        <v/>
      </c>
      <c r="H898" s="2" t="str">
        <f>IF(AND(A898&lt;&gt;"",G898&lt;&gt;""),ROUND(G898,0),"")</f>
        <v/>
      </c>
      <c r="I898" s="2" t="str">
        <f>IFERROR(IF(A898&lt;&gt;"",VLOOKUP(Alunos!A898,Recurso!A3:D1000,4, FALSE),""), "")</f>
        <v/>
      </c>
      <c r="J898" s="2" t="str">
        <f>IF(AND(A898&lt;&gt;"",I898&lt;&gt;""), SUMIFS(B898:I898,B1:I1,"&lt;&gt;",B2:I2,"&lt;&gt;Exame",B2:I2,"&lt;&gt;exame",B2:I2,"&lt;&gt;Nota",B2:I2,"&lt;&gt;Total"),"")</f>
        <v/>
      </c>
      <c r="K898" s="2" t="str">
        <f>IF(AND(A898&lt;&gt;"",J898&lt;&gt;""),ROUND(J898,0),"")</f>
        <v/>
      </c>
    </row>
    <row r="899" spans="2:11" x14ac:dyDescent="0.3">
      <c r="B899" s="2" t="str">
        <f>IFERROR(IF(A899&lt;&gt;"",VLOOKUP(Alunos!A899,Exame!A3:D1000,4, FALSE),""), "")</f>
        <v/>
      </c>
      <c r="C899" s="2" t="str">
        <f>IF(A899&lt;&gt;"",VLOOKUP(Alunos!A899,Agrupamentos!A3:C1000,2, FALSE),"")</f>
        <v/>
      </c>
      <c r="D899" s="2" t="str">
        <f>IFERROR(IF(A899&lt;&gt;"",VLOOKUP(Alunos!C899,'TP1'!A3:E1000,5, FALSE),""),"")</f>
        <v/>
      </c>
      <c r="E899" s="2" t="str">
        <f>IF(A899&lt;&gt;"",VLOOKUP(Alunos!A899,Agrupamentos!A3:C1000,3, FALSE),"")</f>
        <v/>
      </c>
      <c r="F899" s="2" t="str">
        <f>IFERROR(IF(A899&lt;&gt;"",VLOOKUP(Alunos!E899,'TP2'!A3:D1000,4, FALSE),""),"")</f>
        <v/>
      </c>
      <c r="G899" s="2" t="str">
        <f>IF(A899&lt;&gt;"", SUMIF(B1:F1,"&lt;&gt;",B899:F899),"")</f>
        <v/>
      </c>
      <c r="H899" s="2" t="str">
        <f>IF(AND(A899&lt;&gt;"",G899&lt;&gt;""),ROUND(G899,0),"")</f>
        <v/>
      </c>
      <c r="I899" s="2" t="str">
        <f>IFERROR(IF(A899&lt;&gt;"",VLOOKUP(Alunos!A899,Recurso!A3:D1000,4, FALSE),""), "")</f>
        <v/>
      </c>
      <c r="J899" s="2" t="str">
        <f>IF(AND(A899&lt;&gt;"",I899&lt;&gt;""), SUMIFS(B899:I899,B1:I1,"&lt;&gt;",B2:I2,"&lt;&gt;Exame",B2:I2,"&lt;&gt;exame",B2:I2,"&lt;&gt;Nota",B2:I2,"&lt;&gt;Total"),"")</f>
        <v/>
      </c>
      <c r="K899" s="2" t="str">
        <f>IF(AND(A899&lt;&gt;"",J899&lt;&gt;""),ROUND(J899,0),"")</f>
        <v/>
      </c>
    </row>
    <row r="900" spans="2:11" x14ac:dyDescent="0.3">
      <c r="B900" s="2" t="str">
        <f>IFERROR(IF(A900&lt;&gt;"",VLOOKUP(Alunos!A900,Exame!A3:D1000,4, FALSE),""), "")</f>
        <v/>
      </c>
      <c r="C900" s="2" t="str">
        <f>IF(A900&lt;&gt;"",VLOOKUP(Alunos!A900,Agrupamentos!A3:C1000,2, FALSE),"")</f>
        <v/>
      </c>
      <c r="D900" s="2" t="str">
        <f>IFERROR(IF(A900&lt;&gt;"",VLOOKUP(Alunos!C900,'TP1'!A3:E1000,5, FALSE),""),"")</f>
        <v/>
      </c>
      <c r="E900" s="2" t="str">
        <f>IF(A900&lt;&gt;"",VLOOKUP(Alunos!A900,Agrupamentos!A3:C1000,3, FALSE),"")</f>
        <v/>
      </c>
      <c r="F900" s="2" t="str">
        <f>IFERROR(IF(A900&lt;&gt;"",VLOOKUP(Alunos!E900,'TP2'!A3:D1000,4, FALSE),""),"")</f>
        <v/>
      </c>
      <c r="G900" s="2" t="str">
        <f>IF(A900&lt;&gt;"", SUMIF(B1:F1,"&lt;&gt;",B900:F900),"")</f>
        <v/>
      </c>
      <c r="H900" s="2" t="str">
        <f>IF(AND(A900&lt;&gt;"",G900&lt;&gt;""),ROUND(G900,0),"")</f>
        <v/>
      </c>
      <c r="I900" s="2" t="str">
        <f>IFERROR(IF(A900&lt;&gt;"",VLOOKUP(Alunos!A900,Recurso!A3:D1000,4, FALSE),""), "")</f>
        <v/>
      </c>
      <c r="J900" s="2" t="str">
        <f>IF(AND(A900&lt;&gt;"",I900&lt;&gt;""), SUMIFS(B900:I900,B1:I1,"&lt;&gt;",B2:I2,"&lt;&gt;Exame",B2:I2,"&lt;&gt;exame",B2:I2,"&lt;&gt;Nota",B2:I2,"&lt;&gt;Total"),"")</f>
        <v/>
      </c>
      <c r="K900" s="2" t="str">
        <f>IF(AND(A900&lt;&gt;"",J900&lt;&gt;""),ROUND(J900,0),"")</f>
        <v/>
      </c>
    </row>
    <row r="901" spans="2:11" x14ac:dyDescent="0.3">
      <c r="B901" s="2" t="str">
        <f>IFERROR(IF(A901&lt;&gt;"",VLOOKUP(Alunos!A901,Exame!A3:D1000,4, FALSE),""), "")</f>
        <v/>
      </c>
      <c r="C901" s="2" t="str">
        <f>IF(A901&lt;&gt;"",VLOOKUP(Alunos!A901,Agrupamentos!A3:C1000,2, FALSE),"")</f>
        <v/>
      </c>
      <c r="D901" s="2" t="str">
        <f>IFERROR(IF(A901&lt;&gt;"",VLOOKUP(Alunos!C901,'TP1'!A3:E1000,5, FALSE),""),"")</f>
        <v/>
      </c>
      <c r="E901" s="2" t="str">
        <f>IF(A901&lt;&gt;"",VLOOKUP(Alunos!A901,Agrupamentos!A3:C1000,3, FALSE),"")</f>
        <v/>
      </c>
      <c r="F901" s="2" t="str">
        <f>IFERROR(IF(A901&lt;&gt;"",VLOOKUP(Alunos!E901,'TP2'!A3:D1000,4, FALSE),""),"")</f>
        <v/>
      </c>
      <c r="G901" s="2" t="str">
        <f>IF(A901&lt;&gt;"", SUMIF(B1:F1,"&lt;&gt;",B901:F901),"")</f>
        <v/>
      </c>
      <c r="H901" s="2" t="str">
        <f>IF(AND(A901&lt;&gt;"",G901&lt;&gt;""),ROUND(G901,0),"")</f>
        <v/>
      </c>
      <c r="I901" s="2" t="str">
        <f>IFERROR(IF(A901&lt;&gt;"",VLOOKUP(Alunos!A901,Recurso!A3:D1000,4, FALSE),""), "")</f>
        <v/>
      </c>
      <c r="J901" s="2" t="str">
        <f>IF(AND(A901&lt;&gt;"",I901&lt;&gt;""), SUMIFS(B901:I901,B1:I1,"&lt;&gt;",B2:I2,"&lt;&gt;Exame",B2:I2,"&lt;&gt;exame",B2:I2,"&lt;&gt;Nota",B2:I2,"&lt;&gt;Total"),"")</f>
        <v/>
      </c>
      <c r="K901" s="2" t="str">
        <f>IF(AND(A901&lt;&gt;"",J901&lt;&gt;""),ROUND(J901,0),"")</f>
        <v/>
      </c>
    </row>
    <row r="902" spans="2:11" x14ac:dyDescent="0.3">
      <c r="B902" s="2" t="str">
        <f>IFERROR(IF(A902&lt;&gt;"",VLOOKUP(Alunos!A902,Exame!A3:D1000,4, FALSE),""), "")</f>
        <v/>
      </c>
      <c r="C902" s="2" t="str">
        <f>IF(A902&lt;&gt;"",VLOOKUP(Alunos!A902,Agrupamentos!A3:C1000,2, FALSE),"")</f>
        <v/>
      </c>
      <c r="D902" s="2" t="str">
        <f>IFERROR(IF(A902&lt;&gt;"",VLOOKUP(Alunos!C902,'TP1'!A3:E1000,5, FALSE),""),"")</f>
        <v/>
      </c>
      <c r="E902" s="2" t="str">
        <f>IF(A902&lt;&gt;"",VLOOKUP(Alunos!A902,Agrupamentos!A3:C1000,3, FALSE),"")</f>
        <v/>
      </c>
      <c r="F902" s="2" t="str">
        <f>IFERROR(IF(A902&lt;&gt;"",VLOOKUP(Alunos!E902,'TP2'!A3:D1000,4, FALSE),""),"")</f>
        <v/>
      </c>
      <c r="G902" s="2" t="str">
        <f>IF(A902&lt;&gt;"", SUMIF(B1:F1,"&lt;&gt;",B902:F902),"")</f>
        <v/>
      </c>
      <c r="H902" s="2" t="str">
        <f>IF(AND(A902&lt;&gt;"",G902&lt;&gt;""),ROUND(G902,0),"")</f>
        <v/>
      </c>
      <c r="I902" s="2" t="str">
        <f>IFERROR(IF(A902&lt;&gt;"",VLOOKUP(Alunos!A902,Recurso!A3:D1000,4, FALSE),""), "")</f>
        <v/>
      </c>
      <c r="J902" s="2" t="str">
        <f>IF(AND(A902&lt;&gt;"",I902&lt;&gt;""), SUMIFS(B902:I902,B1:I1,"&lt;&gt;",B2:I2,"&lt;&gt;Exame",B2:I2,"&lt;&gt;exame",B2:I2,"&lt;&gt;Nota",B2:I2,"&lt;&gt;Total"),"")</f>
        <v/>
      </c>
      <c r="K902" s="2" t="str">
        <f>IF(AND(A902&lt;&gt;"",J902&lt;&gt;""),ROUND(J902,0),"")</f>
        <v/>
      </c>
    </row>
    <row r="903" spans="2:11" x14ac:dyDescent="0.3">
      <c r="B903" s="2" t="str">
        <f>IFERROR(IF(A903&lt;&gt;"",VLOOKUP(Alunos!A903,Exame!A3:D1000,4, FALSE),""), "")</f>
        <v/>
      </c>
      <c r="C903" s="2" t="str">
        <f>IF(A903&lt;&gt;"",VLOOKUP(Alunos!A903,Agrupamentos!A3:C1000,2, FALSE),"")</f>
        <v/>
      </c>
      <c r="D903" s="2" t="str">
        <f>IFERROR(IF(A903&lt;&gt;"",VLOOKUP(Alunos!C903,'TP1'!A3:E1000,5, FALSE),""),"")</f>
        <v/>
      </c>
      <c r="E903" s="2" t="str">
        <f>IF(A903&lt;&gt;"",VLOOKUP(Alunos!A903,Agrupamentos!A3:C1000,3, FALSE),"")</f>
        <v/>
      </c>
      <c r="F903" s="2" t="str">
        <f>IFERROR(IF(A903&lt;&gt;"",VLOOKUP(Alunos!E903,'TP2'!A3:D1000,4, FALSE),""),"")</f>
        <v/>
      </c>
      <c r="G903" s="2" t="str">
        <f>IF(A903&lt;&gt;"", SUMIF(B1:F1,"&lt;&gt;",B903:F903),"")</f>
        <v/>
      </c>
      <c r="H903" s="2" t="str">
        <f>IF(AND(A903&lt;&gt;"",G903&lt;&gt;""),ROUND(G903,0),"")</f>
        <v/>
      </c>
      <c r="I903" s="2" t="str">
        <f>IFERROR(IF(A903&lt;&gt;"",VLOOKUP(Alunos!A903,Recurso!A3:D1000,4, FALSE),""), "")</f>
        <v/>
      </c>
      <c r="J903" s="2" t="str">
        <f>IF(AND(A903&lt;&gt;"",I903&lt;&gt;""), SUMIFS(B903:I903,B1:I1,"&lt;&gt;",B2:I2,"&lt;&gt;Exame",B2:I2,"&lt;&gt;exame",B2:I2,"&lt;&gt;Nota",B2:I2,"&lt;&gt;Total"),"")</f>
        <v/>
      </c>
      <c r="K903" s="2" t="str">
        <f>IF(AND(A903&lt;&gt;"",J903&lt;&gt;""),ROUND(J903,0),"")</f>
        <v/>
      </c>
    </row>
    <row r="904" spans="2:11" x14ac:dyDescent="0.3">
      <c r="B904" s="2" t="str">
        <f>IFERROR(IF(A904&lt;&gt;"",VLOOKUP(Alunos!A904,Exame!A3:D1000,4, FALSE),""), "")</f>
        <v/>
      </c>
      <c r="C904" s="2" t="str">
        <f>IF(A904&lt;&gt;"",VLOOKUP(Alunos!A904,Agrupamentos!A3:C1000,2, FALSE),"")</f>
        <v/>
      </c>
      <c r="D904" s="2" t="str">
        <f>IFERROR(IF(A904&lt;&gt;"",VLOOKUP(Alunos!C904,'TP1'!A3:E1000,5, FALSE),""),"")</f>
        <v/>
      </c>
      <c r="E904" s="2" t="str">
        <f>IF(A904&lt;&gt;"",VLOOKUP(Alunos!A904,Agrupamentos!A3:C1000,3, FALSE),"")</f>
        <v/>
      </c>
      <c r="F904" s="2" t="str">
        <f>IFERROR(IF(A904&lt;&gt;"",VLOOKUP(Alunos!E904,'TP2'!A3:D1000,4, FALSE),""),"")</f>
        <v/>
      </c>
      <c r="G904" s="2" t="str">
        <f>IF(A904&lt;&gt;"", SUMIF(B1:F1,"&lt;&gt;",B904:F904),"")</f>
        <v/>
      </c>
      <c r="H904" s="2" t="str">
        <f>IF(AND(A904&lt;&gt;"",G904&lt;&gt;""),ROUND(G904,0),"")</f>
        <v/>
      </c>
      <c r="I904" s="2" t="str">
        <f>IFERROR(IF(A904&lt;&gt;"",VLOOKUP(Alunos!A904,Recurso!A3:D1000,4, FALSE),""), "")</f>
        <v/>
      </c>
      <c r="J904" s="2" t="str">
        <f>IF(AND(A904&lt;&gt;"",I904&lt;&gt;""), SUMIFS(B904:I904,B1:I1,"&lt;&gt;",B2:I2,"&lt;&gt;Exame",B2:I2,"&lt;&gt;exame",B2:I2,"&lt;&gt;Nota",B2:I2,"&lt;&gt;Total"),"")</f>
        <v/>
      </c>
      <c r="K904" s="2" t="str">
        <f>IF(AND(A904&lt;&gt;"",J904&lt;&gt;""),ROUND(J904,0),"")</f>
        <v/>
      </c>
    </row>
    <row r="905" spans="2:11" x14ac:dyDescent="0.3">
      <c r="B905" s="2" t="str">
        <f>IFERROR(IF(A905&lt;&gt;"",VLOOKUP(Alunos!A905,Exame!A3:D1000,4, FALSE),""), "")</f>
        <v/>
      </c>
      <c r="C905" s="2" t="str">
        <f>IF(A905&lt;&gt;"",VLOOKUP(Alunos!A905,Agrupamentos!A3:C1000,2, FALSE),"")</f>
        <v/>
      </c>
      <c r="D905" s="2" t="str">
        <f>IFERROR(IF(A905&lt;&gt;"",VLOOKUP(Alunos!C905,'TP1'!A3:E1000,5, FALSE),""),"")</f>
        <v/>
      </c>
      <c r="E905" s="2" t="str">
        <f>IF(A905&lt;&gt;"",VLOOKUP(Alunos!A905,Agrupamentos!A3:C1000,3, FALSE),"")</f>
        <v/>
      </c>
      <c r="F905" s="2" t="str">
        <f>IFERROR(IF(A905&lt;&gt;"",VLOOKUP(Alunos!E905,'TP2'!A3:D1000,4, FALSE),""),"")</f>
        <v/>
      </c>
      <c r="G905" s="2" t="str">
        <f>IF(A905&lt;&gt;"", SUMIF(B1:F1,"&lt;&gt;",B905:F905),"")</f>
        <v/>
      </c>
      <c r="H905" s="2" t="str">
        <f>IF(AND(A905&lt;&gt;"",G905&lt;&gt;""),ROUND(G905,0),"")</f>
        <v/>
      </c>
      <c r="I905" s="2" t="str">
        <f>IFERROR(IF(A905&lt;&gt;"",VLOOKUP(Alunos!A905,Recurso!A3:D1000,4, FALSE),""), "")</f>
        <v/>
      </c>
      <c r="J905" s="2" t="str">
        <f>IF(AND(A905&lt;&gt;"",I905&lt;&gt;""), SUMIFS(B905:I905,B1:I1,"&lt;&gt;",B2:I2,"&lt;&gt;Exame",B2:I2,"&lt;&gt;exame",B2:I2,"&lt;&gt;Nota",B2:I2,"&lt;&gt;Total"),"")</f>
        <v/>
      </c>
      <c r="K905" s="2" t="str">
        <f>IF(AND(A905&lt;&gt;"",J905&lt;&gt;""),ROUND(J905,0),"")</f>
        <v/>
      </c>
    </row>
    <row r="906" spans="2:11" x14ac:dyDescent="0.3">
      <c r="B906" s="2" t="str">
        <f>IFERROR(IF(A906&lt;&gt;"",VLOOKUP(Alunos!A906,Exame!A3:D1000,4, FALSE),""), "")</f>
        <v/>
      </c>
      <c r="C906" s="2" t="str">
        <f>IF(A906&lt;&gt;"",VLOOKUP(Alunos!A906,Agrupamentos!A3:C1000,2, FALSE),"")</f>
        <v/>
      </c>
      <c r="D906" s="2" t="str">
        <f>IFERROR(IF(A906&lt;&gt;"",VLOOKUP(Alunos!C906,'TP1'!A3:E1000,5, FALSE),""),"")</f>
        <v/>
      </c>
      <c r="E906" s="2" t="str">
        <f>IF(A906&lt;&gt;"",VLOOKUP(Alunos!A906,Agrupamentos!A3:C1000,3, FALSE),"")</f>
        <v/>
      </c>
      <c r="F906" s="2" t="str">
        <f>IFERROR(IF(A906&lt;&gt;"",VLOOKUP(Alunos!E906,'TP2'!A3:D1000,4, FALSE),""),"")</f>
        <v/>
      </c>
      <c r="G906" s="2" t="str">
        <f>IF(A906&lt;&gt;"", SUMIF(B1:F1,"&lt;&gt;",B906:F906),"")</f>
        <v/>
      </c>
      <c r="H906" s="2" t="str">
        <f>IF(AND(A906&lt;&gt;"",G906&lt;&gt;""),ROUND(G906,0),"")</f>
        <v/>
      </c>
      <c r="I906" s="2" t="str">
        <f>IFERROR(IF(A906&lt;&gt;"",VLOOKUP(Alunos!A906,Recurso!A3:D1000,4, FALSE),""), "")</f>
        <v/>
      </c>
      <c r="J906" s="2" t="str">
        <f>IF(AND(A906&lt;&gt;"",I906&lt;&gt;""), SUMIFS(B906:I906,B1:I1,"&lt;&gt;",B2:I2,"&lt;&gt;Exame",B2:I2,"&lt;&gt;exame",B2:I2,"&lt;&gt;Nota",B2:I2,"&lt;&gt;Total"),"")</f>
        <v/>
      </c>
      <c r="K906" s="2" t="str">
        <f>IF(AND(A906&lt;&gt;"",J906&lt;&gt;""),ROUND(J906,0),"")</f>
        <v/>
      </c>
    </row>
    <row r="907" spans="2:11" x14ac:dyDescent="0.3">
      <c r="B907" s="2" t="str">
        <f>IFERROR(IF(A907&lt;&gt;"",VLOOKUP(Alunos!A907,Exame!A3:D1000,4, FALSE),""), "")</f>
        <v/>
      </c>
      <c r="C907" s="2" t="str">
        <f>IF(A907&lt;&gt;"",VLOOKUP(Alunos!A907,Agrupamentos!A3:C1000,2, FALSE),"")</f>
        <v/>
      </c>
      <c r="D907" s="2" t="str">
        <f>IFERROR(IF(A907&lt;&gt;"",VLOOKUP(Alunos!C907,'TP1'!A3:E1000,5, FALSE),""),"")</f>
        <v/>
      </c>
      <c r="E907" s="2" t="str">
        <f>IF(A907&lt;&gt;"",VLOOKUP(Alunos!A907,Agrupamentos!A3:C1000,3, FALSE),"")</f>
        <v/>
      </c>
      <c r="F907" s="2" t="str">
        <f>IFERROR(IF(A907&lt;&gt;"",VLOOKUP(Alunos!E907,'TP2'!A3:D1000,4, FALSE),""),"")</f>
        <v/>
      </c>
      <c r="G907" s="2" t="str">
        <f>IF(A907&lt;&gt;"", SUMIF(B1:F1,"&lt;&gt;",B907:F907),"")</f>
        <v/>
      </c>
      <c r="H907" s="2" t="str">
        <f>IF(AND(A907&lt;&gt;"",G907&lt;&gt;""),ROUND(G907,0),"")</f>
        <v/>
      </c>
      <c r="I907" s="2" t="str">
        <f>IFERROR(IF(A907&lt;&gt;"",VLOOKUP(Alunos!A907,Recurso!A3:D1000,4, FALSE),""), "")</f>
        <v/>
      </c>
      <c r="J907" s="2" t="str">
        <f>IF(AND(A907&lt;&gt;"",I907&lt;&gt;""), SUMIFS(B907:I907,B1:I1,"&lt;&gt;",B2:I2,"&lt;&gt;Exame",B2:I2,"&lt;&gt;exame",B2:I2,"&lt;&gt;Nota",B2:I2,"&lt;&gt;Total"),"")</f>
        <v/>
      </c>
      <c r="K907" s="2" t="str">
        <f>IF(AND(A907&lt;&gt;"",J907&lt;&gt;""),ROUND(J907,0),"")</f>
        <v/>
      </c>
    </row>
    <row r="908" spans="2:11" x14ac:dyDescent="0.3">
      <c r="B908" s="2" t="str">
        <f>IFERROR(IF(A908&lt;&gt;"",VLOOKUP(Alunos!A908,Exame!A3:D1000,4, FALSE),""), "")</f>
        <v/>
      </c>
      <c r="C908" s="2" t="str">
        <f>IF(A908&lt;&gt;"",VLOOKUP(Alunos!A908,Agrupamentos!A3:C1000,2, FALSE),"")</f>
        <v/>
      </c>
      <c r="D908" s="2" t="str">
        <f>IFERROR(IF(A908&lt;&gt;"",VLOOKUP(Alunos!C908,'TP1'!A3:E1000,5, FALSE),""),"")</f>
        <v/>
      </c>
      <c r="E908" s="2" t="str">
        <f>IF(A908&lt;&gt;"",VLOOKUP(Alunos!A908,Agrupamentos!A3:C1000,3, FALSE),"")</f>
        <v/>
      </c>
      <c r="F908" s="2" t="str">
        <f>IFERROR(IF(A908&lt;&gt;"",VLOOKUP(Alunos!E908,'TP2'!A3:D1000,4, FALSE),""),"")</f>
        <v/>
      </c>
      <c r="G908" s="2" t="str">
        <f>IF(A908&lt;&gt;"", SUMIF(B1:F1,"&lt;&gt;",B908:F908),"")</f>
        <v/>
      </c>
      <c r="H908" s="2" t="str">
        <f>IF(AND(A908&lt;&gt;"",G908&lt;&gt;""),ROUND(G908,0),"")</f>
        <v/>
      </c>
      <c r="I908" s="2" t="str">
        <f>IFERROR(IF(A908&lt;&gt;"",VLOOKUP(Alunos!A908,Recurso!A3:D1000,4, FALSE),""), "")</f>
        <v/>
      </c>
      <c r="J908" s="2" t="str">
        <f>IF(AND(A908&lt;&gt;"",I908&lt;&gt;""), SUMIFS(B908:I908,B1:I1,"&lt;&gt;",B2:I2,"&lt;&gt;Exame",B2:I2,"&lt;&gt;exame",B2:I2,"&lt;&gt;Nota",B2:I2,"&lt;&gt;Total"),"")</f>
        <v/>
      </c>
      <c r="K908" s="2" t="str">
        <f>IF(AND(A908&lt;&gt;"",J908&lt;&gt;""),ROUND(J908,0),"")</f>
        <v/>
      </c>
    </row>
    <row r="909" spans="2:11" x14ac:dyDescent="0.3">
      <c r="B909" s="2" t="str">
        <f>IFERROR(IF(A909&lt;&gt;"",VLOOKUP(Alunos!A909,Exame!A3:D1000,4, FALSE),""), "")</f>
        <v/>
      </c>
      <c r="C909" s="2" t="str">
        <f>IF(A909&lt;&gt;"",VLOOKUP(Alunos!A909,Agrupamentos!A3:C1000,2, FALSE),"")</f>
        <v/>
      </c>
      <c r="D909" s="2" t="str">
        <f>IFERROR(IF(A909&lt;&gt;"",VLOOKUP(Alunos!C909,'TP1'!A3:E1000,5, FALSE),""),"")</f>
        <v/>
      </c>
      <c r="E909" s="2" t="str">
        <f>IF(A909&lt;&gt;"",VLOOKUP(Alunos!A909,Agrupamentos!A3:C1000,3, FALSE),"")</f>
        <v/>
      </c>
      <c r="F909" s="2" t="str">
        <f>IFERROR(IF(A909&lt;&gt;"",VLOOKUP(Alunos!E909,'TP2'!A3:D1000,4, FALSE),""),"")</f>
        <v/>
      </c>
      <c r="G909" s="2" t="str">
        <f>IF(A909&lt;&gt;"", SUMIF(B1:F1,"&lt;&gt;",B909:F909),"")</f>
        <v/>
      </c>
      <c r="H909" s="2" t="str">
        <f>IF(AND(A909&lt;&gt;"",G909&lt;&gt;""),ROUND(G909,0),"")</f>
        <v/>
      </c>
      <c r="I909" s="2" t="str">
        <f>IFERROR(IF(A909&lt;&gt;"",VLOOKUP(Alunos!A909,Recurso!A3:D1000,4, FALSE),""), "")</f>
        <v/>
      </c>
      <c r="J909" s="2" t="str">
        <f>IF(AND(A909&lt;&gt;"",I909&lt;&gt;""), SUMIFS(B909:I909,B1:I1,"&lt;&gt;",B2:I2,"&lt;&gt;Exame",B2:I2,"&lt;&gt;exame",B2:I2,"&lt;&gt;Nota",B2:I2,"&lt;&gt;Total"),"")</f>
        <v/>
      </c>
      <c r="K909" s="2" t="str">
        <f>IF(AND(A909&lt;&gt;"",J909&lt;&gt;""),ROUND(J909,0),"")</f>
        <v/>
      </c>
    </row>
    <row r="910" spans="2:11" x14ac:dyDescent="0.3">
      <c r="B910" s="2" t="str">
        <f>IFERROR(IF(A910&lt;&gt;"",VLOOKUP(Alunos!A910,Exame!A3:D1000,4, FALSE),""), "")</f>
        <v/>
      </c>
      <c r="C910" s="2" t="str">
        <f>IF(A910&lt;&gt;"",VLOOKUP(Alunos!A910,Agrupamentos!A3:C1000,2, FALSE),"")</f>
        <v/>
      </c>
      <c r="D910" s="2" t="str">
        <f>IFERROR(IF(A910&lt;&gt;"",VLOOKUP(Alunos!C910,'TP1'!A3:E1000,5, FALSE),""),"")</f>
        <v/>
      </c>
      <c r="E910" s="2" t="str">
        <f>IF(A910&lt;&gt;"",VLOOKUP(Alunos!A910,Agrupamentos!A3:C1000,3, FALSE),"")</f>
        <v/>
      </c>
      <c r="F910" s="2" t="str">
        <f>IFERROR(IF(A910&lt;&gt;"",VLOOKUP(Alunos!E910,'TP2'!A3:D1000,4, FALSE),""),"")</f>
        <v/>
      </c>
      <c r="G910" s="2" t="str">
        <f>IF(A910&lt;&gt;"", SUMIF(B1:F1,"&lt;&gt;",B910:F910),"")</f>
        <v/>
      </c>
      <c r="H910" s="2" t="str">
        <f>IF(AND(A910&lt;&gt;"",G910&lt;&gt;""),ROUND(G910,0),"")</f>
        <v/>
      </c>
      <c r="I910" s="2" t="str">
        <f>IFERROR(IF(A910&lt;&gt;"",VLOOKUP(Alunos!A910,Recurso!A3:D1000,4, FALSE),""), "")</f>
        <v/>
      </c>
      <c r="J910" s="2" t="str">
        <f>IF(AND(A910&lt;&gt;"",I910&lt;&gt;""), SUMIFS(B910:I910,B1:I1,"&lt;&gt;",B2:I2,"&lt;&gt;Exame",B2:I2,"&lt;&gt;exame",B2:I2,"&lt;&gt;Nota",B2:I2,"&lt;&gt;Total"),"")</f>
        <v/>
      </c>
      <c r="K910" s="2" t="str">
        <f>IF(AND(A910&lt;&gt;"",J910&lt;&gt;""),ROUND(J910,0),"")</f>
        <v/>
      </c>
    </row>
    <row r="911" spans="2:11" x14ac:dyDescent="0.3">
      <c r="B911" s="2" t="str">
        <f>IFERROR(IF(A911&lt;&gt;"",VLOOKUP(Alunos!A911,Exame!A3:D1000,4, FALSE),""), "")</f>
        <v/>
      </c>
      <c r="C911" s="2" t="str">
        <f>IF(A911&lt;&gt;"",VLOOKUP(Alunos!A911,Agrupamentos!A3:C1000,2, FALSE),"")</f>
        <v/>
      </c>
      <c r="D911" s="2" t="str">
        <f>IFERROR(IF(A911&lt;&gt;"",VLOOKUP(Alunos!C911,'TP1'!A3:E1000,5, FALSE),""),"")</f>
        <v/>
      </c>
      <c r="E911" s="2" t="str">
        <f>IF(A911&lt;&gt;"",VLOOKUP(Alunos!A911,Agrupamentos!A3:C1000,3, FALSE),"")</f>
        <v/>
      </c>
      <c r="F911" s="2" t="str">
        <f>IFERROR(IF(A911&lt;&gt;"",VLOOKUP(Alunos!E911,'TP2'!A3:D1000,4, FALSE),""),"")</f>
        <v/>
      </c>
      <c r="G911" s="2" t="str">
        <f>IF(A911&lt;&gt;"", SUMIF(B1:F1,"&lt;&gt;",B911:F911),"")</f>
        <v/>
      </c>
      <c r="H911" s="2" t="str">
        <f>IF(AND(A911&lt;&gt;"",G911&lt;&gt;""),ROUND(G911,0),"")</f>
        <v/>
      </c>
      <c r="I911" s="2" t="str">
        <f>IFERROR(IF(A911&lt;&gt;"",VLOOKUP(Alunos!A911,Recurso!A3:D1000,4, FALSE),""), "")</f>
        <v/>
      </c>
      <c r="J911" s="2" t="str">
        <f>IF(AND(A911&lt;&gt;"",I911&lt;&gt;""), SUMIFS(B911:I911,B1:I1,"&lt;&gt;",B2:I2,"&lt;&gt;Exame",B2:I2,"&lt;&gt;exame",B2:I2,"&lt;&gt;Nota",B2:I2,"&lt;&gt;Total"),"")</f>
        <v/>
      </c>
      <c r="K911" s="2" t="str">
        <f>IF(AND(A911&lt;&gt;"",J911&lt;&gt;""),ROUND(J911,0),"")</f>
        <v/>
      </c>
    </row>
    <row r="912" spans="2:11" x14ac:dyDescent="0.3">
      <c r="B912" s="2" t="str">
        <f>IFERROR(IF(A912&lt;&gt;"",VLOOKUP(Alunos!A912,Exame!A3:D1000,4, FALSE),""), "")</f>
        <v/>
      </c>
      <c r="C912" s="2" t="str">
        <f>IF(A912&lt;&gt;"",VLOOKUP(Alunos!A912,Agrupamentos!A3:C1000,2, FALSE),"")</f>
        <v/>
      </c>
      <c r="D912" s="2" t="str">
        <f>IFERROR(IF(A912&lt;&gt;"",VLOOKUP(Alunos!C912,'TP1'!A3:E1000,5, FALSE),""),"")</f>
        <v/>
      </c>
      <c r="E912" s="2" t="str">
        <f>IF(A912&lt;&gt;"",VLOOKUP(Alunos!A912,Agrupamentos!A3:C1000,3, FALSE),"")</f>
        <v/>
      </c>
      <c r="F912" s="2" t="str">
        <f>IFERROR(IF(A912&lt;&gt;"",VLOOKUP(Alunos!E912,'TP2'!A3:D1000,4, FALSE),""),"")</f>
        <v/>
      </c>
      <c r="G912" s="2" t="str">
        <f>IF(A912&lt;&gt;"", SUMIF(B1:F1,"&lt;&gt;",B912:F912),"")</f>
        <v/>
      </c>
      <c r="H912" s="2" t="str">
        <f>IF(AND(A912&lt;&gt;"",G912&lt;&gt;""),ROUND(G912,0),"")</f>
        <v/>
      </c>
      <c r="I912" s="2" t="str">
        <f>IFERROR(IF(A912&lt;&gt;"",VLOOKUP(Alunos!A912,Recurso!A3:D1000,4, FALSE),""), "")</f>
        <v/>
      </c>
      <c r="J912" s="2" t="str">
        <f>IF(AND(A912&lt;&gt;"",I912&lt;&gt;""), SUMIFS(B912:I912,B1:I1,"&lt;&gt;",B2:I2,"&lt;&gt;Exame",B2:I2,"&lt;&gt;exame",B2:I2,"&lt;&gt;Nota",B2:I2,"&lt;&gt;Total"),"")</f>
        <v/>
      </c>
      <c r="K912" s="2" t="str">
        <f>IF(AND(A912&lt;&gt;"",J912&lt;&gt;""),ROUND(J912,0),"")</f>
        <v/>
      </c>
    </row>
    <row r="913" spans="2:11" x14ac:dyDescent="0.3">
      <c r="B913" s="2" t="str">
        <f>IFERROR(IF(A913&lt;&gt;"",VLOOKUP(Alunos!A913,Exame!A3:D1000,4, FALSE),""), "")</f>
        <v/>
      </c>
      <c r="C913" s="2" t="str">
        <f>IF(A913&lt;&gt;"",VLOOKUP(Alunos!A913,Agrupamentos!A3:C1000,2, FALSE),"")</f>
        <v/>
      </c>
      <c r="D913" s="2" t="str">
        <f>IFERROR(IF(A913&lt;&gt;"",VLOOKUP(Alunos!C913,'TP1'!A3:E1000,5, FALSE),""),"")</f>
        <v/>
      </c>
      <c r="E913" s="2" t="str">
        <f>IF(A913&lt;&gt;"",VLOOKUP(Alunos!A913,Agrupamentos!A3:C1000,3, FALSE),"")</f>
        <v/>
      </c>
      <c r="F913" s="2" t="str">
        <f>IFERROR(IF(A913&lt;&gt;"",VLOOKUP(Alunos!E913,'TP2'!A3:D1000,4, FALSE),""),"")</f>
        <v/>
      </c>
      <c r="G913" s="2" t="str">
        <f>IF(A913&lt;&gt;"", SUMIF(B1:F1,"&lt;&gt;",B913:F913),"")</f>
        <v/>
      </c>
      <c r="H913" s="2" t="str">
        <f>IF(AND(A913&lt;&gt;"",G913&lt;&gt;""),ROUND(G913,0),"")</f>
        <v/>
      </c>
      <c r="I913" s="2" t="str">
        <f>IFERROR(IF(A913&lt;&gt;"",VLOOKUP(Alunos!A913,Recurso!A3:D1000,4, FALSE),""), "")</f>
        <v/>
      </c>
      <c r="J913" s="2" t="str">
        <f>IF(AND(A913&lt;&gt;"",I913&lt;&gt;""), SUMIFS(B913:I913,B1:I1,"&lt;&gt;",B2:I2,"&lt;&gt;Exame",B2:I2,"&lt;&gt;exame",B2:I2,"&lt;&gt;Nota",B2:I2,"&lt;&gt;Total"),"")</f>
        <v/>
      </c>
      <c r="K913" s="2" t="str">
        <f>IF(AND(A913&lt;&gt;"",J913&lt;&gt;""),ROUND(J913,0),"")</f>
        <v/>
      </c>
    </row>
    <row r="914" spans="2:11" x14ac:dyDescent="0.3">
      <c r="B914" s="2" t="str">
        <f>IFERROR(IF(A914&lt;&gt;"",VLOOKUP(Alunos!A914,Exame!A3:D1000,4, FALSE),""), "")</f>
        <v/>
      </c>
      <c r="C914" s="2" t="str">
        <f>IF(A914&lt;&gt;"",VLOOKUP(Alunos!A914,Agrupamentos!A3:C1000,2, FALSE),"")</f>
        <v/>
      </c>
      <c r="D914" s="2" t="str">
        <f>IFERROR(IF(A914&lt;&gt;"",VLOOKUP(Alunos!C914,'TP1'!A3:E1000,5, FALSE),""),"")</f>
        <v/>
      </c>
      <c r="E914" s="2" t="str">
        <f>IF(A914&lt;&gt;"",VLOOKUP(Alunos!A914,Agrupamentos!A3:C1000,3, FALSE),"")</f>
        <v/>
      </c>
      <c r="F914" s="2" t="str">
        <f>IFERROR(IF(A914&lt;&gt;"",VLOOKUP(Alunos!E914,'TP2'!A3:D1000,4, FALSE),""),"")</f>
        <v/>
      </c>
      <c r="G914" s="2" t="str">
        <f>IF(A914&lt;&gt;"", SUMIF(B1:F1,"&lt;&gt;",B914:F914),"")</f>
        <v/>
      </c>
      <c r="H914" s="2" t="str">
        <f>IF(AND(A914&lt;&gt;"",G914&lt;&gt;""),ROUND(G914,0),"")</f>
        <v/>
      </c>
      <c r="I914" s="2" t="str">
        <f>IFERROR(IF(A914&lt;&gt;"",VLOOKUP(Alunos!A914,Recurso!A3:D1000,4, FALSE),""), "")</f>
        <v/>
      </c>
      <c r="J914" s="2" t="str">
        <f>IF(AND(A914&lt;&gt;"",I914&lt;&gt;""), SUMIFS(B914:I914,B1:I1,"&lt;&gt;",B2:I2,"&lt;&gt;Exame",B2:I2,"&lt;&gt;exame",B2:I2,"&lt;&gt;Nota",B2:I2,"&lt;&gt;Total"),"")</f>
        <v/>
      </c>
      <c r="K914" s="2" t="str">
        <f>IF(AND(A914&lt;&gt;"",J914&lt;&gt;""),ROUND(J914,0),"")</f>
        <v/>
      </c>
    </row>
    <row r="915" spans="2:11" x14ac:dyDescent="0.3">
      <c r="B915" s="2" t="str">
        <f>IFERROR(IF(A915&lt;&gt;"",VLOOKUP(Alunos!A915,Exame!A3:D1000,4, FALSE),""), "")</f>
        <v/>
      </c>
      <c r="C915" s="2" t="str">
        <f>IF(A915&lt;&gt;"",VLOOKUP(Alunos!A915,Agrupamentos!A3:C1000,2, FALSE),"")</f>
        <v/>
      </c>
      <c r="D915" s="2" t="str">
        <f>IFERROR(IF(A915&lt;&gt;"",VLOOKUP(Alunos!C915,'TP1'!A3:E1000,5, FALSE),""),"")</f>
        <v/>
      </c>
      <c r="E915" s="2" t="str">
        <f>IF(A915&lt;&gt;"",VLOOKUP(Alunos!A915,Agrupamentos!A3:C1000,3, FALSE),"")</f>
        <v/>
      </c>
      <c r="F915" s="2" t="str">
        <f>IFERROR(IF(A915&lt;&gt;"",VLOOKUP(Alunos!E915,'TP2'!A3:D1000,4, FALSE),""),"")</f>
        <v/>
      </c>
      <c r="G915" s="2" t="str">
        <f>IF(A915&lt;&gt;"", SUMIF(B1:F1,"&lt;&gt;",B915:F915),"")</f>
        <v/>
      </c>
      <c r="H915" s="2" t="str">
        <f>IF(AND(A915&lt;&gt;"",G915&lt;&gt;""),ROUND(G915,0),"")</f>
        <v/>
      </c>
      <c r="I915" s="2" t="str">
        <f>IFERROR(IF(A915&lt;&gt;"",VLOOKUP(Alunos!A915,Recurso!A3:D1000,4, FALSE),""), "")</f>
        <v/>
      </c>
      <c r="J915" s="2" t="str">
        <f>IF(AND(A915&lt;&gt;"",I915&lt;&gt;""), SUMIFS(B915:I915,B1:I1,"&lt;&gt;",B2:I2,"&lt;&gt;Exame",B2:I2,"&lt;&gt;exame",B2:I2,"&lt;&gt;Nota",B2:I2,"&lt;&gt;Total"),"")</f>
        <v/>
      </c>
      <c r="K915" s="2" t="str">
        <f>IF(AND(A915&lt;&gt;"",J915&lt;&gt;""),ROUND(J915,0),"")</f>
        <v/>
      </c>
    </row>
    <row r="916" spans="2:11" x14ac:dyDescent="0.3">
      <c r="B916" s="2" t="str">
        <f>IFERROR(IF(A916&lt;&gt;"",VLOOKUP(Alunos!A916,Exame!A3:D1000,4, FALSE),""), "")</f>
        <v/>
      </c>
      <c r="C916" s="2" t="str">
        <f>IF(A916&lt;&gt;"",VLOOKUP(Alunos!A916,Agrupamentos!A3:C1000,2, FALSE),"")</f>
        <v/>
      </c>
      <c r="D916" s="2" t="str">
        <f>IFERROR(IF(A916&lt;&gt;"",VLOOKUP(Alunos!C916,'TP1'!A3:E1000,5, FALSE),""),"")</f>
        <v/>
      </c>
      <c r="E916" s="2" t="str">
        <f>IF(A916&lt;&gt;"",VLOOKUP(Alunos!A916,Agrupamentos!A3:C1000,3, FALSE),"")</f>
        <v/>
      </c>
      <c r="F916" s="2" t="str">
        <f>IFERROR(IF(A916&lt;&gt;"",VLOOKUP(Alunos!E916,'TP2'!A3:D1000,4, FALSE),""),"")</f>
        <v/>
      </c>
      <c r="G916" s="2" t="str">
        <f>IF(A916&lt;&gt;"", SUMIF(B1:F1,"&lt;&gt;",B916:F916),"")</f>
        <v/>
      </c>
      <c r="H916" s="2" t="str">
        <f>IF(AND(A916&lt;&gt;"",G916&lt;&gt;""),ROUND(G916,0),"")</f>
        <v/>
      </c>
      <c r="I916" s="2" t="str">
        <f>IFERROR(IF(A916&lt;&gt;"",VLOOKUP(Alunos!A916,Recurso!A3:D1000,4, FALSE),""), "")</f>
        <v/>
      </c>
      <c r="J916" s="2" t="str">
        <f>IF(AND(A916&lt;&gt;"",I916&lt;&gt;""), SUMIFS(B916:I916,B1:I1,"&lt;&gt;",B2:I2,"&lt;&gt;Exame",B2:I2,"&lt;&gt;exame",B2:I2,"&lt;&gt;Nota",B2:I2,"&lt;&gt;Total"),"")</f>
        <v/>
      </c>
      <c r="K916" s="2" t="str">
        <f>IF(AND(A916&lt;&gt;"",J916&lt;&gt;""),ROUND(J916,0),"")</f>
        <v/>
      </c>
    </row>
    <row r="917" spans="2:11" x14ac:dyDescent="0.3">
      <c r="B917" s="2" t="str">
        <f>IFERROR(IF(A917&lt;&gt;"",VLOOKUP(Alunos!A917,Exame!A3:D1000,4, FALSE),""), "")</f>
        <v/>
      </c>
      <c r="C917" s="2" t="str">
        <f>IF(A917&lt;&gt;"",VLOOKUP(Alunos!A917,Agrupamentos!A3:C1000,2, FALSE),"")</f>
        <v/>
      </c>
      <c r="D917" s="2" t="str">
        <f>IFERROR(IF(A917&lt;&gt;"",VLOOKUP(Alunos!C917,'TP1'!A3:E1000,5, FALSE),""),"")</f>
        <v/>
      </c>
      <c r="E917" s="2" t="str">
        <f>IF(A917&lt;&gt;"",VLOOKUP(Alunos!A917,Agrupamentos!A3:C1000,3, FALSE),"")</f>
        <v/>
      </c>
      <c r="F917" s="2" t="str">
        <f>IFERROR(IF(A917&lt;&gt;"",VLOOKUP(Alunos!E917,'TP2'!A3:D1000,4, FALSE),""),"")</f>
        <v/>
      </c>
      <c r="G917" s="2" t="str">
        <f>IF(A917&lt;&gt;"", SUMIF(B1:F1,"&lt;&gt;",B917:F917),"")</f>
        <v/>
      </c>
      <c r="H917" s="2" t="str">
        <f>IF(AND(A917&lt;&gt;"",G917&lt;&gt;""),ROUND(G917,0),"")</f>
        <v/>
      </c>
      <c r="I917" s="2" t="str">
        <f>IFERROR(IF(A917&lt;&gt;"",VLOOKUP(Alunos!A917,Recurso!A3:D1000,4, FALSE),""), "")</f>
        <v/>
      </c>
      <c r="J917" s="2" t="str">
        <f>IF(AND(A917&lt;&gt;"",I917&lt;&gt;""), SUMIFS(B917:I917,B1:I1,"&lt;&gt;",B2:I2,"&lt;&gt;Exame",B2:I2,"&lt;&gt;exame",B2:I2,"&lt;&gt;Nota",B2:I2,"&lt;&gt;Total"),"")</f>
        <v/>
      </c>
      <c r="K917" s="2" t="str">
        <f>IF(AND(A917&lt;&gt;"",J917&lt;&gt;""),ROUND(J917,0),"")</f>
        <v/>
      </c>
    </row>
    <row r="918" spans="2:11" x14ac:dyDescent="0.3">
      <c r="B918" s="2" t="str">
        <f>IFERROR(IF(A918&lt;&gt;"",VLOOKUP(Alunos!A918,Exame!A3:D1000,4, FALSE),""), "")</f>
        <v/>
      </c>
      <c r="C918" s="2" t="str">
        <f>IF(A918&lt;&gt;"",VLOOKUP(Alunos!A918,Agrupamentos!A3:C1000,2, FALSE),"")</f>
        <v/>
      </c>
      <c r="D918" s="2" t="str">
        <f>IFERROR(IF(A918&lt;&gt;"",VLOOKUP(Alunos!C918,'TP1'!A3:E1000,5, FALSE),""),"")</f>
        <v/>
      </c>
      <c r="E918" s="2" t="str">
        <f>IF(A918&lt;&gt;"",VLOOKUP(Alunos!A918,Agrupamentos!A3:C1000,3, FALSE),"")</f>
        <v/>
      </c>
      <c r="F918" s="2" t="str">
        <f>IFERROR(IF(A918&lt;&gt;"",VLOOKUP(Alunos!E918,'TP2'!A3:D1000,4, FALSE),""),"")</f>
        <v/>
      </c>
      <c r="G918" s="2" t="str">
        <f>IF(A918&lt;&gt;"", SUMIF(B1:F1,"&lt;&gt;",B918:F918),"")</f>
        <v/>
      </c>
      <c r="H918" s="2" t="str">
        <f>IF(AND(A918&lt;&gt;"",G918&lt;&gt;""),ROUND(G918,0),"")</f>
        <v/>
      </c>
      <c r="I918" s="2" t="str">
        <f>IFERROR(IF(A918&lt;&gt;"",VLOOKUP(Alunos!A918,Recurso!A3:D1000,4, FALSE),""), "")</f>
        <v/>
      </c>
      <c r="J918" s="2" t="str">
        <f>IF(AND(A918&lt;&gt;"",I918&lt;&gt;""), SUMIFS(B918:I918,B1:I1,"&lt;&gt;",B2:I2,"&lt;&gt;Exame",B2:I2,"&lt;&gt;exame",B2:I2,"&lt;&gt;Nota",B2:I2,"&lt;&gt;Total"),"")</f>
        <v/>
      </c>
      <c r="K918" s="2" t="str">
        <f>IF(AND(A918&lt;&gt;"",J918&lt;&gt;""),ROUND(J918,0),"")</f>
        <v/>
      </c>
    </row>
    <row r="919" spans="2:11" x14ac:dyDescent="0.3">
      <c r="B919" s="2" t="str">
        <f>IFERROR(IF(A919&lt;&gt;"",VLOOKUP(Alunos!A919,Exame!A3:D1000,4, FALSE),""), "")</f>
        <v/>
      </c>
      <c r="C919" s="2" t="str">
        <f>IF(A919&lt;&gt;"",VLOOKUP(Alunos!A919,Agrupamentos!A3:C1000,2, FALSE),"")</f>
        <v/>
      </c>
      <c r="D919" s="2" t="str">
        <f>IFERROR(IF(A919&lt;&gt;"",VLOOKUP(Alunos!C919,'TP1'!A3:E1000,5, FALSE),""),"")</f>
        <v/>
      </c>
      <c r="E919" s="2" t="str">
        <f>IF(A919&lt;&gt;"",VLOOKUP(Alunos!A919,Agrupamentos!A3:C1000,3, FALSE),"")</f>
        <v/>
      </c>
      <c r="F919" s="2" t="str">
        <f>IFERROR(IF(A919&lt;&gt;"",VLOOKUP(Alunos!E919,'TP2'!A3:D1000,4, FALSE),""),"")</f>
        <v/>
      </c>
      <c r="G919" s="2" t="str">
        <f>IF(A919&lt;&gt;"", SUMIF(B1:F1,"&lt;&gt;",B919:F919),"")</f>
        <v/>
      </c>
      <c r="H919" s="2" t="str">
        <f>IF(AND(A919&lt;&gt;"",G919&lt;&gt;""),ROUND(G919,0),"")</f>
        <v/>
      </c>
      <c r="I919" s="2" t="str">
        <f>IFERROR(IF(A919&lt;&gt;"",VLOOKUP(Alunos!A919,Recurso!A3:D1000,4, FALSE),""), "")</f>
        <v/>
      </c>
      <c r="J919" s="2" t="str">
        <f>IF(AND(A919&lt;&gt;"",I919&lt;&gt;""), SUMIFS(B919:I919,B1:I1,"&lt;&gt;",B2:I2,"&lt;&gt;Exame",B2:I2,"&lt;&gt;exame",B2:I2,"&lt;&gt;Nota",B2:I2,"&lt;&gt;Total"),"")</f>
        <v/>
      </c>
      <c r="K919" s="2" t="str">
        <f>IF(AND(A919&lt;&gt;"",J919&lt;&gt;""),ROUND(J919,0),"")</f>
        <v/>
      </c>
    </row>
    <row r="920" spans="2:11" x14ac:dyDescent="0.3">
      <c r="B920" s="2" t="str">
        <f>IFERROR(IF(A920&lt;&gt;"",VLOOKUP(Alunos!A920,Exame!A3:D1000,4, FALSE),""), "")</f>
        <v/>
      </c>
      <c r="C920" s="2" t="str">
        <f>IF(A920&lt;&gt;"",VLOOKUP(Alunos!A920,Agrupamentos!A3:C1000,2, FALSE),"")</f>
        <v/>
      </c>
      <c r="D920" s="2" t="str">
        <f>IFERROR(IF(A920&lt;&gt;"",VLOOKUP(Alunos!C920,'TP1'!A3:E1000,5, FALSE),""),"")</f>
        <v/>
      </c>
      <c r="E920" s="2" t="str">
        <f>IF(A920&lt;&gt;"",VLOOKUP(Alunos!A920,Agrupamentos!A3:C1000,3, FALSE),"")</f>
        <v/>
      </c>
      <c r="F920" s="2" t="str">
        <f>IFERROR(IF(A920&lt;&gt;"",VLOOKUP(Alunos!E920,'TP2'!A3:D1000,4, FALSE),""),"")</f>
        <v/>
      </c>
      <c r="G920" s="2" t="str">
        <f>IF(A920&lt;&gt;"", SUMIF(B1:F1,"&lt;&gt;",B920:F920),"")</f>
        <v/>
      </c>
      <c r="H920" s="2" t="str">
        <f>IF(AND(A920&lt;&gt;"",G920&lt;&gt;""),ROUND(G920,0),"")</f>
        <v/>
      </c>
      <c r="I920" s="2" t="str">
        <f>IFERROR(IF(A920&lt;&gt;"",VLOOKUP(Alunos!A920,Recurso!A3:D1000,4, FALSE),""), "")</f>
        <v/>
      </c>
      <c r="J920" s="2" t="str">
        <f>IF(AND(A920&lt;&gt;"",I920&lt;&gt;""), SUMIFS(B920:I920,B1:I1,"&lt;&gt;",B2:I2,"&lt;&gt;Exame",B2:I2,"&lt;&gt;exame",B2:I2,"&lt;&gt;Nota",B2:I2,"&lt;&gt;Total"),"")</f>
        <v/>
      </c>
      <c r="K920" s="2" t="str">
        <f>IF(AND(A920&lt;&gt;"",J920&lt;&gt;""),ROUND(J920,0),"")</f>
        <v/>
      </c>
    </row>
    <row r="921" spans="2:11" x14ac:dyDescent="0.3">
      <c r="B921" s="2" t="str">
        <f>IFERROR(IF(A921&lt;&gt;"",VLOOKUP(Alunos!A921,Exame!A3:D1000,4, FALSE),""), "")</f>
        <v/>
      </c>
      <c r="C921" s="2" t="str">
        <f>IF(A921&lt;&gt;"",VLOOKUP(Alunos!A921,Agrupamentos!A3:C1000,2, FALSE),"")</f>
        <v/>
      </c>
      <c r="D921" s="2" t="str">
        <f>IFERROR(IF(A921&lt;&gt;"",VLOOKUP(Alunos!C921,'TP1'!A3:E1000,5, FALSE),""),"")</f>
        <v/>
      </c>
      <c r="E921" s="2" t="str">
        <f>IF(A921&lt;&gt;"",VLOOKUP(Alunos!A921,Agrupamentos!A3:C1000,3, FALSE),"")</f>
        <v/>
      </c>
      <c r="F921" s="2" t="str">
        <f>IFERROR(IF(A921&lt;&gt;"",VLOOKUP(Alunos!E921,'TP2'!A3:D1000,4, FALSE),""),"")</f>
        <v/>
      </c>
      <c r="G921" s="2" t="str">
        <f>IF(A921&lt;&gt;"", SUMIF(B1:F1,"&lt;&gt;",B921:F921),"")</f>
        <v/>
      </c>
      <c r="H921" s="2" t="str">
        <f>IF(AND(A921&lt;&gt;"",G921&lt;&gt;""),ROUND(G921,0),"")</f>
        <v/>
      </c>
      <c r="I921" s="2" t="str">
        <f>IFERROR(IF(A921&lt;&gt;"",VLOOKUP(Alunos!A921,Recurso!A3:D1000,4, FALSE),""), "")</f>
        <v/>
      </c>
      <c r="J921" s="2" t="str">
        <f>IF(AND(A921&lt;&gt;"",I921&lt;&gt;""), SUMIFS(B921:I921,B1:I1,"&lt;&gt;",B2:I2,"&lt;&gt;Exame",B2:I2,"&lt;&gt;exame",B2:I2,"&lt;&gt;Nota",B2:I2,"&lt;&gt;Total"),"")</f>
        <v/>
      </c>
      <c r="K921" s="2" t="str">
        <f>IF(AND(A921&lt;&gt;"",J921&lt;&gt;""),ROUND(J921,0),"")</f>
        <v/>
      </c>
    </row>
    <row r="922" spans="2:11" x14ac:dyDescent="0.3">
      <c r="B922" s="2" t="str">
        <f>IFERROR(IF(A922&lt;&gt;"",VLOOKUP(Alunos!A922,Exame!A3:D1000,4, FALSE),""), "")</f>
        <v/>
      </c>
      <c r="C922" s="2" t="str">
        <f>IF(A922&lt;&gt;"",VLOOKUP(Alunos!A922,Agrupamentos!A3:C1000,2, FALSE),"")</f>
        <v/>
      </c>
      <c r="D922" s="2" t="str">
        <f>IFERROR(IF(A922&lt;&gt;"",VLOOKUP(Alunos!C922,'TP1'!A3:E1000,5, FALSE),""),"")</f>
        <v/>
      </c>
      <c r="E922" s="2" t="str">
        <f>IF(A922&lt;&gt;"",VLOOKUP(Alunos!A922,Agrupamentos!A3:C1000,3, FALSE),"")</f>
        <v/>
      </c>
      <c r="F922" s="2" t="str">
        <f>IFERROR(IF(A922&lt;&gt;"",VLOOKUP(Alunos!E922,'TP2'!A3:D1000,4, FALSE),""),"")</f>
        <v/>
      </c>
      <c r="G922" s="2" t="str">
        <f>IF(A922&lt;&gt;"", SUMIF(B1:F1,"&lt;&gt;",B922:F922),"")</f>
        <v/>
      </c>
      <c r="H922" s="2" t="str">
        <f>IF(AND(A922&lt;&gt;"",G922&lt;&gt;""),ROUND(G922,0),"")</f>
        <v/>
      </c>
      <c r="I922" s="2" t="str">
        <f>IFERROR(IF(A922&lt;&gt;"",VLOOKUP(Alunos!A922,Recurso!A3:D1000,4, FALSE),""), "")</f>
        <v/>
      </c>
      <c r="J922" s="2" t="str">
        <f>IF(AND(A922&lt;&gt;"",I922&lt;&gt;""), SUMIFS(B922:I922,B1:I1,"&lt;&gt;",B2:I2,"&lt;&gt;Exame",B2:I2,"&lt;&gt;exame",B2:I2,"&lt;&gt;Nota",B2:I2,"&lt;&gt;Total"),"")</f>
        <v/>
      </c>
      <c r="K922" s="2" t="str">
        <f>IF(AND(A922&lt;&gt;"",J922&lt;&gt;""),ROUND(J922,0),"")</f>
        <v/>
      </c>
    </row>
    <row r="923" spans="2:11" x14ac:dyDescent="0.3">
      <c r="B923" s="2" t="str">
        <f>IFERROR(IF(A923&lt;&gt;"",VLOOKUP(Alunos!A923,Exame!A3:D1000,4, FALSE),""), "")</f>
        <v/>
      </c>
      <c r="C923" s="2" t="str">
        <f>IF(A923&lt;&gt;"",VLOOKUP(Alunos!A923,Agrupamentos!A3:C1000,2, FALSE),"")</f>
        <v/>
      </c>
      <c r="D923" s="2" t="str">
        <f>IFERROR(IF(A923&lt;&gt;"",VLOOKUP(Alunos!C923,'TP1'!A3:E1000,5, FALSE),""),"")</f>
        <v/>
      </c>
      <c r="E923" s="2" t="str">
        <f>IF(A923&lt;&gt;"",VLOOKUP(Alunos!A923,Agrupamentos!A3:C1000,3, FALSE),"")</f>
        <v/>
      </c>
      <c r="F923" s="2" t="str">
        <f>IFERROR(IF(A923&lt;&gt;"",VLOOKUP(Alunos!E923,'TP2'!A3:D1000,4, FALSE),""),"")</f>
        <v/>
      </c>
      <c r="G923" s="2" t="str">
        <f>IF(A923&lt;&gt;"", SUMIF(B1:F1,"&lt;&gt;",B923:F923),"")</f>
        <v/>
      </c>
      <c r="H923" s="2" t="str">
        <f>IF(AND(A923&lt;&gt;"",G923&lt;&gt;""),ROUND(G923,0),"")</f>
        <v/>
      </c>
      <c r="I923" s="2" t="str">
        <f>IFERROR(IF(A923&lt;&gt;"",VLOOKUP(Alunos!A923,Recurso!A3:D1000,4, FALSE),""), "")</f>
        <v/>
      </c>
      <c r="J923" s="2" t="str">
        <f>IF(AND(A923&lt;&gt;"",I923&lt;&gt;""), SUMIFS(B923:I923,B1:I1,"&lt;&gt;",B2:I2,"&lt;&gt;Exame",B2:I2,"&lt;&gt;exame",B2:I2,"&lt;&gt;Nota",B2:I2,"&lt;&gt;Total"),"")</f>
        <v/>
      </c>
      <c r="K923" s="2" t="str">
        <f>IF(AND(A923&lt;&gt;"",J923&lt;&gt;""),ROUND(J923,0),"")</f>
        <v/>
      </c>
    </row>
    <row r="924" spans="2:11" x14ac:dyDescent="0.3">
      <c r="B924" s="2" t="str">
        <f>IFERROR(IF(A924&lt;&gt;"",VLOOKUP(Alunos!A924,Exame!A3:D1000,4, FALSE),""), "")</f>
        <v/>
      </c>
      <c r="C924" s="2" t="str">
        <f>IF(A924&lt;&gt;"",VLOOKUP(Alunos!A924,Agrupamentos!A3:C1000,2, FALSE),"")</f>
        <v/>
      </c>
      <c r="D924" s="2" t="str">
        <f>IFERROR(IF(A924&lt;&gt;"",VLOOKUP(Alunos!C924,'TP1'!A3:E1000,5, FALSE),""),"")</f>
        <v/>
      </c>
      <c r="E924" s="2" t="str">
        <f>IF(A924&lt;&gt;"",VLOOKUP(Alunos!A924,Agrupamentos!A3:C1000,3, FALSE),"")</f>
        <v/>
      </c>
      <c r="F924" s="2" t="str">
        <f>IFERROR(IF(A924&lt;&gt;"",VLOOKUP(Alunos!E924,'TP2'!A3:D1000,4, FALSE),""),"")</f>
        <v/>
      </c>
      <c r="G924" s="2" t="str">
        <f>IF(A924&lt;&gt;"", SUMIF(B1:F1,"&lt;&gt;",B924:F924),"")</f>
        <v/>
      </c>
      <c r="H924" s="2" t="str">
        <f>IF(AND(A924&lt;&gt;"",G924&lt;&gt;""),ROUND(G924,0),"")</f>
        <v/>
      </c>
      <c r="I924" s="2" t="str">
        <f>IFERROR(IF(A924&lt;&gt;"",VLOOKUP(Alunos!A924,Recurso!A3:D1000,4, FALSE),""), "")</f>
        <v/>
      </c>
      <c r="J924" s="2" t="str">
        <f>IF(AND(A924&lt;&gt;"",I924&lt;&gt;""), SUMIFS(B924:I924,B1:I1,"&lt;&gt;",B2:I2,"&lt;&gt;Exame",B2:I2,"&lt;&gt;exame",B2:I2,"&lt;&gt;Nota",B2:I2,"&lt;&gt;Total"),"")</f>
        <v/>
      </c>
      <c r="K924" s="2" t="str">
        <f>IF(AND(A924&lt;&gt;"",J924&lt;&gt;""),ROUND(J924,0),"")</f>
        <v/>
      </c>
    </row>
    <row r="925" spans="2:11" x14ac:dyDescent="0.3">
      <c r="B925" s="2" t="str">
        <f>IFERROR(IF(A925&lt;&gt;"",VLOOKUP(Alunos!A925,Exame!A3:D1000,4, FALSE),""), "")</f>
        <v/>
      </c>
      <c r="C925" s="2" t="str">
        <f>IF(A925&lt;&gt;"",VLOOKUP(Alunos!A925,Agrupamentos!A3:C1000,2, FALSE),"")</f>
        <v/>
      </c>
      <c r="D925" s="2" t="str">
        <f>IFERROR(IF(A925&lt;&gt;"",VLOOKUP(Alunos!C925,'TP1'!A3:E1000,5, FALSE),""),"")</f>
        <v/>
      </c>
      <c r="E925" s="2" t="str">
        <f>IF(A925&lt;&gt;"",VLOOKUP(Alunos!A925,Agrupamentos!A3:C1000,3, FALSE),"")</f>
        <v/>
      </c>
      <c r="F925" s="2" t="str">
        <f>IFERROR(IF(A925&lt;&gt;"",VLOOKUP(Alunos!E925,'TP2'!A3:D1000,4, FALSE),""),"")</f>
        <v/>
      </c>
      <c r="G925" s="2" t="str">
        <f>IF(A925&lt;&gt;"", SUMIF(B1:F1,"&lt;&gt;",B925:F925),"")</f>
        <v/>
      </c>
      <c r="H925" s="2" t="str">
        <f>IF(AND(A925&lt;&gt;"",G925&lt;&gt;""),ROUND(G925,0),"")</f>
        <v/>
      </c>
      <c r="I925" s="2" t="str">
        <f>IFERROR(IF(A925&lt;&gt;"",VLOOKUP(Alunos!A925,Recurso!A3:D1000,4, FALSE),""), "")</f>
        <v/>
      </c>
      <c r="J925" s="2" t="str">
        <f>IF(AND(A925&lt;&gt;"",I925&lt;&gt;""), SUMIFS(B925:I925,B1:I1,"&lt;&gt;",B2:I2,"&lt;&gt;Exame",B2:I2,"&lt;&gt;exame",B2:I2,"&lt;&gt;Nota",B2:I2,"&lt;&gt;Total"),"")</f>
        <v/>
      </c>
      <c r="K925" s="2" t="str">
        <f>IF(AND(A925&lt;&gt;"",J925&lt;&gt;""),ROUND(J925,0),"")</f>
        <v/>
      </c>
    </row>
    <row r="926" spans="2:11" x14ac:dyDescent="0.3">
      <c r="B926" s="2" t="str">
        <f>IFERROR(IF(A926&lt;&gt;"",VLOOKUP(Alunos!A926,Exame!A3:D1000,4, FALSE),""), "")</f>
        <v/>
      </c>
      <c r="C926" s="2" t="str">
        <f>IF(A926&lt;&gt;"",VLOOKUP(Alunos!A926,Agrupamentos!A3:C1000,2, FALSE),"")</f>
        <v/>
      </c>
      <c r="D926" s="2" t="str">
        <f>IFERROR(IF(A926&lt;&gt;"",VLOOKUP(Alunos!C926,'TP1'!A3:E1000,5, FALSE),""),"")</f>
        <v/>
      </c>
      <c r="E926" s="2" t="str">
        <f>IF(A926&lt;&gt;"",VLOOKUP(Alunos!A926,Agrupamentos!A3:C1000,3, FALSE),"")</f>
        <v/>
      </c>
      <c r="F926" s="2" t="str">
        <f>IFERROR(IF(A926&lt;&gt;"",VLOOKUP(Alunos!E926,'TP2'!A3:D1000,4, FALSE),""),"")</f>
        <v/>
      </c>
      <c r="G926" s="2" t="str">
        <f>IF(A926&lt;&gt;"", SUMIF(B1:F1,"&lt;&gt;",B926:F926),"")</f>
        <v/>
      </c>
      <c r="H926" s="2" t="str">
        <f>IF(AND(A926&lt;&gt;"",G926&lt;&gt;""),ROUND(G926,0),"")</f>
        <v/>
      </c>
      <c r="I926" s="2" t="str">
        <f>IFERROR(IF(A926&lt;&gt;"",VLOOKUP(Alunos!A926,Recurso!A3:D1000,4, FALSE),""), "")</f>
        <v/>
      </c>
      <c r="J926" s="2" t="str">
        <f>IF(AND(A926&lt;&gt;"",I926&lt;&gt;""), SUMIFS(B926:I926,B1:I1,"&lt;&gt;",B2:I2,"&lt;&gt;Exame",B2:I2,"&lt;&gt;exame",B2:I2,"&lt;&gt;Nota",B2:I2,"&lt;&gt;Total"),"")</f>
        <v/>
      </c>
      <c r="K926" s="2" t="str">
        <f>IF(AND(A926&lt;&gt;"",J926&lt;&gt;""),ROUND(J926,0),"")</f>
        <v/>
      </c>
    </row>
    <row r="927" spans="2:11" x14ac:dyDescent="0.3">
      <c r="B927" s="2" t="str">
        <f>IFERROR(IF(A927&lt;&gt;"",VLOOKUP(Alunos!A927,Exame!A3:D1000,4, FALSE),""), "")</f>
        <v/>
      </c>
      <c r="C927" s="2" t="str">
        <f>IF(A927&lt;&gt;"",VLOOKUP(Alunos!A927,Agrupamentos!A3:C1000,2, FALSE),"")</f>
        <v/>
      </c>
      <c r="D927" s="2" t="str">
        <f>IFERROR(IF(A927&lt;&gt;"",VLOOKUP(Alunos!C927,'TP1'!A3:E1000,5, FALSE),""),"")</f>
        <v/>
      </c>
      <c r="E927" s="2" t="str">
        <f>IF(A927&lt;&gt;"",VLOOKUP(Alunos!A927,Agrupamentos!A3:C1000,3, FALSE),"")</f>
        <v/>
      </c>
      <c r="F927" s="2" t="str">
        <f>IFERROR(IF(A927&lt;&gt;"",VLOOKUP(Alunos!E927,'TP2'!A3:D1000,4, FALSE),""),"")</f>
        <v/>
      </c>
      <c r="G927" s="2" t="str">
        <f>IF(A927&lt;&gt;"", SUMIF(B1:F1,"&lt;&gt;",B927:F927),"")</f>
        <v/>
      </c>
      <c r="H927" s="2" t="str">
        <f>IF(AND(A927&lt;&gt;"",G927&lt;&gt;""),ROUND(G927,0),"")</f>
        <v/>
      </c>
      <c r="I927" s="2" t="str">
        <f>IFERROR(IF(A927&lt;&gt;"",VLOOKUP(Alunos!A927,Recurso!A3:D1000,4, FALSE),""), "")</f>
        <v/>
      </c>
      <c r="J927" s="2" t="str">
        <f>IF(AND(A927&lt;&gt;"",I927&lt;&gt;""), SUMIFS(B927:I927,B1:I1,"&lt;&gt;",B2:I2,"&lt;&gt;Exame",B2:I2,"&lt;&gt;exame",B2:I2,"&lt;&gt;Nota",B2:I2,"&lt;&gt;Total"),"")</f>
        <v/>
      </c>
      <c r="K927" s="2" t="str">
        <f>IF(AND(A927&lt;&gt;"",J927&lt;&gt;""),ROUND(J927,0),"")</f>
        <v/>
      </c>
    </row>
    <row r="928" spans="2:11" x14ac:dyDescent="0.3">
      <c r="B928" s="2" t="str">
        <f>IFERROR(IF(A928&lt;&gt;"",VLOOKUP(Alunos!A928,Exame!A3:D1000,4, FALSE),""), "")</f>
        <v/>
      </c>
      <c r="C928" s="2" t="str">
        <f>IF(A928&lt;&gt;"",VLOOKUP(Alunos!A928,Agrupamentos!A3:C1000,2, FALSE),"")</f>
        <v/>
      </c>
      <c r="D928" s="2" t="str">
        <f>IFERROR(IF(A928&lt;&gt;"",VLOOKUP(Alunos!C928,'TP1'!A3:E1000,5, FALSE),""),"")</f>
        <v/>
      </c>
      <c r="E928" s="2" t="str">
        <f>IF(A928&lt;&gt;"",VLOOKUP(Alunos!A928,Agrupamentos!A3:C1000,3, FALSE),"")</f>
        <v/>
      </c>
      <c r="F928" s="2" t="str">
        <f>IFERROR(IF(A928&lt;&gt;"",VLOOKUP(Alunos!E928,'TP2'!A3:D1000,4, FALSE),""),"")</f>
        <v/>
      </c>
      <c r="G928" s="2" t="str">
        <f>IF(A928&lt;&gt;"", SUMIF(B1:F1,"&lt;&gt;",B928:F928),"")</f>
        <v/>
      </c>
      <c r="H928" s="2" t="str">
        <f>IF(AND(A928&lt;&gt;"",G928&lt;&gt;""),ROUND(G928,0),"")</f>
        <v/>
      </c>
      <c r="I928" s="2" t="str">
        <f>IFERROR(IF(A928&lt;&gt;"",VLOOKUP(Alunos!A928,Recurso!A3:D1000,4, FALSE),""), "")</f>
        <v/>
      </c>
      <c r="J928" s="2" t="str">
        <f>IF(AND(A928&lt;&gt;"",I928&lt;&gt;""), SUMIFS(B928:I928,B1:I1,"&lt;&gt;",B2:I2,"&lt;&gt;Exame",B2:I2,"&lt;&gt;exame",B2:I2,"&lt;&gt;Nota",B2:I2,"&lt;&gt;Total"),"")</f>
        <v/>
      </c>
      <c r="K928" s="2" t="str">
        <f>IF(AND(A928&lt;&gt;"",J928&lt;&gt;""),ROUND(J928,0),"")</f>
        <v/>
      </c>
    </row>
    <row r="929" spans="2:11" x14ac:dyDescent="0.3">
      <c r="B929" s="2" t="str">
        <f>IFERROR(IF(A929&lt;&gt;"",VLOOKUP(Alunos!A929,Exame!A3:D1000,4, FALSE),""), "")</f>
        <v/>
      </c>
      <c r="C929" s="2" t="str">
        <f>IF(A929&lt;&gt;"",VLOOKUP(Alunos!A929,Agrupamentos!A3:C1000,2, FALSE),"")</f>
        <v/>
      </c>
      <c r="D929" s="2" t="str">
        <f>IFERROR(IF(A929&lt;&gt;"",VLOOKUP(Alunos!C929,'TP1'!A3:E1000,5, FALSE),""),"")</f>
        <v/>
      </c>
      <c r="E929" s="2" t="str">
        <f>IF(A929&lt;&gt;"",VLOOKUP(Alunos!A929,Agrupamentos!A3:C1000,3, FALSE),"")</f>
        <v/>
      </c>
      <c r="F929" s="2" t="str">
        <f>IFERROR(IF(A929&lt;&gt;"",VLOOKUP(Alunos!E929,'TP2'!A3:D1000,4, FALSE),""),"")</f>
        <v/>
      </c>
      <c r="G929" s="2" t="str">
        <f>IF(A929&lt;&gt;"", SUMIF(B1:F1,"&lt;&gt;",B929:F929),"")</f>
        <v/>
      </c>
      <c r="H929" s="2" t="str">
        <f>IF(AND(A929&lt;&gt;"",G929&lt;&gt;""),ROUND(G929,0),"")</f>
        <v/>
      </c>
      <c r="I929" s="2" t="str">
        <f>IFERROR(IF(A929&lt;&gt;"",VLOOKUP(Alunos!A929,Recurso!A3:D1000,4, FALSE),""), "")</f>
        <v/>
      </c>
      <c r="J929" s="2" t="str">
        <f>IF(AND(A929&lt;&gt;"",I929&lt;&gt;""), SUMIFS(B929:I929,B1:I1,"&lt;&gt;",B2:I2,"&lt;&gt;Exame",B2:I2,"&lt;&gt;exame",B2:I2,"&lt;&gt;Nota",B2:I2,"&lt;&gt;Total"),"")</f>
        <v/>
      </c>
      <c r="K929" s="2" t="str">
        <f>IF(AND(A929&lt;&gt;"",J929&lt;&gt;""),ROUND(J929,0),"")</f>
        <v/>
      </c>
    </row>
    <row r="930" spans="2:11" x14ac:dyDescent="0.3">
      <c r="B930" s="2" t="str">
        <f>IFERROR(IF(A930&lt;&gt;"",VLOOKUP(Alunos!A930,Exame!A3:D1000,4, FALSE),""), "")</f>
        <v/>
      </c>
      <c r="C930" s="2" t="str">
        <f>IF(A930&lt;&gt;"",VLOOKUP(Alunos!A930,Agrupamentos!A3:C1000,2, FALSE),"")</f>
        <v/>
      </c>
      <c r="D930" s="2" t="str">
        <f>IFERROR(IF(A930&lt;&gt;"",VLOOKUP(Alunos!C930,'TP1'!A3:E1000,5, FALSE),""),"")</f>
        <v/>
      </c>
      <c r="E930" s="2" t="str">
        <f>IF(A930&lt;&gt;"",VLOOKUP(Alunos!A930,Agrupamentos!A3:C1000,3, FALSE),"")</f>
        <v/>
      </c>
      <c r="F930" s="2" t="str">
        <f>IFERROR(IF(A930&lt;&gt;"",VLOOKUP(Alunos!E930,'TP2'!A3:D1000,4, FALSE),""),"")</f>
        <v/>
      </c>
      <c r="G930" s="2" t="str">
        <f>IF(A930&lt;&gt;"", SUMIF(B1:F1,"&lt;&gt;",B930:F930),"")</f>
        <v/>
      </c>
      <c r="H930" s="2" t="str">
        <f>IF(AND(A930&lt;&gt;"",G930&lt;&gt;""),ROUND(G930,0),"")</f>
        <v/>
      </c>
      <c r="I930" s="2" t="str">
        <f>IFERROR(IF(A930&lt;&gt;"",VLOOKUP(Alunos!A930,Recurso!A3:D1000,4, FALSE),""), "")</f>
        <v/>
      </c>
      <c r="J930" s="2" t="str">
        <f>IF(AND(A930&lt;&gt;"",I930&lt;&gt;""), SUMIFS(B930:I930,B1:I1,"&lt;&gt;",B2:I2,"&lt;&gt;Exame",B2:I2,"&lt;&gt;exame",B2:I2,"&lt;&gt;Nota",B2:I2,"&lt;&gt;Total"),"")</f>
        <v/>
      </c>
      <c r="K930" s="2" t="str">
        <f>IF(AND(A930&lt;&gt;"",J930&lt;&gt;""),ROUND(J930,0),"")</f>
        <v/>
      </c>
    </row>
    <row r="931" spans="2:11" x14ac:dyDescent="0.3">
      <c r="B931" s="2" t="str">
        <f>IFERROR(IF(A931&lt;&gt;"",VLOOKUP(Alunos!A931,Exame!A3:D1000,4, FALSE),""), "")</f>
        <v/>
      </c>
      <c r="C931" s="2" t="str">
        <f>IF(A931&lt;&gt;"",VLOOKUP(Alunos!A931,Agrupamentos!A3:C1000,2, FALSE),"")</f>
        <v/>
      </c>
      <c r="D931" s="2" t="str">
        <f>IFERROR(IF(A931&lt;&gt;"",VLOOKUP(Alunos!C931,'TP1'!A3:E1000,5, FALSE),""),"")</f>
        <v/>
      </c>
      <c r="E931" s="2" t="str">
        <f>IF(A931&lt;&gt;"",VLOOKUP(Alunos!A931,Agrupamentos!A3:C1000,3, FALSE),"")</f>
        <v/>
      </c>
      <c r="F931" s="2" t="str">
        <f>IFERROR(IF(A931&lt;&gt;"",VLOOKUP(Alunos!E931,'TP2'!A3:D1000,4, FALSE),""),"")</f>
        <v/>
      </c>
      <c r="G931" s="2" t="str">
        <f>IF(A931&lt;&gt;"", SUMIF(B1:F1,"&lt;&gt;",B931:F931),"")</f>
        <v/>
      </c>
      <c r="H931" s="2" t="str">
        <f>IF(AND(A931&lt;&gt;"",G931&lt;&gt;""),ROUND(G931,0),"")</f>
        <v/>
      </c>
      <c r="I931" s="2" t="str">
        <f>IFERROR(IF(A931&lt;&gt;"",VLOOKUP(Alunos!A931,Recurso!A3:D1000,4, FALSE),""), "")</f>
        <v/>
      </c>
      <c r="J931" s="2" t="str">
        <f>IF(AND(A931&lt;&gt;"",I931&lt;&gt;""), SUMIFS(B931:I931,B1:I1,"&lt;&gt;",B2:I2,"&lt;&gt;Exame",B2:I2,"&lt;&gt;exame",B2:I2,"&lt;&gt;Nota",B2:I2,"&lt;&gt;Total"),"")</f>
        <v/>
      </c>
      <c r="K931" s="2" t="str">
        <f>IF(AND(A931&lt;&gt;"",J931&lt;&gt;""),ROUND(J931,0),"")</f>
        <v/>
      </c>
    </row>
    <row r="932" spans="2:11" x14ac:dyDescent="0.3">
      <c r="B932" s="2" t="str">
        <f>IFERROR(IF(A932&lt;&gt;"",VLOOKUP(Alunos!A932,Exame!A3:D1000,4, FALSE),""), "")</f>
        <v/>
      </c>
      <c r="C932" s="2" t="str">
        <f>IF(A932&lt;&gt;"",VLOOKUP(Alunos!A932,Agrupamentos!A3:C1000,2, FALSE),"")</f>
        <v/>
      </c>
      <c r="D932" s="2" t="str">
        <f>IFERROR(IF(A932&lt;&gt;"",VLOOKUP(Alunos!C932,'TP1'!A3:E1000,5, FALSE),""),"")</f>
        <v/>
      </c>
      <c r="E932" s="2" t="str">
        <f>IF(A932&lt;&gt;"",VLOOKUP(Alunos!A932,Agrupamentos!A3:C1000,3, FALSE),"")</f>
        <v/>
      </c>
      <c r="F932" s="2" t="str">
        <f>IFERROR(IF(A932&lt;&gt;"",VLOOKUP(Alunos!E932,'TP2'!A3:D1000,4, FALSE),""),"")</f>
        <v/>
      </c>
      <c r="G932" s="2" t="str">
        <f>IF(A932&lt;&gt;"", SUMIF(B1:F1,"&lt;&gt;",B932:F932),"")</f>
        <v/>
      </c>
      <c r="H932" s="2" t="str">
        <f>IF(AND(A932&lt;&gt;"",G932&lt;&gt;""),ROUND(G932,0),"")</f>
        <v/>
      </c>
      <c r="I932" s="2" t="str">
        <f>IFERROR(IF(A932&lt;&gt;"",VLOOKUP(Alunos!A932,Recurso!A3:D1000,4, FALSE),""), "")</f>
        <v/>
      </c>
      <c r="J932" s="2" t="str">
        <f>IF(AND(A932&lt;&gt;"",I932&lt;&gt;""), SUMIFS(B932:I932,B1:I1,"&lt;&gt;",B2:I2,"&lt;&gt;Exame",B2:I2,"&lt;&gt;exame",B2:I2,"&lt;&gt;Nota",B2:I2,"&lt;&gt;Total"),"")</f>
        <v/>
      </c>
      <c r="K932" s="2" t="str">
        <f>IF(AND(A932&lt;&gt;"",J932&lt;&gt;""),ROUND(J932,0),"")</f>
        <v/>
      </c>
    </row>
    <row r="933" spans="2:11" x14ac:dyDescent="0.3">
      <c r="B933" s="2" t="str">
        <f>IFERROR(IF(A933&lt;&gt;"",VLOOKUP(Alunos!A933,Exame!A3:D1000,4, FALSE),""), "")</f>
        <v/>
      </c>
      <c r="C933" s="2" t="str">
        <f>IF(A933&lt;&gt;"",VLOOKUP(Alunos!A933,Agrupamentos!A3:C1000,2, FALSE),"")</f>
        <v/>
      </c>
      <c r="D933" s="2" t="str">
        <f>IFERROR(IF(A933&lt;&gt;"",VLOOKUP(Alunos!C933,'TP1'!A3:E1000,5, FALSE),""),"")</f>
        <v/>
      </c>
      <c r="E933" s="2" t="str">
        <f>IF(A933&lt;&gt;"",VLOOKUP(Alunos!A933,Agrupamentos!A3:C1000,3, FALSE),"")</f>
        <v/>
      </c>
      <c r="F933" s="2" t="str">
        <f>IFERROR(IF(A933&lt;&gt;"",VLOOKUP(Alunos!E933,'TP2'!A3:D1000,4, FALSE),""),"")</f>
        <v/>
      </c>
      <c r="G933" s="2" t="str">
        <f>IF(A933&lt;&gt;"", SUMIF(B1:F1,"&lt;&gt;",B933:F933),"")</f>
        <v/>
      </c>
      <c r="H933" s="2" t="str">
        <f>IF(AND(A933&lt;&gt;"",G933&lt;&gt;""),ROUND(G933,0),"")</f>
        <v/>
      </c>
      <c r="I933" s="2" t="str">
        <f>IFERROR(IF(A933&lt;&gt;"",VLOOKUP(Alunos!A933,Recurso!A3:D1000,4, FALSE),""), "")</f>
        <v/>
      </c>
      <c r="J933" s="2" t="str">
        <f>IF(AND(A933&lt;&gt;"",I933&lt;&gt;""), SUMIFS(B933:I933,B1:I1,"&lt;&gt;",B2:I2,"&lt;&gt;Exame",B2:I2,"&lt;&gt;exame",B2:I2,"&lt;&gt;Nota",B2:I2,"&lt;&gt;Total"),"")</f>
        <v/>
      </c>
      <c r="K933" s="2" t="str">
        <f>IF(AND(A933&lt;&gt;"",J933&lt;&gt;""),ROUND(J933,0),"")</f>
        <v/>
      </c>
    </row>
    <row r="934" spans="2:11" x14ac:dyDescent="0.3">
      <c r="B934" s="2" t="str">
        <f>IFERROR(IF(A934&lt;&gt;"",VLOOKUP(Alunos!A934,Exame!A3:D1000,4, FALSE),""), "")</f>
        <v/>
      </c>
      <c r="C934" s="2" t="str">
        <f>IF(A934&lt;&gt;"",VLOOKUP(Alunos!A934,Agrupamentos!A3:C1000,2, FALSE),"")</f>
        <v/>
      </c>
      <c r="D934" s="2" t="str">
        <f>IFERROR(IF(A934&lt;&gt;"",VLOOKUP(Alunos!C934,'TP1'!A3:E1000,5, FALSE),""),"")</f>
        <v/>
      </c>
      <c r="E934" s="2" t="str">
        <f>IF(A934&lt;&gt;"",VLOOKUP(Alunos!A934,Agrupamentos!A3:C1000,3, FALSE),"")</f>
        <v/>
      </c>
      <c r="F934" s="2" t="str">
        <f>IFERROR(IF(A934&lt;&gt;"",VLOOKUP(Alunos!E934,'TP2'!A3:D1000,4, FALSE),""),"")</f>
        <v/>
      </c>
      <c r="G934" s="2" t="str">
        <f>IF(A934&lt;&gt;"", SUMIF(B1:F1,"&lt;&gt;",B934:F934),"")</f>
        <v/>
      </c>
      <c r="H934" s="2" t="str">
        <f>IF(AND(A934&lt;&gt;"",G934&lt;&gt;""),ROUND(G934,0),"")</f>
        <v/>
      </c>
      <c r="I934" s="2" t="str">
        <f>IFERROR(IF(A934&lt;&gt;"",VLOOKUP(Alunos!A934,Recurso!A3:D1000,4, FALSE),""), "")</f>
        <v/>
      </c>
      <c r="J934" s="2" t="str">
        <f>IF(AND(A934&lt;&gt;"",I934&lt;&gt;""), SUMIFS(B934:I934,B1:I1,"&lt;&gt;",B2:I2,"&lt;&gt;Exame",B2:I2,"&lt;&gt;exame",B2:I2,"&lt;&gt;Nota",B2:I2,"&lt;&gt;Total"),"")</f>
        <v/>
      </c>
      <c r="K934" s="2" t="str">
        <f>IF(AND(A934&lt;&gt;"",J934&lt;&gt;""),ROUND(J934,0),"")</f>
        <v/>
      </c>
    </row>
    <row r="935" spans="2:11" x14ac:dyDescent="0.3">
      <c r="B935" s="2" t="str">
        <f>IFERROR(IF(A935&lt;&gt;"",VLOOKUP(Alunos!A935,Exame!A3:D1000,4, FALSE),""), "")</f>
        <v/>
      </c>
      <c r="C935" s="2" t="str">
        <f>IF(A935&lt;&gt;"",VLOOKUP(Alunos!A935,Agrupamentos!A3:C1000,2, FALSE),"")</f>
        <v/>
      </c>
      <c r="D935" s="2" t="str">
        <f>IFERROR(IF(A935&lt;&gt;"",VLOOKUP(Alunos!C935,'TP1'!A3:E1000,5, FALSE),""),"")</f>
        <v/>
      </c>
      <c r="E935" s="2" t="str">
        <f>IF(A935&lt;&gt;"",VLOOKUP(Alunos!A935,Agrupamentos!A3:C1000,3, FALSE),"")</f>
        <v/>
      </c>
      <c r="F935" s="2" t="str">
        <f>IFERROR(IF(A935&lt;&gt;"",VLOOKUP(Alunos!E935,'TP2'!A3:D1000,4, FALSE),""),"")</f>
        <v/>
      </c>
      <c r="G935" s="2" t="str">
        <f>IF(A935&lt;&gt;"", SUMIF(B1:F1,"&lt;&gt;",B935:F935),"")</f>
        <v/>
      </c>
      <c r="H935" s="2" t="str">
        <f>IF(AND(A935&lt;&gt;"",G935&lt;&gt;""),ROUND(G935,0),"")</f>
        <v/>
      </c>
      <c r="I935" s="2" t="str">
        <f>IFERROR(IF(A935&lt;&gt;"",VLOOKUP(Alunos!A935,Recurso!A3:D1000,4, FALSE),""), "")</f>
        <v/>
      </c>
      <c r="J935" s="2" t="str">
        <f>IF(AND(A935&lt;&gt;"",I935&lt;&gt;""), SUMIFS(B935:I935,B1:I1,"&lt;&gt;",B2:I2,"&lt;&gt;Exame",B2:I2,"&lt;&gt;exame",B2:I2,"&lt;&gt;Nota",B2:I2,"&lt;&gt;Total"),"")</f>
        <v/>
      </c>
      <c r="K935" s="2" t="str">
        <f>IF(AND(A935&lt;&gt;"",J935&lt;&gt;""),ROUND(J935,0),"")</f>
        <v/>
      </c>
    </row>
    <row r="936" spans="2:11" x14ac:dyDescent="0.3">
      <c r="B936" s="2" t="str">
        <f>IFERROR(IF(A936&lt;&gt;"",VLOOKUP(Alunos!A936,Exame!A3:D1000,4, FALSE),""), "")</f>
        <v/>
      </c>
      <c r="C936" s="2" t="str">
        <f>IF(A936&lt;&gt;"",VLOOKUP(Alunos!A936,Agrupamentos!A3:C1000,2, FALSE),"")</f>
        <v/>
      </c>
      <c r="D936" s="2" t="str">
        <f>IFERROR(IF(A936&lt;&gt;"",VLOOKUP(Alunos!C936,'TP1'!A3:E1000,5, FALSE),""),"")</f>
        <v/>
      </c>
      <c r="E936" s="2" t="str">
        <f>IF(A936&lt;&gt;"",VLOOKUP(Alunos!A936,Agrupamentos!A3:C1000,3, FALSE),"")</f>
        <v/>
      </c>
      <c r="F936" s="2" t="str">
        <f>IFERROR(IF(A936&lt;&gt;"",VLOOKUP(Alunos!E936,'TP2'!A3:D1000,4, FALSE),""),"")</f>
        <v/>
      </c>
      <c r="G936" s="2" t="str">
        <f>IF(A936&lt;&gt;"", SUMIF(B1:F1,"&lt;&gt;",B936:F936),"")</f>
        <v/>
      </c>
      <c r="H936" s="2" t="str">
        <f>IF(AND(A936&lt;&gt;"",G936&lt;&gt;""),ROUND(G936,0),"")</f>
        <v/>
      </c>
      <c r="I936" s="2" t="str">
        <f>IFERROR(IF(A936&lt;&gt;"",VLOOKUP(Alunos!A936,Recurso!A3:D1000,4, FALSE),""), "")</f>
        <v/>
      </c>
      <c r="J936" s="2" t="str">
        <f>IF(AND(A936&lt;&gt;"",I936&lt;&gt;""), SUMIFS(B936:I936,B1:I1,"&lt;&gt;",B2:I2,"&lt;&gt;Exame",B2:I2,"&lt;&gt;exame",B2:I2,"&lt;&gt;Nota",B2:I2,"&lt;&gt;Total"),"")</f>
        <v/>
      </c>
      <c r="K936" s="2" t="str">
        <f>IF(AND(A936&lt;&gt;"",J936&lt;&gt;""),ROUND(J936,0),"")</f>
        <v/>
      </c>
    </row>
    <row r="937" spans="2:11" x14ac:dyDescent="0.3">
      <c r="B937" s="2" t="str">
        <f>IFERROR(IF(A937&lt;&gt;"",VLOOKUP(Alunos!A937,Exame!A3:D1000,4, FALSE),""), "")</f>
        <v/>
      </c>
      <c r="C937" s="2" t="str">
        <f>IF(A937&lt;&gt;"",VLOOKUP(Alunos!A937,Agrupamentos!A3:C1000,2, FALSE),"")</f>
        <v/>
      </c>
      <c r="D937" s="2" t="str">
        <f>IFERROR(IF(A937&lt;&gt;"",VLOOKUP(Alunos!C937,'TP1'!A3:E1000,5, FALSE),""),"")</f>
        <v/>
      </c>
      <c r="E937" s="2" t="str">
        <f>IF(A937&lt;&gt;"",VLOOKUP(Alunos!A937,Agrupamentos!A3:C1000,3, FALSE),"")</f>
        <v/>
      </c>
      <c r="F937" s="2" t="str">
        <f>IFERROR(IF(A937&lt;&gt;"",VLOOKUP(Alunos!E937,'TP2'!A3:D1000,4, FALSE),""),"")</f>
        <v/>
      </c>
      <c r="G937" s="2" t="str">
        <f>IF(A937&lt;&gt;"", SUMIF(B1:F1,"&lt;&gt;",B937:F937),"")</f>
        <v/>
      </c>
      <c r="H937" s="2" t="str">
        <f>IF(AND(A937&lt;&gt;"",G937&lt;&gt;""),ROUND(G937,0),"")</f>
        <v/>
      </c>
      <c r="I937" s="2" t="str">
        <f>IFERROR(IF(A937&lt;&gt;"",VLOOKUP(Alunos!A937,Recurso!A3:D1000,4, FALSE),""), "")</f>
        <v/>
      </c>
      <c r="J937" s="2" t="str">
        <f>IF(AND(A937&lt;&gt;"",I937&lt;&gt;""), SUMIFS(B937:I937,B1:I1,"&lt;&gt;",B2:I2,"&lt;&gt;Exame",B2:I2,"&lt;&gt;exame",B2:I2,"&lt;&gt;Nota",B2:I2,"&lt;&gt;Total"),"")</f>
        <v/>
      </c>
      <c r="K937" s="2" t="str">
        <f>IF(AND(A937&lt;&gt;"",J937&lt;&gt;""),ROUND(J937,0),"")</f>
        <v/>
      </c>
    </row>
    <row r="938" spans="2:11" x14ac:dyDescent="0.3">
      <c r="B938" s="2" t="str">
        <f>IFERROR(IF(A938&lt;&gt;"",VLOOKUP(Alunos!A938,Exame!A3:D1000,4, FALSE),""), "")</f>
        <v/>
      </c>
      <c r="C938" s="2" t="str">
        <f>IF(A938&lt;&gt;"",VLOOKUP(Alunos!A938,Agrupamentos!A3:C1000,2, FALSE),"")</f>
        <v/>
      </c>
      <c r="D938" s="2" t="str">
        <f>IFERROR(IF(A938&lt;&gt;"",VLOOKUP(Alunos!C938,'TP1'!A3:E1000,5, FALSE),""),"")</f>
        <v/>
      </c>
      <c r="E938" s="2" t="str">
        <f>IF(A938&lt;&gt;"",VLOOKUP(Alunos!A938,Agrupamentos!A3:C1000,3, FALSE),"")</f>
        <v/>
      </c>
      <c r="F938" s="2" t="str">
        <f>IFERROR(IF(A938&lt;&gt;"",VLOOKUP(Alunos!E938,'TP2'!A3:D1000,4, FALSE),""),"")</f>
        <v/>
      </c>
      <c r="G938" s="2" t="str">
        <f>IF(A938&lt;&gt;"", SUMIF(B1:F1,"&lt;&gt;",B938:F938),"")</f>
        <v/>
      </c>
      <c r="H938" s="2" t="str">
        <f>IF(AND(A938&lt;&gt;"",G938&lt;&gt;""),ROUND(G938,0),"")</f>
        <v/>
      </c>
      <c r="I938" s="2" t="str">
        <f>IFERROR(IF(A938&lt;&gt;"",VLOOKUP(Alunos!A938,Recurso!A3:D1000,4, FALSE),""), "")</f>
        <v/>
      </c>
      <c r="J938" s="2" t="str">
        <f>IF(AND(A938&lt;&gt;"",I938&lt;&gt;""), SUMIFS(B938:I938,B1:I1,"&lt;&gt;",B2:I2,"&lt;&gt;Exame",B2:I2,"&lt;&gt;exame",B2:I2,"&lt;&gt;Nota",B2:I2,"&lt;&gt;Total"),"")</f>
        <v/>
      </c>
      <c r="K938" s="2" t="str">
        <f>IF(AND(A938&lt;&gt;"",J938&lt;&gt;""),ROUND(J938,0),"")</f>
        <v/>
      </c>
    </row>
    <row r="939" spans="2:11" x14ac:dyDescent="0.3">
      <c r="B939" s="2" t="str">
        <f>IFERROR(IF(A939&lt;&gt;"",VLOOKUP(Alunos!A939,Exame!A3:D1000,4, FALSE),""), "")</f>
        <v/>
      </c>
      <c r="C939" s="2" t="str">
        <f>IF(A939&lt;&gt;"",VLOOKUP(Alunos!A939,Agrupamentos!A3:C1000,2, FALSE),"")</f>
        <v/>
      </c>
      <c r="D939" s="2" t="str">
        <f>IFERROR(IF(A939&lt;&gt;"",VLOOKUP(Alunos!C939,'TP1'!A3:E1000,5, FALSE),""),"")</f>
        <v/>
      </c>
      <c r="E939" s="2" t="str">
        <f>IF(A939&lt;&gt;"",VLOOKUP(Alunos!A939,Agrupamentos!A3:C1000,3, FALSE),"")</f>
        <v/>
      </c>
      <c r="F939" s="2" t="str">
        <f>IFERROR(IF(A939&lt;&gt;"",VLOOKUP(Alunos!E939,'TP2'!A3:D1000,4, FALSE),""),"")</f>
        <v/>
      </c>
      <c r="G939" s="2" t="str">
        <f>IF(A939&lt;&gt;"", SUMIF(B1:F1,"&lt;&gt;",B939:F939),"")</f>
        <v/>
      </c>
      <c r="H939" s="2" t="str">
        <f>IF(AND(A939&lt;&gt;"",G939&lt;&gt;""),ROUND(G939,0),"")</f>
        <v/>
      </c>
      <c r="I939" s="2" t="str">
        <f>IFERROR(IF(A939&lt;&gt;"",VLOOKUP(Alunos!A939,Recurso!A3:D1000,4, FALSE),""), "")</f>
        <v/>
      </c>
      <c r="J939" s="2" t="str">
        <f>IF(AND(A939&lt;&gt;"",I939&lt;&gt;""), SUMIFS(B939:I939,B1:I1,"&lt;&gt;",B2:I2,"&lt;&gt;Exame",B2:I2,"&lt;&gt;exame",B2:I2,"&lt;&gt;Nota",B2:I2,"&lt;&gt;Total"),"")</f>
        <v/>
      </c>
      <c r="K939" s="2" t="str">
        <f>IF(AND(A939&lt;&gt;"",J939&lt;&gt;""),ROUND(J939,0),"")</f>
        <v/>
      </c>
    </row>
    <row r="940" spans="2:11" x14ac:dyDescent="0.3">
      <c r="B940" s="2" t="str">
        <f>IFERROR(IF(A940&lt;&gt;"",VLOOKUP(Alunos!A940,Exame!A3:D1000,4, FALSE),""), "")</f>
        <v/>
      </c>
      <c r="C940" s="2" t="str">
        <f>IF(A940&lt;&gt;"",VLOOKUP(Alunos!A940,Agrupamentos!A3:C1000,2, FALSE),"")</f>
        <v/>
      </c>
      <c r="D940" s="2" t="str">
        <f>IFERROR(IF(A940&lt;&gt;"",VLOOKUP(Alunos!C940,'TP1'!A3:E1000,5, FALSE),""),"")</f>
        <v/>
      </c>
      <c r="E940" s="2" t="str">
        <f>IF(A940&lt;&gt;"",VLOOKUP(Alunos!A940,Agrupamentos!A3:C1000,3, FALSE),"")</f>
        <v/>
      </c>
      <c r="F940" s="2" t="str">
        <f>IFERROR(IF(A940&lt;&gt;"",VLOOKUP(Alunos!E940,'TP2'!A3:D1000,4, FALSE),""),"")</f>
        <v/>
      </c>
      <c r="G940" s="2" t="str">
        <f>IF(A940&lt;&gt;"", SUMIF(B1:F1,"&lt;&gt;",B940:F940),"")</f>
        <v/>
      </c>
      <c r="H940" s="2" t="str">
        <f>IF(AND(A940&lt;&gt;"",G940&lt;&gt;""),ROUND(G940,0),"")</f>
        <v/>
      </c>
      <c r="I940" s="2" t="str">
        <f>IFERROR(IF(A940&lt;&gt;"",VLOOKUP(Alunos!A940,Recurso!A3:D1000,4, FALSE),""), "")</f>
        <v/>
      </c>
      <c r="J940" s="2" t="str">
        <f>IF(AND(A940&lt;&gt;"",I940&lt;&gt;""), SUMIFS(B940:I940,B1:I1,"&lt;&gt;",B2:I2,"&lt;&gt;Exame",B2:I2,"&lt;&gt;exame",B2:I2,"&lt;&gt;Nota",B2:I2,"&lt;&gt;Total"),"")</f>
        <v/>
      </c>
      <c r="K940" s="2" t="str">
        <f>IF(AND(A940&lt;&gt;"",J940&lt;&gt;""),ROUND(J940,0),"")</f>
        <v/>
      </c>
    </row>
    <row r="941" spans="2:11" x14ac:dyDescent="0.3">
      <c r="B941" s="2" t="str">
        <f>IFERROR(IF(A941&lt;&gt;"",VLOOKUP(Alunos!A941,Exame!A3:D1000,4, FALSE),""), "")</f>
        <v/>
      </c>
      <c r="C941" s="2" t="str">
        <f>IF(A941&lt;&gt;"",VLOOKUP(Alunos!A941,Agrupamentos!A3:C1000,2, FALSE),"")</f>
        <v/>
      </c>
      <c r="D941" s="2" t="str">
        <f>IFERROR(IF(A941&lt;&gt;"",VLOOKUP(Alunos!C941,'TP1'!A3:E1000,5, FALSE),""),"")</f>
        <v/>
      </c>
      <c r="E941" s="2" t="str">
        <f>IF(A941&lt;&gt;"",VLOOKUP(Alunos!A941,Agrupamentos!A3:C1000,3, FALSE),"")</f>
        <v/>
      </c>
      <c r="F941" s="2" t="str">
        <f>IFERROR(IF(A941&lt;&gt;"",VLOOKUP(Alunos!E941,'TP2'!A3:D1000,4, FALSE),""),"")</f>
        <v/>
      </c>
      <c r="G941" s="2" t="str">
        <f>IF(A941&lt;&gt;"", SUMIF(B1:F1,"&lt;&gt;",B941:F941),"")</f>
        <v/>
      </c>
      <c r="H941" s="2" t="str">
        <f>IF(AND(A941&lt;&gt;"",G941&lt;&gt;""),ROUND(G941,0),"")</f>
        <v/>
      </c>
      <c r="I941" s="2" t="str">
        <f>IFERROR(IF(A941&lt;&gt;"",VLOOKUP(Alunos!A941,Recurso!A3:D1000,4, FALSE),""), "")</f>
        <v/>
      </c>
      <c r="J941" s="2" t="str">
        <f>IF(AND(A941&lt;&gt;"",I941&lt;&gt;""), SUMIFS(B941:I941,B1:I1,"&lt;&gt;",B2:I2,"&lt;&gt;Exame",B2:I2,"&lt;&gt;exame",B2:I2,"&lt;&gt;Nota",B2:I2,"&lt;&gt;Total"),"")</f>
        <v/>
      </c>
      <c r="K941" s="2" t="str">
        <f>IF(AND(A941&lt;&gt;"",J941&lt;&gt;""),ROUND(J941,0),"")</f>
        <v/>
      </c>
    </row>
    <row r="942" spans="2:11" x14ac:dyDescent="0.3">
      <c r="B942" s="2" t="str">
        <f>IFERROR(IF(A942&lt;&gt;"",VLOOKUP(Alunos!A942,Exame!A3:D1000,4, FALSE),""), "")</f>
        <v/>
      </c>
      <c r="C942" s="2" t="str">
        <f>IF(A942&lt;&gt;"",VLOOKUP(Alunos!A942,Agrupamentos!A3:C1000,2, FALSE),"")</f>
        <v/>
      </c>
      <c r="D942" s="2" t="str">
        <f>IFERROR(IF(A942&lt;&gt;"",VLOOKUP(Alunos!C942,'TP1'!A3:E1000,5, FALSE),""),"")</f>
        <v/>
      </c>
      <c r="E942" s="2" t="str">
        <f>IF(A942&lt;&gt;"",VLOOKUP(Alunos!A942,Agrupamentos!A3:C1000,3, FALSE),"")</f>
        <v/>
      </c>
      <c r="F942" s="2" t="str">
        <f>IFERROR(IF(A942&lt;&gt;"",VLOOKUP(Alunos!E942,'TP2'!A3:D1000,4, FALSE),""),"")</f>
        <v/>
      </c>
      <c r="G942" s="2" t="str">
        <f>IF(A942&lt;&gt;"", SUMIF(B1:F1,"&lt;&gt;",B942:F942),"")</f>
        <v/>
      </c>
      <c r="H942" s="2" t="str">
        <f>IF(AND(A942&lt;&gt;"",G942&lt;&gt;""),ROUND(G942,0),"")</f>
        <v/>
      </c>
      <c r="I942" s="2" t="str">
        <f>IFERROR(IF(A942&lt;&gt;"",VLOOKUP(Alunos!A942,Recurso!A3:D1000,4, FALSE),""), "")</f>
        <v/>
      </c>
      <c r="J942" s="2" t="str">
        <f>IF(AND(A942&lt;&gt;"",I942&lt;&gt;""), SUMIFS(B942:I942,B1:I1,"&lt;&gt;",B2:I2,"&lt;&gt;Exame",B2:I2,"&lt;&gt;exame",B2:I2,"&lt;&gt;Nota",B2:I2,"&lt;&gt;Total"),"")</f>
        <v/>
      </c>
      <c r="K942" s="2" t="str">
        <f>IF(AND(A942&lt;&gt;"",J942&lt;&gt;""),ROUND(J942,0),"")</f>
        <v/>
      </c>
    </row>
    <row r="943" spans="2:11" x14ac:dyDescent="0.3">
      <c r="B943" s="2" t="str">
        <f>IFERROR(IF(A943&lt;&gt;"",VLOOKUP(Alunos!A943,Exame!A3:D1000,4, FALSE),""), "")</f>
        <v/>
      </c>
      <c r="C943" s="2" t="str">
        <f>IF(A943&lt;&gt;"",VLOOKUP(Alunos!A943,Agrupamentos!A3:C1000,2, FALSE),"")</f>
        <v/>
      </c>
      <c r="D943" s="2" t="str">
        <f>IFERROR(IF(A943&lt;&gt;"",VLOOKUP(Alunos!C943,'TP1'!A3:E1000,5, FALSE),""),"")</f>
        <v/>
      </c>
      <c r="E943" s="2" t="str">
        <f>IF(A943&lt;&gt;"",VLOOKUP(Alunos!A943,Agrupamentos!A3:C1000,3, FALSE),"")</f>
        <v/>
      </c>
      <c r="F943" s="2" t="str">
        <f>IFERROR(IF(A943&lt;&gt;"",VLOOKUP(Alunos!E943,'TP2'!A3:D1000,4, FALSE),""),"")</f>
        <v/>
      </c>
      <c r="G943" s="2" t="str">
        <f>IF(A943&lt;&gt;"", SUMIF(B1:F1,"&lt;&gt;",B943:F943),"")</f>
        <v/>
      </c>
      <c r="H943" s="2" t="str">
        <f>IF(AND(A943&lt;&gt;"",G943&lt;&gt;""),ROUND(G943,0),"")</f>
        <v/>
      </c>
      <c r="I943" s="2" t="str">
        <f>IFERROR(IF(A943&lt;&gt;"",VLOOKUP(Alunos!A943,Recurso!A3:D1000,4, FALSE),""), "")</f>
        <v/>
      </c>
      <c r="J943" s="2" t="str">
        <f>IF(AND(A943&lt;&gt;"",I943&lt;&gt;""), SUMIFS(B943:I943,B1:I1,"&lt;&gt;",B2:I2,"&lt;&gt;Exame",B2:I2,"&lt;&gt;exame",B2:I2,"&lt;&gt;Nota",B2:I2,"&lt;&gt;Total"),"")</f>
        <v/>
      </c>
      <c r="K943" s="2" t="str">
        <f>IF(AND(A943&lt;&gt;"",J943&lt;&gt;""),ROUND(J943,0),"")</f>
        <v/>
      </c>
    </row>
    <row r="944" spans="2:11" x14ac:dyDescent="0.3">
      <c r="B944" s="2" t="str">
        <f>IFERROR(IF(A944&lt;&gt;"",VLOOKUP(Alunos!A944,Exame!A3:D1000,4, FALSE),""), "")</f>
        <v/>
      </c>
      <c r="C944" s="2" t="str">
        <f>IF(A944&lt;&gt;"",VLOOKUP(Alunos!A944,Agrupamentos!A3:C1000,2, FALSE),"")</f>
        <v/>
      </c>
      <c r="D944" s="2" t="str">
        <f>IFERROR(IF(A944&lt;&gt;"",VLOOKUP(Alunos!C944,'TP1'!A3:E1000,5, FALSE),""),"")</f>
        <v/>
      </c>
      <c r="E944" s="2" t="str">
        <f>IF(A944&lt;&gt;"",VLOOKUP(Alunos!A944,Agrupamentos!A3:C1000,3, FALSE),"")</f>
        <v/>
      </c>
      <c r="F944" s="2" t="str">
        <f>IFERROR(IF(A944&lt;&gt;"",VLOOKUP(Alunos!E944,'TP2'!A3:D1000,4, FALSE),""),"")</f>
        <v/>
      </c>
      <c r="G944" s="2" t="str">
        <f>IF(A944&lt;&gt;"", SUMIF(B1:F1,"&lt;&gt;",B944:F944),"")</f>
        <v/>
      </c>
      <c r="H944" s="2" t="str">
        <f>IF(AND(A944&lt;&gt;"",G944&lt;&gt;""),ROUND(G944,0),"")</f>
        <v/>
      </c>
      <c r="I944" s="2" t="str">
        <f>IFERROR(IF(A944&lt;&gt;"",VLOOKUP(Alunos!A944,Recurso!A3:D1000,4, FALSE),""), "")</f>
        <v/>
      </c>
      <c r="J944" s="2" t="str">
        <f>IF(AND(A944&lt;&gt;"",I944&lt;&gt;""), SUMIFS(B944:I944,B1:I1,"&lt;&gt;",B2:I2,"&lt;&gt;Exame",B2:I2,"&lt;&gt;exame",B2:I2,"&lt;&gt;Nota",B2:I2,"&lt;&gt;Total"),"")</f>
        <v/>
      </c>
      <c r="K944" s="2" t="str">
        <f>IF(AND(A944&lt;&gt;"",J944&lt;&gt;""),ROUND(J944,0),"")</f>
        <v/>
      </c>
    </row>
    <row r="945" spans="2:11" x14ac:dyDescent="0.3">
      <c r="B945" s="2" t="str">
        <f>IFERROR(IF(A945&lt;&gt;"",VLOOKUP(Alunos!A945,Exame!A3:D1000,4, FALSE),""), "")</f>
        <v/>
      </c>
      <c r="C945" s="2" t="str">
        <f>IF(A945&lt;&gt;"",VLOOKUP(Alunos!A945,Agrupamentos!A3:C1000,2, FALSE),"")</f>
        <v/>
      </c>
      <c r="D945" s="2" t="str">
        <f>IFERROR(IF(A945&lt;&gt;"",VLOOKUP(Alunos!C945,'TP1'!A3:E1000,5, FALSE),""),"")</f>
        <v/>
      </c>
      <c r="E945" s="2" t="str">
        <f>IF(A945&lt;&gt;"",VLOOKUP(Alunos!A945,Agrupamentos!A3:C1000,3, FALSE),"")</f>
        <v/>
      </c>
      <c r="F945" s="2" t="str">
        <f>IFERROR(IF(A945&lt;&gt;"",VLOOKUP(Alunos!E945,'TP2'!A3:D1000,4, FALSE),""),"")</f>
        <v/>
      </c>
      <c r="G945" s="2" t="str">
        <f>IF(A945&lt;&gt;"", SUMIF(B1:F1,"&lt;&gt;",B945:F945),"")</f>
        <v/>
      </c>
      <c r="H945" s="2" t="str">
        <f>IF(AND(A945&lt;&gt;"",G945&lt;&gt;""),ROUND(G945,0),"")</f>
        <v/>
      </c>
      <c r="I945" s="2" t="str">
        <f>IFERROR(IF(A945&lt;&gt;"",VLOOKUP(Alunos!A945,Recurso!A3:D1000,4, FALSE),""), "")</f>
        <v/>
      </c>
      <c r="J945" s="2" t="str">
        <f>IF(AND(A945&lt;&gt;"",I945&lt;&gt;""), SUMIFS(B945:I945,B1:I1,"&lt;&gt;",B2:I2,"&lt;&gt;Exame",B2:I2,"&lt;&gt;exame",B2:I2,"&lt;&gt;Nota",B2:I2,"&lt;&gt;Total"),"")</f>
        <v/>
      </c>
      <c r="K945" s="2" t="str">
        <f>IF(AND(A945&lt;&gt;"",J945&lt;&gt;""),ROUND(J945,0),"")</f>
        <v/>
      </c>
    </row>
    <row r="946" spans="2:11" x14ac:dyDescent="0.3">
      <c r="B946" s="2" t="str">
        <f>IFERROR(IF(A946&lt;&gt;"",VLOOKUP(Alunos!A946,Exame!A3:D1000,4, FALSE),""), "")</f>
        <v/>
      </c>
      <c r="C946" s="2" t="str">
        <f>IF(A946&lt;&gt;"",VLOOKUP(Alunos!A946,Agrupamentos!A3:C1000,2, FALSE),"")</f>
        <v/>
      </c>
      <c r="D946" s="2" t="str">
        <f>IFERROR(IF(A946&lt;&gt;"",VLOOKUP(Alunos!C946,'TP1'!A3:E1000,5, FALSE),""),"")</f>
        <v/>
      </c>
      <c r="E946" s="2" t="str">
        <f>IF(A946&lt;&gt;"",VLOOKUP(Alunos!A946,Agrupamentos!A3:C1000,3, FALSE),"")</f>
        <v/>
      </c>
      <c r="F946" s="2" t="str">
        <f>IFERROR(IF(A946&lt;&gt;"",VLOOKUP(Alunos!E946,'TP2'!A3:D1000,4, FALSE),""),"")</f>
        <v/>
      </c>
      <c r="G946" s="2" t="str">
        <f>IF(A946&lt;&gt;"", SUMIF(B1:F1,"&lt;&gt;",B946:F946),"")</f>
        <v/>
      </c>
      <c r="H946" s="2" t="str">
        <f>IF(AND(A946&lt;&gt;"",G946&lt;&gt;""),ROUND(G946,0),"")</f>
        <v/>
      </c>
      <c r="I946" s="2" t="str">
        <f>IFERROR(IF(A946&lt;&gt;"",VLOOKUP(Alunos!A946,Recurso!A3:D1000,4, FALSE),""), "")</f>
        <v/>
      </c>
      <c r="J946" s="2" t="str">
        <f>IF(AND(A946&lt;&gt;"",I946&lt;&gt;""), SUMIFS(B946:I946,B1:I1,"&lt;&gt;",B2:I2,"&lt;&gt;Exame",B2:I2,"&lt;&gt;exame",B2:I2,"&lt;&gt;Nota",B2:I2,"&lt;&gt;Total"),"")</f>
        <v/>
      </c>
      <c r="K946" s="2" t="str">
        <f>IF(AND(A946&lt;&gt;"",J946&lt;&gt;""),ROUND(J946,0),"")</f>
        <v/>
      </c>
    </row>
    <row r="947" spans="2:11" x14ac:dyDescent="0.3">
      <c r="B947" s="2" t="str">
        <f>IFERROR(IF(A947&lt;&gt;"",VLOOKUP(Alunos!A947,Exame!A3:D1000,4, FALSE),""), "")</f>
        <v/>
      </c>
      <c r="C947" s="2" t="str">
        <f>IF(A947&lt;&gt;"",VLOOKUP(Alunos!A947,Agrupamentos!A3:C1000,2, FALSE),"")</f>
        <v/>
      </c>
      <c r="D947" s="2" t="str">
        <f>IFERROR(IF(A947&lt;&gt;"",VLOOKUP(Alunos!C947,'TP1'!A3:E1000,5, FALSE),""),"")</f>
        <v/>
      </c>
      <c r="E947" s="2" t="str">
        <f>IF(A947&lt;&gt;"",VLOOKUP(Alunos!A947,Agrupamentos!A3:C1000,3, FALSE),"")</f>
        <v/>
      </c>
      <c r="F947" s="2" t="str">
        <f>IFERROR(IF(A947&lt;&gt;"",VLOOKUP(Alunos!E947,'TP2'!A3:D1000,4, FALSE),""),"")</f>
        <v/>
      </c>
      <c r="G947" s="2" t="str">
        <f>IF(A947&lt;&gt;"", SUMIF(B1:F1,"&lt;&gt;",B947:F947),"")</f>
        <v/>
      </c>
      <c r="H947" s="2" t="str">
        <f>IF(AND(A947&lt;&gt;"",G947&lt;&gt;""),ROUND(G947,0),"")</f>
        <v/>
      </c>
      <c r="I947" s="2" t="str">
        <f>IFERROR(IF(A947&lt;&gt;"",VLOOKUP(Alunos!A947,Recurso!A3:D1000,4, FALSE),""), "")</f>
        <v/>
      </c>
      <c r="J947" s="2" t="str">
        <f>IF(AND(A947&lt;&gt;"",I947&lt;&gt;""), SUMIFS(B947:I947,B1:I1,"&lt;&gt;",B2:I2,"&lt;&gt;Exame",B2:I2,"&lt;&gt;exame",B2:I2,"&lt;&gt;Nota",B2:I2,"&lt;&gt;Total"),"")</f>
        <v/>
      </c>
      <c r="K947" s="2" t="str">
        <f>IF(AND(A947&lt;&gt;"",J947&lt;&gt;""),ROUND(J947,0),"")</f>
        <v/>
      </c>
    </row>
    <row r="948" spans="2:11" x14ac:dyDescent="0.3">
      <c r="B948" s="2" t="str">
        <f>IFERROR(IF(A948&lt;&gt;"",VLOOKUP(Alunos!A948,Exame!A3:D1000,4, FALSE),""), "")</f>
        <v/>
      </c>
      <c r="C948" s="2" t="str">
        <f>IF(A948&lt;&gt;"",VLOOKUP(Alunos!A948,Agrupamentos!A3:C1000,2, FALSE),"")</f>
        <v/>
      </c>
      <c r="D948" s="2" t="str">
        <f>IFERROR(IF(A948&lt;&gt;"",VLOOKUP(Alunos!C948,'TP1'!A3:E1000,5, FALSE),""),"")</f>
        <v/>
      </c>
      <c r="E948" s="2" t="str">
        <f>IF(A948&lt;&gt;"",VLOOKUP(Alunos!A948,Agrupamentos!A3:C1000,3, FALSE),"")</f>
        <v/>
      </c>
      <c r="F948" s="2" t="str">
        <f>IFERROR(IF(A948&lt;&gt;"",VLOOKUP(Alunos!E948,'TP2'!A3:D1000,4, FALSE),""),"")</f>
        <v/>
      </c>
      <c r="G948" s="2" t="str">
        <f>IF(A948&lt;&gt;"", SUMIF(B1:F1,"&lt;&gt;",B948:F948),"")</f>
        <v/>
      </c>
      <c r="H948" s="2" t="str">
        <f>IF(AND(A948&lt;&gt;"",G948&lt;&gt;""),ROUND(G948,0),"")</f>
        <v/>
      </c>
      <c r="I948" s="2" t="str">
        <f>IFERROR(IF(A948&lt;&gt;"",VLOOKUP(Alunos!A948,Recurso!A3:D1000,4, FALSE),""), "")</f>
        <v/>
      </c>
      <c r="J948" s="2" t="str">
        <f>IF(AND(A948&lt;&gt;"",I948&lt;&gt;""), SUMIFS(B948:I948,B1:I1,"&lt;&gt;",B2:I2,"&lt;&gt;Exame",B2:I2,"&lt;&gt;exame",B2:I2,"&lt;&gt;Nota",B2:I2,"&lt;&gt;Total"),"")</f>
        <v/>
      </c>
      <c r="K948" s="2" t="str">
        <f>IF(AND(A948&lt;&gt;"",J948&lt;&gt;""),ROUND(J948,0),"")</f>
        <v/>
      </c>
    </row>
    <row r="949" spans="2:11" x14ac:dyDescent="0.3">
      <c r="B949" s="2" t="str">
        <f>IFERROR(IF(A949&lt;&gt;"",VLOOKUP(Alunos!A949,Exame!A3:D1000,4, FALSE),""), "")</f>
        <v/>
      </c>
      <c r="C949" s="2" t="str">
        <f>IF(A949&lt;&gt;"",VLOOKUP(Alunos!A949,Agrupamentos!A3:C1000,2, FALSE),"")</f>
        <v/>
      </c>
      <c r="D949" s="2" t="str">
        <f>IFERROR(IF(A949&lt;&gt;"",VLOOKUP(Alunos!C949,'TP1'!A3:E1000,5, FALSE),""),"")</f>
        <v/>
      </c>
      <c r="E949" s="2" t="str">
        <f>IF(A949&lt;&gt;"",VLOOKUP(Alunos!A949,Agrupamentos!A3:C1000,3, FALSE),"")</f>
        <v/>
      </c>
      <c r="F949" s="2" t="str">
        <f>IFERROR(IF(A949&lt;&gt;"",VLOOKUP(Alunos!E949,'TP2'!A3:D1000,4, FALSE),""),"")</f>
        <v/>
      </c>
      <c r="G949" s="2" t="str">
        <f>IF(A949&lt;&gt;"", SUMIF(B1:F1,"&lt;&gt;",B949:F949),"")</f>
        <v/>
      </c>
      <c r="H949" s="2" t="str">
        <f>IF(AND(A949&lt;&gt;"",G949&lt;&gt;""),ROUND(G949,0),"")</f>
        <v/>
      </c>
      <c r="I949" s="2" t="str">
        <f>IFERROR(IF(A949&lt;&gt;"",VLOOKUP(Alunos!A949,Recurso!A3:D1000,4, FALSE),""), "")</f>
        <v/>
      </c>
      <c r="J949" s="2" t="str">
        <f>IF(AND(A949&lt;&gt;"",I949&lt;&gt;""), SUMIFS(B949:I949,B1:I1,"&lt;&gt;",B2:I2,"&lt;&gt;Exame",B2:I2,"&lt;&gt;exame",B2:I2,"&lt;&gt;Nota",B2:I2,"&lt;&gt;Total"),"")</f>
        <v/>
      </c>
      <c r="K949" s="2" t="str">
        <f>IF(AND(A949&lt;&gt;"",J949&lt;&gt;""),ROUND(J949,0),"")</f>
        <v/>
      </c>
    </row>
    <row r="950" spans="2:11" x14ac:dyDescent="0.3">
      <c r="B950" s="2" t="str">
        <f>IFERROR(IF(A950&lt;&gt;"",VLOOKUP(Alunos!A950,Exame!A3:D1000,4, FALSE),""), "")</f>
        <v/>
      </c>
      <c r="C950" s="2" t="str">
        <f>IF(A950&lt;&gt;"",VLOOKUP(Alunos!A950,Agrupamentos!A3:C1000,2, FALSE),"")</f>
        <v/>
      </c>
      <c r="D950" s="2" t="str">
        <f>IFERROR(IF(A950&lt;&gt;"",VLOOKUP(Alunos!C950,'TP1'!A3:E1000,5, FALSE),""),"")</f>
        <v/>
      </c>
      <c r="E950" s="2" t="str">
        <f>IF(A950&lt;&gt;"",VLOOKUP(Alunos!A950,Agrupamentos!A3:C1000,3, FALSE),"")</f>
        <v/>
      </c>
      <c r="F950" s="2" t="str">
        <f>IFERROR(IF(A950&lt;&gt;"",VLOOKUP(Alunos!E950,'TP2'!A3:D1000,4, FALSE),""),"")</f>
        <v/>
      </c>
      <c r="G950" s="2" t="str">
        <f>IF(A950&lt;&gt;"", SUMIF(B1:F1,"&lt;&gt;",B950:F950),"")</f>
        <v/>
      </c>
      <c r="H950" s="2" t="str">
        <f>IF(AND(A950&lt;&gt;"",G950&lt;&gt;""),ROUND(G950,0),"")</f>
        <v/>
      </c>
      <c r="I950" s="2" t="str">
        <f>IFERROR(IF(A950&lt;&gt;"",VLOOKUP(Alunos!A950,Recurso!A3:D1000,4, FALSE),""), "")</f>
        <v/>
      </c>
      <c r="J950" s="2" t="str">
        <f>IF(AND(A950&lt;&gt;"",I950&lt;&gt;""), SUMIFS(B950:I950,B1:I1,"&lt;&gt;",B2:I2,"&lt;&gt;Exame",B2:I2,"&lt;&gt;exame",B2:I2,"&lt;&gt;Nota",B2:I2,"&lt;&gt;Total"),"")</f>
        <v/>
      </c>
      <c r="K950" s="2" t="str">
        <f>IF(AND(A950&lt;&gt;"",J950&lt;&gt;""),ROUND(J950,0),"")</f>
        <v/>
      </c>
    </row>
    <row r="951" spans="2:11" x14ac:dyDescent="0.3">
      <c r="B951" s="2" t="str">
        <f>IFERROR(IF(A951&lt;&gt;"",VLOOKUP(Alunos!A951,Exame!A3:D1000,4, FALSE),""), "")</f>
        <v/>
      </c>
      <c r="C951" s="2" t="str">
        <f>IF(A951&lt;&gt;"",VLOOKUP(Alunos!A951,Agrupamentos!A3:C1000,2, FALSE),"")</f>
        <v/>
      </c>
      <c r="D951" s="2" t="str">
        <f>IFERROR(IF(A951&lt;&gt;"",VLOOKUP(Alunos!C951,'TP1'!A3:E1000,5, FALSE),""),"")</f>
        <v/>
      </c>
      <c r="E951" s="2" t="str">
        <f>IF(A951&lt;&gt;"",VLOOKUP(Alunos!A951,Agrupamentos!A3:C1000,3, FALSE),"")</f>
        <v/>
      </c>
      <c r="F951" s="2" t="str">
        <f>IFERROR(IF(A951&lt;&gt;"",VLOOKUP(Alunos!E951,'TP2'!A3:D1000,4, FALSE),""),"")</f>
        <v/>
      </c>
      <c r="G951" s="2" t="str">
        <f>IF(A951&lt;&gt;"", SUMIF(B1:F1,"&lt;&gt;",B951:F951),"")</f>
        <v/>
      </c>
      <c r="H951" s="2" t="str">
        <f>IF(AND(A951&lt;&gt;"",G951&lt;&gt;""),ROUND(G951,0),"")</f>
        <v/>
      </c>
      <c r="I951" s="2" t="str">
        <f>IFERROR(IF(A951&lt;&gt;"",VLOOKUP(Alunos!A951,Recurso!A3:D1000,4, FALSE),""), "")</f>
        <v/>
      </c>
      <c r="J951" s="2" t="str">
        <f>IF(AND(A951&lt;&gt;"",I951&lt;&gt;""), SUMIFS(B951:I951,B1:I1,"&lt;&gt;",B2:I2,"&lt;&gt;Exame",B2:I2,"&lt;&gt;exame",B2:I2,"&lt;&gt;Nota",B2:I2,"&lt;&gt;Total"),"")</f>
        <v/>
      </c>
      <c r="K951" s="2" t="str">
        <f>IF(AND(A951&lt;&gt;"",J951&lt;&gt;""),ROUND(J951,0),"")</f>
        <v/>
      </c>
    </row>
    <row r="952" spans="2:11" x14ac:dyDescent="0.3">
      <c r="B952" s="2" t="str">
        <f>IFERROR(IF(A952&lt;&gt;"",VLOOKUP(Alunos!A952,Exame!A3:D1000,4, FALSE),""), "")</f>
        <v/>
      </c>
      <c r="C952" s="2" t="str">
        <f>IF(A952&lt;&gt;"",VLOOKUP(Alunos!A952,Agrupamentos!A3:C1000,2, FALSE),"")</f>
        <v/>
      </c>
      <c r="D952" s="2" t="str">
        <f>IFERROR(IF(A952&lt;&gt;"",VLOOKUP(Alunos!C952,'TP1'!A3:E1000,5, FALSE),""),"")</f>
        <v/>
      </c>
      <c r="E952" s="2" t="str">
        <f>IF(A952&lt;&gt;"",VLOOKUP(Alunos!A952,Agrupamentos!A3:C1000,3, FALSE),"")</f>
        <v/>
      </c>
      <c r="F952" s="2" t="str">
        <f>IFERROR(IF(A952&lt;&gt;"",VLOOKUP(Alunos!E952,'TP2'!A3:D1000,4, FALSE),""),"")</f>
        <v/>
      </c>
      <c r="G952" s="2" t="str">
        <f>IF(A952&lt;&gt;"", SUMIF(B1:F1,"&lt;&gt;",B952:F952),"")</f>
        <v/>
      </c>
      <c r="H952" s="2" t="str">
        <f>IF(AND(A952&lt;&gt;"",G952&lt;&gt;""),ROUND(G952,0),"")</f>
        <v/>
      </c>
      <c r="I952" s="2" t="str">
        <f>IFERROR(IF(A952&lt;&gt;"",VLOOKUP(Alunos!A952,Recurso!A3:D1000,4, FALSE),""), "")</f>
        <v/>
      </c>
      <c r="J952" s="2" t="str">
        <f>IF(AND(A952&lt;&gt;"",I952&lt;&gt;""), SUMIFS(B952:I952,B1:I1,"&lt;&gt;",B2:I2,"&lt;&gt;Exame",B2:I2,"&lt;&gt;exame",B2:I2,"&lt;&gt;Nota",B2:I2,"&lt;&gt;Total"),"")</f>
        <v/>
      </c>
      <c r="K952" s="2" t="str">
        <f>IF(AND(A952&lt;&gt;"",J952&lt;&gt;""),ROUND(J952,0),"")</f>
        <v/>
      </c>
    </row>
    <row r="953" spans="2:11" x14ac:dyDescent="0.3">
      <c r="B953" s="2" t="str">
        <f>IFERROR(IF(A953&lt;&gt;"",VLOOKUP(Alunos!A953,Exame!A3:D1000,4, FALSE),""), "")</f>
        <v/>
      </c>
      <c r="C953" s="2" t="str">
        <f>IF(A953&lt;&gt;"",VLOOKUP(Alunos!A953,Agrupamentos!A3:C1000,2, FALSE),"")</f>
        <v/>
      </c>
      <c r="D953" s="2" t="str">
        <f>IFERROR(IF(A953&lt;&gt;"",VLOOKUP(Alunos!C953,'TP1'!A3:E1000,5, FALSE),""),"")</f>
        <v/>
      </c>
      <c r="E953" s="2" t="str">
        <f>IF(A953&lt;&gt;"",VLOOKUP(Alunos!A953,Agrupamentos!A3:C1000,3, FALSE),"")</f>
        <v/>
      </c>
      <c r="F953" s="2" t="str">
        <f>IFERROR(IF(A953&lt;&gt;"",VLOOKUP(Alunos!E953,'TP2'!A3:D1000,4, FALSE),""),"")</f>
        <v/>
      </c>
      <c r="G953" s="2" t="str">
        <f>IF(A953&lt;&gt;"", SUMIF(B1:F1,"&lt;&gt;",B953:F953),"")</f>
        <v/>
      </c>
      <c r="H953" s="2" t="str">
        <f>IF(AND(A953&lt;&gt;"",G953&lt;&gt;""),ROUND(G953,0),"")</f>
        <v/>
      </c>
      <c r="I953" s="2" t="str">
        <f>IFERROR(IF(A953&lt;&gt;"",VLOOKUP(Alunos!A953,Recurso!A3:D1000,4, FALSE),""), "")</f>
        <v/>
      </c>
      <c r="J953" s="2" t="str">
        <f>IF(AND(A953&lt;&gt;"",I953&lt;&gt;""), SUMIFS(B953:I953,B1:I1,"&lt;&gt;",B2:I2,"&lt;&gt;Exame",B2:I2,"&lt;&gt;exame",B2:I2,"&lt;&gt;Nota",B2:I2,"&lt;&gt;Total"),"")</f>
        <v/>
      </c>
      <c r="K953" s="2" t="str">
        <f>IF(AND(A953&lt;&gt;"",J953&lt;&gt;""),ROUND(J953,0),"")</f>
        <v/>
      </c>
    </row>
    <row r="954" spans="2:11" x14ac:dyDescent="0.3">
      <c r="B954" s="2" t="str">
        <f>IFERROR(IF(A954&lt;&gt;"",VLOOKUP(Alunos!A954,Exame!A3:D1000,4, FALSE),""), "")</f>
        <v/>
      </c>
      <c r="C954" s="2" t="str">
        <f>IF(A954&lt;&gt;"",VLOOKUP(Alunos!A954,Agrupamentos!A3:C1000,2, FALSE),"")</f>
        <v/>
      </c>
      <c r="D954" s="2" t="str">
        <f>IFERROR(IF(A954&lt;&gt;"",VLOOKUP(Alunos!C954,'TP1'!A3:E1000,5, FALSE),""),"")</f>
        <v/>
      </c>
      <c r="E954" s="2" t="str">
        <f>IF(A954&lt;&gt;"",VLOOKUP(Alunos!A954,Agrupamentos!A3:C1000,3, FALSE),"")</f>
        <v/>
      </c>
      <c r="F954" s="2" t="str">
        <f>IFERROR(IF(A954&lt;&gt;"",VLOOKUP(Alunos!E954,'TP2'!A3:D1000,4, FALSE),""),"")</f>
        <v/>
      </c>
      <c r="G954" s="2" t="str">
        <f>IF(A954&lt;&gt;"", SUMIF(B1:F1,"&lt;&gt;",B954:F954),"")</f>
        <v/>
      </c>
      <c r="H954" s="2" t="str">
        <f>IF(AND(A954&lt;&gt;"",G954&lt;&gt;""),ROUND(G954,0),"")</f>
        <v/>
      </c>
      <c r="I954" s="2" t="str">
        <f>IFERROR(IF(A954&lt;&gt;"",VLOOKUP(Alunos!A954,Recurso!A3:D1000,4, FALSE),""), "")</f>
        <v/>
      </c>
      <c r="J954" s="2" t="str">
        <f>IF(AND(A954&lt;&gt;"",I954&lt;&gt;""), SUMIFS(B954:I954,B1:I1,"&lt;&gt;",B2:I2,"&lt;&gt;Exame",B2:I2,"&lt;&gt;exame",B2:I2,"&lt;&gt;Nota",B2:I2,"&lt;&gt;Total"),"")</f>
        <v/>
      </c>
      <c r="K954" s="2" t="str">
        <f>IF(AND(A954&lt;&gt;"",J954&lt;&gt;""),ROUND(J954,0),"")</f>
        <v/>
      </c>
    </row>
    <row r="955" spans="2:11" x14ac:dyDescent="0.3">
      <c r="B955" s="2" t="str">
        <f>IFERROR(IF(A955&lt;&gt;"",VLOOKUP(Alunos!A955,Exame!A3:D1000,4, FALSE),""), "")</f>
        <v/>
      </c>
      <c r="C955" s="2" t="str">
        <f>IF(A955&lt;&gt;"",VLOOKUP(Alunos!A955,Agrupamentos!A3:C1000,2, FALSE),"")</f>
        <v/>
      </c>
      <c r="D955" s="2" t="str">
        <f>IFERROR(IF(A955&lt;&gt;"",VLOOKUP(Alunos!C955,'TP1'!A3:E1000,5, FALSE),""),"")</f>
        <v/>
      </c>
      <c r="E955" s="2" t="str">
        <f>IF(A955&lt;&gt;"",VLOOKUP(Alunos!A955,Agrupamentos!A3:C1000,3, FALSE),"")</f>
        <v/>
      </c>
      <c r="F955" s="2" t="str">
        <f>IFERROR(IF(A955&lt;&gt;"",VLOOKUP(Alunos!E955,'TP2'!A3:D1000,4, FALSE),""),"")</f>
        <v/>
      </c>
      <c r="G955" s="2" t="str">
        <f>IF(A955&lt;&gt;"", SUMIF(B1:F1,"&lt;&gt;",B955:F955),"")</f>
        <v/>
      </c>
      <c r="H955" s="2" t="str">
        <f>IF(AND(A955&lt;&gt;"",G955&lt;&gt;""),ROUND(G955,0),"")</f>
        <v/>
      </c>
      <c r="I955" s="2" t="str">
        <f>IFERROR(IF(A955&lt;&gt;"",VLOOKUP(Alunos!A955,Recurso!A3:D1000,4, FALSE),""), "")</f>
        <v/>
      </c>
      <c r="J955" s="2" t="str">
        <f>IF(AND(A955&lt;&gt;"",I955&lt;&gt;""), SUMIFS(B955:I955,B1:I1,"&lt;&gt;",B2:I2,"&lt;&gt;Exame",B2:I2,"&lt;&gt;exame",B2:I2,"&lt;&gt;Nota",B2:I2,"&lt;&gt;Total"),"")</f>
        <v/>
      </c>
      <c r="K955" s="2" t="str">
        <f>IF(AND(A955&lt;&gt;"",J955&lt;&gt;""),ROUND(J955,0),"")</f>
        <v/>
      </c>
    </row>
    <row r="956" spans="2:11" x14ac:dyDescent="0.3">
      <c r="B956" s="2" t="str">
        <f>IFERROR(IF(A956&lt;&gt;"",VLOOKUP(Alunos!A956,Exame!A3:D1000,4, FALSE),""), "")</f>
        <v/>
      </c>
      <c r="C956" s="2" t="str">
        <f>IF(A956&lt;&gt;"",VLOOKUP(Alunos!A956,Agrupamentos!A3:C1000,2, FALSE),"")</f>
        <v/>
      </c>
      <c r="D956" s="2" t="str">
        <f>IFERROR(IF(A956&lt;&gt;"",VLOOKUP(Alunos!C956,'TP1'!A3:E1000,5, FALSE),""),"")</f>
        <v/>
      </c>
      <c r="E956" s="2" t="str">
        <f>IF(A956&lt;&gt;"",VLOOKUP(Alunos!A956,Agrupamentos!A3:C1000,3, FALSE),"")</f>
        <v/>
      </c>
      <c r="F956" s="2" t="str">
        <f>IFERROR(IF(A956&lt;&gt;"",VLOOKUP(Alunos!E956,'TP2'!A3:D1000,4, FALSE),""),"")</f>
        <v/>
      </c>
      <c r="G956" s="2" t="str">
        <f>IF(A956&lt;&gt;"", SUMIF(B1:F1,"&lt;&gt;",B956:F956),"")</f>
        <v/>
      </c>
      <c r="H956" s="2" t="str">
        <f>IF(AND(A956&lt;&gt;"",G956&lt;&gt;""),ROUND(G956,0),"")</f>
        <v/>
      </c>
      <c r="I956" s="2" t="str">
        <f>IFERROR(IF(A956&lt;&gt;"",VLOOKUP(Alunos!A956,Recurso!A3:D1000,4, FALSE),""), "")</f>
        <v/>
      </c>
      <c r="J956" s="2" t="str">
        <f>IF(AND(A956&lt;&gt;"",I956&lt;&gt;""), SUMIFS(B956:I956,B1:I1,"&lt;&gt;",B2:I2,"&lt;&gt;Exame",B2:I2,"&lt;&gt;exame",B2:I2,"&lt;&gt;Nota",B2:I2,"&lt;&gt;Total"),"")</f>
        <v/>
      </c>
      <c r="K956" s="2" t="str">
        <f>IF(AND(A956&lt;&gt;"",J956&lt;&gt;""),ROUND(J956,0),"")</f>
        <v/>
      </c>
    </row>
    <row r="957" spans="2:11" x14ac:dyDescent="0.3">
      <c r="B957" s="2" t="str">
        <f>IFERROR(IF(A957&lt;&gt;"",VLOOKUP(Alunos!A957,Exame!A3:D1000,4, FALSE),""), "")</f>
        <v/>
      </c>
      <c r="C957" s="2" t="str">
        <f>IF(A957&lt;&gt;"",VLOOKUP(Alunos!A957,Agrupamentos!A3:C1000,2, FALSE),"")</f>
        <v/>
      </c>
      <c r="D957" s="2" t="str">
        <f>IFERROR(IF(A957&lt;&gt;"",VLOOKUP(Alunos!C957,'TP1'!A3:E1000,5, FALSE),""),"")</f>
        <v/>
      </c>
      <c r="E957" s="2" t="str">
        <f>IF(A957&lt;&gt;"",VLOOKUP(Alunos!A957,Agrupamentos!A3:C1000,3, FALSE),"")</f>
        <v/>
      </c>
      <c r="F957" s="2" t="str">
        <f>IFERROR(IF(A957&lt;&gt;"",VLOOKUP(Alunos!E957,'TP2'!A3:D1000,4, FALSE),""),"")</f>
        <v/>
      </c>
      <c r="G957" s="2" t="str">
        <f>IF(A957&lt;&gt;"", SUMIF(B1:F1,"&lt;&gt;",B957:F957),"")</f>
        <v/>
      </c>
      <c r="H957" s="2" t="str">
        <f>IF(AND(A957&lt;&gt;"",G957&lt;&gt;""),ROUND(G957,0),"")</f>
        <v/>
      </c>
      <c r="I957" s="2" t="str">
        <f>IFERROR(IF(A957&lt;&gt;"",VLOOKUP(Alunos!A957,Recurso!A3:D1000,4, FALSE),""), "")</f>
        <v/>
      </c>
      <c r="J957" s="2" t="str">
        <f>IF(AND(A957&lt;&gt;"",I957&lt;&gt;""), SUMIFS(B957:I957,B1:I1,"&lt;&gt;",B2:I2,"&lt;&gt;Exame",B2:I2,"&lt;&gt;exame",B2:I2,"&lt;&gt;Nota",B2:I2,"&lt;&gt;Total"),"")</f>
        <v/>
      </c>
      <c r="K957" s="2" t="str">
        <f>IF(AND(A957&lt;&gt;"",J957&lt;&gt;""),ROUND(J957,0),"")</f>
        <v/>
      </c>
    </row>
    <row r="958" spans="2:11" x14ac:dyDescent="0.3">
      <c r="B958" s="2" t="str">
        <f>IFERROR(IF(A958&lt;&gt;"",VLOOKUP(Alunos!A958,Exame!A3:D1000,4, FALSE),""), "")</f>
        <v/>
      </c>
      <c r="C958" s="2" t="str">
        <f>IF(A958&lt;&gt;"",VLOOKUP(Alunos!A958,Agrupamentos!A3:C1000,2, FALSE),"")</f>
        <v/>
      </c>
      <c r="D958" s="2" t="str">
        <f>IFERROR(IF(A958&lt;&gt;"",VLOOKUP(Alunos!C958,'TP1'!A3:E1000,5, FALSE),""),"")</f>
        <v/>
      </c>
      <c r="E958" s="2" t="str">
        <f>IF(A958&lt;&gt;"",VLOOKUP(Alunos!A958,Agrupamentos!A3:C1000,3, FALSE),"")</f>
        <v/>
      </c>
      <c r="F958" s="2" t="str">
        <f>IFERROR(IF(A958&lt;&gt;"",VLOOKUP(Alunos!E958,'TP2'!A3:D1000,4, FALSE),""),"")</f>
        <v/>
      </c>
      <c r="G958" s="2" t="str">
        <f>IF(A958&lt;&gt;"", SUMIF(B1:F1,"&lt;&gt;",B958:F958),"")</f>
        <v/>
      </c>
      <c r="H958" s="2" t="str">
        <f>IF(AND(A958&lt;&gt;"",G958&lt;&gt;""),ROUND(G958,0),"")</f>
        <v/>
      </c>
      <c r="I958" s="2" t="str">
        <f>IFERROR(IF(A958&lt;&gt;"",VLOOKUP(Alunos!A958,Recurso!A3:D1000,4, FALSE),""), "")</f>
        <v/>
      </c>
      <c r="J958" s="2" t="str">
        <f>IF(AND(A958&lt;&gt;"",I958&lt;&gt;""), SUMIFS(B958:I958,B1:I1,"&lt;&gt;",B2:I2,"&lt;&gt;Exame",B2:I2,"&lt;&gt;exame",B2:I2,"&lt;&gt;Nota",B2:I2,"&lt;&gt;Total"),"")</f>
        <v/>
      </c>
      <c r="K958" s="2" t="str">
        <f>IF(AND(A958&lt;&gt;"",J958&lt;&gt;""),ROUND(J958,0),"")</f>
        <v/>
      </c>
    </row>
    <row r="959" spans="2:11" x14ac:dyDescent="0.3">
      <c r="B959" s="2" t="str">
        <f>IFERROR(IF(A959&lt;&gt;"",VLOOKUP(Alunos!A959,Exame!A3:D1000,4, FALSE),""), "")</f>
        <v/>
      </c>
      <c r="C959" s="2" t="str">
        <f>IF(A959&lt;&gt;"",VLOOKUP(Alunos!A959,Agrupamentos!A3:C1000,2, FALSE),"")</f>
        <v/>
      </c>
      <c r="D959" s="2" t="str">
        <f>IFERROR(IF(A959&lt;&gt;"",VLOOKUP(Alunos!C959,'TP1'!A3:E1000,5, FALSE),""),"")</f>
        <v/>
      </c>
      <c r="E959" s="2" t="str">
        <f>IF(A959&lt;&gt;"",VLOOKUP(Alunos!A959,Agrupamentos!A3:C1000,3, FALSE),"")</f>
        <v/>
      </c>
      <c r="F959" s="2" t="str">
        <f>IFERROR(IF(A959&lt;&gt;"",VLOOKUP(Alunos!E959,'TP2'!A3:D1000,4, FALSE),""),"")</f>
        <v/>
      </c>
      <c r="G959" s="2" t="str">
        <f>IF(A959&lt;&gt;"", SUMIF(B1:F1,"&lt;&gt;",B959:F959),"")</f>
        <v/>
      </c>
      <c r="H959" s="2" t="str">
        <f>IF(AND(A959&lt;&gt;"",G959&lt;&gt;""),ROUND(G959,0),"")</f>
        <v/>
      </c>
      <c r="I959" s="2" t="str">
        <f>IFERROR(IF(A959&lt;&gt;"",VLOOKUP(Alunos!A959,Recurso!A3:D1000,4, FALSE),""), "")</f>
        <v/>
      </c>
      <c r="J959" s="2" t="str">
        <f>IF(AND(A959&lt;&gt;"",I959&lt;&gt;""), SUMIFS(B959:I959,B1:I1,"&lt;&gt;",B2:I2,"&lt;&gt;Exame",B2:I2,"&lt;&gt;exame",B2:I2,"&lt;&gt;Nota",B2:I2,"&lt;&gt;Total"),"")</f>
        <v/>
      </c>
      <c r="K959" s="2" t="str">
        <f>IF(AND(A959&lt;&gt;"",J959&lt;&gt;""),ROUND(J959,0),"")</f>
        <v/>
      </c>
    </row>
    <row r="960" spans="2:11" x14ac:dyDescent="0.3">
      <c r="B960" s="2" t="str">
        <f>IFERROR(IF(A960&lt;&gt;"",VLOOKUP(Alunos!A960,Exame!A3:D1000,4, FALSE),""), "")</f>
        <v/>
      </c>
      <c r="C960" s="2" t="str">
        <f>IF(A960&lt;&gt;"",VLOOKUP(Alunos!A960,Agrupamentos!A3:C1000,2, FALSE),"")</f>
        <v/>
      </c>
      <c r="D960" s="2" t="str">
        <f>IFERROR(IF(A960&lt;&gt;"",VLOOKUP(Alunos!C960,'TP1'!A3:E1000,5, FALSE),""),"")</f>
        <v/>
      </c>
      <c r="E960" s="2" t="str">
        <f>IF(A960&lt;&gt;"",VLOOKUP(Alunos!A960,Agrupamentos!A3:C1000,3, FALSE),"")</f>
        <v/>
      </c>
      <c r="F960" s="2" t="str">
        <f>IFERROR(IF(A960&lt;&gt;"",VLOOKUP(Alunos!E960,'TP2'!A3:D1000,4, FALSE),""),"")</f>
        <v/>
      </c>
      <c r="G960" s="2" t="str">
        <f>IF(A960&lt;&gt;"", SUMIF(B1:F1,"&lt;&gt;",B960:F960),"")</f>
        <v/>
      </c>
      <c r="H960" s="2" t="str">
        <f>IF(AND(A960&lt;&gt;"",G960&lt;&gt;""),ROUND(G960,0),"")</f>
        <v/>
      </c>
      <c r="I960" s="2" t="str">
        <f>IFERROR(IF(A960&lt;&gt;"",VLOOKUP(Alunos!A960,Recurso!A3:D1000,4, FALSE),""), "")</f>
        <v/>
      </c>
      <c r="J960" s="2" t="str">
        <f>IF(AND(A960&lt;&gt;"",I960&lt;&gt;""), SUMIFS(B960:I960,B1:I1,"&lt;&gt;",B2:I2,"&lt;&gt;Exame",B2:I2,"&lt;&gt;exame",B2:I2,"&lt;&gt;Nota",B2:I2,"&lt;&gt;Total"),"")</f>
        <v/>
      </c>
      <c r="K960" s="2" t="str">
        <f>IF(AND(A960&lt;&gt;"",J960&lt;&gt;""),ROUND(J960,0),"")</f>
        <v/>
      </c>
    </row>
    <row r="961" spans="2:11" x14ac:dyDescent="0.3">
      <c r="B961" s="2" t="str">
        <f>IFERROR(IF(A961&lt;&gt;"",VLOOKUP(Alunos!A961,Exame!A3:D1000,4, FALSE),""), "")</f>
        <v/>
      </c>
      <c r="C961" s="2" t="str">
        <f>IF(A961&lt;&gt;"",VLOOKUP(Alunos!A961,Agrupamentos!A3:C1000,2, FALSE),"")</f>
        <v/>
      </c>
      <c r="D961" s="2" t="str">
        <f>IFERROR(IF(A961&lt;&gt;"",VLOOKUP(Alunos!C961,'TP1'!A3:E1000,5, FALSE),""),"")</f>
        <v/>
      </c>
      <c r="E961" s="2" t="str">
        <f>IF(A961&lt;&gt;"",VLOOKUP(Alunos!A961,Agrupamentos!A3:C1000,3, FALSE),"")</f>
        <v/>
      </c>
      <c r="F961" s="2" t="str">
        <f>IFERROR(IF(A961&lt;&gt;"",VLOOKUP(Alunos!E961,'TP2'!A3:D1000,4, FALSE),""),"")</f>
        <v/>
      </c>
      <c r="G961" s="2" t="str">
        <f>IF(A961&lt;&gt;"", SUMIF(B1:F1,"&lt;&gt;",B961:F961),"")</f>
        <v/>
      </c>
      <c r="H961" s="2" t="str">
        <f>IF(AND(A961&lt;&gt;"",G961&lt;&gt;""),ROUND(G961,0),"")</f>
        <v/>
      </c>
      <c r="I961" s="2" t="str">
        <f>IFERROR(IF(A961&lt;&gt;"",VLOOKUP(Alunos!A961,Recurso!A3:D1000,4, FALSE),""), "")</f>
        <v/>
      </c>
      <c r="J961" s="2" t="str">
        <f>IF(AND(A961&lt;&gt;"",I961&lt;&gt;""), SUMIFS(B961:I961,B1:I1,"&lt;&gt;",B2:I2,"&lt;&gt;Exame",B2:I2,"&lt;&gt;exame",B2:I2,"&lt;&gt;Nota",B2:I2,"&lt;&gt;Total"),"")</f>
        <v/>
      </c>
      <c r="K961" s="2" t="str">
        <f>IF(AND(A961&lt;&gt;"",J961&lt;&gt;""),ROUND(J961,0),"")</f>
        <v/>
      </c>
    </row>
    <row r="962" spans="2:11" x14ac:dyDescent="0.3">
      <c r="B962" s="2" t="str">
        <f>IFERROR(IF(A962&lt;&gt;"",VLOOKUP(Alunos!A962,Exame!A3:D1000,4, FALSE),""), "")</f>
        <v/>
      </c>
      <c r="C962" s="2" t="str">
        <f>IF(A962&lt;&gt;"",VLOOKUP(Alunos!A962,Agrupamentos!A3:C1000,2, FALSE),"")</f>
        <v/>
      </c>
      <c r="D962" s="2" t="str">
        <f>IFERROR(IF(A962&lt;&gt;"",VLOOKUP(Alunos!C962,'TP1'!A3:E1000,5, FALSE),""),"")</f>
        <v/>
      </c>
      <c r="E962" s="2" t="str">
        <f>IF(A962&lt;&gt;"",VLOOKUP(Alunos!A962,Agrupamentos!A3:C1000,3, FALSE),"")</f>
        <v/>
      </c>
      <c r="F962" s="2" t="str">
        <f>IFERROR(IF(A962&lt;&gt;"",VLOOKUP(Alunos!E962,'TP2'!A3:D1000,4, FALSE),""),"")</f>
        <v/>
      </c>
      <c r="G962" s="2" t="str">
        <f>IF(A962&lt;&gt;"", SUMIF(B1:F1,"&lt;&gt;",B962:F962),"")</f>
        <v/>
      </c>
      <c r="H962" s="2" t="str">
        <f>IF(AND(A962&lt;&gt;"",G962&lt;&gt;""),ROUND(G962,0),"")</f>
        <v/>
      </c>
      <c r="I962" s="2" t="str">
        <f>IFERROR(IF(A962&lt;&gt;"",VLOOKUP(Alunos!A962,Recurso!A3:D1000,4, FALSE),""), "")</f>
        <v/>
      </c>
      <c r="J962" s="2" t="str">
        <f>IF(AND(A962&lt;&gt;"",I962&lt;&gt;""), SUMIFS(B962:I962,B1:I1,"&lt;&gt;",B2:I2,"&lt;&gt;Exame",B2:I2,"&lt;&gt;exame",B2:I2,"&lt;&gt;Nota",B2:I2,"&lt;&gt;Total"),"")</f>
        <v/>
      </c>
      <c r="K962" s="2" t="str">
        <f>IF(AND(A962&lt;&gt;"",J962&lt;&gt;""),ROUND(J962,0),"")</f>
        <v/>
      </c>
    </row>
    <row r="963" spans="2:11" x14ac:dyDescent="0.3">
      <c r="B963" s="2" t="str">
        <f>IFERROR(IF(A963&lt;&gt;"",VLOOKUP(Alunos!A963,Exame!A3:D1000,4, FALSE),""), "")</f>
        <v/>
      </c>
      <c r="C963" s="2" t="str">
        <f>IF(A963&lt;&gt;"",VLOOKUP(Alunos!A963,Agrupamentos!A3:C1000,2, FALSE),"")</f>
        <v/>
      </c>
      <c r="D963" s="2" t="str">
        <f>IFERROR(IF(A963&lt;&gt;"",VLOOKUP(Alunos!C963,'TP1'!A3:E1000,5, FALSE),""),"")</f>
        <v/>
      </c>
      <c r="E963" s="2" t="str">
        <f>IF(A963&lt;&gt;"",VLOOKUP(Alunos!A963,Agrupamentos!A3:C1000,3, FALSE),"")</f>
        <v/>
      </c>
      <c r="F963" s="2" t="str">
        <f>IFERROR(IF(A963&lt;&gt;"",VLOOKUP(Alunos!E963,'TP2'!A3:D1000,4, FALSE),""),"")</f>
        <v/>
      </c>
      <c r="G963" s="2" t="str">
        <f>IF(A963&lt;&gt;"", SUMIF(B1:F1,"&lt;&gt;",B963:F963),"")</f>
        <v/>
      </c>
      <c r="H963" s="2" t="str">
        <f>IF(AND(A963&lt;&gt;"",G963&lt;&gt;""),ROUND(G963,0),"")</f>
        <v/>
      </c>
      <c r="I963" s="2" t="str">
        <f>IFERROR(IF(A963&lt;&gt;"",VLOOKUP(Alunos!A963,Recurso!A3:D1000,4, FALSE),""), "")</f>
        <v/>
      </c>
      <c r="J963" s="2" t="str">
        <f>IF(AND(A963&lt;&gt;"",I963&lt;&gt;""), SUMIFS(B963:I963,B1:I1,"&lt;&gt;",B2:I2,"&lt;&gt;Exame",B2:I2,"&lt;&gt;exame",B2:I2,"&lt;&gt;Nota",B2:I2,"&lt;&gt;Total"),"")</f>
        <v/>
      </c>
      <c r="K963" s="2" t="str">
        <f>IF(AND(A963&lt;&gt;"",J963&lt;&gt;""),ROUND(J963,0),"")</f>
        <v/>
      </c>
    </row>
    <row r="964" spans="2:11" x14ac:dyDescent="0.3">
      <c r="B964" s="2" t="str">
        <f>IFERROR(IF(A964&lt;&gt;"",VLOOKUP(Alunos!A964,Exame!A3:D1000,4, FALSE),""), "")</f>
        <v/>
      </c>
      <c r="C964" s="2" t="str">
        <f>IF(A964&lt;&gt;"",VLOOKUP(Alunos!A964,Agrupamentos!A3:C1000,2, FALSE),"")</f>
        <v/>
      </c>
      <c r="D964" s="2" t="str">
        <f>IFERROR(IF(A964&lt;&gt;"",VLOOKUP(Alunos!C964,'TP1'!A3:E1000,5, FALSE),""),"")</f>
        <v/>
      </c>
      <c r="E964" s="2" t="str">
        <f>IF(A964&lt;&gt;"",VLOOKUP(Alunos!A964,Agrupamentos!A3:C1000,3, FALSE),"")</f>
        <v/>
      </c>
      <c r="F964" s="2" t="str">
        <f>IFERROR(IF(A964&lt;&gt;"",VLOOKUP(Alunos!E964,'TP2'!A3:D1000,4, FALSE),""),"")</f>
        <v/>
      </c>
      <c r="G964" s="2" t="str">
        <f>IF(A964&lt;&gt;"", SUMIF(B1:F1,"&lt;&gt;",B964:F964),"")</f>
        <v/>
      </c>
      <c r="H964" s="2" t="str">
        <f>IF(AND(A964&lt;&gt;"",G964&lt;&gt;""),ROUND(G964,0),"")</f>
        <v/>
      </c>
      <c r="I964" s="2" t="str">
        <f>IFERROR(IF(A964&lt;&gt;"",VLOOKUP(Alunos!A964,Recurso!A3:D1000,4, FALSE),""), "")</f>
        <v/>
      </c>
      <c r="J964" s="2" t="str">
        <f>IF(AND(A964&lt;&gt;"",I964&lt;&gt;""), SUMIFS(B964:I964,B1:I1,"&lt;&gt;",B2:I2,"&lt;&gt;Exame",B2:I2,"&lt;&gt;exame",B2:I2,"&lt;&gt;Nota",B2:I2,"&lt;&gt;Total"),"")</f>
        <v/>
      </c>
      <c r="K964" s="2" t="str">
        <f>IF(AND(A964&lt;&gt;"",J964&lt;&gt;""),ROUND(J964,0),"")</f>
        <v/>
      </c>
    </row>
    <row r="965" spans="2:11" x14ac:dyDescent="0.3">
      <c r="B965" s="2" t="str">
        <f>IFERROR(IF(A965&lt;&gt;"",VLOOKUP(Alunos!A965,Exame!A3:D1000,4, FALSE),""), "")</f>
        <v/>
      </c>
      <c r="C965" s="2" t="str">
        <f>IF(A965&lt;&gt;"",VLOOKUP(Alunos!A965,Agrupamentos!A3:C1000,2, FALSE),"")</f>
        <v/>
      </c>
      <c r="D965" s="2" t="str">
        <f>IFERROR(IF(A965&lt;&gt;"",VLOOKUP(Alunos!C965,'TP1'!A3:E1000,5, FALSE),""),"")</f>
        <v/>
      </c>
      <c r="E965" s="2" t="str">
        <f>IF(A965&lt;&gt;"",VLOOKUP(Alunos!A965,Agrupamentos!A3:C1000,3, FALSE),"")</f>
        <v/>
      </c>
      <c r="F965" s="2" t="str">
        <f>IFERROR(IF(A965&lt;&gt;"",VLOOKUP(Alunos!E965,'TP2'!A3:D1000,4, FALSE),""),"")</f>
        <v/>
      </c>
      <c r="G965" s="2" t="str">
        <f>IF(A965&lt;&gt;"", SUMIF(B1:F1,"&lt;&gt;",B965:F965),"")</f>
        <v/>
      </c>
      <c r="H965" s="2" t="str">
        <f>IF(AND(A965&lt;&gt;"",G965&lt;&gt;""),ROUND(G965,0),"")</f>
        <v/>
      </c>
      <c r="I965" s="2" t="str">
        <f>IFERROR(IF(A965&lt;&gt;"",VLOOKUP(Alunos!A965,Recurso!A3:D1000,4, FALSE),""), "")</f>
        <v/>
      </c>
      <c r="J965" s="2" t="str">
        <f>IF(AND(A965&lt;&gt;"",I965&lt;&gt;""), SUMIFS(B965:I965,B1:I1,"&lt;&gt;",B2:I2,"&lt;&gt;Exame",B2:I2,"&lt;&gt;exame",B2:I2,"&lt;&gt;Nota",B2:I2,"&lt;&gt;Total"),"")</f>
        <v/>
      </c>
      <c r="K965" s="2" t="str">
        <f>IF(AND(A965&lt;&gt;"",J965&lt;&gt;""),ROUND(J965,0),"")</f>
        <v/>
      </c>
    </row>
    <row r="966" spans="2:11" x14ac:dyDescent="0.3">
      <c r="B966" s="2" t="str">
        <f>IFERROR(IF(A966&lt;&gt;"",VLOOKUP(Alunos!A966,Exame!A3:D1000,4, FALSE),""), "")</f>
        <v/>
      </c>
      <c r="C966" s="2" t="str">
        <f>IF(A966&lt;&gt;"",VLOOKUP(Alunos!A966,Agrupamentos!A3:C1000,2, FALSE),"")</f>
        <v/>
      </c>
      <c r="D966" s="2" t="str">
        <f>IFERROR(IF(A966&lt;&gt;"",VLOOKUP(Alunos!C966,'TP1'!A3:E1000,5, FALSE),""),"")</f>
        <v/>
      </c>
      <c r="E966" s="2" t="str">
        <f>IF(A966&lt;&gt;"",VLOOKUP(Alunos!A966,Agrupamentos!A3:C1000,3, FALSE),"")</f>
        <v/>
      </c>
      <c r="F966" s="2" t="str">
        <f>IFERROR(IF(A966&lt;&gt;"",VLOOKUP(Alunos!E966,'TP2'!A3:D1000,4, FALSE),""),"")</f>
        <v/>
      </c>
      <c r="G966" s="2" t="str">
        <f>IF(A966&lt;&gt;"", SUMIF(B1:F1,"&lt;&gt;",B966:F966),"")</f>
        <v/>
      </c>
      <c r="H966" s="2" t="str">
        <f>IF(AND(A966&lt;&gt;"",G966&lt;&gt;""),ROUND(G966,0),"")</f>
        <v/>
      </c>
      <c r="I966" s="2" t="str">
        <f>IFERROR(IF(A966&lt;&gt;"",VLOOKUP(Alunos!A966,Recurso!A3:D1000,4, FALSE),""), "")</f>
        <v/>
      </c>
      <c r="J966" s="2" t="str">
        <f>IF(AND(A966&lt;&gt;"",I966&lt;&gt;""), SUMIFS(B966:I966,B1:I1,"&lt;&gt;",B2:I2,"&lt;&gt;Exame",B2:I2,"&lt;&gt;exame",B2:I2,"&lt;&gt;Nota",B2:I2,"&lt;&gt;Total"),"")</f>
        <v/>
      </c>
      <c r="K966" s="2" t="str">
        <f>IF(AND(A966&lt;&gt;"",J966&lt;&gt;""),ROUND(J966,0),"")</f>
        <v/>
      </c>
    </row>
    <row r="967" spans="2:11" x14ac:dyDescent="0.3">
      <c r="B967" s="2" t="str">
        <f>IFERROR(IF(A967&lt;&gt;"",VLOOKUP(Alunos!A967,Exame!A3:D1000,4, FALSE),""), "")</f>
        <v/>
      </c>
      <c r="C967" s="2" t="str">
        <f>IF(A967&lt;&gt;"",VLOOKUP(Alunos!A967,Agrupamentos!A3:C1000,2, FALSE),"")</f>
        <v/>
      </c>
      <c r="D967" s="2" t="str">
        <f>IFERROR(IF(A967&lt;&gt;"",VLOOKUP(Alunos!C967,'TP1'!A3:E1000,5, FALSE),""),"")</f>
        <v/>
      </c>
      <c r="E967" s="2" t="str">
        <f>IF(A967&lt;&gt;"",VLOOKUP(Alunos!A967,Agrupamentos!A3:C1000,3, FALSE),"")</f>
        <v/>
      </c>
      <c r="F967" s="2" t="str">
        <f>IFERROR(IF(A967&lt;&gt;"",VLOOKUP(Alunos!E967,'TP2'!A3:D1000,4, FALSE),""),"")</f>
        <v/>
      </c>
      <c r="G967" s="2" t="str">
        <f>IF(A967&lt;&gt;"", SUMIF(B1:F1,"&lt;&gt;",B967:F967),"")</f>
        <v/>
      </c>
      <c r="H967" s="2" t="str">
        <f>IF(AND(A967&lt;&gt;"",G967&lt;&gt;""),ROUND(G967,0),"")</f>
        <v/>
      </c>
      <c r="I967" s="2" t="str">
        <f>IFERROR(IF(A967&lt;&gt;"",VLOOKUP(Alunos!A967,Recurso!A3:D1000,4, FALSE),""), "")</f>
        <v/>
      </c>
      <c r="J967" s="2" t="str">
        <f>IF(AND(A967&lt;&gt;"",I967&lt;&gt;""), SUMIFS(B967:I967,B1:I1,"&lt;&gt;",B2:I2,"&lt;&gt;Exame",B2:I2,"&lt;&gt;exame",B2:I2,"&lt;&gt;Nota",B2:I2,"&lt;&gt;Total"),"")</f>
        <v/>
      </c>
      <c r="K967" s="2" t="str">
        <f>IF(AND(A967&lt;&gt;"",J967&lt;&gt;""),ROUND(J967,0),"")</f>
        <v/>
      </c>
    </row>
    <row r="968" spans="2:11" x14ac:dyDescent="0.3">
      <c r="B968" s="2" t="str">
        <f>IFERROR(IF(A968&lt;&gt;"",VLOOKUP(Alunos!A968,Exame!A3:D1000,4, FALSE),""), "")</f>
        <v/>
      </c>
      <c r="C968" s="2" t="str">
        <f>IF(A968&lt;&gt;"",VLOOKUP(Alunos!A968,Agrupamentos!A3:C1000,2, FALSE),"")</f>
        <v/>
      </c>
      <c r="D968" s="2" t="str">
        <f>IFERROR(IF(A968&lt;&gt;"",VLOOKUP(Alunos!C968,'TP1'!A3:E1000,5, FALSE),""),"")</f>
        <v/>
      </c>
      <c r="E968" s="2" t="str">
        <f>IF(A968&lt;&gt;"",VLOOKUP(Alunos!A968,Agrupamentos!A3:C1000,3, FALSE),"")</f>
        <v/>
      </c>
      <c r="F968" s="2" t="str">
        <f>IFERROR(IF(A968&lt;&gt;"",VLOOKUP(Alunos!E968,'TP2'!A3:D1000,4, FALSE),""),"")</f>
        <v/>
      </c>
      <c r="G968" s="2" t="str">
        <f>IF(A968&lt;&gt;"", SUMIF(B1:F1,"&lt;&gt;",B968:F968),"")</f>
        <v/>
      </c>
      <c r="H968" s="2" t="str">
        <f>IF(AND(A968&lt;&gt;"",G968&lt;&gt;""),ROUND(G968,0),"")</f>
        <v/>
      </c>
      <c r="I968" s="2" t="str">
        <f>IFERROR(IF(A968&lt;&gt;"",VLOOKUP(Alunos!A968,Recurso!A3:D1000,4, FALSE),""), "")</f>
        <v/>
      </c>
      <c r="J968" s="2" t="str">
        <f>IF(AND(A968&lt;&gt;"",I968&lt;&gt;""), SUMIFS(B968:I968,B1:I1,"&lt;&gt;",B2:I2,"&lt;&gt;Exame",B2:I2,"&lt;&gt;exame",B2:I2,"&lt;&gt;Nota",B2:I2,"&lt;&gt;Total"),"")</f>
        <v/>
      </c>
      <c r="K968" s="2" t="str">
        <f>IF(AND(A968&lt;&gt;"",J968&lt;&gt;""),ROUND(J968,0),"")</f>
        <v/>
      </c>
    </row>
    <row r="969" spans="2:11" x14ac:dyDescent="0.3">
      <c r="B969" s="2" t="str">
        <f>IFERROR(IF(A969&lt;&gt;"",VLOOKUP(Alunos!A969,Exame!A3:D1000,4, FALSE),""), "")</f>
        <v/>
      </c>
      <c r="C969" s="2" t="str">
        <f>IF(A969&lt;&gt;"",VLOOKUP(Alunos!A969,Agrupamentos!A3:C1000,2, FALSE),"")</f>
        <v/>
      </c>
      <c r="D969" s="2" t="str">
        <f>IFERROR(IF(A969&lt;&gt;"",VLOOKUP(Alunos!C969,'TP1'!A3:E1000,5, FALSE),""),"")</f>
        <v/>
      </c>
      <c r="E969" s="2" t="str">
        <f>IF(A969&lt;&gt;"",VLOOKUP(Alunos!A969,Agrupamentos!A3:C1000,3, FALSE),"")</f>
        <v/>
      </c>
      <c r="F969" s="2" t="str">
        <f>IFERROR(IF(A969&lt;&gt;"",VLOOKUP(Alunos!E969,'TP2'!A3:D1000,4, FALSE),""),"")</f>
        <v/>
      </c>
      <c r="G969" s="2" t="str">
        <f>IF(A969&lt;&gt;"", SUMIF(B1:F1,"&lt;&gt;",B969:F969),"")</f>
        <v/>
      </c>
      <c r="H969" s="2" t="str">
        <f>IF(AND(A969&lt;&gt;"",G969&lt;&gt;""),ROUND(G969,0),"")</f>
        <v/>
      </c>
      <c r="I969" s="2" t="str">
        <f>IFERROR(IF(A969&lt;&gt;"",VLOOKUP(Alunos!A969,Recurso!A3:D1000,4, FALSE),""), "")</f>
        <v/>
      </c>
      <c r="J969" s="2" t="str">
        <f>IF(AND(A969&lt;&gt;"",I969&lt;&gt;""), SUMIFS(B969:I969,B1:I1,"&lt;&gt;",B2:I2,"&lt;&gt;Exame",B2:I2,"&lt;&gt;exame",B2:I2,"&lt;&gt;Nota",B2:I2,"&lt;&gt;Total"),"")</f>
        <v/>
      </c>
      <c r="K969" s="2" t="str">
        <f>IF(AND(A969&lt;&gt;"",J969&lt;&gt;""),ROUND(J969,0),"")</f>
        <v/>
      </c>
    </row>
    <row r="970" spans="2:11" x14ac:dyDescent="0.3">
      <c r="B970" s="2" t="str">
        <f>IFERROR(IF(A970&lt;&gt;"",VLOOKUP(Alunos!A970,Exame!A3:D1000,4, FALSE),""), "")</f>
        <v/>
      </c>
      <c r="C970" s="2" t="str">
        <f>IF(A970&lt;&gt;"",VLOOKUP(Alunos!A970,Agrupamentos!A3:C1000,2, FALSE),"")</f>
        <v/>
      </c>
      <c r="D970" s="2" t="str">
        <f>IFERROR(IF(A970&lt;&gt;"",VLOOKUP(Alunos!C970,'TP1'!A3:E1000,5, FALSE),""),"")</f>
        <v/>
      </c>
      <c r="E970" s="2" t="str">
        <f>IF(A970&lt;&gt;"",VLOOKUP(Alunos!A970,Agrupamentos!A3:C1000,3, FALSE),"")</f>
        <v/>
      </c>
      <c r="F970" s="2" t="str">
        <f>IFERROR(IF(A970&lt;&gt;"",VLOOKUP(Alunos!E970,'TP2'!A3:D1000,4, FALSE),""),"")</f>
        <v/>
      </c>
      <c r="G970" s="2" t="str">
        <f>IF(A970&lt;&gt;"", SUMIF(B1:F1,"&lt;&gt;",B970:F970),"")</f>
        <v/>
      </c>
      <c r="H970" s="2" t="str">
        <f>IF(AND(A970&lt;&gt;"",G970&lt;&gt;""),ROUND(G970,0),"")</f>
        <v/>
      </c>
      <c r="I970" s="2" t="str">
        <f>IFERROR(IF(A970&lt;&gt;"",VLOOKUP(Alunos!A970,Recurso!A3:D1000,4, FALSE),""), "")</f>
        <v/>
      </c>
      <c r="J970" s="2" t="str">
        <f>IF(AND(A970&lt;&gt;"",I970&lt;&gt;""), SUMIFS(B970:I970,B1:I1,"&lt;&gt;",B2:I2,"&lt;&gt;Exame",B2:I2,"&lt;&gt;exame",B2:I2,"&lt;&gt;Nota",B2:I2,"&lt;&gt;Total"),"")</f>
        <v/>
      </c>
      <c r="K970" s="2" t="str">
        <f>IF(AND(A970&lt;&gt;"",J970&lt;&gt;""),ROUND(J970,0),"")</f>
        <v/>
      </c>
    </row>
    <row r="971" spans="2:11" x14ac:dyDescent="0.3">
      <c r="B971" s="2" t="str">
        <f>IFERROR(IF(A971&lt;&gt;"",VLOOKUP(Alunos!A971,Exame!A3:D1000,4, FALSE),""), "")</f>
        <v/>
      </c>
      <c r="C971" s="2" t="str">
        <f>IF(A971&lt;&gt;"",VLOOKUP(Alunos!A971,Agrupamentos!A3:C1000,2, FALSE),"")</f>
        <v/>
      </c>
      <c r="D971" s="2" t="str">
        <f>IFERROR(IF(A971&lt;&gt;"",VLOOKUP(Alunos!C971,'TP1'!A3:E1000,5, FALSE),""),"")</f>
        <v/>
      </c>
      <c r="E971" s="2" t="str">
        <f>IF(A971&lt;&gt;"",VLOOKUP(Alunos!A971,Agrupamentos!A3:C1000,3, FALSE),"")</f>
        <v/>
      </c>
      <c r="F971" s="2" t="str">
        <f>IFERROR(IF(A971&lt;&gt;"",VLOOKUP(Alunos!E971,'TP2'!A3:D1000,4, FALSE),""),"")</f>
        <v/>
      </c>
      <c r="G971" s="2" t="str">
        <f>IF(A971&lt;&gt;"", SUMIF(B1:F1,"&lt;&gt;",B971:F971),"")</f>
        <v/>
      </c>
      <c r="H971" s="2" t="str">
        <f>IF(AND(A971&lt;&gt;"",G971&lt;&gt;""),ROUND(G971,0),"")</f>
        <v/>
      </c>
      <c r="I971" s="2" t="str">
        <f>IFERROR(IF(A971&lt;&gt;"",VLOOKUP(Alunos!A971,Recurso!A3:D1000,4, FALSE),""), "")</f>
        <v/>
      </c>
      <c r="J971" s="2" t="str">
        <f>IF(AND(A971&lt;&gt;"",I971&lt;&gt;""), SUMIFS(B971:I971,B1:I1,"&lt;&gt;",B2:I2,"&lt;&gt;Exame",B2:I2,"&lt;&gt;exame",B2:I2,"&lt;&gt;Nota",B2:I2,"&lt;&gt;Total"),"")</f>
        <v/>
      </c>
      <c r="K971" s="2" t="str">
        <f>IF(AND(A971&lt;&gt;"",J971&lt;&gt;""),ROUND(J971,0),"")</f>
        <v/>
      </c>
    </row>
    <row r="972" spans="2:11" x14ac:dyDescent="0.3">
      <c r="B972" s="2" t="str">
        <f>IFERROR(IF(A972&lt;&gt;"",VLOOKUP(Alunos!A972,Exame!A3:D1000,4, FALSE),""), "")</f>
        <v/>
      </c>
      <c r="C972" s="2" t="str">
        <f>IF(A972&lt;&gt;"",VLOOKUP(Alunos!A972,Agrupamentos!A3:C1000,2, FALSE),"")</f>
        <v/>
      </c>
      <c r="D972" s="2" t="str">
        <f>IFERROR(IF(A972&lt;&gt;"",VLOOKUP(Alunos!C972,'TP1'!A3:E1000,5, FALSE),""),"")</f>
        <v/>
      </c>
      <c r="E972" s="2" t="str">
        <f>IF(A972&lt;&gt;"",VLOOKUP(Alunos!A972,Agrupamentos!A3:C1000,3, FALSE),"")</f>
        <v/>
      </c>
      <c r="F972" s="2" t="str">
        <f>IFERROR(IF(A972&lt;&gt;"",VLOOKUP(Alunos!E972,'TP2'!A3:D1000,4, FALSE),""),"")</f>
        <v/>
      </c>
      <c r="G972" s="2" t="str">
        <f>IF(A972&lt;&gt;"", SUMIF(B1:F1,"&lt;&gt;",B972:F972),"")</f>
        <v/>
      </c>
      <c r="H972" s="2" t="str">
        <f>IF(AND(A972&lt;&gt;"",G972&lt;&gt;""),ROUND(G972,0),"")</f>
        <v/>
      </c>
      <c r="I972" s="2" t="str">
        <f>IFERROR(IF(A972&lt;&gt;"",VLOOKUP(Alunos!A972,Recurso!A3:D1000,4, FALSE),""), "")</f>
        <v/>
      </c>
      <c r="J972" s="2" t="str">
        <f>IF(AND(A972&lt;&gt;"",I972&lt;&gt;""), SUMIFS(B972:I972,B1:I1,"&lt;&gt;",B2:I2,"&lt;&gt;Exame",B2:I2,"&lt;&gt;exame",B2:I2,"&lt;&gt;Nota",B2:I2,"&lt;&gt;Total"),"")</f>
        <v/>
      </c>
      <c r="K972" s="2" t="str">
        <f>IF(AND(A972&lt;&gt;"",J972&lt;&gt;""),ROUND(J972,0),"")</f>
        <v/>
      </c>
    </row>
    <row r="973" spans="2:11" x14ac:dyDescent="0.3">
      <c r="B973" s="2" t="str">
        <f>IFERROR(IF(A973&lt;&gt;"",VLOOKUP(Alunos!A973,Exame!A3:D1000,4, FALSE),""), "")</f>
        <v/>
      </c>
      <c r="C973" s="2" t="str">
        <f>IF(A973&lt;&gt;"",VLOOKUP(Alunos!A973,Agrupamentos!A3:C1000,2, FALSE),"")</f>
        <v/>
      </c>
      <c r="D973" s="2" t="str">
        <f>IFERROR(IF(A973&lt;&gt;"",VLOOKUP(Alunos!C973,'TP1'!A3:E1000,5, FALSE),""),"")</f>
        <v/>
      </c>
      <c r="E973" s="2" t="str">
        <f>IF(A973&lt;&gt;"",VLOOKUP(Alunos!A973,Agrupamentos!A3:C1000,3, FALSE),"")</f>
        <v/>
      </c>
      <c r="F973" s="2" t="str">
        <f>IFERROR(IF(A973&lt;&gt;"",VLOOKUP(Alunos!E973,'TP2'!A3:D1000,4, FALSE),""),"")</f>
        <v/>
      </c>
      <c r="G973" s="2" t="str">
        <f>IF(A973&lt;&gt;"", SUMIF(B1:F1,"&lt;&gt;",B973:F973),"")</f>
        <v/>
      </c>
      <c r="H973" s="2" t="str">
        <f>IF(AND(A973&lt;&gt;"",G973&lt;&gt;""),ROUND(G973,0),"")</f>
        <v/>
      </c>
      <c r="I973" s="2" t="str">
        <f>IFERROR(IF(A973&lt;&gt;"",VLOOKUP(Alunos!A973,Recurso!A3:D1000,4, FALSE),""), "")</f>
        <v/>
      </c>
      <c r="J973" s="2" t="str">
        <f>IF(AND(A973&lt;&gt;"",I973&lt;&gt;""), SUMIFS(B973:I973,B1:I1,"&lt;&gt;",B2:I2,"&lt;&gt;Exame",B2:I2,"&lt;&gt;exame",B2:I2,"&lt;&gt;Nota",B2:I2,"&lt;&gt;Total"),"")</f>
        <v/>
      </c>
      <c r="K973" s="2" t="str">
        <f>IF(AND(A973&lt;&gt;"",J973&lt;&gt;""),ROUND(J973,0),"")</f>
        <v/>
      </c>
    </row>
    <row r="974" spans="2:11" x14ac:dyDescent="0.3">
      <c r="B974" s="2" t="str">
        <f>IFERROR(IF(A974&lt;&gt;"",VLOOKUP(Alunos!A974,Exame!A3:D1000,4, FALSE),""), "")</f>
        <v/>
      </c>
      <c r="C974" s="2" t="str">
        <f>IF(A974&lt;&gt;"",VLOOKUP(Alunos!A974,Agrupamentos!A3:C1000,2, FALSE),"")</f>
        <v/>
      </c>
      <c r="D974" s="2" t="str">
        <f>IFERROR(IF(A974&lt;&gt;"",VLOOKUP(Alunos!C974,'TP1'!A3:E1000,5, FALSE),""),"")</f>
        <v/>
      </c>
      <c r="E974" s="2" t="str">
        <f>IF(A974&lt;&gt;"",VLOOKUP(Alunos!A974,Agrupamentos!A3:C1000,3, FALSE),"")</f>
        <v/>
      </c>
      <c r="F974" s="2" t="str">
        <f>IFERROR(IF(A974&lt;&gt;"",VLOOKUP(Alunos!E974,'TP2'!A3:D1000,4, FALSE),""),"")</f>
        <v/>
      </c>
      <c r="G974" s="2" t="str">
        <f>IF(A974&lt;&gt;"", SUMIF(B1:F1,"&lt;&gt;",B974:F974),"")</f>
        <v/>
      </c>
      <c r="H974" s="2" t="str">
        <f>IF(AND(A974&lt;&gt;"",G974&lt;&gt;""),ROUND(G974,0),"")</f>
        <v/>
      </c>
      <c r="I974" s="2" t="str">
        <f>IFERROR(IF(A974&lt;&gt;"",VLOOKUP(Alunos!A974,Recurso!A3:D1000,4, FALSE),""), "")</f>
        <v/>
      </c>
      <c r="J974" s="2" t="str">
        <f>IF(AND(A974&lt;&gt;"",I974&lt;&gt;""), SUMIFS(B974:I974,B1:I1,"&lt;&gt;",B2:I2,"&lt;&gt;Exame",B2:I2,"&lt;&gt;exame",B2:I2,"&lt;&gt;Nota",B2:I2,"&lt;&gt;Total"),"")</f>
        <v/>
      </c>
      <c r="K974" s="2" t="str">
        <f>IF(AND(A974&lt;&gt;"",J974&lt;&gt;""),ROUND(J974,0),"")</f>
        <v/>
      </c>
    </row>
    <row r="975" spans="2:11" x14ac:dyDescent="0.3">
      <c r="B975" s="2" t="str">
        <f>IFERROR(IF(A975&lt;&gt;"",VLOOKUP(Alunos!A975,Exame!A3:D1000,4, FALSE),""), "")</f>
        <v/>
      </c>
      <c r="C975" s="2" t="str">
        <f>IF(A975&lt;&gt;"",VLOOKUP(Alunos!A975,Agrupamentos!A3:C1000,2, FALSE),"")</f>
        <v/>
      </c>
      <c r="D975" s="2" t="str">
        <f>IFERROR(IF(A975&lt;&gt;"",VLOOKUP(Alunos!C975,'TP1'!A3:E1000,5, FALSE),""),"")</f>
        <v/>
      </c>
      <c r="E975" s="2" t="str">
        <f>IF(A975&lt;&gt;"",VLOOKUP(Alunos!A975,Agrupamentos!A3:C1000,3, FALSE),"")</f>
        <v/>
      </c>
      <c r="F975" s="2" t="str">
        <f>IFERROR(IF(A975&lt;&gt;"",VLOOKUP(Alunos!E975,'TP2'!A3:D1000,4, FALSE),""),"")</f>
        <v/>
      </c>
      <c r="G975" s="2" t="str">
        <f>IF(A975&lt;&gt;"", SUMIF(B1:F1,"&lt;&gt;",B975:F975),"")</f>
        <v/>
      </c>
      <c r="H975" s="2" t="str">
        <f>IF(AND(A975&lt;&gt;"",G975&lt;&gt;""),ROUND(G975,0),"")</f>
        <v/>
      </c>
      <c r="I975" s="2" t="str">
        <f>IFERROR(IF(A975&lt;&gt;"",VLOOKUP(Alunos!A975,Recurso!A3:D1000,4, FALSE),""), "")</f>
        <v/>
      </c>
      <c r="J975" s="2" t="str">
        <f>IF(AND(A975&lt;&gt;"",I975&lt;&gt;""), SUMIFS(B975:I975,B1:I1,"&lt;&gt;",B2:I2,"&lt;&gt;Exame",B2:I2,"&lt;&gt;exame",B2:I2,"&lt;&gt;Nota",B2:I2,"&lt;&gt;Total"),"")</f>
        <v/>
      </c>
      <c r="K975" s="2" t="str">
        <f>IF(AND(A975&lt;&gt;"",J975&lt;&gt;""),ROUND(J975,0),"")</f>
        <v/>
      </c>
    </row>
    <row r="976" spans="2:11" x14ac:dyDescent="0.3">
      <c r="B976" s="2" t="str">
        <f>IFERROR(IF(A976&lt;&gt;"",VLOOKUP(Alunos!A976,Exame!A3:D1000,4, FALSE),""), "")</f>
        <v/>
      </c>
      <c r="C976" s="2" t="str">
        <f>IF(A976&lt;&gt;"",VLOOKUP(Alunos!A976,Agrupamentos!A3:C1000,2, FALSE),"")</f>
        <v/>
      </c>
      <c r="D976" s="2" t="str">
        <f>IFERROR(IF(A976&lt;&gt;"",VLOOKUP(Alunos!C976,'TP1'!A3:E1000,5, FALSE),""),"")</f>
        <v/>
      </c>
      <c r="E976" s="2" t="str">
        <f>IF(A976&lt;&gt;"",VLOOKUP(Alunos!A976,Agrupamentos!A3:C1000,3, FALSE),"")</f>
        <v/>
      </c>
      <c r="F976" s="2" t="str">
        <f>IFERROR(IF(A976&lt;&gt;"",VLOOKUP(Alunos!E976,'TP2'!A3:D1000,4, FALSE),""),"")</f>
        <v/>
      </c>
      <c r="G976" s="2" t="str">
        <f>IF(A976&lt;&gt;"", SUMIF(B1:F1,"&lt;&gt;",B976:F976),"")</f>
        <v/>
      </c>
      <c r="H976" s="2" t="str">
        <f>IF(AND(A976&lt;&gt;"",G976&lt;&gt;""),ROUND(G976,0),"")</f>
        <v/>
      </c>
      <c r="I976" s="2" t="str">
        <f>IFERROR(IF(A976&lt;&gt;"",VLOOKUP(Alunos!A976,Recurso!A3:D1000,4, FALSE),""), "")</f>
        <v/>
      </c>
      <c r="J976" s="2" t="str">
        <f>IF(AND(A976&lt;&gt;"",I976&lt;&gt;""), SUMIFS(B976:I976,B1:I1,"&lt;&gt;",B2:I2,"&lt;&gt;Exame",B2:I2,"&lt;&gt;exame",B2:I2,"&lt;&gt;Nota",B2:I2,"&lt;&gt;Total"),"")</f>
        <v/>
      </c>
      <c r="K976" s="2" t="str">
        <f>IF(AND(A976&lt;&gt;"",J976&lt;&gt;""),ROUND(J976,0),"")</f>
        <v/>
      </c>
    </row>
    <row r="977" spans="2:11" x14ac:dyDescent="0.3">
      <c r="B977" s="2" t="str">
        <f>IFERROR(IF(A977&lt;&gt;"",VLOOKUP(Alunos!A977,Exame!A3:D1000,4, FALSE),""), "")</f>
        <v/>
      </c>
      <c r="C977" s="2" t="str">
        <f>IF(A977&lt;&gt;"",VLOOKUP(Alunos!A977,Agrupamentos!A3:C1000,2, FALSE),"")</f>
        <v/>
      </c>
      <c r="D977" s="2" t="str">
        <f>IFERROR(IF(A977&lt;&gt;"",VLOOKUP(Alunos!C977,'TP1'!A3:E1000,5, FALSE),""),"")</f>
        <v/>
      </c>
      <c r="E977" s="2" t="str">
        <f>IF(A977&lt;&gt;"",VLOOKUP(Alunos!A977,Agrupamentos!A3:C1000,3, FALSE),"")</f>
        <v/>
      </c>
      <c r="F977" s="2" t="str">
        <f>IFERROR(IF(A977&lt;&gt;"",VLOOKUP(Alunos!E977,'TP2'!A3:D1000,4, FALSE),""),"")</f>
        <v/>
      </c>
      <c r="G977" s="2" t="str">
        <f>IF(A977&lt;&gt;"", SUMIF(B1:F1,"&lt;&gt;",B977:F977),"")</f>
        <v/>
      </c>
      <c r="H977" s="2" t="str">
        <f>IF(AND(A977&lt;&gt;"",G977&lt;&gt;""),ROUND(G977,0),"")</f>
        <v/>
      </c>
      <c r="I977" s="2" t="str">
        <f>IFERROR(IF(A977&lt;&gt;"",VLOOKUP(Alunos!A977,Recurso!A3:D1000,4, FALSE),""), "")</f>
        <v/>
      </c>
      <c r="J977" s="2" t="str">
        <f>IF(AND(A977&lt;&gt;"",I977&lt;&gt;""), SUMIFS(B977:I977,B1:I1,"&lt;&gt;",B2:I2,"&lt;&gt;Exame",B2:I2,"&lt;&gt;exame",B2:I2,"&lt;&gt;Nota",B2:I2,"&lt;&gt;Total"),"")</f>
        <v/>
      </c>
      <c r="K977" s="2" t="str">
        <f>IF(AND(A977&lt;&gt;"",J977&lt;&gt;""),ROUND(J977,0),"")</f>
        <v/>
      </c>
    </row>
    <row r="978" spans="2:11" x14ac:dyDescent="0.3">
      <c r="B978" s="2" t="str">
        <f>IFERROR(IF(A978&lt;&gt;"",VLOOKUP(Alunos!A978,Exame!A3:D1000,4, FALSE),""), "")</f>
        <v/>
      </c>
      <c r="C978" s="2" t="str">
        <f>IF(A978&lt;&gt;"",VLOOKUP(Alunos!A978,Agrupamentos!A3:C1000,2, FALSE),"")</f>
        <v/>
      </c>
      <c r="D978" s="2" t="str">
        <f>IFERROR(IF(A978&lt;&gt;"",VLOOKUP(Alunos!C978,'TP1'!A3:E1000,5, FALSE),""),"")</f>
        <v/>
      </c>
      <c r="E978" s="2" t="str">
        <f>IF(A978&lt;&gt;"",VLOOKUP(Alunos!A978,Agrupamentos!A3:C1000,3, FALSE),"")</f>
        <v/>
      </c>
      <c r="F978" s="2" t="str">
        <f>IFERROR(IF(A978&lt;&gt;"",VLOOKUP(Alunos!E978,'TP2'!A3:D1000,4, FALSE),""),"")</f>
        <v/>
      </c>
      <c r="G978" s="2" t="str">
        <f>IF(A978&lt;&gt;"", SUMIF(B1:F1,"&lt;&gt;",B978:F978),"")</f>
        <v/>
      </c>
      <c r="H978" s="2" t="str">
        <f>IF(AND(A978&lt;&gt;"",G978&lt;&gt;""),ROUND(G978,0),"")</f>
        <v/>
      </c>
      <c r="I978" s="2" t="str">
        <f>IFERROR(IF(A978&lt;&gt;"",VLOOKUP(Alunos!A978,Recurso!A3:D1000,4, FALSE),""), "")</f>
        <v/>
      </c>
      <c r="J978" s="2" t="str">
        <f>IF(AND(A978&lt;&gt;"",I978&lt;&gt;""), SUMIFS(B978:I978,B1:I1,"&lt;&gt;",B2:I2,"&lt;&gt;Exame",B2:I2,"&lt;&gt;exame",B2:I2,"&lt;&gt;Nota",B2:I2,"&lt;&gt;Total"),"")</f>
        <v/>
      </c>
      <c r="K978" s="2" t="str">
        <f>IF(AND(A978&lt;&gt;"",J978&lt;&gt;""),ROUND(J978,0),"")</f>
        <v/>
      </c>
    </row>
    <row r="979" spans="2:11" x14ac:dyDescent="0.3">
      <c r="B979" s="2" t="str">
        <f>IFERROR(IF(A979&lt;&gt;"",VLOOKUP(Alunos!A979,Exame!A3:D1000,4, FALSE),""), "")</f>
        <v/>
      </c>
      <c r="C979" s="2" t="str">
        <f>IF(A979&lt;&gt;"",VLOOKUP(Alunos!A979,Agrupamentos!A3:C1000,2, FALSE),"")</f>
        <v/>
      </c>
      <c r="D979" s="2" t="str">
        <f>IFERROR(IF(A979&lt;&gt;"",VLOOKUP(Alunos!C979,'TP1'!A3:E1000,5, FALSE),""),"")</f>
        <v/>
      </c>
      <c r="E979" s="2" t="str">
        <f>IF(A979&lt;&gt;"",VLOOKUP(Alunos!A979,Agrupamentos!A3:C1000,3, FALSE),"")</f>
        <v/>
      </c>
      <c r="F979" s="2" t="str">
        <f>IFERROR(IF(A979&lt;&gt;"",VLOOKUP(Alunos!E979,'TP2'!A3:D1000,4, FALSE),""),"")</f>
        <v/>
      </c>
      <c r="G979" s="2" t="str">
        <f>IF(A979&lt;&gt;"", SUMIF(B1:F1,"&lt;&gt;",B979:F979),"")</f>
        <v/>
      </c>
      <c r="H979" s="2" t="str">
        <f>IF(AND(A979&lt;&gt;"",G979&lt;&gt;""),ROUND(G979,0),"")</f>
        <v/>
      </c>
      <c r="I979" s="2" t="str">
        <f>IFERROR(IF(A979&lt;&gt;"",VLOOKUP(Alunos!A979,Recurso!A3:D1000,4, FALSE),""), "")</f>
        <v/>
      </c>
      <c r="J979" s="2" t="str">
        <f>IF(AND(A979&lt;&gt;"",I979&lt;&gt;""), SUMIFS(B979:I979,B1:I1,"&lt;&gt;",B2:I2,"&lt;&gt;Exame",B2:I2,"&lt;&gt;exame",B2:I2,"&lt;&gt;Nota",B2:I2,"&lt;&gt;Total"),"")</f>
        <v/>
      </c>
      <c r="K979" s="2" t="str">
        <f>IF(AND(A979&lt;&gt;"",J979&lt;&gt;""),ROUND(J979,0),"")</f>
        <v/>
      </c>
    </row>
    <row r="980" spans="2:11" x14ac:dyDescent="0.3">
      <c r="B980" s="2" t="str">
        <f>IFERROR(IF(A980&lt;&gt;"",VLOOKUP(Alunos!A980,Exame!A3:D1000,4, FALSE),""), "")</f>
        <v/>
      </c>
      <c r="C980" s="2" t="str">
        <f>IF(A980&lt;&gt;"",VLOOKUP(Alunos!A980,Agrupamentos!A3:C1000,2, FALSE),"")</f>
        <v/>
      </c>
      <c r="D980" s="2" t="str">
        <f>IFERROR(IF(A980&lt;&gt;"",VLOOKUP(Alunos!C980,'TP1'!A3:E1000,5, FALSE),""),"")</f>
        <v/>
      </c>
      <c r="E980" s="2" t="str">
        <f>IF(A980&lt;&gt;"",VLOOKUP(Alunos!A980,Agrupamentos!A3:C1000,3, FALSE),"")</f>
        <v/>
      </c>
      <c r="F980" s="2" t="str">
        <f>IFERROR(IF(A980&lt;&gt;"",VLOOKUP(Alunos!E980,'TP2'!A3:D1000,4, FALSE),""),"")</f>
        <v/>
      </c>
      <c r="G980" s="2" t="str">
        <f>IF(A980&lt;&gt;"", SUMIF(B1:F1,"&lt;&gt;",B980:F980),"")</f>
        <v/>
      </c>
      <c r="H980" s="2" t="str">
        <f>IF(AND(A980&lt;&gt;"",G980&lt;&gt;""),ROUND(G980,0),"")</f>
        <v/>
      </c>
      <c r="I980" s="2" t="str">
        <f>IFERROR(IF(A980&lt;&gt;"",VLOOKUP(Alunos!A980,Recurso!A3:D1000,4, FALSE),""), "")</f>
        <v/>
      </c>
      <c r="J980" s="2" t="str">
        <f>IF(AND(A980&lt;&gt;"",I980&lt;&gt;""), SUMIFS(B980:I980,B1:I1,"&lt;&gt;",B2:I2,"&lt;&gt;Exame",B2:I2,"&lt;&gt;exame",B2:I2,"&lt;&gt;Nota",B2:I2,"&lt;&gt;Total"),"")</f>
        <v/>
      </c>
      <c r="K980" s="2" t="str">
        <f>IF(AND(A980&lt;&gt;"",J980&lt;&gt;""),ROUND(J980,0),"")</f>
        <v/>
      </c>
    </row>
    <row r="981" spans="2:11" x14ac:dyDescent="0.3">
      <c r="B981" s="2" t="str">
        <f>IFERROR(IF(A981&lt;&gt;"",VLOOKUP(Alunos!A981,Exame!A3:D1000,4, FALSE),""), "")</f>
        <v/>
      </c>
      <c r="C981" s="2" t="str">
        <f>IF(A981&lt;&gt;"",VLOOKUP(Alunos!A981,Agrupamentos!A3:C1000,2, FALSE),"")</f>
        <v/>
      </c>
      <c r="D981" s="2" t="str">
        <f>IFERROR(IF(A981&lt;&gt;"",VLOOKUP(Alunos!C981,'TP1'!A3:E1000,5, FALSE),""),"")</f>
        <v/>
      </c>
      <c r="E981" s="2" t="str">
        <f>IF(A981&lt;&gt;"",VLOOKUP(Alunos!A981,Agrupamentos!A3:C1000,3, FALSE),"")</f>
        <v/>
      </c>
      <c r="F981" s="2" t="str">
        <f>IFERROR(IF(A981&lt;&gt;"",VLOOKUP(Alunos!E981,'TP2'!A3:D1000,4, FALSE),""),"")</f>
        <v/>
      </c>
      <c r="G981" s="2" t="str">
        <f>IF(A981&lt;&gt;"", SUMIF(B1:F1,"&lt;&gt;",B981:F981),"")</f>
        <v/>
      </c>
      <c r="H981" s="2" t="str">
        <f>IF(AND(A981&lt;&gt;"",G981&lt;&gt;""),ROUND(G981,0),"")</f>
        <v/>
      </c>
      <c r="I981" s="2" t="str">
        <f>IFERROR(IF(A981&lt;&gt;"",VLOOKUP(Alunos!A981,Recurso!A3:D1000,4, FALSE),""), "")</f>
        <v/>
      </c>
      <c r="J981" s="2" t="str">
        <f>IF(AND(A981&lt;&gt;"",I981&lt;&gt;""), SUMIFS(B981:I981,B1:I1,"&lt;&gt;",B2:I2,"&lt;&gt;Exame",B2:I2,"&lt;&gt;exame",B2:I2,"&lt;&gt;Nota",B2:I2,"&lt;&gt;Total"),"")</f>
        <v/>
      </c>
      <c r="K981" s="2" t="str">
        <f>IF(AND(A981&lt;&gt;"",J981&lt;&gt;""),ROUND(J981,0),"")</f>
        <v/>
      </c>
    </row>
    <row r="982" spans="2:11" x14ac:dyDescent="0.3">
      <c r="B982" s="2" t="str">
        <f>IFERROR(IF(A982&lt;&gt;"",VLOOKUP(Alunos!A982,Exame!A3:D1000,4, FALSE),""), "")</f>
        <v/>
      </c>
      <c r="C982" s="2" t="str">
        <f>IF(A982&lt;&gt;"",VLOOKUP(Alunos!A982,Agrupamentos!A3:C1000,2, FALSE),"")</f>
        <v/>
      </c>
      <c r="D982" s="2" t="str">
        <f>IFERROR(IF(A982&lt;&gt;"",VLOOKUP(Alunos!C982,'TP1'!A3:E1000,5, FALSE),""),"")</f>
        <v/>
      </c>
      <c r="E982" s="2" t="str">
        <f>IF(A982&lt;&gt;"",VLOOKUP(Alunos!A982,Agrupamentos!A3:C1000,3, FALSE),"")</f>
        <v/>
      </c>
      <c r="F982" s="2" t="str">
        <f>IFERROR(IF(A982&lt;&gt;"",VLOOKUP(Alunos!E982,'TP2'!A3:D1000,4, FALSE),""),"")</f>
        <v/>
      </c>
      <c r="G982" s="2" t="str">
        <f>IF(A982&lt;&gt;"", SUMIF(B1:F1,"&lt;&gt;",B982:F982),"")</f>
        <v/>
      </c>
      <c r="H982" s="2" t="str">
        <f>IF(AND(A982&lt;&gt;"",G982&lt;&gt;""),ROUND(G982,0),"")</f>
        <v/>
      </c>
      <c r="I982" s="2" t="str">
        <f>IFERROR(IF(A982&lt;&gt;"",VLOOKUP(Alunos!A982,Recurso!A3:D1000,4, FALSE),""), "")</f>
        <v/>
      </c>
      <c r="J982" s="2" t="str">
        <f>IF(AND(A982&lt;&gt;"",I982&lt;&gt;""), SUMIFS(B982:I982,B1:I1,"&lt;&gt;",B2:I2,"&lt;&gt;Exame",B2:I2,"&lt;&gt;exame",B2:I2,"&lt;&gt;Nota",B2:I2,"&lt;&gt;Total"),"")</f>
        <v/>
      </c>
      <c r="K982" s="2" t="str">
        <f>IF(AND(A982&lt;&gt;"",J982&lt;&gt;""),ROUND(J982,0),"")</f>
        <v/>
      </c>
    </row>
    <row r="983" spans="2:11" x14ac:dyDescent="0.3">
      <c r="B983" s="2" t="str">
        <f>IFERROR(IF(A983&lt;&gt;"",VLOOKUP(Alunos!A983,Exame!A3:D1000,4, FALSE),""), "")</f>
        <v/>
      </c>
      <c r="C983" s="2" t="str">
        <f>IF(A983&lt;&gt;"",VLOOKUP(Alunos!A983,Agrupamentos!A3:C1000,2, FALSE),"")</f>
        <v/>
      </c>
      <c r="D983" s="2" t="str">
        <f>IFERROR(IF(A983&lt;&gt;"",VLOOKUP(Alunos!C983,'TP1'!A3:E1000,5, FALSE),""),"")</f>
        <v/>
      </c>
      <c r="E983" s="2" t="str">
        <f>IF(A983&lt;&gt;"",VLOOKUP(Alunos!A983,Agrupamentos!A3:C1000,3, FALSE),"")</f>
        <v/>
      </c>
      <c r="F983" s="2" t="str">
        <f>IFERROR(IF(A983&lt;&gt;"",VLOOKUP(Alunos!E983,'TP2'!A3:D1000,4, FALSE),""),"")</f>
        <v/>
      </c>
      <c r="G983" s="2" t="str">
        <f>IF(A983&lt;&gt;"", SUMIF(B1:F1,"&lt;&gt;",B983:F983),"")</f>
        <v/>
      </c>
      <c r="H983" s="2" t="str">
        <f>IF(AND(A983&lt;&gt;"",G983&lt;&gt;""),ROUND(G983,0),"")</f>
        <v/>
      </c>
      <c r="I983" s="2" t="str">
        <f>IFERROR(IF(A983&lt;&gt;"",VLOOKUP(Alunos!A983,Recurso!A3:D1000,4, FALSE),""), "")</f>
        <v/>
      </c>
      <c r="J983" s="2" t="str">
        <f>IF(AND(A983&lt;&gt;"",I983&lt;&gt;""), SUMIFS(B983:I983,B1:I1,"&lt;&gt;",B2:I2,"&lt;&gt;Exame",B2:I2,"&lt;&gt;exame",B2:I2,"&lt;&gt;Nota",B2:I2,"&lt;&gt;Total"),"")</f>
        <v/>
      </c>
      <c r="K983" s="2" t="str">
        <f>IF(AND(A983&lt;&gt;"",J983&lt;&gt;""),ROUND(J983,0),"")</f>
        <v/>
      </c>
    </row>
    <row r="984" spans="2:11" x14ac:dyDescent="0.3">
      <c r="B984" s="2" t="str">
        <f>IFERROR(IF(A984&lt;&gt;"",VLOOKUP(Alunos!A984,Exame!A3:D1000,4, FALSE),""), "")</f>
        <v/>
      </c>
      <c r="C984" s="2" t="str">
        <f>IF(A984&lt;&gt;"",VLOOKUP(Alunos!A984,Agrupamentos!A3:C1000,2, FALSE),"")</f>
        <v/>
      </c>
      <c r="D984" s="2" t="str">
        <f>IFERROR(IF(A984&lt;&gt;"",VLOOKUP(Alunos!C984,'TP1'!A3:E1000,5, FALSE),""),"")</f>
        <v/>
      </c>
      <c r="E984" s="2" t="str">
        <f>IF(A984&lt;&gt;"",VLOOKUP(Alunos!A984,Agrupamentos!A3:C1000,3, FALSE),"")</f>
        <v/>
      </c>
      <c r="F984" s="2" t="str">
        <f>IFERROR(IF(A984&lt;&gt;"",VLOOKUP(Alunos!E984,'TP2'!A3:D1000,4, FALSE),""),"")</f>
        <v/>
      </c>
      <c r="G984" s="2" t="str">
        <f>IF(A984&lt;&gt;"", SUMIF(B1:F1,"&lt;&gt;",B984:F984),"")</f>
        <v/>
      </c>
      <c r="H984" s="2" t="str">
        <f>IF(AND(A984&lt;&gt;"",G984&lt;&gt;""),ROUND(G984,0),"")</f>
        <v/>
      </c>
      <c r="I984" s="2" t="str">
        <f>IFERROR(IF(A984&lt;&gt;"",VLOOKUP(Alunos!A984,Recurso!A3:D1000,4, FALSE),""), "")</f>
        <v/>
      </c>
      <c r="J984" s="2" t="str">
        <f>IF(AND(A984&lt;&gt;"",I984&lt;&gt;""), SUMIFS(B984:I984,B1:I1,"&lt;&gt;",B2:I2,"&lt;&gt;Exame",B2:I2,"&lt;&gt;exame",B2:I2,"&lt;&gt;Nota",B2:I2,"&lt;&gt;Total"),"")</f>
        <v/>
      </c>
      <c r="K984" s="2" t="str">
        <f>IF(AND(A984&lt;&gt;"",J984&lt;&gt;""),ROUND(J984,0),"")</f>
        <v/>
      </c>
    </row>
    <row r="985" spans="2:11" x14ac:dyDescent="0.3">
      <c r="B985" s="2" t="str">
        <f>IFERROR(IF(A985&lt;&gt;"",VLOOKUP(Alunos!A985,Exame!A3:D1000,4, FALSE),""), "")</f>
        <v/>
      </c>
      <c r="C985" s="2" t="str">
        <f>IF(A985&lt;&gt;"",VLOOKUP(Alunos!A985,Agrupamentos!A3:C1000,2, FALSE),"")</f>
        <v/>
      </c>
      <c r="D985" s="2" t="str">
        <f>IFERROR(IF(A985&lt;&gt;"",VLOOKUP(Alunos!C985,'TP1'!A3:E1000,5, FALSE),""),"")</f>
        <v/>
      </c>
      <c r="E985" s="2" t="str">
        <f>IF(A985&lt;&gt;"",VLOOKUP(Alunos!A985,Agrupamentos!A3:C1000,3, FALSE),"")</f>
        <v/>
      </c>
      <c r="F985" s="2" t="str">
        <f>IFERROR(IF(A985&lt;&gt;"",VLOOKUP(Alunos!E985,'TP2'!A3:D1000,4, FALSE),""),"")</f>
        <v/>
      </c>
      <c r="G985" s="2" t="str">
        <f>IF(A985&lt;&gt;"", SUMIF(B1:F1,"&lt;&gt;",B985:F985),"")</f>
        <v/>
      </c>
      <c r="H985" s="2" t="str">
        <f>IF(AND(A985&lt;&gt;"",G985&lt;&gt;""),ROUND(G985,0),"")</f>
        <v/>
      </c>
      <c r="I985" s="2" t="str">
        <f>IFERROR(IF(A985&lt;&gt;"",VLOOKUP(Alunos!A985,Recurso!A3:D1000,4, FALSE),""), "")</f>
        <v/>
      </c>
      <c r="J985" s="2" t="str">
        <f>IF(AND(A985&lt;&gt;"",I985&lt;&gt;""), SUMIFS(B985:I985,B1:I1,"&lt;&gt;",B2:I2,"&lt;&gt;Exame",B2:I2,"&lt;&gt;exame",B2:I2,"&lt;&gt;Nota",B2:I2,"&lt;&gt;Total"),"")</f>
        <v/>
      </c>
      <c r="K985" s="2" t="str">
        <f>IF(AND(A985&lt;&gt;"",J985&lt;&gt;""),ROUND(J985,0),"")</f>
        <v/>
      </c>
    </row>
    <row r="986" spans="2:11" x14ac:dyDescent="0.3">
      <c r="B986" s="2" t="str">
        <f>IFERROR(IF(A986&lt;&gt;"",VLOOKUP(Alunos!A986,Exame!A3:D1000,4, FALSE),""), "")</f>
        <v/>
      </c>
      <c r="C986" s="2" t="str">
        <f>IF(A986&lt;&gt;"",VLOOKUP(Alunos!A986,Agrupamentos!A3:C1000,2, FALSE),"")</f>
        <v/>
      </c>
      <c r="D986" s="2" t="str">
        <f>IFERROR(IF(A986&lt;&gt;"",VLOOKUP(Alunos!C986,'TP1'!A3:E1000,5, FALSE),""),"")</f>
        <v/>
      </c>
      <c r="E986" s="2" t="str">
        <f>IF(A986&lt;&gt;"",VLOOKUP(Alunos!A986,Agrupamentos!A3:C1000,3, FALSE),"")</f>
        <v/>
      </c>
      <c r="F986" s="2" t="str">
        <f>IFERROR(IF(A986&lt;&gt;"",VLOOKUP(Alunos!E986,'TP2'!A3:D1000,4, FALSE),""),"")</f>
        <v/>
      </c>
      <c r="G986" s="2" t="str">
        <f>IF(A986&lt;&gt;"", SUMIF(B1:F1,"&lt;&gt;",B986:F986),"")</f>
        <v/>
      </c>
      <c r="H986" s="2" t="str">
        <f>IF(AND(A986&lt;&gt;"",G986&lt;&gt;""),ROUND(G986,0),"")</f>
        <v/>
      </c>
      <c r="I986" s="2" t="str">
        <f>IFERROR(IF(A986&lt;&gt;"",VLOOKUP(Alunos!A986,Recurso!A3:D1000,4, FALSE),""), "")</f>
        <v/>
      </c>
      <c r="J986" s="2" t="str">
        <f>IF(AND(A986&lt;&gt;"",I986&lt;&gt;""), SUMIFS(B986:I986,B1:I1,"&lt;&gt;",B2:I2,"&lt;&gt;Exame",B2:I2,"&lt;&gt;exame",B2:I2,"&lt;&gt;Nota",B2:I2,"&lt;&gt;Total"),"")</f>
        <v/>
      </c>
      <c r="K986" s="2" t="str">
        <f>IF(AND(A986&lt;&gt;"",J986&lt;&gt;""),ROUND(J986,0),"")</f>
        <v/>
      </c>
    </row>
    <row r="987" spans="2:11" x14ac:dyDescent="0.3">
      <c r="B987" s="2" t="str">
        <f>IFERROR(IF(A987&lt;&gt;"",VLOOKUP(Alunos!A987,Exame!A3:D1000,4, FALSE),""), "")</f>
        <v/>
      </c>
      <c r="C987" s="2" t="str">
        <f>IF(A987&lt;&gt;"",VLOOKUP(Alunos!A987,Agrupamentos!A3:C1000,2, FALSE),"")</f>
        <v/>
      </c>
      <c r="D987" s="2" t="str">
        <f>IFERROR(IF(A987&lt;&gt;"",VLOOKUP(Alunos!C987,'TP1'!A3:E1000,5, FALSE),""),"")</f>
        <v/>
      </c>
      <c r="E987" s="2" t="str">
        <f>IF(A987&lt;&gt;"",VLOOKUP(Alunos!A987,Agrupamentos!A3:C1000,3, FALSE),"")</f>
        <v/>
      </c>
      <c r="F987" s="2" t="str">
        <f>IFERROR(IF(A987&lt;&gt;"",VLOOKUP(Alunos!E987,'TP2'!A3:D1000,4, FALSE),""),"")</f>
        <v/>
      </c>
      <c r="G987" s="2" t="str">
        <f>IF(A987&lt;&gt;"", SUMIF(B1:F1,"&lt;&gt;",B987:F987),"")</f>
        <v/>
      </c>
      <c r="H987" s="2" t="str">
        <f>IF(AND(A987&lt;&gt;"",G987&lt;&gt;""),ROUND(G987,0),"")</f>
        <v/>
      </c>
      <c r="I987" s="2" t="str">
        <f>IFERROR(IF(A987&lt;&gt;"",VLOOKUP(Alunos!A987,Recurso!A3:D1000,4, FALSE),""), "")</f>
        <v/>
      </c>
      <c r="J987" s="2" t="str">
        <f>IF(AND(A987&lt;&gt;"",I987&lt;&gt;""), SUMIFS(B987:I987,B1:I1,"&lt;&gt;",B2:I2,"&lt;&gt;Exame",B2:I2,"&lt;&gt;exame",B2:I2,"&lt;&gt;Nota",B2:I2,"&lt;&gt;Total"),"")</f>
        <v/>
      </c>
      <c r="K987" s="2" t="str">
        <f>IF(AND(A987&lt;&gt;"",J987&lt;&gt;""),ROUND(J987,0),"")</f>
        <v/>
      </c>
    </row>
    <row r="988" spans="2:11" x14ac:dyDescent="0.3">
      <c r="B988" s="2" t="str">
        <f>IFERROR(IF(A988&lt;&gt;"",VLOOKUP(Alunos!A988,Exame!A3:D1000,4, FALSE),""), "")</f>
        <v/>
      </c>
      <c r="C988" s="2" t="str">
        <f>IF(A988&lt;&gt;"",VLOOKUP(Alunos!A988,Agrupamentos!A3:C1000,2, FALSE),"")</f>
        <v/>
      </c>
      <c r="D988" s="2" t="str">
        <f>IFERROR(IF(A988&lt;&gt;"",VLOOKUP(Alunos!C988,'TP1'!A3:E1000,5, FALSE),""),"")</f>
        <v/>
      </c>
      <c r="E988" s="2" t="str">
        <f>IF(A988&lt;&gt;"",VLOOKUP(Alunos!A988,Agrupamentos!A3:C1000,3, FALSE),"")</f>
        <v/>
      </c>
      <c r="F988" s="2" t="str">
        <f>IFERROR(IF(A988&lt;&gt;"",VLOOKUP(Alunos!E988,'TP2'!A3:D1000,4, FALSE),""),"")</f>
        <v/>
      </c>
      <c r="G988" s="2" t="str">
        <f>IF(A988&lt;&gt;"", SUMIF(B1:F1,"&lt;&gt;",B988:F988),"")</f>
        <v/>
      </c>
      <c r="H988" s="2" t="str">
        <f>IF(AND(A988&lt;&gt;"",G988&lt;&gt;""),ROUND(G988,0),"")</f>
        <v/>
      </c>
      <c r="I988" s="2" t="str">
        <f>IFERROR(IF(A988&lt;&gt;"",VLOOKUP(Alunos!A988,Recurso!A3:D1000,4, FALSE),""), "")</f>
        <v/>
      </c>
      <c r="J988" s="2" t="str">
        <f>IF(AND(A988&lt;&gt;"",I988&lt;&gt;""), SUMIFS(B988:I988,B1:I1,"&lt;&gt;",B2:I2,"&lt;&gt;Exame",B2:I2,"&lt;&gt;exame",B2:I2,"&lt;&gt;Nota",B2:I2,"&lt;&gt;Total"),"")</f>
        <v/>
      </c>
      <c r="K988" s="2" t="str">
        <f>IF(AND(A988&lt;&gt;"",J988&lt;&gt;""),ROUND(J988,0),"")</f>
        <v/>
      </c>
    </row>
    <row r="989" spans="2:11" x14ac:dyDescent="0.3">
      <c r="B989" s="2" t="str">
        <f>IFERROR(IF(A989&lt;&gt;"",VLOOKUP(Alunos!A989,Exame!A3:D1000,4, FALSE),""), "")</f>
        <v/>
      </c>
      <c r="C989" s="2" t="str">
        <f>IF(A989&lt;&gt;"",VLOOKUP(Alunos!A989,Agrupamentos!A3:C1000,2, FALSE),"")</f>
        <v/>
      </c>
      <c r="D989" s="2" t="str">
        <f>IFERROR(IF(A989&lt;&gt;"",VLOOKUP(Alunos!C989,'TP1'!A3:E1000,5, FALSE),""),"")</f>
        <v/>
      </c>
      <c r="E989" s="2" t="str">
        <f>IF(A989&lt;&gt;"",VLOOKUP(Alunos!A989,Agrupamentos!A3:C1000,3, FALSE),"")</f>
        <v/>
      </c>
      <c r="F989" s="2" t="str">
        <f>IFERROR(IF(A989&lt;&gt;"",VLOOKUP(Alunos!E989,'TP2'!A3:D1000,4, FALSE),""),"")</f>
        <v/>
      </c>
      <c r="G989" s="2" t="str">
        <f>IF(A989&lt;&gt;"", SUMIF(B1:F1,"&lt;&gt;",B989:F989),"")</f>
        <v/>
      </c>
      <c r="H989" s="2" t="str">
        <f>IF(AND(A989&lt;&gt;"",G989&lt;&gt;""),ROUND(G989,0),"")</f>
        <v/>
      </c>
      <c r="I989" s="2" t="str">
        <f>IFERROR(IF(A989&lt;&gt;"",VLOOKUP(Alunos!A989,Recurso!A3:D1000,4, FALSE),""), "")</f>
        <v/>
      </c>
      <c r="J989" s="2" t="str">
        <f>IF(AND(A989&lt;&gt;"",I989&lt;&gt;""), SUMIFS(B989:I989,B1:I1,"&lt;&gt;",B2:I2,"&lt;&gt;Exame",B2:I2,"&lt;&gt;exame",B2:I2,"&lt;&gt;Nota",B2:I2,"&lt;&gt;Total"),"")</f>
        <v/>
      </c>
      <c r="K989" s="2" t="str">
        <f>IF(AND(A989&lt;&gt;"",J989&lt;&gt;""),ROUND(J989,0),"")</f>
        <v/>
      </c>
    </row>
    <row r="990" spans="2:11" x14ac:dyDescent="0.3">
      <c r="B990" s="2" t="str">
        <f>IFERROR(IF(A990&lt;&gt;"",VLOOKUP(Alunos!A990,Exame!A3:D1000,4, FALSE),""), "")</f>
        <v/>
      </c>
      <c r="C990" s="2" t="str">
        <f>IF(A990&lt;&gt;"",VLOOKUP(Alunos!A990,Agrupamentos!A3:C1000,2, FALSE),"")</f>
        <v/>
      </c>
      <c r="D990" s="2" t="str">
        <f>IFERROR(IF(A990&lt;&gt;"",VLOOKUP(Alunos!C990,'TP1'!A3:E1000,5, FALSE),""),"")</f>
        <v/>
      </c>
      <c r="E990" s="2" t="str">
        <f>IF(A990&lt;&gt;"",VLOOKUP(Alunos!A990,Agrupamentos!A3:C1000,3, FALSE),"")</f>
        <v/>
      </c>
      <c r="F990" s="2" t="str">
        <f>IFERROR(IF(A990&lt;&gt;"",VLOOKUP(Alunos!E990,'TP2'!A3:D1000,4, FALSE),""),"")</f>
        <v/>
      </c>
      <c r="G990" s="2" t="str">
        <f>IF(A990&lt;&gt;"", SUMIF(B1:F1,"&lt;&gt;",B990:F990),"")</f>
        <v/>
      </c>
      <c r="H990" s="2" t="str">
        <f>IF(AND(A990&lt;&gt;"",G990&lt;&gt;""),ROUND(G990,0),"")</f>
        <v/>
      </c>
      <c r="I990" s="2" t="str">
        <f>IFERROR(IF(A990&lt;&gt;"",VLOOKUP(Alunos!A990,Recurso!A3:D1000,4, FALSE),""), "")</f>
        <v/>
      </c>
      <c r="J990" s="2" t="str">
        <f>IF(AND(A990&lt;&gt;"",I990&lt;&gt;""), SUMIFS(B990:I990,B1:I1,"&lt;&gt;",B2:I2,"&lt;&gt;Exame",B2:I2,"&lt;&gt;exame",B2:I2,"&lt;&gt;Nota",B2:I2,"&lt;&gt;Total"),"")</f>
        <v/>
      </c>
      <c r="K990" s="2" t="str">
        <f>IF(AND(A990&lt;&gt;"",J990&lt;&gt;""),ROUND(J990,0),"")</f>
        <v/>
      </c>
    </row>
    <row r="991" spans="2:11" x14ac:dyDescent="0.3">
      <c r="B991" s="2" t="str">
        <f>IFERROR(IF(A991&lt;&gt;"",VLOOKUP(Alunos!A991,Exame!A3:D1000,4, FALSE),""), "")</f>
        <v/>
      </c>
      <c r="C991" s="2" t="str">
        <f>IF(A991&lt;&gt;"",VLOOKUP(Alunos!A991,Agrupamentos!A3:C1000,2, FALSE),"")</f>
        <v/>
      </c>
      <c r="D991" s="2" t="str">
        <f>IFERROR(IF(A991&lt;&gt;"",VLOOKUP(Alunos!C991,'TP1'!A3:E1000,5, FALSE),""),"")</f>
        <v/>
      </c>
      <c r="E991" s="2" t="str">
        <f>IF(A991&lt;&gt;"",VLOOKUP(Alunos!A991,Agrupamentos!A3:C1000,3, FALSE),"")</f>
        <v/>
      </c>
      <c r="F991" s="2" t="str">
        <f>IFERROR(IF(A991&lt;&gt;"",VLOOKUP(Alunos!E991,'TP2'!A3:D1000,4, FALSE),""),"")</f>
        <v/>
      </c>
      <c r="G991" s="2" t="str">
        <f>IF(A991&lt;&gt;"", SUMIF(B1:F1,"&lt;&gt;",B991:F991),"")</f>
        <v/>
      </c>
      <c r="H991" s="2" t="str">
        <f>IF(AND(A991&lt;&gt;"",G991&lt;&gt;""),ROUND(G991,0),"")</f>
        <v/>
      </c>
      <c r="I991" s="2" t="str">
        <f>IFERROR(IF(A991&lt;&gt;"",VLOOKUP(Alunos!A991,Recurso!A3:D1000,4, FALSE),""), "")</f>
        <v/>
      </c>
      <c r="J991" s="2" t="str">
        <f>IF(AND(A991&lt;&gt;"",I991&lt;&gt;""), SUMIFS(B991:I991,B1:I1,"&lt;&gt;",B2:I2,"&lt;&gt;Exame",B2:I2,"&lt;&gt;exame",B2:I2,"&lt;&gt;Nota",B2:I2,"&lt;&gt;Total"),"")</f>
        <v/>
      </c>
      <c r="K991" s="2" t="str">
        <f>IF(AND(A991&lt;&gt;"",J991&lt;&gt;""),ROUND(J991,0),"")</f>
        <v/>
      </c>
    </row>
    <row r="992" spans="2:11" x14ac:dyDescent="0.3">
      <c r="B992" s="2" t="str">
        <f>IFERROR(IF(A992&lt;&gt;"",VLOOKUP(Alunos!A992,Exame!A3:D1000,4, FALSE),""), "")</f>
        <v/>
      </c>
      <c r="C992" s="2" t="str">
        <f>IF(A992&lt;&gt;"",VLOOKUP(Alunos!A992,Agrupamentos!A3:C1000,2, FALSE),"")</f>
        <v/>
      </c>
      <c r="D992" s="2" t="str">
        <f>IFERROR(IF(A992&lt;&gt;"",VLOOKUP(Alunos!C992,'TP1'!A3:E1000,5, FALSE),""),"")</f>
        <v/>
      </c>
      <c r="E992" s="2" t="str">
        <f>IF(A992&lt;&gt;"",VLOOKUP(Alunos!A992,Agrupamentos!A3:C1000,3, FALSE),"")</f>
        <v/>
      </c>
      <c r="F992" s="2" t="str">
        <f>IFERROR(IF(A992&lt;&gt;"",VLOOKUP(Alunos!E992,'TP2'!A3:D1000,4, FALSE),""),"")</f>
        <v/>
      </c>
      <c r="G992" s="2" t="str">
        <f>IF(A992&lt;&gt;"", SUMIF(B1:F1,"&lt;&gt;",B992:F992),"")</f>
        <v/>
      </c>
      <c r="H992" s="2" t="str">
        <f>IF(AND(A992&lt;&gt;"",G992&lt;&gt;""),ROUND(G992,0),"")</f>
        <v/>
      </c>
      <c r="I992" s="2" t="str">
        <f>IFERROR(IF(A992&lt;&gt;"",VLOOKUP(Alunos!A992,Recurso!A3:D1000,4, FALSE),""), "")</f>
        <v/>
      </c>
      <c r="J992" s="2" t="str">
        <f>IF(AND(A992&lt;&gt;"",I992&lt;&gt;""), SUMIFS(B992:I992,B1:I1,"&lt;&gt;",B2:I2,"&lt;&gt;Exame",B2:I2,"&lt;&gt;exame",B2:I2,"&lt;&gt;Nota",B2:I2,"&lt;&gt;Total"),"")</f>
        <v/>
      </c>
      <c r="K992" s="2" t="str">
        <f>IF(AND(A992&lt;&gt;"",J992&lt;&gt;""),ROUND(J992,0),"")</f>
        <v/>
      </c>
    </row>
    <row r="993" spans="2:11" x14ac:dyDescent="0.3">
      <c r="B993" s="2" t="str">
        <f>IFERROR(IF(A993&lt;&gt;"",VLOOKUP(Alunos!A993,Exame!A3:D1000,4, FALSE),""), "")</f>
        <v/>
      </c>
      <c r="C993" s="2" t="str">
        <f>IF(A993&lt;&gt;"",VLOOKUP(Alunos!A993,Agrupamentos!A3:C1000,2, FALSE),"")</f>
        <v/>
      </c>
      <c r="D993" s="2" t="str">
        <f>IFERROR(IF(A993&lt;&gt;"",VLOOKUP(Alunos!C993,'TP1'!A3:E1000,5, FALSE),""),"")</f>
        <v/>
      </c>
      <c r="E993" s="2" t="str">
        <f>IF(A993&lt;&gt;"",VLOOKUP(Alunos!A993,Agrupamentos!A3:C1000,3, FALSE),"")</f>
        <v/>
      </c>
      <c r="F993" s="2" t="str">
        <f>IFERROR(IF(A993&lt;&gt;"",VLOOKUP(Alunos!E993,'TP2'!A3:D1000,4, FALSE),""),"")</f>
        <v/>
      </c>
      <c r="G993" s="2" t="str">
        <f>IF(A993&lt;&gt;"", SUMIF(B1:F1,"&lt;&gt;",B993:F993),"")</f>
        <v/>
      </c>
      <c r="H993" s="2" t="str">
        <f>IF(AND(A993&lt;&gt;"",G993&lt;&gt;""),ROUND(G993,0),"")</f>
        <v/>
      </c>
      <c r="I993" s="2" t="str">
        <f>IFERROR(IF(A993&lt;&gt;"",VLOOKUP(Alunos!A993,Recurso!A3:D1000,4, FALSE),""), "")</f>
        <v/>
      </c>
      <c r="J993" s="2" t="str">
        <f>IF(AND(A993&lt;&gt;"",I993&lt;&gt;""), SUMIFS(B993:I993,B1:I1,"&lt;&gt;",B2:I2,"&lt;&gt;Exame",B2:I2,"&lt;&gt;exame",B2:I2,"&lt;&gt;Nota",B2:I2,"&lt;&gt;Total"),"")</f>
        <v/>
      </c>
      <c r="K993" s="2" t="str">
        <f>IF(AND(A993&lt;&gt;"",J993&lt;&gt;""),ROUND(J993,0),"")</f>
        <v/>
      </c>
    </row>
    <row r="994" spans="2:11" x14ac:dyDescent="0.3">
      <c r="B994" s="2" t="str">
        <f>IFERROR(IF(A994&lt;&gt;"",VLOOKUP(Alunos!A994,Exame!A3:D1000,4, FALSE),""), "")</f>
        <v/>
      </c>
      <c r="C994" s="2" t="str">
        <f>IF(A994&lt;&gt;"",VLOOKUP(Alunos!A994,Agrupamentos!A3:C1000,2, FALSE),"")</f>
        <v/>
      </c>
      <c r="D994" s="2" t="str">
        <f>IFERROR(IF(A994&lt;&gt;"",VLOOKUP(Alunos!C994,'TP1'!A3:E1000,5, FALSE),""),"")</f>
        <v/>
      </c>
      <c r="E994" s="2" t="str">
        <f>IF(A994&lt;&gt;"",VLOOKUP(Alunos!A994,Agrupamentos!A3:C1000,3, FALSE),"")</f>
        <v/>
      </c>
      <c r="F994" s="2" t="str">
        <f>IFERROR(IF(A994&lt;&gt;"",VLOOKUP(Alunos!E994,'TP2'!A3:D1000,4, FALSE),""),"")</f>
        <v/>
      </c>
      <c r="G994" s="2" t="str">
        <f>IF(A994&lt;&gt;"", SUMIF(B1:F1,"&lt;&gt;",B994:F994),"")</f>
        <v/>
      </c>
      <c r="H994" s="2" t="str">
        <f>IF(AND(A994&lt;&gt;"",G994&lt;&gt;""),ROUND(G994,0),"")</f>
        <v/>
      </c>
      <c r="I994" s="2" t="str">
        <f>IFERROR(IF(A994&lt;&gt;"",VLOOKUP(Alunos!A994,Recurso!A3:D1000,4, FALSE),""), "")</f>
        <v/>
      </c>
      <c r="J994" s="2" t="str">
        <f>IF(AND(A994&lt;&gt;"",I994&lt;&gt;""), SUMIFS(B994:I994,B1:I1,"&lt;&gt;",B2:I2,"&lt;&gt;Exame",B2:I2,"&lt;&gt;exame",B2:I2,"&lt;&gt;Nota",B2:I2,"&lt;&gt;Total"),"")</f>
        <v/>
      </c>
      <c r="K994" s="2" t="str">
        <f>IF(AND(A994&lt;&gt;"",J994&lt;&gt;""),ROUND(J994,0),"")</f>
        <v/>
      </c>
    </row>
    <row r="995" spans="2:11" x14ac:dyDescent="0.3">
      <c r="B995" s="2" t="str">
        <f>IFERROR(IF(A995&lt;&gt;"",VLOOKUP(Alunos!A995,Exame!A3:D1000,4, FALSE),""), "")</f>
        <v/>
      </c>
      <c r="C995" s="2" t="str">
        <f>IF(A995&lt;&gt;"",VLOOKUP(Alunos!A995,Agrupamentos!A3:C1000,2, FALSE),"")</f>
        <v/>
      </c>
      <c r="D995" s="2" t="str">
        <f>IFERROR(IF(A995&lt;&gt;"",VLOOKUP(Alunos!C995,'TP1'!A3:E1000,5, FALSE),""),"")</f>
        <v/>
      </c>
      <c r="E995" s="2" t="str">
        <f>IF(A995&lt;&gt;"",VLOOKUP(Alunos!A995,Agrupamentos!A3:C1000,3, FALSE),"")</f>
        <v/>
      </c>
      <c r="F995" s="2" t="str">
        <f>IFERROR(IF(A995&lt;&gt;"",VLOOKUP(Alunos!E995,'TP2'!A3:D1000,4, FALSE),""),"")</f>
        <v/>
      </c>
      <c r="G995" s="2" t="str">
        <f>IF(A995&lt;&gt;"", SUMIF(B1:F1,"&lt;&gt;",B995:F995),"")</f>
        <v/>
      </c>
      <c r="H995" s="2" t="str">
        <f>IF(AND(A995&lt;&gt;"",G995&lt;&gt;""),ROUND(G995,0),"")</f>
        <v/>
      </c>
      <c r="I995" s="2" t="str">
        <f>IFERROR(IF(A995&lt;&gt;"",VLOOKUP(Alunos!A995,Recurso!A3:D1000,4, FALSE),""), "")</f>
        <v/>
      </c>
      <c r="J995" s="2" t="str">
        <f>IF(AND(A995&lt;&gt;"",I995&lt;&gt;""), SUMIFS(B995:I995,B1:I1,"&lt;&gt;",B2:I2,"&lt;&gt;Exame",B2:I2,"&lt;&gt;exame",B2:I2,"&lt;&gt;Nota",B2:I2,"&lt;&gt;Total"),"")</f>
        <v/>
      </c>
      <c r="K995" s="2" t="str">
        <f>IF(AND(A995&lt;&gt;"",J995&lt;&gt;""),ROUND(J995,0),"")</f>
        <v/>
      </c>
    </row>
    <row r="996" spans="2:11" x14ac:dyDescent="0.3">
      <c r="B996" s="2" t="str">
        <f>IFERROR(IF(A996&lt;&gt;"",VLOOKUP(Alunos!A996,Exame!A3:D1000,4, FALSE),""), "")</f>
        <v/>
      </c>
      <c r="C996" s="2" t="str">
        <f>IF(A996&lt;&gt;"",VLOOKUP(Alunos!A996,Agrupamentos!A3:C1000,2, FALSE),"")</f>
        <v/>
      </c>
      <c r="D996" s="2" t="str">
        <f>IFERROR(IF(A996&lt;&gt;"",VLOOKUP(Alunos!C996,'TP1'!A3:E1000,5, FALSE),""),"")</f>
        <v/>
      </c>
      <c r="E996" s="2" t="str">
        <f>IF(A996&lt;&gt;"",VLOOKUP(Alunos!A996,Agrupamentos!A3:C1000,3, FALSE),"")</f>
        <v/>
      </c>
      <c r="F996" s="2" t="str">
        <f>IFERROR(IF(A996&lt;&gt;"",VLOOKUP(Alunos!E996,'TP2'!A3:D1000,4, FALSE),""),"")</f>
        <v/>
      </c>
      <c r="G996" s="2" t="str">
        <f>IF(A996&lt;&gt;"", SUMIF(B1:F1,"&lt;&gt;",B996:F996),"")</f>
        <v/>
      </c>
      <c r="H996" s="2" t="str">
        <f>IF(AND(A996&lt;&gt;"",G996&lt;&gt;""),ROUND(G996,0),"")</f>
        <v/>
      </c>
      <c r="I996" s="2" t="str">
        <f>IFERROR(IF(A996&lt;&gt;"",VLOOKUP(Alunos!A996,Recurso!A3:D1000,4, FALSE),""), "")</f>
        <v/>
      </c>
      <c r="J996" s="2" t="str">
        <f>IF(AND(A996&lt;&gt;"",I996&lt;&gt;""), SUMIFS(B996:I996,B1:I1,"&lt;&gt;",B2:I2,"&lt;&gt;Exame",B2:I2,"&lt;&gt;exame",B2:I2,"&lt;&gt;Nota",B2:I2,"&lt;&gt;Total"),"")</f>
        <v/>
      </c>
      <c r="K996" s="2" t="str">
        <f>IF(AND(A996&lt;&gt;"",J996&lt;&gt;""),ROUND(J996,0),"")</f>
        <v/>
      </c>
    </row>
    <row r="997" spans="2:11" x14ac:dyDescent="0.3">
      <c r="B997" s="2" t="str">
        <f>IFERROR(IF(A997&lt;&gt;"",VLOOKUP(Alunos!A997,Exame!A3:D1000,4, FALSE),""), "")</f>
        <v/>
      </c>
      <c r="C997" s="2" t="str">
        <f>IF(A997&lt;&gt;"",VLOOKUP(Alunos!A997,Agrupamentos!A3:C1000,2, FALSE),"")</f>
        <v/>
      </c>
      <c r="D997" s="2" t="str">
        <f>IFERROR(IF(A997&lt;&gt;"",VLOOKUP(Alunos!C997,'TP1'!A3:E1000,5, FALSE),""),"")</f>
        <v/>
      </c>
      <c r="E997" s="2" t="str">
        <f>IF(A997&lt;&gt;"",VLOOKUP(Alunos!A997,Agrupamentos!A3:C1000,3, FALSE),"")</f>
        <v/>
      </c>
      <c r="F997" s="2" t="str">
        <f>IFERROR(IF(A997&lt;&gt;"",VLOOKUP(Alunos!E997,'TP2'!A3:D1000,4, FALSE),""),"")</f>
        <v/>
      </c>
      <c r="G997" s="2" t="str">
        <f>IF(A997&lt;&gt;"", SUMIF(B1:F1,"&lt;&gt;",B997:F997),"")</f>
        <v/>
      </c>
      <c r="H997" s="2" t="str">
        <f>IF(AND(A997&lt;&gt;"",G997&lt;&gt;""),ROUND(G997,0),"")</f>
        <v/>
      </c>
      <c r="I997" s="2" t="str">
        <f>IFERROR(IF(A997&lt;&gt;"",VLOOKUP(Alunos!A997,Recurso!A3:D1000,4, FALSE),""), "")</f>
        <v/>
      </c>
      <c r="J997" s="2" t="str">
        <f>IF(AND(A997&lt;&gt;"",I997&lt;&gt;""), SUMIFS(B997:I997,B1:I1,"&lt;&gt;",B2:I2,"&lt;&gt;Exame",B2:I2,"&lt;&gt;exame",B2:I2,"&lt;&gt;Nota",B2:I2,"&lt;&gt;Total"),"")</f>
        <v/>
      </c>
      <c r="K997" s="2" t="str">
        <f>IF(AND(A997&lt;&gt;"",J997&lt;&gt;""),ROUND(J997,0),"")</f>
        <v/>
      </c>
    </row>
    <row r="998" spans="2:11" x14ac:dyDescent="0.3">
      <c r="B998" s="2" t="str">
        <f>IFERROR(IF(A998&lt;&gt;"",VLOOKUP(Alunos!A998,Exame!A3:D1000,4, FALSE),""), "")</f>
        <v/>
      </c>
      <c r="C998" s="2" t="str">
        <f>IF(A998&lt;&gt;"",VLOOKUP(Alunos!A998,Agrupamentos!A3:C1000,2, FALSE),"")</f>
        <v/>
      </c>
      <c r="D998" s="2" t="str">
        <f>IFERROR(IF(A998&lt;&gt;"",VLOOKUP(Alunos!C998,'TP1'!A3:E1000,5, FALSE),""),"")</f>
        <v/>
      </c>
      <c r="E998" s="2" t="str">
        <f>IF(A998&lt;&gt;"",VLOOKUP(Alunos!A998,Agrupamentos!A3:C1000,3, FALSE),"")</f>
        <v/>
      </c>
      <c r="F998" s="2" t="str">
        <f>IFERROR(IF(A998&lt;&gt;"",VLOOKUP(Alunos!E998,'TP2'!A3:D1000,4, FALSE),""),"")</f>
        <v/>
      </c>
      <c r="G998" s="2" t="str">
        <f>IF(A998&lt;&gt;"", SUMIF(B1:F1,"&lt;&gt;",B998:F998),"")</f>
        <v/>
      </c>
      <c r="H998" s="2" t="str">
        <f>IF(AND(A998&lt;&gt;"",G998&lt;&gt;""),ROUND(G998,0),"")</f>
        <v/>
      </c>
      <c r="I998" s="2" t="str">
        <f>IFERROR(IF(A998&lt;&gt;"",VLOOKUP(Alunos!A998,Recurso!A3:D1000,4, FALSE),""), "")</f>
        <v/>
      </c>
      <c r="J998" s="2" t="str">
        <f>IF(AND(A998&lt;&gt;"",I998&lt;&gt;""), SUMIFS(B998:I998,B1:I1,"&lt;&gt;",B2:I2,"&lt;&gt;Exame",B2:I2,"&lt;&gt;exame",B2:I2,"&lt;&gt;Nota",B2:I2,"&lt;&gt;Total"),"")</f>
        <v/>
      </c>
      <c r="K998" s="2" t="str">
        <f>IF(AND(A998&lt;&gt;"",J998&lt;&gt;""),ROUND(J998,0),"")</f>
        <v/>
      </c>
    </row>
    <row r="999" spans="2:11" x14ac:dyDescent="0.3">
      <c r="B999" s="2" t="str">
        <f>IFERROR(IF(A999&lt;&gt;"",VLOOKUP(Alunos!A999,Exame!A3:D1000,4, FALSE),""), "")</f>
        <v/>
      </c>
      <c r="C999" s="2" t="str">
        <f>IF(A999&lt;&gt;"",VLOOKUP(Alunos!A999,Agrupamentos!A3:C1000,2, FALSE),"")</f>
        <v/>
      </c>
      <c r="D999" s="2" t="str">
        <f>IFERROR(IF(A999&lt;&gt;"",VLOOKUP(Alunos!C999,'TP1'!A3:E1000,5, FALSE),""),"")</f>
        <v/>
      </c>
      <c r="E999" s="2" t="str">
        <f>IF(A999&lt;&gt;"",VLOOKUP(Alunos!A999,Agrupamentos!A3:C1000,3, FALSE),"")</f>
        <v/>
      </c>
      <c r="F999" s="2" t="str">
        <f>IFERROR(IF(A999&lt;&gt;"",VLOOKUP(Alunos!E999,'TP2'!A3:D1000,4, FALSE),""),"")</f>
        <v/>
      </c>
      <c r="G999" s="2" t="str">
        <f>IF(A999&lt;&gt;"", SUMIF(B1:F1,"&lt;&gt;",B999:F999),"")</f>
        <v/>
      </c>
      <c r="H999" s="2" t="str">
        <f>IF(AND(A999&lt;&gt;"",G999&lt;&gt;""),ROUND(G999,0),"")</f>
        <v/>
      </c>
      <c r="I999" s="2" t="str">
        <f>IFERROR(IF(A999&lt;&gt;"",VLOOKUP(Alunos!A999,Recurso!A3:D1000,4, FALSE),""), "")</f>
        <v/>
      </c>
      <c r="J999" s="2" t="str">
        <f>IF(AND(A999&lt;&gt;"",I999&lt;&gt;""), SUMIFS(B999:I999,B1:I1,"&lt;&gt;",B2:I2,"&lt;&gt;Exame",B2:I2,"&lt;&gt;exame",B2:I2,"&lt;&gt;Nota",B2:I2,"&lt;&gt;Total"),"")</f>
        <v/>
      </c>
      <c r="K999" s="2" t="str">
        <f>IF(AND(A999&lt;&gt;"",J999&lt;&gt;""),ROUND(J999,0),"")</f>
        <v/>
      </c>
    </row>
    <row r="1000" spans="2:11" x14ac:dyDescent="0.3">
      <c r="B1000" s="2" t="str">
        <f>IFERROR(IF(A1000&lt;&gt;"",VLOOKUP(Alunos!A1000,Exame!A3:D1000,4, FALSE),""), "")</f>
        <v/>
      </c>
      <c r="C1000" s="2" t="str">
        <f>IF(A1000&lt;&gt;"",VLOOKUP(Alunos!A1000,Agrupamentos!A3:C1000,2, FALSE),"")</f>
        <v/>
      </c>
      <c r="D1000" s="2" t="str">
        <f>IFERROR(IF(A1000&lt;&gt;"",VLOOKUP(Alunos!C1000,'TP1'!A3:E1000,5, FALSE),""),"")</f>
        <v/>
      </c>
      <c r="E1000" s="2" t="str">
        <f>IF(A1000&lt;&gt;"",VLOOKUP(Alunos!A1000,Agrupamentos!A3:C1000,3, FALSE),"")</f>
        <v/>
      </c>
      <c r="F1000" s="2" t="str">
        <f>IFERROR(IF(A1000&lt;&gt;"",VLOOKUP(Alunos!E1000,'TP2'!A3:D1000,4, FALSE),""),"")</f>
        <v/>
      </c>
      <c r="G1000" s="2" t="str">
        <f>IF(A1000&lt;&gt;"", SUMIF(B1:F1,"&lt;&gt;",B1000:F1000),"")</f>
        <v/>
      </c>
      <c r="H1000" s="2" t="str">
        <f>IF(AND(A1000&lt;&gt;"",G1000&lt;&gt;""),ROUND(G1000,0),"")</f>
        <v/>
      </c>
      <c r="I1000" s="2" t="str">
        <f>IFERROR(IF(A1000&lt;&gt;"",VLOOKUP(Alunos!A1000,Recurso!A3:D1000,4, FALSE),""), "")</f>
        <v/>
      </c>
      <c r="J1000" s="2" t="str">
        <f>IF(AND(A1000&lt;&gt;"",I1000&lt;&gt;""), SUMIFS(B1000:I1000,B1:I1,"&lt;&gt;",B2:I2,"&lt;&gt;Exame",B2:I2,"&lt;&gt;exame",B2:I2,"&lt;&gt;Nota",B2:I2,"&lt;&gt;Total"),"")</f>
        <v/>
      </c>
      <c r="K1000" s="2" t="str">
        <f>IF(AND(A1000&lt;&gt;"",J1000&lt;&gt;""),ROUND(J1000,0),"")</f>
        <v/>
      </c>
    </row>
  </sheetData>
  <pageMargins left="0.7" right="0.7" top="0.75" bottom="0.75" header="0.3" footer="0.3"/>
  <ignoredErrors>
    <ignoredError sqref="J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BFF7-937F-49D0-997E-2EE7AB00A1C0}">
  <sheetPr codeName="Folha153"/>
  <dimension ref="A1:ZZ1000"/>
  <sheetViews>
    <sheetView workbookViewId="0">
      <selection activeCell="B4" sqref="B4"/>
    </sheetView>
  </sheetViews>
  <sheetFormatPr defaultRowHeight="14.4" x14ac:dyDescent="0.3"/>
  <cols>
    <col min="1" max="1" width="35.77734375" style="2" customWidth="1"/>
    <col min="2" max="2" width="5.886718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50</v>
      </c>
      <c r="C1" s="8">
        <v>50</v>
      </c>
      <c r="D1" s="8">
        <v>4</v>
      </c>
    </row>
    <row r="2" spans="1:4" x14ac:dyDescent="0.3">
      <c r="A2" s="7" t="s">
        <v>15</v>
      </c>
      <c r="B2" s="7" t="s">
        <v>26</v>
      </c>
      <c r="C2" s="7" t="s">
        <v>13</v>
      </c>
      <c r="D2" s="7" t="s">
        <v>23</v>
      </c>
    </row>
    <row r="3" spans="1:4" x14ac:dyDescent="0.3">
      <c r="A3" s="2" t="s">
        <v>18</v>
      </c>
      <c r="B3" s="2">
        <v>45</v>
      </c>
      <c r="C3" s="2">
        <f>IF(A3&lt;&gt;"",SUM(B3),"")</f>
        <v>45</v>
      </c>
      <c r="D3" s="2">
        <f>IF(A3&lt;&gt;"",('TP2'!D1*'TP2'!C3)/'TP2'!C1, "")</f>
        <v>3.6</v>
      </c>
    </row>
    <row r="4" spans="1:4" x14ac:dyDescent="0.3">
      <c r="A4" s="2" t="s">
        <v>20</v>
      </c>
      <c r="B4" s="2">
        <v>34.1</v>
      </c>
      <c r="C4" s="2">
        <f>IF(A4&lt;&gt;"",SUM(B4),"")</f>
        <v>34.1</v>
      </c>
      <c r="D4" s="2">
        <f>IF(A4&lt;&gt;"",('TP2'!D1*'TP2'!C4)/'TP2'!C1, "")</f>
        <v>2.7280000000000002</v>
      </c>
    </row>
    <row r="5" spans="1:4" x14ac:dyDescent="0.3">
      <c r="C5" s="2" t="str">
        <f>IF(A5&lt;&gt;"",SUM(B5),"")</f>
        <v/>
      </c>
      <c r="D5" s="2" t="str">
        <f>IF(A5&lt;&gt;"",('TP2'!D1*'TP2'!C5)/'TP2'!C1, "")</f>
        <v/>
      </c>
    </row>
    <row r="6" spans="1:4" x14ac:dyDescent="0.3">
      <c r="C6" s="2" t="str">
        <f>IF(A6&lt;&gt;"",SUM(B6),"")</f>
        <v/>
      </c>
      <c r="D6" s="2" t="str">
        <f>IF(A6&lt;&gt;"",('TP2'!D1*'TP2'!C6)/'TP2'!C1, "")</f>
        <v/>
      </c>
    </row>
    <row r="7" spans="1:4" x14ac:dyDescent="0.3">
      <c r="C7" s="2" t="str">
        <f>IF(A7&lt;&gt;"",SUM(B7),"")</f>
        <v/>
      </c>
      <c r="D7" s="2" t="str">
        <f>IF(A7&lt;&gt;"",('TP2'!D1*'TP2'!C7)/'TP2'!C1, "")</f>
        <v/>
      </c>
    </row>
    <row r="8" spans="1:4" x14ac:dyDescent="0.3">
      <c r="C8" s="2" t="str">
        <f>IF(A8&lt;&gt;"",SUM(B8),"")</f>
        <v/>
      </c>
      <c r="D8" s="2" t="str">
        <f>IF(A8&lt;&gt;"",('TP2'!D1*'TP2'!C8)/'TP2'!C1, "")</f>
        <v/>
      </c>
    </row>
    <row r="9" spans="1:4" x14ac:dyDescent="0.3">
      <c r="C9" s="2" t="str">
        <f>IF(A9&lt;&gt;"",SUM(B9),"")</f>
        <v/>
      </c>
      <c r="D9" s="2" t="str">
        <f>IF(A9&lt;&gt;"",('TP2'!D1*'TP2'!C9)/'TP2'!C1, "")</f>
        <v/>
      </c>
    </row>
    <row r="10" spans="1:4" x14ac:dyDescent="0.3">
      <c r="C10" s="2" t="str">
        <f>IF(A10&lt;&gt;"",SUM(B10),"")</f>
        <v/>
      </c>
      <c r="D10" s="2" t="str">
        <f>IF(A10&lt;&gt;"",('TP2'!D1*'TP2'!C10)/'TP2'!C1, "")</f>
        <v/>
      </c>
    </row>
    <row r="11" spans="1:4" x14ac:dyDescent="0.3">
      <c r="C11" s="2" t="str">
        <f>IF(A11&lt;&gt;"",SUM(B11),"")</f>
        <v/>
      </c>
      <c r="D11" s="2" t="str">
        <f>IF(A11&lt;&gt;"",('TP2'!D1*'TP2'!C11)/'TP2'!C1, "")</f>
        <v/>
      </c>
    </row>
    <row r="12" spans="1:4" x14ac:dyDescent="0.3">
      <c r="C12" s="2" t="str">
        <f>IF(A12&lt;&gt;"",SUM(B12),"")</f>
        <v/>
      </c>
      <c r="D12" s="2" t="str">
        <f>IF(A12&lt;&gt;"",('TP2'!D1*'TP2'!C12)/'TP2'!C1, "")</f>
        <v/>
      </c>
    </row>
    <row r="13" spans="1:4" x14ac:dyDescent="0.3">
      <c r="C13" s="2" t="str">
        <f>IF(A13&lt;&gt;"",SUM(B13),"")</f>
        <v/>
      </c>
      <c r="D13" s="2" t="str">
        <f>IF(A13&lt;&gt;"",('TP2'!D1*'TP2'!C13)/'TP2'!C1, "")</f>
        <v/>
      </c>
    </row>
    <row r="14" spans="1:4" x14ac:dyDescent="0.3">
      <c r="C14" s="2" t="str">
        <f>IF(A14&lt;&gt;"",SUM(B14),"")</f>
        <v/>
      </c>
      <c r="D14" s="2" t="str">
        <f>IF(A14&lt;&gt;"",('TP2'!D1*'TP2'!C14)/'TP2'!C1, "")</f>
        <v/>
      </c>
    </row>
    <row r="15" spans="1:4" x14ac:dyDescent="0.3">
      <c r="C15" s="2" t="str">
        <f>IF(A15&lt;&gt;"",SUM(B15),"")</f>
        <v/>
      </c>
      <c r="D15" s="2" t="str">
        <f>IF(A15&lt;&gt;"",('TP2'!D1*'TP2'!C15)/'TP2'!C1, "")</f>
        <v/>
      </c>
    </row>
    <row r="16" spans="1:4" x14ac:dyDescent="0.3">
      <c r="C16" s="2" t="str">
        <f>IF(A16&lt;&gt;"",SUM(B16),"")</f>
        <v/>
      </c>
      <c r="D16" s="2" t="str">
        <f>IF(A16&lt;&gt;"",('TP2'!D1*'TP2'!C16)/'TP2'!C1, "")</f>
        <v/>
      </c>
    </row>
    <row r="17" spans="3:4" x14ac:dyDescent="0.3">
      <c r="C17" s="2" t="str">
        <f>IF(A17&lt;&gt;"",SUM(B17),"")</f>
        <v/>
      </c>
      <c r="D17" s="2" t="str">
        <f>IF(A17&lt;&gt;"",('TP2'!D1*'TP2'!C17)/'TP2'!C1, "")</f>
        <v/>
      </c>
    </row>
    <row r="18" spans="3:4" x14ac:dyDescent="0.3">
      <c r="C18" s="2" t="str">
        <f>IF(A18&lt;&gt;"",SUM(B18),"")</f>
        <v/>
      </c>
      <c r="D18" s="2" t="str">
        <f>IF(A18&lt;&gt;"",('TP2'!D1*'TP2'!C18)/'TP2'!C1, "")</f>
        <v/>
      </c>
    </row>
    <row r="19" spans="3:4" x14ac:dyDescent="0.3">
      <c r="C19" s="2" t="str">
        <f>IF(A19&lt;&gt;"",SUM(B19),"")</f>
        <v/>
      </c>
      <c r="D19" s="2" t="str">
        <f>IF(A19&lt;&gt;"",('TP2'!D1*'TP2'!C19)/'TP2'!C1, "")</f>
        <v/>
      </c>
    </row>
    <row r="20" spans="3:4" x14ac:dyDescent="0.3">
      <c r="C20" s="2" t="str">
        <f>IF(A20&lt;&gt;"",SUM(B20),"")</f>
        <v/>
      </c>
      <c r="D20" s="2" t="str">
        <f>IF(A20&lt;&gt;"",('TP2'!D1*'TP2'!C20)/'TP2'!C1, "")</f>
        <v/>
      </c>
    </row>
    <row r="21" spans="3:4" x14ac:dyDescent="0.3">
      <c r="C21" s="2" t="str">
        <f>IF(A21&lt;&gt;"",SUM(B21),"")</f>
        <v/>
      </c>
      <c r="D21" s="2" t="str">
        <f>IF(A21&lt;&gt;"",('TP2'!D1*'TP2'!C21)/'TP2'!C1, "")</f>
        <v/>
      </c>
    </row>
    <row r="22" spans="3:4" x14ac:dyDescent="0.3">
      <c r="C22" s="2" t="str">
        <f>IF(A22&lt;&gt;"",SUM(B22),"")</f>
        <v/>
      </c>
      <c r="D22" s="2" t="str">
        <f>IF(A22&lt;&gt;"",('TP2'!D1*'TP2'!C22)/'TP2'!C1, "")</f>
        <v/>
      </c>
    </row>
    <row r="23" spans="3:4" x14ac:dyDescent="0.3">
      <c r="C23" s="2" t="str">
        <f>IF(A23&lt;&gt;"",SUM(B23),"")</f>
        <v/>
      </c>
      <c r="D23" s="2" t="str">
        <f>IF(A23&lt;&gt;"",('TP2'!D1*'TP2'!C23)/'TP2'!C1, "")</f>
        <v/>
      </c>
    </row>
    <row r="24" spans="3:4" x14ac:dyDescent="0.3">
      <c r="C24" s="2" t="str">
        <f>IF(A24&lt;&gt;"",SUM(B24),"")</f>
        <v/>
      </c>
      <c r="D24" s="2" t="str">
        <f>IF(A24&lt;&gt;"",('TP2'!D1*'TP2'!C24)/'TP2'!C1, "")</f>
        <v/>
      </c>
    </row>
    <row r="25" spans="3:4" x14ac:dyDescent="0.3">
      <c r="C25" s="2" t="str">
        <f>IF(A25&lt;&gt;"",SUM(B25),"")</f>
        <v/>
      </c>
      <c r="D25" s="2" t="str">
        <f>IF(A25&lt;&gt;"",('TP2'!D1*'TP2'!C25)/'TP2'!C1, "")</f>
        <v/>
      </c>
    </row>
    <row r="26" spans="3:4" x14ac:dyDescent="0.3">
      <c r="C26" s="2" t="str">
        <f>IF(A26&lt;&gt;"",SUM(B26),"")</f>
        <v/>
      </c>
      <c r="D26" s="2" t="str">
        <f>IF(A26&lt;&gt;"",('TP2'!D1*'TP2'!C26)/'TP2'!C1, "")</f>
        <v/>
      </c>
    </row>
    <row r="27" spans="3:4" x14ac:dyDescent="0.3">
      <c r="C27" s="2" t="str">
        <f>IF(A27&lt;&gt;"",SUM(B27),"")</f>
        <v/>
      </c>
      <c r="D27" s="2" t="str">
        <f>IF(A27&lt;&gt;"",('TP2'!D1*'TP2'!C27)/'TP2'!C1, "")</f>
        <v/>
      </c>
    </row>
    <row r="28" spans="3:4" x14ac:dyDescent="0.3">
      <c r="C28" s="2" t="str">
        <f>IF(A28&lt;&gt;"",SUM(B28),"")</f>
        <v/>
      </c>
      <c r="D28" s="2" t="str">
        <f>IF(A28&lt;&gt;"",('TP2'!D1*'TP2'!C28)/'TP2'!C1, "")</f>
        <v/>
      </c>
    </row>
    <row r="29" spans="3:4" x14ac:dyDescent="0.3">
      <c r="C29" s="2" t="str">
        <f>IF(A29&lt;&gt;"",SUM(B29),"")</f>
        <v/>
      </c>
      <c r="D29" s="2" t="str">
        <f>IF(A29&lt;&gt;"",('TP2'!D1*'TP2'!C29)/'TP2'!C1, "")</f>
        <v/>
      </c>
    </row>
    <row r="30" spans="3:4" x14ac:dyDescent="0.3">
      <c r="C30" s="2" t="str">
        <f>IF(A30&lt;&gt;"",SUM(B30),"")</f>
        <v/>
      </c>
      <c r="D30" s="2" t="str">
        <f>IF(A30&lt;&gt;"",('TP2'!D1*'TP2'!C30)/'TP2'!C1, "")</f>
        <v/>
      </c>
    </row>
    <row r="31" spans="3:4" x14ac:dyDescent="0.3">
      <c r="C31" s="2" t="str">
        <f>IF(A31&lt;&gt;"",SUM(B31),"")</f>
        <v/>
      </c>
      <c r="D31" s="2" t="str">
        <f>IF(A31&lt;&gt;"",('TP2'!D1*'TP2'!C31)/'TP2'!C1, "")</f>
        <v/>
      </c>
    </row>
    <row r="32" spans="3:4" x14ac:dyDescent="0.3">
      <c r="C32" s="2" t="str">
        <f>IF(A32&lt;&gt;"",SUM(B32),"")</f>
        <v/>
      </c>
      <c r="D32" s="2" t="str">
        <f>IF(A32&lt;&gt;"",('TP2'!D1*'TP2'!C32)/'TP2'!C1, "")</f>
        <v/>
      </c>
    </row>
    <row r="33" spans="3:4" x14ac:dyDescent="0.3">
      <c r="C33" s="2" t="str">
        <f>IF(A33&lt;&gt;"",SUM(B33),"")</f>
        <v/>
      </c>
      <c r="D33" s="2" t="str">
        <f>IF(A33&lt;&gt;"",('TP2'!D1*'TP2'!C33)/'TP2'!C1, "")</f>
        <v/>
      </c>
    </row>
    <row r="34" spans="3:4" x14ac:dyDescent="0.3">
      <c r="C34" s="2" t="str">
        <f>IF(A34&lt;&gt;"",SUM(B34),"")</f>
        <v/>
      </c>
      <c r="D34" s="2" t="str">
        <f>IF(A34&lt;&gt;"",('TP2'!D1*'TP2'!C34)/'TP2'!C1, "")</f>
        <v/>
      </c>
    </row>
    <row r="35" spans="3:4" x14ac:dyDescent="0.3">
      <c r="C35" s="2" t="str">
        <f>IF(A35&lt;&gt;"",SUM(B35),"")</f>
        <v/>
      </c>
      <c r="D35" s="2" t="str">
        <f>IF(A35&lt;&gt;"",('TP2'!D1*'TP2'!C35)/'TP2'!C1, "")</f>
        <v/>
      </c>
    </row>
    <row r="36" spans="3:4" x14ac:dyDescent="0.3">
      <c r="C36" s="2" t="str">
        <f>IF(A36&lt;&gt;"",SUM(B36),"")</f>
        <v/>
      </c>
      <c r="D36" s="2" t="str">
        <f>IF(A36&lt;&gt;"",('TP2'!D1*'TP2'!C36)/'TP2'!C1, "")</f>
        <v/>
      </c>
    </row>
    <row r="37" spans="3:4" x14ac:dyDescent="0.3">
      <c r="C37" s="2" t="str">
        <f>IF(A37&lt;&gt;"",SUM(B37),"")</f>
        <v/>
      </c>
      <c r="D37" s="2" t="str">
        <f>IF(A37&lt;&gt;"",('TP2'!D1*'TP2'!C37)/'TP2'!C1, "")</f>
        <v/>
      </c>
    </row>
    <row r="38" spans="3:4" x14ac:dyDescent="0.3">
      <c r="C38" s="2" t="str">
        <f>IF(A38&lt;&gt;"",SUM(B38),"")</f>
        <v/>
      </c>
      <c r="D38" s="2" t="str">
        <f>IF(A38&lt;&gt;"",('TP2'!D1*'TP2'!C38)/'TP2'!C1, "")</f>
        <v/>
      </c>
    </row>
    <row r="39" spans="3:4" x14ac:dyDescent="0.3">
      <c r="C39" s="2" t="str">
        <f>IF(A39&lt;&gt;"",SUM(B39),"")</f>
        <v/>
      </c>
      <c r="D39" s="2" t="str">
        <f>IF(A39&lt;&gt;"",('TP2'!D1*'TP2'!C39)/'TP2'!C1, "")</f>
        <v/>
      </c>
    </row>
    <row r="40" spans="3:4" x14ac:dyDescent="0.3">
      <c r="C40" s="2" t="str">
        <f>IF(A40&lt;&gt;"",SUM(B40),"")</f>
        <v/>
      </c>
      <c r="D40" s="2" t="str">
        <f>IF(A40&lt;&gt;"",('TP2'!D1*'TP2'!C40)/'TP2'!C1, "")</f>
        <v/>
      </c>
    </row>
    <row r="41" spans="3:4" x14ac:dyDescent="0.3">
      <c r="C41" s="2" t="str">
        <f>IF(A41&lt;&gt;"",SUM(B41),"")</f>
        <v/>
      </c>
      <c r="D41" s="2" t="str">
        <f>IF(A41&lt;&gt;"",('TP2'!D1*'TP2'!C41)/'TP2'!C1, "")</f>
        <v/>
      </c>
    </row>
    <row r="42" spans="3:4" x14ac:dyDescent="0.3">
      <c r="C42" s="2" t="str">
        <f>IF(A42&lt;&gt;"",SUM(B42),"")</f>
        <v/>
      </c>
      <c r="D42" s="2" t="str">
        <f>IF(A42&lt;&gt;"",('TP2'!D1*'TP2'!C42)/'TP2'!C1, "")</f>
        <v/>
      </c>
    </row>
    <row r="43" spans="3:4" x14ac:dyDescent="0.3">
      <c r="C43" s="2" t="str">
        <f>IF(A43&lt;&gt;"",SUM(B43),"")</f>
        <v/>
      </c>
      <c r="D43" s="2" t="str">
        <f>IF(A43&lt;&gt;"",('TP2'!D1*'TP2'!C43)/'TP2'!C1, "")</f>
        <v/>
      </c>
    </row>
    <row r="44" spans="3:4" x14ac:dyDescent="0.3">
      <c r="C44" s="2" t="str">
        <f>IF(A44&lt;&gt;"",SUM(B44),"")</f>
        <v/>
      </c>
      <c r="D44" s="2" t="str">
        <f>IF(A44&lt;&gt;"",('TP2'!D1*'TP2'!C44)/'TP2'!C1, "")</f>
        <v/>
      </c>
    </row>
    <row r="45" spans="3:4" x14ac:dyDescent="0.3">
      <c r="C45" s="2" t="str">
        <f>IF(A45&lt;&gt;"",SUM(B45),"")</f>
        <v/>
      </c>
      <c r="D45" s="2" t="str">
        <f>IF(A45&lt;&gt;"",('TP2'!D1*'TP2'!C45)/'TP2'!C1, "")</f>
        <v/>
      </c>
    </row>
    <row r="46" spans="3:4" x14ac:dyDescent="0.3">
      <c r="C46" s="2" t="str">
        <f>IF(A46&lt;&gt;"",SUM(B46),"")</f>
        <v/>
      </c>
      <c r="D46" s="2" t="str">
        <f>IF(A46&lt;&gt;"",('TP2'!D1*'TP2'!C46)/'TP2'!C1, "")</f>
        <v/>
      </c>
    </row>
    <row r="47" spans="3:4" x14ac:dyDescent="0.3">
      <c r="C47" s="2" t="str">
        <f>IF(A47&lt;&gt;"",SUM(B47),"")</f>
        <v/>
      </c>
      <c r="D47" s="2" t="str">
        <f>IF(A47&lt;&gt;"",('TP2'!D1*'TP2'!C47)/'TP2'!C1, "")</f>
        <v/>
      </c>
    </row>
    <row r="48" spans="3:4" x14ac:dyDescent="0.3">
      <c r="C48" s="2" t="str">
        <f>IF(A48&lt;&gt;"",SUM(B48),"")</f>
        <v/>
      </c>
      <c r="D48" s="2" t="str">
        <f>IF(A48&lt;&gt;"",('TP2'!D1*'TP2'!C48)/'TP2'!C1, "")</f>
        <v/>
      </c>
    </row>
    <row r="49" spans="3:4" x14ac:dyDescent="0.3">
      <c r="C49" s="2" t="str">
        <f>IF(A49&lt;&gt;"",SUM(B49),"")</f>
        <v/>
      </c>
      <c r="D49" s="2" t="str">
        <f>IF(A49&lt;&gt;"",('TP2'!D1*'TP2'!C49)/'TP2'!C1, "")</f>
        <v/>
      </c>
    </row>
    <row r="50" spans="3:4" x14ac:dyDescent="0.3">
      <c r="C50" s="2" t="str">
        <f>IF(A50&lt;&gt;"",SUM(B50),"")</f>
        <v/>
      </c>
      <c r="D50" s="2" t="str">
        <f>IF(A50&lt;&gt;"",('TP2'!D1*'TP2'!C50)/'TP2'!C1, "")</f>
        <v/>
      </c>
    </row>
    <row r="51" spans="3:4" x14ac:dyDescent="0.3">
      <c r="C51" s="2" t="str">
        <f>IF(A51&lt;&gt;"",SUM(B51),"")</f>
        <v/>
      </c>
      <c r="D51" s="2" t="str">
        <f>IF(A51&lt;&gt;"",('TP2'!D1*'TP2'!C51)/'TP2'!C1, "")</f>
        <v/>
      </c>
    </row>
    <row r="52" spans="3:4" x14ac:dyDescent="0.3">
      <c r="C52" s="2" t="str">
        <f>IF(A52&lt;&gt;"",SUM(B52),"")</f>
        <v/>
      </c>
      <c r="D52" s="2" t="str">
        <f>IF(A52&lt;&gt;"",('TP2'!D1*'TP2'!C52)/'TP2'!C1, "")</f>
        <v/>
      </c>
    </row>
    <row r="53" spans="3:4" x14ac:dyDescent="0.3">
      <c r="C53" s="2" t="str">
        <f>IF(A53&lt;&gt;"",SUM(B53),"")</f>
        <v/>
      </c>
      <c r="D53" s="2" t="str">
        <f>IF(A53&lt;&gt;"",('TP2'!D1*'TP2'!C53)/'TP2'!C1, "")</f>
        <v/>
      </c>
    </row>
    <row r="54" spans="3:4" x14ac:dyDescent="0.3">
      <c r="C54" s="2" t="str">
        <f>IF(A54&lt;&gt;"",SUM(B54),"")</f>
        <v/>
      </c>
      <c r="D54" s="2" t="str">
        <f>IF(A54&lt;&gt;"",('TP2'!D1*'TP2'!C54)/'TP2'!C1, "")</f>
        <v/>
      </c>
    </row>
    <row r="55" spans="3:4" x14ac:dyDescent="0.3">
      <c r="C55" s="2" t="str">
        <f>IF(A55&lt;&gt;"",SUM(B55),"")</f>
        <v/>
      </c>
      <c r="D55" s="2" t="str">
        <f>IF(A55&lt;&gt;"",('TP2'!D1*'TP2'!C55)/'TP2'!C1, "")</f>
        <v/>
      </c>
    </row>
    <row r="56" spans="3:4" x14ac:dyDescent="0.3">
      <c r="C56" s="2" t="str">
        <f>IF(A56&lt;&gt;"",SUM(B56),"")</f>
        <v/>
      </c>
      <c r="D56" s="2" t="str">
        <f>IF(A56&lt;&gt;"",('TP2'!D1*'TP2'!C56)/'TP2'!C1, "")</f>
        <v/>
      </c>
    </row>
    <row r="57" spans="3:4" x14ac:dyDescent="0.3">
      <c r="C57" s="2" t="str">
        <f>IF(A57&lt;&gt;"",SUM(B57),"")</f>
        <v/>
      </c>
      <c r="D57" s="2" t="str">
        <f>IF(A57&lt;&gt;"",('TP2'!D1*'TP2'!C57)/'TP2'!C1, "")</f>
        <v/>
      </c>
    </row>
    <row r="58" spans="3:4" x14ac:dyDescent="0.3">
      <c r="C58" s="2" t="str">
        <f>IF(A58&lt;&gt;"",SUM(B58),"")</f>
        <v/>
      </c>
      <c r="D58" s="2" t="str">
        <f>IF(A58&lt;&gt;"",('TP2'!D1*'TP2'!C58)/'TP2'!C1, "")</f>
        <v/>
      </c>
    </row>
    <row r="59" spans="3:4" x14ac:dyDescent="0.3">
      <c r="C59" s="2" t="str">
        <f>IF(A59&lt;&gt;"",SUM(B59),"")</f>
        <v/>
      </c>
      <c r="D59" s="2" t="str">
        <f>IF(A59&lt;&gt;"",('TP2'!D1*'TP2'!C59)/'TP2'!C1, "")</f>
        <v/>
      </c>
    </row>
    <row r="60" spans="3:4" x14ac:dyDescent="0.3">
      <c r="C60" s="2" t="str">
        <f>IF(A60&lt;&gt;"",SUM(B60),"")</f>
        <v/>
      </c>
      <c r="D60" s="2" t="str">
        <f>IF(A60&lt;&gt;"",('TP2'!D1*'TP2'!C60)/'TP2'!C1, "")</f>
        <v/>
      </c>
    </row>
    <row r="61" spans="3:4" x14ac:dyDescent="0.3">
      <c r="C61" s="2" t="str">
        <f>IF(A61&lt;&gt;"",SUM(B61),"")</f>
        <v/>
      </c>
      <c r="D61" s="2" t="str">
        <f>IF(A61&lt;&gt;"",('TP2'!D1*'TP2'!C61)/'TP2'!C1, "")</f>
        <v/>
      </c>
    </row>
    <row r="62" spans="3:4" x14ac:dyDescent="0.3">
      <c r="C62" s="2" t="str">
        <f>IF(A62&lt;&gt;"",SUM(B62),"")</f>
        <v/>
      </c>
      <c r="D62" s="2" t="str">
        <f>IF(A62&lt;&gt;"",('TP2'!D1*'TP2'!C62)/'TP2'!C1, "")</f>
        <v/>
      </c>
    </row>
    <row r="63" spans="3:4" x14ac:dyDescent="0.3">
      <c r="C63" s="2" t="str">
        <f>IF(A63&lt;&gt;"",SUM(B63),"")</f>
        <v/>
      </c>
      <c r="D63" s="2" t="str">
        <f>IF(A63&lt;&gt;"",('TP2'!D1*'TP2'!C63)/'TP2'!C1, "")</f>
        <v/>
      </c>
    </row>
    <row r="64" spans="3:4" x14ac:dyDescent="0.3">
      <c r="C64" s="2" t="str">
        <f>IF(A64&lt;&gt;"",SUM(B64),"")</f>
        <v/>
      </c>
      <c r="D64" s="2" t="str">
        <f>IF(A64&lt;&gt;"",('TP2'!D1*'TP2'!C64)/'TP2'!C1, "")</f>
        <v/>
      </c>
    </row>
    <row r="65" spans="3:4" x14ac:dyDescent="0.3">
      <c r="C65" s="2" t="str">
        <f>IF(A65&lt;&gt;"",SUM(B65),"")</f>
        <v/>
      </c>
      <c r="D65" s="2" t="str">
        <f>IF(A65&lt;&gt;"",('TP2'!D1*'TP2'!C65)/'TP2'!C1, "")</f>
        <v/>
      </c>
    </row>
    <row r="66" spans="3:4" x14ac:dyDescent="0.3">
      <c r="C66" s="2" t="str">
        <f>IF(A66&lt;&gt;"",SUM(B66),"")</f>
        <v/>
      </c>
      <c r="D66" s="2" t="str">
        <f>IF(A66&lt;&gt;"",('TP2'!D1*'TP2'!C66)/'TP2'!C1, "")</f>
        <v/>
      </c>
    </row>
    <row r="67" spans="3:4" x14ac:dyDescent="0.3">
      <c r="C67" s="2" t="str">
        <f>IF(A67&lt;&gt;"",SUM(B67),"")</f>
        <v/>
      </c>
      <c r="D67" s="2" t="str">
        <f>IF(A67&lt;&gt;"",('TP2'!D1*'TP2'!C67)/'TP2'!C1, "")</f>
        <v/>
      </c>
    </row>
    <row r="68" spans="3:4" x14ac:dyDescent="0.3">
      <c r="C68" s="2" t="str">
        <f>IF(A68&lt;&gt;"",SUM(B68),"")</f>
        <v/>
      </c>
      <c r="D68" s="2" t="str">
        <f>IF(A68&lt;&gt;"",('TP2'!D1*'TP2'!C68)/'TP2'!C1, "")</f>
        <v/>
      </c>
    </row>
    <row r="69" spans="3:4" x14ac:dyDescent="0.3">
      <c r="C69" s="2" t="str">
        <f>IF(A69&lt;&gt;"",SUM(B69),"")</f>
        <v/>
      </c>
      <c r="D69" s="2" t="str">
        <f>IF(A69&lt;&gt;"",('TP2'!D1*'TP2'!C69)/'TP2'!C1, "")</f>
        <v/>
      </c>
    </row>
    <row r="70" spans="3:4" x14ac:dyDescent="0.3">
      <c r="C70" s="2" t="str">
        <f>IF(A70&lt;&gt;"",SUM(B70),"")</f>
        <v/>
      </c>
      <c r="D70" s="2" t="str">
        <f>IF(A70&lt;&gt;"",('TP2'!D1*'TP2'!C70)/'TP2'!C1, "")</f>
        <v/>
      </c>
    </row>
    <row r="71" spans="3:4" x14ac:dyDescent="0.3">
      <c r="C71" s="2" t="str">
        <f>IF(A71&lt;&gt;"",SUM(B71),"")</f>
        <v/>
      </c>
      <c r="D71" s="2" t="str">
        <f>IF(A71&lt;&gt;"",('TP2'!D1*'TP2'!C71)/'TP2'!C1, "")</f>
        <v/>
      </c>
    </row>
    <row r="72" spans="3:4" x14ac:dyDescent="0.3">
      <c r="C72" s="2" t="str">
        <f>IF(A72&lt;&gt;"",SUM(B72),"")</f>
        <v/>
      </c>
      <c r="D72" s="2" t="str">
        <f>IF(A72&lt;&gt;"",('TP2'!D1*'TP2'!C72)/'TP2'!C1, "")</f>
        <v/>
      </c>
    </row>
    <row r="73" spans="3:4" x14ac:dyDescent="0.3">
      <c r="C73" s="2" t="str">
        <f>IF(A73&lt;&gt;"",SUM(B73),"")</f>
        <v/>
      </c>
      <c r="D73" s="2" t="str">
        <f>IF(A73&lt;&gt;"",('TP2'!D1*'TP2'!C73)/'TP2'!C1, "")</f>
        <v/>
      </c>
    </row>
    <row r="74" spans="3:4" x14ac:dyDescent="0.3">
      <c r="C74" s="2" t="str">
        <f>IF(A74&lt;&gt;"",SUM(B74),"")</f>
        <v/>
      </c>
      <c r="D74" s="2" t="str">
        <f>IF(A74&lt;&gt;"",('TP2'!D1*'TP2'!C74)/'TP2'!C1, "")</f>
        <v/>
      </c>
    </row>
    <row r="75" spans="3:4" x14ac:dyDescent="0.3">
      <c r="C75" s="2" t="str">
        <f>IF(A75&lt;&gt;"",SUM(B75),"")</f>
        <v/>
      </c>
      <c r="D75" s="2" t="str">
        <f>IF(A75&lt;&gt;"",('TP2'!D1*'TP2'!C75)/'TP2'!C1, "")</f>
        <v/>
      </c>
    </row>
    <row r="76" spans="3:4" x14ac:dyDescent="0.3">
      <c r="C76" s="2" t="str">
        <f>IF(A76&lt;&gt;"",SUM(B76),"")</f>
        <v/>
      </c>
      <c r="D76" s="2" t="str">
        <f>IF(A76&lt;&gt;"",('TP2'!D1*'TP2'!C76)/'TP2'!C1, "")</f>
        <v/>
      </c>
    </row>
    <row r="77" spans="3:4" x14ac:dyDescent="0.3">
      <c r="C77" s="2" t="str">
        <f>IF(A77&lt;&gt;"",SUM(B77),"")</f>
        <v/>
      </c>
      <c r="D77" s="2" t="str">
        <f>IF(A77&lt;&gt;"",('TP2'!D1*'TP2'!C77)/'TP2'!C1, "")</f>
        <v/>
      </c>
    </row>
    <row r="78" spans="3:4" x14ac:dyDescent="0.3">
      <c r="C78" s="2" t="str">
        <f>IF(A78&lt;&gt;"",SUM(B78),"")</f>
        <v/>
      </c>
      <c r="D78" s="2" t="str">
        <f>IF(A78&lt;&gt;"",('TP2'!D1*'TP2'!C78)/'TP2'!C1, "")</f>
        <v/>
      </c>
    </row>
    <row r="79" spans="3:4" x14ac:dyDescent="0.3">
      <c r="C79" s="2" t="str">
        <f>IF(A79&lt;&gt;"",SUM(B79),"")</f>
        <v/>
      </c>
      <c r="D79" s="2" t="str">
        <f>IF(A79&lt;&gt;"",('TP2'!D1*'TP2'!C79)/'TP2'!C1, "")</f>
        <v/>
      </c>
    </row>
    <row r="80" spans="3:4" x14ac:dyDescent="0.3">
      <c r="C80" s="2" t="str">
        <f>IF(A80&lt;&gt;"",SUM(B80),"")</f>
        <v/>
      </c>
      <c r="D80" s="2" t="str">
        <f>IF(A80&lt;&gt;"",('TP2'!D1*'TP2'!C80)/'TP2'!C1, "")</f>
        <v/>
      </c>
    </row>
    <row r="81" spans="3:4" x14ac:dyDescent="0.3">
      <c r="C81" s="2" t="str">
        <f>IF(A81&lt;&gt;"",SUM(B81),"")</f>
        <v/>
      </c>
      <c r="D81" s="2" t="str">
        <f>IF(A81&lt;&gt;"",('TP2'!D1*'TP2'!C81)/'TP2'!C1, "")</f>
        <v/>
      </c>
    </row>
    <row r="82" spans="3:4" x14ac:dyDescent="0.3">
      <c r="C82" s="2" t="str">
        <f>IF(A82&lt;&gt;"",SUM(B82),"")</f>
        <v/>
      </c>
      <c r="D82" s="2" t="str">
        <f>IF(A82&lt;&gt;"",('TP2'!D1*'TP2'!C82)/'TP2'!C1, "")</f>
        <v/>
      </c>
    </row>
    <row r="83" spans="3:4" x14ac:dyDescent="0.3">
      <c r="C83" s="2" t="str">
        <f>IF(A83&lt;&gt;"",SUM(B83),"")</f>
        <v/>
      </c>
      <c r="D83" s="2" t="str">
        <f>IF(A83&lt;&gt;"",('TP2'!D1*'TP2'!C83)/'TP2'!C1, "")</f>
        <v/>
      </c>
    </row>
    <row r="84" spans="3:4" x14ac:dyDescent="0.3">
      <c r="C84" s="2" t="str">
        <f>IF(A84&lt;&gt;"",SUM(B84),"")</f>
        <v/>
      </c>
      <c r="D84" s="2" t="str">
        <f>IF(A84&lt;&gt;"",('TP2'!D1*'TP2'!C84)/'TP2'!C1, "")</f>
        <v/>
      </c>
    </row>
    <row r="85" spans="3:4" x14ac:dyDescent="0.3">
      <c r="C85" s="2" t="str">
        <f>IF(A85&lt;&gt;"",SUM(B85),"")</f>
        <v/>
      </c>
      <c r="D85" s="2" t="str">
        <f>IF(A85&lt;&gt;"",('TP2'!D1*'TP2'!C85)/'TP2'!C1, "")</f>
        <v/>
      </c>
    </row>
    <row r="86" spans="3:4" x14ac:dyDescent="0.3">
      <c r="C86" s="2" t="str">
        <f>IF(A86&lt;&gt;"",SUM(B86),"")</f>
        <v/>
      </c>
      <c r="D86" s="2" t="str">
        <f>IF(A86&lt;&gt;"",('TP2'!D1*'TP2'!C86)/'TP2'!C1, "")</f>
        <v/>
      </c>
    </row>
    <row r="87" spans="3:4" x14ac:dyDescent="0.3">
      <c r="C87" s="2" t="str">
        <f>IF(A87&lt;&gt;"",SUM(B87),"")</f>
        <v/>
      </c>
      <c r="D87" s="2" t="str">
        <f>IF(A87&lt;&gt;"",('TP2'!D1*'TP2'!C87)/'TP2'!C1, "")</f>
        <v/>
      </c>
    </row>
    <row r="88" spans="3:4" x14ac:dyDescent="0.3">
      <c r="C88" s="2" t="str">
        <f>IF(A88&lt;&gt;"",SUM(B88),"")</f>
        <v/>
      </c>
      <c r="D88" s="2" t="str">
        <f>IF(A88&lt;&gt;"",('TP2'!D1*'TP2'!C88)/'TP2'!C1, "")</f>
        <v/>
      </c>
    </row>
    <row r="89" spans="3:4" x14ac:dyDescent="0.3">
      <c r="C89" s="2" t="str">
        <f>IF(A89&lt;&gt;"",SUM(B89),"")</f>
        <v/>
      </c>
      <c r="D89" s="2" t="str">
        <f>IF(A89&lt;&gt;"",('TP2'!D1*'TP2'!C89)/'TP2'!C1, "")</f>
        <v/>
      </c>
    </row>
    <row r="90" spans="3:4" x14ac:dyDescent="0.3">
      <c r="C90" s="2" t="str">
        <f>IF(A90&lt;&gt;"",SUM(B90),"")</f>
        <v/>
      </c>
      <c r="D90" s="2" t="str">
        <f>IF(A90&lt;&gt;"",('TP2'!D1*'TP2'!C90)/'TP2'!C1, "")</f>
        <v/>
      </c>
    </row>
    <row r="91" spans="3:4" x14ac:dyDescent="0.3">
      <c r="C91" s="2" t="str">
        <f>IF(A91&lt;&gt;"",SUM(B91),"")</f>
        <v/>
      </c>
      <c r="D91" s="2" t="str">
        <f>IF(A91&lt;&gt;"",('TP2'!D1*'TP2'!C91)/'TP2'!C1, "")</f>
        <v/>
      </c>
    </row>
    <row r="92" spans="3:4" x14ac:dyDescent="0.3">
      <c r="C92" s="2" t="str">
        <f>IF(A92&lt;&gt;"",SUM(B92),"")</f>
        <v/>
      </c>
      <c r="D92" s="2" t="str">
        <f>IF(A92&lt;&gt;"",('TP2'!D1*'TP2'!C92)/'TP2'!C1, "")</f>
        <v/>
      </c>
    </row>
    <row r="93" spans="3:4" x14ac:dyDescent="0.3">
      <c r="C93" s="2" t="str">
        <f>IF(A93&lt;&gt;"",SUM(B93),"")</f>
        <v/>
      </c>
      <c r="D93" s="2" t="str">
        <f>IF(A93&lt;&gt;"",('TP2'!D1*'TP2'!C93)/'TP2'!C1, "")</f>
        <v/>
      </c>
    </row>
    <row r="94" spans="3:4" x14ac:dyDescent="0.3">
      <c r="C94" s="2" t="str">
        <f>IF(A94&lt;&gt;"",SUM(B94),"")</f>
        <v/>
      </c>
      <c r="D94" s="2" t="str">
        <f>IF(A94&lt;&gt;"",('TP2'!D1*'TP2'!C94)/'TP2'!C1, "")</f>
        <v/>
      </c>
    </row>
    <row r="95" spans="3:4" x14ac:dyDescent="0.3">
      <c r="C95" s="2" t="str">
        <f>IF(A95&lt;&gt;"",SUM(B95),"")</f>
        <v/>
      </c>
      <c r="D95" s="2" t="str">
        <f>IF(A95&lt;&gt;"",('TP2'!D1*'TP2'!C95)/'TP2'!C1, "")</f>
        <v/>
      </c>
    </row>
    <row r="96" spans="3:4" x14ac:dyDescent="0.3">
      <c r="C96" s="2" t="str">
        <f>IF(A96&lt;&gt;"",SUM(B96),"")</f>
        <v/>
      </c>
      <c r="D96" s="2" t="str">
        <f>IF(A96&lt;&gt;"",('TP2'!D1*'TP2'!C96)/'TP2'!C1, "")</f>
        <v/>
      </c>
    </row>
    <row r="97" spans="3:4" x14ac:dyDescent="0.3">
      <c r="C97" s="2" t="str">
        <f>IF(A97&lt;&gt;"",SUM(B97),"")</f>
        <v/>
      </c>
      <c r="D97" s="2" t="str">
        <f>IF(A97&lt;&gt;"",('TP2'!D1*'TP2'!C97)/'TP2'!C1, "")</f>
        <v/>
      </c>
    </row>
    <row r="98" spans="3:4" x14ac:dyDescent="0.3">
      <c r="C98" s="2" t="str">
        <f>IF(A98&lt;&gt;"",SUM(B98),"")</f>
        <v/>
      </c>
      <c r="D98" s="2" t="str">
        <f>IF(A98&lt;&gt;"",('TP2'!D1*'TP2'!C98)/'TP2'!C1, "")</f>
        <v/>
      </c>
    </row>
    <row r="99" spans="3:4" x14ac:dyDescent="0.3">
      <c r="C99" s="2" t="str">
        <f>IF(A99&lt;&gt;"",SUM(B99),"")</f>
        <v/>
      </c>
      <c r="D99" s="2" t="str">
        <f>IF(A99&lt;&gt;"",('TP2'!D1*'TP2'!C99)/'TP2'!C1, "")</f>
        <v/>
      </c>
    </row>
    <row r="100" spans="3:4" x14ac:dyDescent="0.3">
      <c r="C100" s="2" t="str">
        <f>IF(A100&lt;&gt;"",SUM(B100),"")</f>
        <v/>
      </c>
      <c r="D100" s="2" t="str">
        <f>IF(A100&lt;&gt;"",('TP2'!D1*'TP2'!C100)/'TP2'!C1, "")</f>
        <v/>
      </c>
    </row>
    <row r="101" spans="3:4" x14ac:dyDescent="0.3">
      <c r="C101" s="2" t="str">
        <f>IF(A101&lt;&gt;"",SUM(B101),"")</f>
        <v/>
      </c>
      <c r="D101" s="2" t="str">
        <f>IF(A101&lt;&gt;"",('TP2'!D1*'TP2'!C101)/'TP2'!C1, "")</f>
        <v/>
      </c>
    </row>
    <row r="102" spans="3:4" x14ac:dyDescent="0.3">
      <c r="C102" s="2" t="str">
        <f>IF(A102&lt;&gt;"",SUM(B102),"")</f>
        <v/>
      </c>
      <c r="D102" s="2" t="str">
        <f>IF(A102&lt;&gt;"",('TP2'!D1*'TP2'!C102)/'TP2'!C1, "")</f>
        <v/>
      </c>
    </row>
    <row r="103" spans="3:4" x14ac:dyDescent="0.3">
      <c r="C103" s="2" t="str">
        <f>IF(A103&lt;&gt;"",SUM(B103),"")</f>
        <v/>
      </c>
      <c r="D103" s="2" t="str">
        <f>IF(A103&lt;&gt;"",('TP2'!D1*'TP2'!C103)/'TP2'!C1, "")</f>
        <v/>
      </c>
    </row>
    <row r="104" spans="3:4" x14ac:dyDescent="0.3">
      <c r="C104" s="2" t="str">
        <f>IF(A104&lt;&gt;"",SUM(B104),"")</f>
        <v/>
      </c>
      <c r="D104" s="2" t="str">
        <f>IF(A104&lt;&gt;"",('TP2'!D1*'TP2'!C104)/'TP2'!C1, "")</f>
        <v/>
      </c>
    </row>
    <row r="105" spans="3:4" x14ac:dyDescent="0.3">
      <c r="C105" s="2" t="str">
        <f>IF(A105&lt;&gt;"",SUM(B105),"")</f>
        <v/>
      </c>
      <c r="D105" s="2" t="str">
        <f>IF(A105&lt;&gt;"",('TP2'!D1*'TP2'!C105)/'TP2'!C1, "")</f>
        <v/>
      </c>
    </row>
    <row r="106" spans="3:4" x14ac:dyDescent="0.3">
      <c r="C106" s="2" t="str">
        <f>IF(A106&lt;&gt;"",SUM(B106),"")</f>
        <v/>
      </c>
      <c r="D106" s="2" t="str">
        <f>IF(A106&lt;&gt;"",('TP2'!D1*'TP2'!C106)/'TP2'!C1, "")</f>
        <v/>
      </c>
    </row>
    <row r="107" spans="3:4" x14ac:dyDescent="0.3">
      <c r="C107" s="2" t="str">
        <f>IF(A107&lt;&gt;"",SUM(B107),"")</f>
        <v/>
      </c>
      <c r="D107" s="2" t="str">
        <f>IF(A107&lt;&gt;"",('TP2'!D1*'TP2'!C107)/'TP2'!C1, "")</f>
        <v/>
      </c>
    </row>
    <row r="108" spans="3:4" x14ac:dyDescent="0.3">
      <c r="C108" s="2" t="str">
        <f>IF(A108&lt;&gt;"",SUM(B108),"")</f>
        <v/>
      </c>
      <c r="D108" s="2" t="str">
        <f>IF(A108&lt;&gt;"",('TP2'!D1*'TP2'!C108)/'TP2'!C1, "")</f>
        <v/>
      </c>
    </row>
    <row r="109" spans="3:4" x14ac:dyDescent="0.3">
      <c r="C109" s="2" t="str">
        <f>IF(A109&lt;&gt;"",SUM(B109),"")</f>
        <v/>
      </c>
      <c r="D109" s="2" t="str">
        <f>IF(A109&lt;&gt;"",('TP2'!D1*'TP2'!C109)/'TP2'!C1, "")</f>
        <v/>
      </c>
    </row>
    <row r="110" spans="3:4" x14ac:dyDescent="0.3">
      <c r="C110" s="2" t="str">
        <f>IF(A110&lt;&gt;"",SUM(B110),"")</f>
        <v/>
      </c>
      <c r="D110" s="2" t="str">
        <f>IF(A110&lt;&gt;"",('TP2'!D1*'TP2'!C110)/'TP2'!C1, "")</f>
        <v/>
      </c>
    </row>
    <row r="111" spans="3:4" x14ac:dyDescent="0.3">
      <c r="C111" s="2" t="str">
        <f>IF(A111&lt;&gt;"",SUM(B111),"")</f>
        <v/>
      </c>
      <c r="D111" s="2" t="str">
        <f>IF(A111&lt;&gt;"",('TP2'!D1*'TP2'!C111)/'TP2'!C1, "")</f>
        <v/>
      </c>
    </row>
    <row r="112" spans="3:4" x14ac:dyDescent="0.3">
      <c r="C112" s="2" t="str">
        <f>IF(A112&lt;&gt;"",SUM(B112),"")</f>
        <v/>
      </c>
      <c r="D112" s="2" t="str">
        <f>IF(A112&lt;&gt;"",('TP2'!D1*'TP2'!C112)/'TP2'!C1, "")</f>
        <v/>
      </c>
    </row>
    <row r="113" spans="3:4" x14ac:dyDescent="0.3">
      <c r="C113" s="2" t="str">
        <f>IF(A113&lt;&gt;"",SUM(B113),"")</f>
        <v/>
      </c>
      <c r="D113" s="2" t="str">
        <f>IF(A113&lt;&gt;"",('TP2'!D1*'TP2'!C113)/'TP2'!C1, "")</f>
        <v/>
      </c>
    </row>
    <row r="114" spans="3:4" x14ac:dyDescent="0.3">
      <c r="C114" s="2" t="str">
        <f>IF(A114&lt;&gt;"",SUM(B114),"")</f>
        <v/>
      </c>
      <c r="D114" s="2" t="str">
        <f>IF(A114&lt;&gt;"",('TP2'!D1*'TP2'!C114)/'TP2'!C1, "")</f>
        <v/>
      </c>
    </row>
    <row r="115" spans="3:4" x14ac:dyDescent="0.3">
      <c r="C115" s="2" t="str">
        <f>IF(A115&lt;&gt;"",SUM(B115),"")</f>
        <v/>
      </c>
      <c r="D115" s="2" t="str">
        <f>IF(A115&lt;&gt;"",('TP2'!D1*'TP2'!C115)/'TP2'!C1, "")</f>
        <v/>
      </c>
    </row>
    <row r="116" spans="3:4" x14ac:dyDescent="0.3">
      <c r="C116" s="2" t="str">
        <f>IF(A116&lt;&gt;"",SUM(B116),"")</f>
        <v/>
      </c>
      <c r="D116" s="2" t="str">
        <f>IF(A116&lt;&gt;"",('TP2'!D1*'TP2'!C116)/'TP2'!C1, "")</f>
        <v/>
      </c>
    </row>
    <row r="117" spans="3:4" x14ac:dyDescent="0.3">
      <c r="C117" s="2" t="str">
        <f>IF(A117&lt;&gt;"",SUM(B117),"")</f>
        <v/>
      </c>
      <c r="D117" s="2" t="str">
        <f>IF(A117&lt;&gt;"",('TP2'!D1*'TP2'!C117)/'TP2'!C1, "")</f>
        <v/>
      </c>
    </row>
    <row r="118" spans="3:4" x14ac:dyDescent="0.3">
      <c r="C118" s="2" t="str">
        <f>IF(A118&lt;&gt;"",SUM(B118),"")</f>
        <v/>
      </c>
      <c r="D118" s="2" t="str">
        <f>IF(A118&lt;&gt;"",('TP2'!D1*'TP2'!C118)/'TP2'!C1, "")</f>
        <v/>
      </c>
    </row>
    <row r="119" spans="3:4" x14ac:dyDescent="0.3">
      <c r="C119" s="2" t="str">
        <f>IF(A119&lt;&gt;"",SUM(B119),"")</f>
        <v/>
      </c>
      <c r="D119" s="2" t="str">
        <f>IF(A119&lt;&gt;"",('TP2'!D1*'TP2'!C119)/'TP2'!C1, "")</f>
        <v/>
      </c>
    </row>
    <row r="120" spans="3:4" x14ac:dyDescent="0.3">
      <c r="C120" s="2" t="str">
        <f>IF(A120&lt;&gt;"",SUM(B120),"")</f>
        <v/>
      </c>
      <c r="D120" s="2" t="str">
        <f>IF(A120&lt;&gt;"",('TP2'!D1*'TP2'!C120)/'TP2'!C1, "")</f>
        <v/>
      </c>
    </row>
    <row r="121" spans="3:4" x14ac:dyDescent="0.3">
      <c r="C121" s="2" t="str">
        <f>IF(A121&lt;&gt;"",SUM(B121),"")</f>
        <v/>
      </c>
      <c r="D121" s="2" t="str">
        <f>IF(A121&lt;&gt;"",('TP2'!D1*'TP2'!C121)/'TP2'!C1, "")</f>
        <v/>
      </c>
    </row>
    <row r="122" spans="3:4" x14ac:dyDescent="0.3">
      <c r="C122" s="2" t="str">
        <f>IF(A122&lt;&gt;"",SUM(B122),"")</f>
        <v/>
      </c>
      <c r="D122" s="2" t="str">
        <f>IF(A122&lt;&gt;"",('TP2'!D1*'TP2'!C122)/'TP2'!C1, "")</f>
        <v/>
      </c>
    </row>
    <row r="123" spans="3:4" x14ac:dyDescent="0.3">
      <c r="C123" s="2" t="str">
        <f>IF(A123&lt;&gt;"",SUM(B123),"")</f>
        <v/>
      </c>
      <c r="D123" s="2" t="str">
        <f>IF(A123&lt;&gt;"",('TP2'!D1*'TP2'!C123)/'TP2'!C1, "")</f>
        <v/>
      </c>
    </row>
    <row r="124" spans="3:4" x14ac:dyDescent="0.3">
      <c r="C124" s="2" t="str">
        <f>IF(A124&lt;&gt;"",SUM(B124),"")</f>
        <v/>
      </c>
      <c r="D124" s="2" t="str">
        <f>IF(A124&lt;&gt;"",('TP2'!D1*'TP2'!C124)/'TP2'!C1, "")</f>
        <v/>
      </c>
    </row>
    <row r="125" spans="3:4" x14ac:dyDescent="0.3">
      <c r="C125" s="2" t="str">
        <f>IF(A125&lt;&gt;"",SUM(B125),"")</f>
        <v/>
      </c>
      <c r="D125" s="2" t="str">
        <f>IF(A125&lt;&gt;"",('TP2'!D1*'TP2'!C125)/'TP2'!C1, "")</f>
        <v/>
      </c>
    </row>
    <row r="126" spans="3:4" x14ac:dyDescent="0.3">
      <c r="C126" s="2" t="str">
        <f>IF(A126&lt;&gt;"",SUM(B126),"")</f>
        <v/>
      </c>
      <c r="D126" s="2" t="str">
        <f>IF(A126&lt;&gt;"",('TP2'!D1*'TP2'!C126)/'TP2'!C1, "")</f>
        <v/>
      </c>
    </row>
    <row r="127" spans="3:4" x14ac:dyDescent="0.3">
      <c r="C127" s="2" t="str">
        <f>IF(A127&lt;&gt;"",SUM(B127),"")</f>
        <v/>
      </c>
      <c r="D127" s="2" t="str">
        <f>IF(A127&lt;&gt;"",('TP2'!D1*'TP2'!C127)/'TP2'!C1, "")</f>
        <v/>
      </c>
    </row>
    <row r="128" spans="3:4" x14ac:dyDescent="0.3">
      <c r="C128" s="2" t="str">
        <f>IF(A128&lt;&gt;"",SUM(B128),"")</f>
        <v/>
      </c>
      <c r="D128" s="2" t="str">
        <f>IF(A128&lt;&gt;"",('TP2'!D1*'TP2'!C128)/'TP2'!C1, "")</f>
        <v/>
      </c>
    </row>
    <row r="129" spans="3:4" x14ac:dyDescent="0.3">
      <c r="C129" s="2" t="str">
        <f>IF(A129&lt;&gt;"",SUM(B129),"")</f>
        <v/>
      </c>
      <c r="D129" s="2" t="str">
        <f>IF(A129&lt;&gt;"",('TP2'!D1*'TP2'!C129)/'TP2'!C1, "")</f>
        <v/>
      </c>
    </row>
    <row r="130" spans="3:4" x14ac:dyDescent="0.3">
      <c r="C130" s="2" t="str">
        <f>IF(A130&lt;&gt;"",SUM(B130),"")</f>
        <v/>
      </c>
      <c r="D130" s="2" t="str">
        <f>IF(A130&lt;&gt;"",('TP2'!D1*'TP2'!C130)/'TP2'!C1, "")</f>
        <v/>
      </c>
    </row>
    <row r="131" spans="3:4" x14ac:dyDescent="0.3">
      <c r="C131" s="2" t="str">
        <f>IF(A131&lt;&gt;"",SUM(B131),"")</f>
        <v/>
      </c>
      <c r="D131" s="2" t="str">
        <f>IF(A131&lt;&gt;"",('TP2'!D1*'TP2'!C131)/'TP2'!C1, "")</f>
        <v/>
      </c>
    </row>
    <row r="132" spans="3:4" x14ac:dyDescent="0.3">
      <c r="C132" s="2" t="str">
        <f>IF(A132&lt;&gt;"",SUM(B132),"")</f>
        <v/>
      </c>
      <c r="D132" s="2" t="str">
        <f>IF(A132&lt;&gt;"",('TP2'!D1*'TP2'!C132)/'TP2'!C1, "")</f>
        <v/>
      </c>
    </row>
    <row r="133" spans="3:4" x14ac:dyDescent="0.3">
      <c r="C133" s="2" t="str">
        <f>IF(A133&lt;&gt;"",SUM(B133),"")</f>
        <v/>
      </c>
      <c r="D133" s="2" t="str">
        <f>IF(A133&lt;&gt;"",('TP2'!D1*'TP2'!C133)/'TP2'!C1, "")</f>
        <v/>
      </c>
    </row>
    <row r="134" spans="3:4" x14ac:dyDescent="0.3">
      <c r="C134" s="2" t="str">
        <f>IF(A134&lt;&gt;"",SUM(B134),"")</f>
        <v/>
      </c>
      <c r="D134" s="2" t="str">
        <f>IF(A134&lt;&gt;"",('TP2'!D1*'TP2'!C134)/'TP2'!C1, "")</f>
        <v/>
      </c>
    </row>
    <row r="135" spans="3:4" x14ac:dyDescent="0.3">
      <c r="C135" s="2" t="str">
        <f>IF(A135&lt;&gt;"",SUM(B135),"")</f>
        <v/>
      </c>
      <c r="D135" s="2" t="str">
        <f>IF(A135&lt;&gt;"",('TP2'!D1*'TP2'!C135)/'TP2'!C1, "")</f>
        <v/>
      </c>
    </row>
    <row r="136" spans="3:4" x14ac:dyDescent="0.3">
      <c r="C136" s="2" t="str">
        <f>IF(A136&lt;&gt;"",SUM(B136),"")</f>
        <v/>
      </c>
      <c r="D136" s="2" t="str">
        <f>IF(A136&lt;&gt;"",('TP2'!D1*'TP2'!C136)/'TP2'!C1, "")</f>
        <v/>
      </c>
    </row>
    <row r="137" spans="3:4" x14ac:dyDescent="0.3">
      <c r="C137" s="2" t="str">
        <f>IF(A137&lt;&gt;"",SUM(B137),"")</f>
        <v/>
      </c>
      <c r="D137" s="2" t="str">
        <f>IF(A137&lt;&gt;"",('TP2'!D1*'TP2'!C137)/'TP2'!C1, "")</f>
        <v/>
      </c>
    </row>
    <row r="138" spans="3:4" x14ac:dyDescent="0.3">
      <c r="C138" s="2" t="str">
        <f>IF(A138&lt;&gt;"",SUM(B138),"")</f>
        <v/>
      </c>
      <c r="D138" s="2" t="str">
        <f>IF(A138&lt;&gt;"",('TP2'!D1*'TP2'!C138)/'TP2'!C1, "")</f>
        <v/>
      </c>
    </row>
    <row r="139" spans="3:4" x14ac:dyDescent="0.3">
      <c r="C139" s="2" t="str">
        <f>IF(A139&lt;&gt;"",SUM(B139),"")</f>
        <v/>
      </c>
      <c r="D139" s="2" t="str">
        <f>IF(A139&lt;&gt;"",('TP2'!D1*'TP2'!C139)/'TP2'!C1, "")</f>
        <v/>
      </c>
    </row>
    <row r="140" spans="3:4" x14ac:dyDescent="0.3">
      <c r="C140" s="2" t="str">
        <f>IF(A140&lt;&gt;"",SUM(B140),"")</f>
        <v/>
      </c>
      <c r="D140" s="2" t="str">
        <f>IF(A140&lt;&gt;"",('TP2'!D1*'TP2'!C140)/'TP2'!C1, "")</f>
        <v/>
      </c>
    </row>
    <row r="141" spans="3:4" x14ac:dyDescent="0.3">
      <c r="C141" s="2" t="str">
        <f>IF(A141&lt;&gt;"",SUM(B141),"")</f>
        <v/>
      </c>
      <c r="D141" s="2" t="str">
        <f>IF(A141&lt;&gt;"",('TP2'!D1*'TP2'!C141)/'TP2'!C1, "")</f>
        <v/>
      </c>
    </row>
    <row r="142" spans="3:4" x14ac:dyDescent="0.3">
      <c r="C142" s="2" t="str">
        <f>IF(A142&lt;&gt;"",SUM(B142),"")</f>
        <v/>
      </c>
      <c r="D142" s="2" t="str">
        <f>IF(A142&lt;&gt;"",('TP2'!D1*'TP2'!C142)/'TP2'!C1, "")</f>
        <v/>
      </c>
    </row>
    <row r="143" spans="3:4" x14ac:dyDescent="0.3">
      <c r="C143" s="2" t="str">
        <f>IF(A143&lt;&gt;"",SUM(B143),"")</f>
        <v/>
      </c>
      <c r="D143" s="2" t="str">
        <f>IF(A143&lt;&gt;"",('TP2'!D1*'TP2'!C143)/'TP2'!C1, "")</f>
        <v/>
      </c>
    </row>
    <row r="144" spans="3:4" x14ac:dyDescent="0.3">
      <c r="C144" s="2" t="str">
        <f>IF(A144&lt;&gt;"",SUM(B144),"")</f>
        <v/>
      </c>
      <c r="D144" s="2" t="str">
        <f>IF(A144&lt;&gt;"",('TP2'!D1*'TP2'!C144)/'TP2'!C1, "")</f>
        <v/>
      </c>
    </row>
    <row r="145" spans="3:4" x14ac:dyDescent="0.3">
      <c r="C145" s="2" t="str">
        <f>IF(A145&lt;&gt;"",SUM(B145),"")</f>
        <v/>
      </c>
      <c r="D145" s="2" t="str">
        <f>IF(A145&lt;&gt;"",('TP2'!D1*'TP2'!C145)/'TP2'!C1, "")</f>
        <v/>
      </c>
    </row>
    <row r="146" spans="3:4" x14ac:dyDescent="0.3">
      <c r="C146" s="2" t="str">
        <f>IF(A146&lt;&gt;"",SUM(B146),"")</f>
        <v/>
      </c>
      <c r="D146" s="2" t="str">
        <f>IF(A146&lt;&gt;"",('TP2'!D1*'TP2'!C146)/'TP2'!C1, "")</f>
        <v/>
      </c>
    </row>
    <row r="147" spans="3:4" x14ac:dyDescent="0.3">
      <c r="C147" s="2" t="str">
        <f>IF(A147&lt;&gt;"",SUM(B147),"")</f>
        <v/>
      </c>
      <c r="D147" s="2" t="str">
        <f>IF(A147&lt;&gt;"",('TP2'!D1*'TP2'!C147)/'TP2'!C1, "")</f>
        <v/>
      </c>
    </row>
    <row r="148" spans="3:4" x14ac:dyDescent="0.3">
      <c r="C148" s="2" t="str">
        <f>IF(A148&lt;&gt;"",SUM(B148),"")</f>
        <v/>
      </c>
      <c r="D148" s="2" t="str">
        <f>IF(A148&lt;&gt;"",('TP2'!D1*'TP2'!C148)/'TP2'!C1, "")</f>
        <v/>
      </c>
    </row>
    <row r="149" spans="3:4" x14ac:dyDescent="0.3">
      <c r="C149" s="2" t="str">
        <f>IF(A149&lt;&gt;"",SUM(B149),"")</f>
        <v/>
      </c>
      <c r="D149" s="2" t="str">
        <f>IF(A149&lt;&gt;"",('TP2'!D1*'TP2'!C149)/'TP2'!C1, "")</f>
        <v/>
      </c>
    </row>
    <row r="150" spans="3:4" x14ac:dyDescent="0.3">
      <c r="C150" s="2" t="str">
        <f>IF(A150&lt;&gt;"",SUM(B150),"")</f>
        <v/>
      </c>
      <c r="D150" s="2" t="str">
        <f>IF(A150&lt;&gt;"",('TP2'!D1*'TP2'!C150)/'TP2'!C1, "")</f>
        <v/>
      </c>
    </row>
    <row r="151" spans="3:4" x14ac:dyDescent="0.3">
      <c r="C151" s="2" t="str">
        <f>IF(A151&lt;&gt;"",SUM(B151),"")</f>
        <v/>
      </c>
      <c r="D151" s="2" t="str">
        <f>IF(A151&lt;&gt;"",('TP2'!D1*'TP2'!C151)/'TP2'!C1, "")</f>
        <v/>
      </c>
    </row>
    <row r="152" spans="3:4" x14ac:dyDescent="0.3">
      <c r="C152" s="2" t="str">
        <f>IF(A152&lt;&gt;"",SUM(B152),"")</f>
        <v/>
      </c>
      <c r="D152" s="2" t="str">
        <f>IF(A152&lt;&gt;"",('TP2'!D1*'TP2'!C152)/'TP2'!C1, "")</f>
        <v/>
      </c>
    </row>
    <row r="153" spans="3:4" x14ac:dyDescent="0.3">
      <c r="C153" s="2" t="str">
        <f>IF(A153&lt;&gt;"",SUM(B153),"")</f>
        <v/>
      </c>
      <c r="D153" s="2" t="str">
        <f>IF(A153&lt;&gt;"",('TP2'!D1*'TP2'!C153)/'TP2'!C1, "")</f>
        <v/>
      </c>
    </row>
    <row r="154" spans="3:4" x14ac:dyDescent="0.3">
      <c r="C154" s="2" t="str">
        <f>IF(A154&lt;&gt;"",SUM(B154),"")</f>
        <v/>
      </c>
      <c r="D154" s="2" t="str">
        <f>IF(A154&lt;&gt;"",('TP2'!D1*'TP2'!C154)/'TP2'!C1, "")</f>
        <v/>
      </c>
    </row>
    <row r="155" spans="3:4" x14ac:dyDescent="0.3">
      <c r="C155" s="2" t="str">
        <f>IF(A155&lt;&gt;"",SUM(B155),"")</f>
        <v/>
      </c>
      <c r="D155" s="2" t="str">
        <f>IF(A155&lt;&gt;"",('TP2'!D1*'TP2'!C155)/'TP2'!C1, "")</f>
        <v/>
      </c>
    </row>
    <row r="156" spans="3:4" x14ac:dyDescent="0.3">
      <c r="C156" s="2" t="str">
        <f>IF(A156&lt;&gt;"",SUM(B156),"")</f>
        <v/>
      </c>
      <c r="D156" s="2" t="str">
        <f>IF(A156&lt;&gt;"",('TP2'!D1*'TP2'!C156)/'TP2'!C1, "")</f>
        <v/>
      </c>
    </row>
    <row r="157" spans="3:4" x14ac:dyDescent="0.3">
      <c r="C157" s="2" t="str">
        <f>IF(A157&lt;&gt;"",SUM(B157),"")</f>
        <v/>
      </c>
      <c r="D157" s="2" t="str">
        <f>IF(A157&lt;&gt;"",('TP2'!D1*'TP2'!C157)/'TP2'!C1, "")</f>
        <v/>
      </c>
    </row>
    <row r="158" spans="3:4" x14ac:dyDescent="0.3">
      <c r="C158" s="2" t="str">
        <f>IF(A158&lt;&gt;"",SUM(B158),"")</f>
        <v/>
      </c>
      <c r="D158" s="2" t="str">
        <f>IF(A158&lt;&gt;"",('TP2'!D1*'TP2'!C158)/'TP2'!C1, "")</f>
        <v/>
      </c>
    </row>
    <row r="159" spans="3:4" x14ac:dyDescent="0.3">
      <c r="C159" s="2" t="str">
        <f>IF(A159&lt;&gt;"",SUM(B159),"")</f>
        <v/>
      </c>
      <c r="D159" s="2" t="str">
        <f>IF(A159&lt;&gt;"",('TP2'!D1*'TP2'!C159)/'TP2'!C1, "")</f>
        <v/>
      </c>
    </row>
    <row r="160" spans="3:4" x14ac:dyDescent="0.3">
      <c r="C160" s="2" t="str">
        <f>IF(A160&lt;&gt;"",SUM(B160),"")</f>
        <v/>
      </c>
      <c r="D160" s="2" t="str">
        <f>IF(A160&lt;&gt;"",('TP2'!D1*'TP2'!C160)/'TP2'!C1, "")</f>
        <v/>
      </c>
    </row>
    <row r="161" spans="3:4" x14ac:dyDescent="0.3">
      <c r="C161" s="2" t="str">
        <f>IF(A161&lt;&gt;"",SUM(B161),"")</f>
        <v/>
      </c>
      <c r="D161" s="2" t="str">
        <f>IF(A161&lt;&gt;"",('TP2'!D1*'TP2'!C161)/'TP2'!C1, "")</f>
        <v/>
      </c>
    </row>
    <row r="162" spans="3:4" x14ac:dyDescent="0.3">
      <c r="C162" s="2" t="str">
        <f>IF(A162&lt;&gt;"",SUM(B162),"")</f>
        <v/>
      </c>
      <c r="D162" s="2" t="str">
        <f>IF(A162&lt;&gt;"",('TP2'!D1*'TP2'!C162)/'TP2'!C1, "")</f>
        <v/>
      </c>
    </row>
    <row r="163" spans="3:4" x14ac:dyDescent="0.3">
      <c r="C163" s="2" t="str">
        <f>IF(A163&lt;&gt;"",SUM(B163),"")</f>
        <v/>
      </c>
      <c r="D163" s="2" t="str">
        <f>IF(A163&lt;&gt;"",('TP2'!D1*'TP2'!C163)/'TP2'!C1, "")</f>
        <v/>
      </c>
    </row>
    <row r="164" spans="3:4" x14ac:dyDescent="0.3">
      <c r="C164" s="2" t="str">
        <f>IF(A164&lt;&gt;"",SUM(B164),"")</f>
        <v/>
      </c>
      <c r="D164" s="2" t="str">
        <f>IF(A164&lt;&gt;"",('TP2'!D1*'TP2'!C164)/'TP2'!C1, "")</f>
        <v/>
      </c>
    </row>
    <row r="165" spans="3:4" x14ac:dyDescent="0.3">
      <c r="C165" s="2" t="str">
        <f>IF(A165&lt;&gt;"",SUM(B165),"")</f>
        <v/>
      </c>
      <c r="D165" s="2" t="str">
        <f>IF(A165&lt;&gt;"",('TP2'!D1*'TP2'!C165)/'TP2'!C1, "")</f>
        <v/>
      </c>
    </row>
    <row r="166" spans="3:4" x14ac:dyDescent="0.3">
      <c r="C166" s="2" t="str">
        <f>IF(A166&lt;&gt;"",SUM(B166),"")</f>
        <v/>
      </c>
      <c r="D166" s="2" t="str">
        <f>IF(A166&lt;&gt;"",('TP2'!D1*'TP2'!C166)/'TP2'!C1, "")</f>
        <v/>
      </c>
    </row>
    <row r="167" spans="3:4" x14ac:dyDescent="0.3">
      <c r="C167" s="2" t="str">
        <f>IF(A167&lt;&gt;"",SUM(B167),"")</f>
        <v/>
      </c>
      <c r="D167" s="2" t="str">
        <f>IF(A167&lt;&gt;"",('TP2'!D1*'TP2'!C167)/'TP2'!C1, "")</f>
        <v/>
      </c>
    </row>
    <row r="168" spans="3:4" x14ac:dyDescent="0.3">
      <c r="C168" s="2" t="str">
        <f>IF(A168&lt;&gt;"",SUM(B168),"")</f>
        <v/>
      </c>
      <c r="D168" s="2" t="str">
        <f>IF(A168&lt;&gt;"",('TP2'!D1*'TP2'!C168)/'TP2'!C1, "")</f>
        <v/>
      </c>
    </row>
    <row r="169" spans="3:4" x14ac:dyDescent="0.3">
      <c r="C169" s="2" t="str">
        <f>IF(A169&lt;&gt;"",SUM(B169),"")</f>
        <v/>
      </c>
      <c r="D169" s="2" t="str">
        <f>IF(A169&lt;&gt;"",('TP2'!D1*'TP2'!C169)/'TP2'!C1, "")</f>
        <v/>
      </c>
    </row>
    <row r="170" spans="3:4" x14ac:dyDescent="0.3">
      <c r="C170" s="2" t="str">
        <f>IF(A170&lt;&gt;"",SUM(B170),"")</f>
        <v/>
      </c>
      <c r="D170" s="2" t="str">
        <f>IF(A170&lt;&gt;"",('TP2'!D1*'TP2'!C170)/'TP2'!C1, "")</f>
        <v/>
      </c>
    </row>
    <row r="171" spans="3:4" x14ac:dyDescent="0.3">
      <c r="C171" s="2" t="str">
        <f>IF(A171&lt;&gt;"",SUM(B171),"")</f>
        <v/>
      </c>
      <c r="D171" s="2" t="str">
        <f>IF(A171&lt;&gt;"",('TP2'!D1*'TP2'!C171)/'TP2'!C1, "")</f>
        <v/>
      </c>
    </row>
    <row r="172" spans="3:4" x14ac:dyDescent="0.3">
      <c r="C172" s="2" t="str">
        <f>IF(A172&lt;&gt;"",SUM(B172),"")</f>
        <v/>
      </c>
      <c r="D172" s="2" t="str">
        <f>IF(A172&lt;&gt;"",('TP2'!D1*'TP2'!C172)/'TP2'!C1, "")</f>
        <v/>
      </c>
    </row>
    <row r="173" spans="3:4" x14ac:dyDescent="0.3">
      <c r="C173" s="2" t="str">
        <f>IF(A173&lt;&gt;"",SUM(B173),"")</f>
        <v/>
      </c>
      <c r="D173" s="2" t="str">
        <f>IF(A173&lt;&gt;"",('TP2'!D1*'TP2'!C173)/'TP2'!C1, "")</f>
        <v/>
      </c>
    </row>
    <row r="174" spans="3:4" x14ac:dyDescent="0.3">
      <c r="C174" s="2" t="str">
        <f>IF(A174&lt;&gt;"",SUM(B174),"")</f>
        <v/>
      </c>
      <c r="D174" s="2" t="str">
        <f>IF(A174&lt;&gt;"",('TP2'!D1*'TP2'!C174)/'TP2'!C1, "")</f>
        <v/>
      </c>
    </row>
    <row r="175" spans="3:4" x14ac:dyDescent="0.3">
      <c r="C175" s="2" t="str">
        <f>IF(A175&lt;&gt;"",SUM(B175),"")</f>
        <v/>
      </c>
      <c r="D175" s="2" t="str">
        <f>IF(A175&lt;&gt;"",('TP2'!D1*'TP2'!C175)/'TP2'!C1, "")</f>
        <v/>
      </c>
    </row>
    <row r="176" spans="3:4" x14ac:dyDescent="0.3">
      <c r="C176" s="2" t="str">
        <f>IF(A176&lt;&gt;"",SUM(B176),"")</f>
        <v/>
      </c>
      <c r="D176" s="2" t="str">
        <f>IF(A176&lt;&gt;"",('TP2'!D1*'TP2'!C176)/'TP2'!C1, "")</f>
        <v/>
      </c>
    </row>
    <row r="177" spans="3:4" x14ac:dyDescent="0.3">
      <c r="C177" s="2" t="str">
        <f>IF(A177&lt;&gt;"",SUM(B177),"")</f>
        <v/>
      </c>
      <c r="D177" s="2" t="str">
        <f>IF(A177&lt;&gt;"",('TP2'!D1*'TP2'!C177)/'TP2'!C1, "")</f>
        <v/>
      </c>
    </row>
    <row r="178" spans="3:4" x14ac:dyDescent="0.3">
      <c r="C178" s="2" t="str">
        <f>IF(A178&lt;&gt;"",SUM(B178),"")</f>
        <v/>
      </c>
      <c r="D178" s="2" t="str">
        <f>IF(A178&lt;&gt;"",('TP2'!D1*'TP2'!C178)/'TP2'!C1, "")</f>
        <v/>
      </c>
    </row>
    <row r="179" spans="3:4" x14ac:dyDescent="0.3">
      <c r="C179" s="2" t="str">
        <f>IF(A179&lt;&gt;"",SUM(B179),"")</f>
        <v/>
      </c>
      <c r="D179" s="2" t="str">
        <f>IF(A179&lt;&gt;"",('TP2'!D1*'TP2'!C179)/'TP2'!C1, "")</f>
        <v/>
      </c>
    </row>
    <row r="180" spans="3:4" x14ac:dyDescent="0.3">
      <c r="C180" s="2" t="str">
        <f>IF(A180&lt;&gt;"",SUM(B180),"")</f>
        <v/>
      </c>
      <c r="D180" s="2" t="str">
        <f>IF(A180&lt;&gt;"",('TP2'!D1*'TP2'!C180)/'TP2'!C1, "")</f>
        <v/>
      </c>
    </row>
    <row r="181" spans="3:4" x14ac:dyDescent="0.3">
      <c r="C181" s="2" t="str">
        <f>IF(A181&lt;&gt;"",SUM(B181),"")</f>
        <v/>
      </c>
      <c r="D181" s="2" t="str">
        <f>IF(A181&lt;&gt;"",('TP2'!D1*'TP2'!C181)/'TP2'!C1, "")</f>
        <v/>
      </c>
    </row>
    <row r="182" spans="3:4" x14ac:dyDescent="0.3">
      <c r="C182" s="2" t="str">
        <f>IF(A182&lt;&gt;"",SUM(B182),"")</f>
        <v/>
      </c>
      <c r="D182" s="2" t="str">
        <f>IF(A182&lt;&gt;"",('TP2'!D1*'TP2'!C182)/'TP2'!C1, "")</f>
        <v/>
      </c>
    </row>
    <row r="183" spans="3:4" x14ac:dyDescent="0.3">
      <c r="C183" s="2" t="str">
        <f>IF(A183&lt;&gt;"",SUM(B183),"")</f>
        <v/>
      </c>
      <c r="D183" s="2" t="str">
        <f>IF(A183&lt;&gt;"",('TP2'!D1*'TP2'!C183)/'TP2'!C1, "")</f>
        <v/>
      </c>
    </row>
    <row r="184" spans="3:4" x14ac:dyDescent="0.3">
      <c r="C184" s="2" t="str">
        <f>IF(A184&lt;&gt;"",SUM(B184),"")</f>
        <v/>
      </c>
      <c r="D184" s="2" t="str">
        <f>IF(A184&lt;&gt;"",('TP2'!D1*'TP2'!C184)/'TP2'!C1, "")</f>
        <v/>
      </c>
    </row>
    <row r="185" spans="3:4" x14ac:dyDescent="0.3">
      <c r="C185" s="2" t="str">
        <f>IF(A185&lt;&gt;"",SUM(B185),"")</f>
        <v/>
      </c>
      <c r="D185" s="2" t="str">
        <f>IF(A185&lt;&gt;"",('TP2'!D1*'TP2'!C185)/'TP2'!C1, "")</f>
        <v/>
      </c>
    </row>
    <row r="186" spans="3:4" x14ac:dyDescent="0.3">
      <c r="C186" s="2" t="str">
        <f>IF(A186&lt;&gt;"",SUM(B186),"")</f>
        <v/>
      </c>
      <c r="D186" s="2" t="str">
        <f>IF(A186&lt;&gt;"",('TP2'!D1*'TP2'!C186)/'TP2'!C1, "")</f>
        <v/>
      </c>
    </row>
    <row r="187" spans="3:4" x14ac:dyDescent="0.3">
      <c r="C187" s="2" t="str">
        <f>IF(A187&lt;&gt;"",SUM(B187),"")</f>
        <v/>
      </c>
      <c r="D187" s="2" t="str">
        <f>IF(A187&lt;&gt;"",('TP2'!D1*'TP2'!C187)/'TP2'!C1, "")</f>
        <v/>
      </c>
    </row>
    <row r="188" spans="3:4" x14ac:dyDescent="0.3">
      <c r="C188" s="2" t="str">
        <f>IF(A188&lt;&gt;"",SUM(B188),"")</f>
        <v/>
      </c>
      <c r="D188" s="2" t="str">
        <f>IF(A188&lt;&gt;"",('TP2'!D1*'TP2'!C188)/'TP2'!C1, "")</f>
        <v/>
      </c>
    </row>
    <row r="189" spans="3:4" x14ac:dyDescent="0.3">
      <c r="C189" s="2" t="str">
        <f>IF(A189&lt;&gt;"",SUM(B189),"")</f>
        <v/>
      </c>
      <c r="D189" s="2" t="str">
        <f>IF(A189&lt;&gt;"",('TP2'!D1*'TP2'!C189)/'TP2'!C1, "")</f>
        <v/>
      </c>
    </row>
    <row r="190" spans="3:4" x14ac:dyDescent="0.3">
      <c r="C190" s="2" t="str">
        <f>IF(A190&lt;&gt;"",SUM(B190),"")</f>
        <v/>
      </c>
      <c r="D190" s="2" t="str">
        <f>IF(A190&lt;&gt;"",('TP2'!D1*'TP2'!C190)/'TP2'!C1, "")</f>
        <v/>
      </c>
    </row>
    <row r="191" spans="3:4" x14ac:dyDescent="0.3">
      <c r="C191" s="2" t="str">
        <f>IF(A191&lt;&gt;"",SUM(B191),"")</f>
        <v/>
      </c>
      <c r="D191" s="2" t="str">
        <f>IF(A191&lt;&gt;"",('TP2'!D1*'TP2'!C191)/'TP2'!C1, "")</f>
        <v/>
      </c>
    </row>
    <row r="192" spans="3:4" x14ac:dyDescent="0.3">
      <c r="C192" s="2" t="str">
        <f>IF(A192&lt;&gt;"",SUM(B192),"")</f>
        <v/>
      </c>
      <c r="D192" s="2" t="str">
        <f>IF(A192&lt;&gt;"",('TP2'!D1*'TP2'!C192)/'TP2'!C1, "")</f>
        <v/>
      </c>
    </row>
    <row r="193" spans="3:4" x14ac:dyDescent="0.3">
      <c r="C193" s="2" t="str">
        <f>IF(A193&lt;&gt;"",SUM(B193),"")</f>
        <v/>
      </c>
      <c r="D193" s="2" t="str">
        <f>IF(A193&lt;&gt;"",('TP2'!D1*'TP2'!C193)/'TP2'!C1, "")</f>
        <v/>
      </c>
    </row>
    <row r="194" spans="3:4" x14ac:dyDescent="0.3">
      <c r="C194" s="2" t="str">
        <f>IF(A194&lt;&gt;"",SUM(B194),"")</f>
        <v/>
      </c>
      <c r="D194" s="2" t="str">
        <f>IF(A194&lt;&gt;"",('TP2'!D1*'TP2'!C194)/'TP2'!C1, "")</f>
        <v/>
      </c>
    </row>
    <row r="195" spans="3:4" x14ac:dyDescent="0.3">
      <c r="C195" s="2" t="str">
        <f>IF(A195&lt;&gt;"",SUM(B195),"")</f>
        <v/>
      </c>
      <c r="D195" s="2" t="str">
        <f>IF(A195&lt;&gt;"",('TP2'!D1*'TP2'!C195)/'TP2'!C1, "")</f>
        <v/>
      </c>
    </row>
    <row r="196" spans="3:4" x14ac:dyDescent="0.3">
      <c r="C196" s="2" t="str">
        <f>IF(A196&lt;&gt;"",SUM(B196),"")</f>
        <v/>
      </c>
      <c r="D196" s="2" t="str">
        <f>IF(A196&lt;&gt;"",('TP2'!D1*'TP2'!C196)/'TP2'!C1, "")</f>
        <v/>
      </c>
    </row>
    <row r="197" spans="3:4" x14ac:dyDescent="0.3">
      <c r="C197" s="2" t="str">
        <f>IF(A197&lt;&gt;"",SUM(B197),"")</f>
        <v/>
      </c>
      <c r="D197" s="2" t="str">
        <f>IF(A197&lt;&gt;"",('TP2'!D1*'TP2'!C197)/'TP2'!C1, "")</f>
        <v/>
      </c>
    </row>
    <row r="198" spans="3:4" x14ac:dyDescent="0.3">
      <c r="C198" s="2" t="str">
        <f>IF(A198&lt;&gt;"",SUM(B198),"")</f>
        <v/>
      </c>
      <c r="D198" s="2" t="str">
        <f>IF(A198&lt;&gt;"",('TP2'!D1*'TP2'!C198)/'TP2'!C1, "")</f>
        <v/>
      </c>
    </row>
    <row r="199" spans="3:4" x14ac:dyDescent="0.3">
      <c r="C199" s="2" t="str">
        <f>IF(A199&lt;&gt;"",SUM(B199),"")</f>
        <v/>
      </c>
      <c r="D199" s="2" t="str">
        <f>IF(A199&lt;&gt;"",('TP2'!D1*'TP2'!C199)/'TP2'!C1, "")</f>
        <v/>
      </c>
    </row>
    <row r="200" spans="3:4" x14ac:dyDescent="0.3">
      <c r="C200" s="2" t="str">
        <f>IF(A200&lt;&gt;"",SUM(B200),"")</f>
        <v/>
      </c>
      <c r="D200" s="2" t="str">
        <f>IF(A200&lt;&gt;"",('TP2'!D1*'TP2'!C200)/'TP2'!C1, "")</f>
        <v/>
      </c>
    </row>
    <row r="201" spans="3:4" x14ac:dyDescent="0.3">
      <c r="C201" s="2" t="str">
        <f>IF(A201&lt;&gt;"",SUM(B201),"")</f>
        <v/>
      </c>
      <c r="D201" s="2" t="str">
        <f>IF(A201&lt;&gt;"",('TP2'!D1*'TP2'!C201)/'TP2'!C1, "")</f>
        <v/>
      </c>
    </row>
    <row r="202" spans="3:4" x14ac:dyDescent="0.3">
      <c r="C202" s="2" t="str">
        <f>IF(A202&lt;&gt;"",SUM(B202),"")</f>
        <v/>
      </c>
      <c r="D202" s="2" t="str">
        <f>IF(A202&lt;&gt;"",('TP2'!D1*'TP2'!C202)/'TP2'!C1, "")</f>
        <v/>
      </c>
    </row>
    <row r="203" spans="3:4" x14ac:dyDescent="0.3">
      <c r="C203" s="2" t="str">
        <f>IF(A203&lt;&gt;"",SUM(B203),"")</f>
        <v/>
      </c>
      <c r="D203" s="2" t="str">
        <f>IF(A203&lt;&gt;"",('TP2'!D1*'TP2'!C203)/'TP2'!C1, "")</f>
        <v/>
      </c>
    </row>
    <row r="204" spans="3:4" x14ac:dyDescent="0.3">
      <c r="C204" s="2" t="str">
        <f>IF(A204&lt;&gt;"",SUM(B204),"")</f>
        <v/>
      </c>
      <c r="D204" s="2" t="str">
        <f>IF(A204&lt;&gt;"",('TP2'!D1*'TP2'!C204)/'TP2'!C1, "")</f>
        <v/>
      </c>
    </row>
    <row r="205" spans="3:4" x14ac:dyDescent="0.3">
      <c r="C205" s="2" t="str">
        <f>IF(A205&lt;&gt;"",SUM(B205),"")</f>
        <v/>
      </c>
      <c r="D205" s="2" t="str">
        <f>IF(A205&lt;&gt;"",('TP2'!D1*'TP2'!C205)/'TP2'!C1, "")</f>
        <v/>
      </c>
    </row>
    <row r="206" spans="3:4" x14ac:dyDescent="0.3">
      <c r="C206" s="2" t="str">
        <f>IF(A206&lt;&gt;"",SUM(B206),"")</f>
        <v/>
      </c>
      <c r="D206" s="2" t="str">
        <f>IF(A206&lt;&gt;"",('TP2'!D1*'TP2'!C206)/'TP2'!C1, "")</f>
        <v/>
      </c>
    </row>
    <row r="207" spans="3:4" x14ac:dyDescent="0.3">
      <c r="C207" s="2" t="str">
        <f>IF(A207&lt;&gt;"",SUM(B207),"")</f>
        <v/>
      </c>
      <c r="D207" s="2" t="str">
        <f>IF(A207&lt;&gt;"",('TP2'!D1*'TP2'!C207)/'TP2'!C1, "")</f>
        <v/>
      </c>
    </row>
    <row r="208" spans="3:4" x14ac:dyDescent="0.3">
      <c r="C208" s="2" t="str">
        <f>IF(A208&lt;&gt;"",SUM(B208),"")</f>
        <v/>
      </c>
      <c r="D208" s="2" t="str">
        <f>IF(A208&lt;&gt;"",('TP2'!D1*'TP2'!C208)/'TP2'!C1, "")</f>
        <v/>
      </c>
    </row>
    <row r="209" spans="3:4" x14ac:dyDescent="0.3">
      <c r="C209" s="2" t="str">
        <f>IF(A209&lt;&gt;"",SUM(B209),"")</f>
        <v/>
      </c>
      <c r="D209" s="2" t="str">
        <f>IF(A209&lt;&gt;"",('TP2'!D1*'TP2'!C209)/'TP2'!C1, "")</f>
        <v/>
      </c>
    </row>
    <row r="210" spans="3:4" x14ac:dyDescent="0.3">
      <c r="C210" s="2" t="str">
        <f>IF(A210&lt;&gt;"",SUM(B210),"")</f>
        <v/>
      </c>
      <c r="D210" s="2" t="str">
        <f>IF(A210&lt;&gt;"",('TP2'!D1*'TP2'!C210)/'TP2'!C1, "")</f>
        <v/>
      </c>
    </row>
    <row r="211" spans="3:4" x14ac:dyDescent="0.3">
      <c r="C211" s="2" t="str">
        <f>IF(A211&lt;&gt;"",SUM(B211),"")</f>
        <v/>
      </c>
      <c r="D211" s="2" t="str">
        <f>IF(A211&lt;&gt;"",('TP2'!D1*'TP2'!C211)/'TP2'!C1, "")</f>
        <v/>
      </c>
    </row>
    <row r="212" spans="3:4" x14ac:dyDescent="0.3">
      <c r="C212" s="2" t="str">
        <f>IF(A212&lt;&gt;"",SUM(B212),"")</f>
        <v/>
      </c>
      <c r="D212" s="2" t="str">
        <f>IF(A212&lt;&gt;"",('TP2'!D1*'TP2'!C212)/'TP2'!C1, "")</f>
        <v/>
      </c>
    </row>
    <row r="213" spans="3:4" x14ac:dyDescent="0.3">
      <c r="C213" s="2" t="str">
        <f>IF(A213&lt;&gt;"",SUM(B213),"")</f>
        <v/>
      </c>
      <c r="D213" s="2" t="str">
        <f>IF(A213&lt;&gt;"",('TP2'!D1*'TP2'!C213)/'TP2'!C1, "")</f>
        <v/>
      </c>
    </row>
    <row r="214" spans="3:4" x14ac:dyDescent="0.3">
      <c r="C214" s="2" t="str">
        <f>IF(A214&lt;&gt;"",SUM(B214),"")</f>
        <v/>
      </c>
      <c r="D214" s="2" t="str">
        <f>IF(A214&lt;&gt;"",('TP2'!D1*'TP2'!C214)/'TP2'!C1, "")</f>
        <v/>
      </c>
    </row>
    <row r="215" spans="3:4" x14ac:dyDescent="0.3">
      <c r="C215" s="2" t="str">
        <f>IF(A215&lt;&gt;"",SUM(B215),"")</f>
        <v/>
      </c>
      <c r="D215" s="2" t="str">
        <f>IF(A215&lt;&gt;"",('TP2'!D1*'TP2'!C215)/'TP2'!C1, "")</f>
        <v/>
      </c>
    </row>
    <row r="216" spans="3:4" x14ac:dyDescent="0.3">
      <c r="C216" s="2" t="str">
        <f>IF(A216&lt;&gt;"",SUM(B216),"")</f>
        <v/>
      </c>
      <c r="D216" s="2" t="str">
        <f>IF(A216&lt;&gt;"",('TP2'!D1*'TP2'!C216)/'TP2'!C1, "")</f>
        <v/>
      </c>
    </row>
    <row r="217" spans="3:4" x14ac:dyDescent="0.3">
      <c r="C217" s="2" t="str">
        <f>IF(A217&lt;&gt;"",SUM(B217),"")</f>
        <v/>
      </c>
      <c r="D217" s="2" t="str">
        <f>IF(A217&lt;&gt;"",('TP2'!D1*'TP2'!C217)/'TP2'!C1, "")</f>
        <v/>
      </c>
    </row>
    <row r="218" spans="3:4" x14ac:dyDescent="0.3">
      <c r="C218" s="2" t="str">
        <f>IF(A218&lt;&gt;"",SUM(B218),"")</f>
        <v/>
      </c>
      <c r="D218" s="2" t="str">
        <f>IF(A218&lt;&gt;"",('TP2'!D1*'TP2'!C218)/'TP2'!C1, "")</f>
        <v/>
      </c>
    </row>
    <row r="219" spans="3:4" x14ac:dyDescent="0.3">
      <c r="C219" s="2" t="str">
        <f>IF(A219&lt;&gt;"",SUM(B219),"")</f>
        <v/>
      </c>
      <c r="D219" s="2" t="str">
        <f>IF(A219&lt;&gt;"",('TP2'!D1*'TP2'!C219)/'TP2'!C1, "")</f>
        <v/>
      </c>
    </row>
    <row r="220" spans="3:4" x14ac:dyDescent="0.3">
      <c r="C220" s="2" t="str">
        <f>IF(A220&lt;&gt;"",SUM(B220),"")</f>
        <v/>
      </c>
      <c r="D220" s="2" t="str">
        <f>IF(A220&lt;&gt;"",('TP2'!D1*'TP2'!C220)/'TP2'!C1, "")</f>
        <v/>
      </c>
    </row>
    <row r="221" spans="3:4" x14ac:dyDescent="0.3">
      <c r="C221" s="2" t="str">
        <f>IF(A221&lt;&gt;"",SUM(B221),"")</f>
        <v/>
      </c>
      <c r="D221" s="2" t="str">
        <f>IF(A221&lt;&gt;"",('TP2'!D1*'TP2'!C221)/'TP2'!C1, "")</f>
        <v/>
      </c>
    </row>
    <row r="222" spans="3:4" x14ac:dyDescent="0.3">
      <c r="C222" s="2" t="str">
        <f>IF(A222&lt;&gt;"",SUM(B222),"")</f>
        <v/>
      </c>
      <c r="D222" s="2" t="str">
        <f>IF(A222&lt;&gt;"",('TP2'!D1*'TP2'!C222)/'TP2'!C1, "")</f>
        <v/>
      </c>
    </row>
    <row r="223" spans="3:4" x14ac:dyDescent="0.3">
      <c r="C223" s="2" t="str">
        <f>IF(A223&lt;&gt;"",SUM(B223),"")</f>
        <v/>
      </c>
      <c r="D223" s="2" t="str">
        <f>IF(A223&lt;&gt;"",('TP2'!D1*'TP2'!C223)/'TP2'!C1, "")</f>
        <v/>
      </c>
    </row>
    <row r="224" spans="3:4" x14ac:dyDescent="0.3">
      <c r="C224" s="2" t="str">
        <f>IF(A224&lt;&gt;"",SUM(B224),"")</f>
        <v/>
      </c>
      <c r="D224" s="2" t="str">
        <f>IF(A224&lt;&gt;"",('TP2'!D1*'TP2'!C224)/'TP2'!C1, "")</f>
        <v/>
      </c>
    </row>
    <row r="225" spans="3:4" x14ac:dyDescent="0.3">
      <c r="C225" s="2" t="str">
        <f>IF(A225&lt;&gt;"",SUM(B225),"")</f>
        <v/>
      </c>
      <c r="D225" s="2" t="str">
        <f>IF(A225&lt;&gt;"",('TP2'!D1*'TP2'!C225)/'TP2'!C1, "")</f>
        <v/>
      </c>
    </row>
    <row r="226" spans="3:4" x14ac:dyDescent="0.3">
      <c r="C226" s="2" t="str">
        <f>IF(A226&lt;&gt;"",SUM(B226),"")</f>
        <v/>
      </c>
      <c r="D226" s="2" t="str">
        <f>IF(A226&lt;&gt;"",('TP2'!D1*'TP2'!C226)/'TP2'!C1, "")</f>
        <v/>
      </c>
    </row>
    <row r="227" spans="3:4" x14ac:dyDescent="0.3">
      <c r="C227" s="2" t="str">
        <f>IF(A227&lt;&gt;"",SUM(B227),"")</f>
        <v/>
      </c>
      <c r="D227" s="2" t="str">
        <f>IF(A227&lt;&gt;"",('TP2'!D1*'TP2'!C227)/'TP2'!C1, "")</f>
        <v/>
      </c>
    </row>
    <row r="228" spans="3:4" x14ac:dyDescent="0.3">
      <c r="C228" s="2" t="str">
        <f>IF(A228&lt;&gt;"",SUM(B228),"")</f>
        <v/>
      </c>
      <c r="D228" s="2" t="str">
        <f>IF(A228&lt;&gt;"",('TP2'!D1*'TP2'!C228)/'TP2'!C1, "")</f>
        <v/>
      </c>
    </row>
    <row r="229" spans="3:4" x14ac:dyDescent="0.3">
      <c r="C229" s="2" t="str">
        <f>IF(A229&lt;&gt;"",SUM(B229),"")</f>
        <v/>
      </c>
      <c r="D229" s="2" t="str">
        <f>IF(A229&lt;&gt;"",('TP2'!D1*'TP2'!C229)/'TP2'!C1, "")</f>
        <v/>
      </c>
    </row>
    <row r="230" spans="3:4" x14ac:dyDescent="0.3">
      <c r="C230" s="2" t="str">
        <f>IF(A230&lt;&gt;"",SUM(B230),"")</f>
        <v/>
      </c>
      <c r="D230" s="2" t="str">
        <f>IF(A230&lt;&gt;"",('TP2'!D1*'TP2'!C230)/'TP2'!C1, "")</f>
        <v/>
      </c>
    </row>
    <row r="231" spans="3:4" x14ac:dyDescent="0.3">
      <c r="C231" s="2" t="str">
        <f>IF(A231&lt;&gt;"",SUM(B231),"")</f>
        <v/>
      </c>
      <c r="D231" s="2" t="str">
        <f>IF(A231&lt;&gt;"",('TP2'!D1*'TP2'!C231)/'TP2'!C1, "")</f>
        <v/>
      </c>
    </row>
    <row r="232" spans="3:4" x14ac:dyDescent="0.3">
      <c r="C232" s="2" t="str">
        <f>IF(A232&lt;&gt;"",SUM(B232),"")</f>
        <v/>
      </c>
      <c r="D232" s="2" t="str">
        <f>IF(A232&lt;&gt;"",('TP2'!D1*'TP2'!C232)/'TP2'!C1, "")</f>
        <v/>
      </c>
    </row>
    <row r="233" spans="3:4" x14ac:dyDescent="0.3">
      <c r="C233" s="2" t="str">
        <f>IF(A233&lt;&gt;"",SUM(B233),"")</f>
        <v/>
      </c>
      <c r="D233" s="2" t="str">
        <f>IF(A233&lt;&gt;"",('TP2'!D1*'TP2'!C233)/'TP2'!C1, "")</f>
        <v/>
      </c>
    </row>
    <row r="234" spans="3:4" x14ac:dyDescent="0.3">
      <c r="C234" s="2" t="str">
        <f>IF(A234&lt;&gt;"",SUM(B234),"")</f>
        <v/>
      </c>
      <c r="D234" s="2" t="str">
        <f>IF(A234&lt;&gt;"",('TP2'!D1*'TP2'!C234)/'TP2'!C1, "")</f>
        <v/>
      </c>
    </row>
    <row r="235" spans="3:4" x14ac:dyDescent="0.3">
      <c r="C235" s="2" t="str">
        <f>IF(A235&lt;&gt;"",SUM(B235),"")</f>
        <v/>
      </c>
      <c r="D235" s="2" t="str">
        <f>IF(A235&lt;&gt;"",('TP2'!D1*'TP2'!C235)/'TP2'!C1, "")</f>
        <v/>
      </c>
    </row>
    <row r="236" spans="3:4" x14ac:dyDescent="0.3">
      <c r="C236" s="2" t="str">
        <f>IF(A236&lt;&gt;"",SUM(B236),"")</f>
        <v/>
      </c>
      <c r="D236" s="2" t="str">
        <f>IF(A236&lt;&gt;"",('TP2'!D1*'TP2'!C236)/'TP2'!C1, "")</f>
        <v/>
      </c>
    </row>
    <row r="237" spans="3:4" x14ac:dyDescent="0.3">
      <c r="C237" s="2" t="str">
        <f>IF(A237&lt;&gt;"",SUM(B237),"")</f>
        <v/>
      </c>
      <c r="D237" s="2" t="str">
        <f>IF(A237&lt;&gt;"",('TP2'!D1*'TP2'!C237)/'TP2'!C1, "")</f>
        <v/>
      </c>
    </row>
    <row r="238" spans="3:4" x14ac:dyDescent="0.3">
      <c r="C238" s="2" t="str">
        <f>IF(A238&lt;&gt;"",SUM(B238),"")</f>
        <v/>
      </c>
      <c r="D238" s="2" t="str">
        <f>IF(A238&lt;&gt;"",('TP2'!D1*'TP2'!C238)/'TP2'!C1, "")</f>
        <v/>
      </c>
    </row>
    <row r="239" spans="3:4" x14ac:dyDescent="0.3">
      <c r="C239" s="2" t="str">
        <f>IF(A239&lt;&gt;"",SUM(B239),"")</f>
        <v/>
      </c>
      <c r="D239" s="2" t="str">
        <f>IF(A239&lt;&gt;"",('TP2'!D1*'TP2'!C239)/'TP2'!C1, "")</f>
        <v/>
      </c>
    </row>
    <row r="240" spans="3:4" x14ac:dyDescent="0.3">
      <c r="C240" s="2" t="str">
        <f>IF(A240&lt;&gt;"",SUM(B240),"")</f>
        <v/>
      </c>
      <c r="D240" s="2" t="str">
        <f>IF(A240&lt;&gt;"",('TP2'!D1*'TP2'!C240)/'TP2'!C1, "")</f>
        <v/>
      </c>
    </row>
    <row r="241" spans="3:4" x14ac:dyDescent="0.3">
      <c r="C241" s="2" t="str">
        <f>IF(A241&lt;&gt;"",SUM(B241),"")</f>
        <v/>
      </c>
      <c r="D241" s="2" t="str">
        <f>IF(A241&lt;&gt;"",('TP2'!D1*'TP2'!C241)/'TP2'!C1, "")</f>
        <v/>
      </c>
    </row>
    <row r="242" spans="3:4" x14ac:dyDescent="0.3">
      <c r="C242" s="2" t="str">
        <f>IF(A242&lt;&gt;"",SUM(B242),"")</f>
        <v/>
      </c>
      <c r="D242" s="2" t="str">
        <f>IF(A242&lt;&gt;"",('TP2'!D1*'TP2'!C242)/'TP2'!C1, "")</f>
        <v/>
      </c>
    </row>
    <row r="243" spans="3:4" x14ac:dyDescent="0.3">
      <c r="C243" s="2" t="str">
        <f>IF(A243&lt;&gt;"",SUM(B243),"")</f>
        <v/>
      </c>
      <c r="D243" s="2" t="str">
        <f>IF(A243&lt;&gt;"",('TP2'!D1*'TP2'!C243)/'TP2'!C1, "")</f>
        <v/>
      </c>
    </row>
    <row r="244" spans="3:4" x14ac:dyDescent="0.3">
      <c r="C244" s="2" t="str">
        <f>IF(A244&lt;&gt;"",SUM(B244),"")</f>
        <v/>
      </c>
      <c r="D244" s="2" t="str">
        <f>IF(A244&lt;&gt;"",('TP2'!D1*'TP2'!C244)/'TP2'!C1, "")</f>
        <v/>
      </c>
    </row>
    <row r="245" spans="3:4" x14ac:dyDescent="0.3">
      <c r="C245" s="2" t="str">
        <f>IF(A245&lt;&gt;"",SUM(B245),"")</f>
        <v/>
      </c>
      <c r="D245" s="2" t="str">
        <f>IF(A245&lt;&gt;"",('TP2'!D1*'TP2'!C245)/'TP2'!C1, "")</f>
        <v/>
      </c>
    </row>
    <row r="246" spans="3:4" x14ac:dyDescent="0.3">
      <c r="C246" s="2" t="str">
        <f>IF(A246&lt;&gt;"",SUM(B246),"")</f>
        <v/>
      </c>
      <c r="D246" s="2" t="str">
        <f>IF(A246&lt;&gt;"",('TP2'!D1*'TP2'!C246)/'TP2'!C1, "")</f>
        <v/>
      </c>
    </row>
    <row r="247" spans="3:4" x14ac:dyDescent="0.3">
      <c r="C247" s="2" t="str">
        <f>IF(A247&lt;&gt;"",SUM(B247),"")</f>
        <v/>
      </c>
      <c r="D247" s="2" t="str">
        <f>IF(A247&lt;&gt;"",('TP2'!D1*'TP2'!C247)/'TP2'!C1, "")</f>
        <v/>
      </c>
    </row>
    <row r="248" spans="3:4" x14ac:dyDescent="0.3">
      <c r="C248" s="2" t="str">
        <f>IF(A248&lt;&gt;"",SUM(B248),"")</f>
        <v/>
      </c>
      <c r="D248" s="2" t="str">
        <f>IF(A248&lt;&gt;"",('TP2'!D1*'TP2'!C248)/'TP2'!C1, "")</f>
        <v/>
      </c>
    </row>
    <row r="249" spans="3:4" x14ac:dyDescent="0.3">
      <c r="C249" s="2" t="str">
        <f>IF(A249&lt;&gt;"",SUM(B249),"")</f>
        <v/>
      </c>
      <c r="D249" s="2" t="str">
        <f>IF(A249&lt;&gt;"",('TP2'!D1*'TP2'!C249)/'TP2'!C1, "")</f>
        <v/>
      </c>
    </row>
    <row r="250" spans="3:4" x14ac:dyDescent="0.3">
      <c r="C250" s="2" t="str">
        <f>IF(A250&lt;&gt;"",SUM(B250),"")</f>
        <v/>
      </c>
      <c r="D250" s="2" t="str">
        <f>IF(A250&lt;&gt;"",('TP2'!D1*'TP2'!C250)/'TP2'!C1, "")</f>
        <v/>
      </c>
    </row>
    <row r="251" spans="3:4" x14ac:dyDescent="0.3">
      <c r="C251" s="2" t="str">
        <f>IF(A251&lt;&gt;"",SUM(B251),"")</f>
        <v/>
      </c>
      <c r="D251" s="2" t="str">
        <f>IF(A251&lt;&gt;"",('TP2'!D1*'TP2'!C251)/'TP2'!C1, "")</f>
        <v/>
      </c>
    </row>
    <row r="252" spans="3:4" x14ac:dyDescent="0.3">
      <c r="C252" s="2" t="str">
        <f>IF(A252&lt;&gt;"",SUM(B252),"")</f>
        <v/>
      </c>
      <c r="D252" s="2" t="str">
        <f>IF(A252&lt;&gt;"",('TP2'!D1*'TP2'!C252)/'TP2'!C1, "")</f>
        <v/>
      </c>
    </row>
    <row r="253" spans="3:4" x14ac:dyDescent="0.3">
      <c r="C253" s="2" t="str">
        <f>IF(A253&lt;&gt;"",SUM(B253),"")</f>
        <v/>
      </c>
      <c r="D253" s="2" t="str">
        <f>IF(A253&lt;&gt;"",('TP2'!D1*'TP2'!C253)/'TP2'!C1, "")</f>
        <v/>
      </c>
    </row>
    <row r="254" spans="3:4" x14ac:dyDescent="0.3">
      <c r="C254" s="2" t="str">
        <f>IF(A254&lt;&gt;"",SUM(B254),"")</f>
        <v/>
      </c>
      <c r="D254" s="2" t="str">
        <f>IF(A254&lt;&gt;"",('TP2'!D1*'TP2'!C254)/'TP2'!C1, "")</f>
        <v/>
      </c>
    </row>
    <row r="255" spans="3:4" x14ac:dyDescent="0.3">
      <c r="C255" s="2" t="str">
        <f>IF(A255&lt;&gt;"",SUM(B255),"")</f>
        <v/>
      </c>
      <c r="D255" s="2" t="str">
        <f>IF(A255&lt;&gt;"",('TP2'!D1*'TP2'!C255)/'TP2'!C1, "")</f>
        <v/>
      </c>
    </row>
    <row r="256" spans="3:4" x14ac:dyDescent="0.3">
      <c r="C256" s="2" t="str">
        <f>IF(A256&lt;&gt;"",SUM(B256),"")</f>
        <v/>
      </c>
      <c r="D256" s="2" t="str">
        <f>IF(A256&lt;&gt;"",('TP2'!D1*'TP2'!C256)/'TP2'!C1, "")</f>
        <v/>
      </c>
    </row>
    <row r="257" spans="3:4" x14ac:dyDescent="0.3">
      <c r="C257" s="2" t="str">
        <f>IF(A257&lt;&gt;"",SUM(B257),"")</f>
        <v/>
      </c>
      <c r="D257" s="2" t="str">
        <f>IF(A257&lt;&gt;"",('TP2'!D1*'TP2'!C257)/'TP2'!C1, "")</f>
        <v/>
      </c>
    </row>
    <row r="258" spans="3:4" x14ac:dyDescent="0.3">
      <c r="C258" s="2" t="str">
        <f>IF(A258&lt;&gt;"",SUM(B258),"")</f>
        <v/>
      </c>
      <c r="D258" s="2" t="str">
        <f>IF(A258&lt;&gt;"",('TP2'!D1*'TP2'!C258)/'TP2'!C1, "")</f>
        <v/>
      </c>
    </row>
    <row r="259" spans="3:4" x14ac:dyDescent="0.3">
      <c r="C259" s="2" t="str">
        <f>IF(A259&lt;&gt;"",SUM(B259),"")</f>
        <v/>
      </c>
      <c r="D259" s="2" t="str">
        <f>IF(A259&lt;&gt;"",('TP2'!D1*'TP2'!C259)/'TP2'!C1, "")</f>
        <v/>
      </c>
    </row>
    <row r="260" spans="3:4" x14ac:dyDescent="0.3">
      <c r="C260" s="2" t="str">
        <f>IF(A260&lt;&gt;"",SUM(B260),"")</f>
        <v/>
      </c>
      <c r="D260" s="2" t="str">
        <f>IF(A260&lt;&gt;"",('TP2'!D1*'TP2'!C260)/'TP2'!C1, "")</f>
        <v/>
      </c>
    </row>
    <row r="261" spans="3:4" x14ac:dyDescent="0.3">
      <c r="C261" s="2" t="str">
        <f>IF(A261&lt;&gt;"",SUM(B261),"")</f>
        <v/>
      </c>
      <c r="D261" s="2" t="str">
        <f>IF(A261&lt;&gt;"",('TP2'!D1*'TP2'!C261)/'TP2'!C1, "")</f>
        <v/>
      </c>
    </row>
    <row r="262" spans="3:4" x14ac:dyDescent="0.3">
      <c r="C262" s="2" t="str">
        <f>IF(A262&lt;&gt;"",SUM(B262),"")</f>
        <v/>
      </c>
      <c r="D262" s="2" t="str">
        <f>IF(A262&lt;&gt;"",('TP2'!D1*'TP2'!C262)/'TP2'!C1, "")</f>
        <v/>
      </c>
    </row>
    <row r="263" spans="3:4" x14ac:dyDescent="0.3">
      <c r="C263" s="2" t="str">
        <f>IF(A263&lt;&gt;"",SUM(B263),"")</f>
        <v/>
      </c>
      <c r="D263" s="2" t="str">
        <f>IF(A263&lt;&gt;"",('TP2'!D1*'TP2'!C263)/'TP2'!C1, "")</f>
        <v/>
      </c>
    </row>
    <row r="264" spans="3:4" x14ac:dyDescent="0.3">
      <c r="C264" s="2" t="str">
        <f>IF(A264&lt;&gt;"",SUM(B264),"")</f>
        <v/>
      </c>
      <c r="D264" s="2" t="str">
        <f>IF(A264&lt;&gt;"",('TP2'!D1*'TP2'!C264)/'TP2'!C1, "")</f>
        <v/>
      </c>
    </row>
    <row r="265" spans="3:4" x14ac:dyDescent="0.3">
      <c r="C265" s="2" t="str">
        <f>IF(A265&lt;&gt;"",SUM(B265),"")</f>
        <v/>
      </c>
      <c r="D265" s="2" t="str">
        <f>IF(A265&lt;&gt;"",('TP2'!D1*'TP2'!C265)/'TP2'!C1, "")</f>
        <v/>
      </c>
    </row>
    <row r="266" spans="3:4" x14ac:dyDescent="0.3">
      <c r="C266" s="2" t="str">
        <f>IF(A266&lt;&gt;"",SUM(B266),"")</f>
        <v/>
      </c>
      <c r="D266" s="2" t="str">
        <f>IF(A266&lt;&gt;"",('TP2'!D1*'TP2'!C266)/'TP2'!C1, "")</f>
        <v/>
      </c>
    </row>
    <row r="267" spans="3:4" x14ac:dyDescent="0.3">
      <c r="C267" s="2" t="str">
        <f>IF(A267&lt;&gt;"",SUM(B267),"")</f>
        <v/>
      </c>
      <c r="D267" s="2" t="str">
        <f>IF(A267&lt;&gt;"",('TP2'!D1*'TP2'!C267)/'TP2'!C1, "")</f>
        <v/>
      </c>
    </row>
    <row r="268" spans="3:4" x14ac:dyDescent="0.3">
      <c r="C268" s="2" t="str">
        <f>IF(A268&lt;&gt;"",SUM(B268),"")</f>
        <v/>
      </c>
      <c r="D268" s="2" t="str">
        <f>IF(A268&lt;&gt;"",('TP2'!D1*'TP2'!C268)/'TP2'!C1, "")</f>
        <v/>
      </c>
    </row>
    <row r="269" spans="3:4" x14ac:dyDescent="0.3">
      <c r="C269" s="2" t="str">
        <f>IF(A269&lt;&gt;"",SUM(B269),"")</f>
        <v/>
      </c>
      <c r="D269" s="2" t="str">
        <f>IF(A269&lt;&gt;"",('TP2'!D1*'TP2'!C269)/'TP2'!C1, "")</f>
        <v/>
      </c>
    </row>
    <row r="270" spans="3:4" x14ac:dyDescent="0.3">
      <c r="C270" s="2" t="str">
        <f>IF(A270&lt;&gt;"",SUM(B270),"")</f>
        <v/>
      </c>
      <c r="D270" s="2" t="str">
        <f>IF(A270&lt;&gt;"",('TP2'!D1*'TP2'!C270)/'TP2'!C1, "")</f>
        <v/>
      </c>
    </row>
    <row r="271" spans="3:4" x14ac:dyDescent="0.3">
      <c r="C271" s="2" t="str">
        <f>IF(A271&lt;&gt;"",SUM(B271),"")</f>
        <v/>
      </c>
      <c r="D271" s="2" t="str">
        <f>IF(A271&lt;&gt;"",('TP2'!D1*'TP2'!C271)/'TP2'!C1, "")</f>
        <v/>
      </c>
    </row>
    <row r="272" spans="3:4" x14ac:dyDescent="0.3">
      <c r="C272" s="2" t="str">
        <f>IF(A272&lt;&gt;"",SUM(B272),"")</f>
        <v/>
      </c>
      <c r="D272" s="2" t="str">
        <f>IF(A272&lt;&gt;"",('TP2'!D1*'TP2'!C272)/'TP2'!C1, "")</f>
        <v/>
      </c>
    </row>
    <row r="273" spans="3:4" x14ac:dyDescent="0.3">
      <c r="C273" s="2" t="str">
        <f>IF(A273&lt;&gt;"",SUM(B273),"")</f>
        <v/>
      </c>
      <c r="D273" s="2" t="str">
        <f>IF(A273&lt;&gt;"",('TP2'!D1*'TP2'!C273)/'TP2'!C1, "")</f>
        <v/>
      </c>
    </row>
    <row r="274" spans="3:4" x14ac:dyDescent="0.3">
      <c r="C274" s="2" t="str">
        <f>IF(A274&lt;&gt;"",SUM(B274),"")</f>
        <v/>
      </c>
      <c r="D274" s="2" t="str">
        <f>IF(A274&lt;&gt;"",('TP2'!D1*'TP2'!C274)/'TP2'!C1, "")</f>
        <v/>
      </c>
    </row>
    <row r="275" spans="3:4" x14ac:dyDescent="0.3">
      <c r="C275" s="2" t="str">
        <f>IF(A275&lt;&gt;"",SUM(B275),"")</f>
        <v/>
      </c>
      <c r="D275" s="2" t="str">
        <f>IF(A275&lt;&gt;"",('TP2'!D1*'TP2'!C275)/'TP2'!C1, "")</f>
        <v/>
      </c>
    </row>
    <row r="276" spans="3:4" x14ac:dyDescent="0.3">
      <c r="C276" s="2" t="str">
        <f>IF(A276&lt;&gt;"",SUM(B276),"")</f>
        <v/>
      </c>
      <c r="D276" s="2" t="str">
        <f>IF(A276&lt;&gt;"",('TP2'!D1*'TP2'!C276)/'TP2'!C1, "")</f>
        <v/>
      </c>
    </row>
    <row r="277" spans="3:4" x14ac:dyDescent="0.3">
      <c r="C277" s="2" t="str">
        <f>IF(A277&lt;&gt;"",SUM(B277),"")</f>
        <v/>
      </c>
      <c r="D277" s="2" t="str">
        <f>IF(A277&lt;&gt;"",('TP2'!D1*'TP2'!C277)/'TP2'!C1, "")</f>
        <v/>
      </c>
    </row>
    <row r="278" spans="3:4" x14ac:dyDescent="0.3">
      <c r="C278" s="2" t="str">
        <f>IF(A278&lt;&gt;"",SUM(B278),"")</f>
        <v/>
      </c>
      <c r="D278" s="2" t="str">
        <f>IF(A278&lt;&gt;"",('TP2'!D1*'TP2'!C278)/'TP2'!C1, "")</f>
        <v/>
      </c>
    </row>
    <row r="279" spans="3:4" x14ac:dyDescent="0.3">
      <c r="C279" s="2" t="str">
        <f>IF(A279&lt;&gt;"",SUM(B279),"")</f>
        <v/>
      </c>
      <c r="D279" s="2" t="str">
        <f>IF(A279&lt;&gt;"",('TP2'!D1*'TP2'!C279)/'TP2'!C1, "")</f>
        <v/>
      </c>
    </row>
    <row r="280" spans="3:4" x14ac:dyDescent="0.3">
      <c r="C280" s="2" t="str">
        <f>IF(A280&lt;&gt;"",SUM(B280),"")</f>
        <v/>
      </c>
      <c r="D280" s="2" t="str">
        <f>IF(A280&lt;&gt;"",('TP2'!D1*'TP2'!C280)/'TP2'!C1, "")</f>
        <v/>
      </c>
    </row>
    <row r="281" spans="3:4" x14ac:dyDescent="0.3">
      <c r="C281" s="2" t="str">
        <f>IF(A281&lt;&gt;"",SUM(B281),"")</f>
        <v/>
      </c>
      <c r="D281" s="2" t="str">
        <f>IF(A281&lt;&gt;"",('TP2'!D1*'TP2'!C281)/'TP2'!C1, "")</f>
        <v/>
      </c>
    </row>
    <row r="282" spans="3:4" x14ac:dyDescent="0.3">
      <c r="C282" s="2" t="str">
        <f>IF(A282&lt;&gt;"",SUM(B282),"")</f>
        <v/>
      </c>
      <c r="D282" s="2" t="str">
        <f>IF(A282&lt;&gt;"",('TP2'!D1*'TP2'!C282)/'TP2'!C1, "")</f>
        <v/>
      </c>
    </row>
    <row r="283" spans="3:4" x14ac:dyDescent="0.3">
      <c r="C283" s="2" t="str">
        <f>IF(A283&lt;&gt;"",SUM(B283),"")</f>
        <v/>
      </c>
      <c r="D283" s="2" t="str">
        <f>IF(A283&lt;&gt;"",('TP2'!D1*'TP2'!C283)/'TP2'!C1, "")</f>
        <v/>
      </c>
    </row>
    <row r="284" spans="3:4" x14ac:dyDescent="0.3">
      <c r="C284" s="2" t="str">
        <f>IF(A284&lt;&gt;"",SUM(B284),"")</f>
        <v/>
      </c>
      <c r="D284" s="2" t="str">
        <f>IF(A284&lt;&gt;"",('TP2'!D1*'TP2'!C284)/'TP2'!C1, "")</f>
        <v/>
      </c>
    </row>
    <row r="285" spans="3:4" x14ac:dyDescent="0.3">
      <c r="C285" s="2" t="str">
        <f>IF(A285&lt;&gt;"",SUM(B285),"")</f>
        <v/>
      </c>
      <c r="D285" s="2" t="str">
        <f>IF(A285&lt;&gt;"",('TP2'!D1*'TP2'!C285)/'TP2'!C1, "")</f>
        <v/>
      </c>
    </row>
    <row r="286" spans="3:4" x14ac:dyDescent="0.3">
      <c r="C286" s="2" t="str">
        <f>IF(A286&lt;&gt;"",SUM(B286),"")</f>
        <v/>
      </c>
      <c r="D286" s="2" t="str">
        <f>IF(A286&lt;&gt;"",('TP2'!D1*'TP2'!C286)/'TP2'!C1, "")</f>
        <v/>
      </c>
    </row>
    <row r="287" spans="3:4" x14ac:dyDescent="0.3">
      <c r="C287" s="2" t="str">
        <f>IF(A287&lt;&gt;"",SUM(B287),"")</f>
        <v/>
      </c>
      <c r="D287" s="2" t="str">
        <f>IF(A287&lt;&gt;"",('TP2'!D1*'TP2'!C287)/'TP2'!C1, "")</f>
        <v/>
      </c>
    </row>
    <row r="288" spans="3:4" x14ac:dyDescent="0.3">
      <c r="C288" s="2" t="str">
        <f>IF(A288&lt;&gt;"",SUM(B288),"")</f>
        <v/>
      </c>
      <c r="D288" s="2" t="str">
        <f>IF(A288&lt;&gt;"",('TP2'!D1*'TP2'!C288)/'TP2'!C1, "")</f>
        <v/>
      </c>
    </row>
    <row r="289" spans="3:4" x14ac:dyDescent="0.3">
      <c r="C289" s="2" t="str">
        <f>IF(A289&lt;&gt;"",SUM(B289),"")</f>
        <v/>
      </c>
      <c r="D289" s="2" t="str">
        <f>IF(A289&lt;&gt;"",('TP2'!D1*'TP2'!C289)/'TP2'!C1, "")</f>
        <v/>
      </c>
    </row>
    <row r="290" spans="3:4" x14ac:dyDescent="0.3">
      <c r="C290" s="2" t="str">
        <f>IF(A290&lt;&gt;"",SUM(B290),"")</f>
        <v/>
      </c>
      <c r="D290" s="2" t="str">
        <f>IF(A290&lt;&gt;"",('TP2'!D1*'TP2'!C290)/'TP2'!C1, "")</f>
        <v/>
      </c>
    </row>
    <row r="291" spans="3:4" x14ac:dyDescent="0.3">
      <c r="C291" s="2" t="str">
        <f>IF(A291&lt;&gt;"",SUM(B291),"")</f>
        <v/>
      </c>
      <c r="D291" s="2" t="str">
        <f>IF(A291&lt;&gt;"",('TP2'!D1*'TP2'!C291)/'TP2'!C1, "")</f>
        <v/>
      </c>
    </row>
    <row r="292" spans="3:4" x14ac:dyDescent="0.3">
      <c r="C292" s="2" t="str">
        <f>IF(A292&lt;&gt;"",SUM(B292),"")</f>
        <v/>
      </c>
      <c r="D292" s="2" t="str">
        <f>IF(A292&lt;&gt;"",('TP2'!D1*'TP2'!C292)/'TP2'!C1, "")</f>
        <v/>
      </c>
    </row>
    <row r="293" spans="3:4" x14ac:dyDescent="0.3">
      <c r="C293" s="2" t="str">
        <f>IF(A293&lt;&gt;"",SUM(B293),"")</f>
        <v/>
      </c>
      <c r="D293" s="2" t="str">
        <f>IF(A293&lt;&gt;"",('TP2'!D1*'TP2'!C293)/'TP2'!C1, "")</f>
        <v/>
      </c>
    </row>
    <row r="294" spans="3:4" x14ac:dyDescent="0.3">
      <c r="C294" s="2" t="str">
        <f>IF(A294&lt;&gt;"",SUM(B294),"")</f>
        <v/>
      </c>
      <c r="D294" s="2" t="str">
        <f>IF(A294&lt;&gt;"",('TP2'!D1*'TP2'!C294)/'TP2'!C1, "")</f>
        <v/>
      </c>
    </row>
    <row r="295" spans="3:4" x14ac:dyDescent="0.3">
      <c r="C295" s="2" t="str">
        <f>IF(A295&lt;&gt;"",SUM(B295),"")</f>
        <v/>
      </c>
      <c r="D295" s="2" t="str">
        <f>IF(A295&lt;&gt;"",('TP2'!D1*'TP2'!C295)/'TP2'!C1, "")</f>
        <v/>
      </c>
    </row>
    <row r="296" spans="3:4" x14ac:dyDescent="0.3">
      <c r="C296" s="2" t="str">
        <f>IF(A296&lt;&gt;"",SUM(B296),"")</f>
        <v/>
      </c>
      <c r="D296" s="2" t="str">
        <f>IF(A296&lt;&gt;"",('TP2'!D1*'TP2'!C296)/'TP2'!C1, "")</f>
        <v/>
      </c>
    </row>
    <row r="297" spans="3:4" x14ac:dyDescent="0.3">
      <c r="C297" s="2" t="str">
        <f>IF(A297&lt;&gt;"",SUM(B297),"")</f>
        <v/>
      </c>
      <c r="D297" s="2" t="str">
        <f>IF(A297&lt;&gt;"",('TP2'!D1*'TP2'!C297)/'TP2'!C1, "")</f>
        <v/>
      </c>
    </row>
    <row r="298" spans="3:4" x14ac:dyDescent="0.3">
      <c r="C298" s="2" t="str">
        <f>IF(A298&lt;&gt;"",SUM(B298),"")</f>
        <v/>
      </c>
      <c r="D298" s="2" t="str">
        <f>IF(A298&lt;&gt;"",('TP2'!D1*'TP2'!C298)/'TP2'!C1, "")</f>
        <v/>
      </c>
    </row>
    <row r="299" spans="3:4" x14ac:dyDescent="0.3">
      <c r="C299" s="2" t="str">
        <f>IF(A299&lt;&gt;"",SUM(B299),"")</f>
        <v/>
      </c>
      <c r="D299" s="2" t="str">
        <f>IF(A299&lt;&gt;"",('TP2'!D1*'TP2'!C299)/'TP2'!C1, "")</f>
        <v/>
      </c>
    </row>
    <row r="300" spans="3:4" x14ac:dyDescent="0.3">
      <c r="C300" s="2" t="str">
        <f>IF(A300&lt;&gt;"",SUM(B300),"")</f>
        <v/>
      </c>
      <c r="D300" s="2" t="str">
        <f>IF(A300&lt;&gt;"",('TP2'!D1*'TP2'!C300)/'TP2'!C1, "")</f>
        <v/>
      </c>
    </row>
    <row r="301" spans="3:4" x14ac:dyDescent="0.3">
      <c r="C301" s="2" t="str">
        <f>IF(A301&lt;&gt;"",SUM(B301),"")</f>
        <v/>
      </c>
      <c r="D301" s="2" t="str">
        <f>IF(A301&lt;&gt;"",('TP2'!D1*'TP2'!C301)/'TP2'!C1, "")</f>
        <v/>
      </c>
    </row>
    <row r="302" spans="3:4" x14ac:dyDescent="0.3">
      <c r="C302" s="2" t="str">
        <f>IF(A302&lt;&gt;"",SUM(B302),"")</f>
        <v/>
      </c>
      <c r="D302" s="2" t="str">
        <f>IF(A302&lt;&gt;"",('TP2'!D1*'TP2'!C302)/'TP2'!C1, "")</f>
        <v/>
      </c>
    </row>
    <row r="303" spans="3:4" x14ac:dyDescent="0.3">
      <c r="C303" s="2" t="str">
        <f>IF(A303&lt;&gt;"",SUM(B303),"")</f>
        <v/>
      </c>
      <c r="D303" s="2" t="str">
        <f>IF(A303&lt;&gt;"",('TP2'!D1*'TP2'!C303)/'TP2'!C1, "")</f>
        <v/>
      </c>
    </row>
    <row r="304" spans="3:4" x14ac:dyDescent="0.3">
      <c r="C304" s="2" t="str">
        <f>IF(A304&lt;&gt;"",SUM(B304),"")</f>
        <v/>
      </c>
      <c r="D304" s="2" t="str">
        <f>IF(A304&lt;&gt;"",('TP2'!D1*'TP2'!C304)/'TP2'!C1, "")</f>
        <v/>
      </c>
    </row>
    <row r="305" spans="3:4" x14ac:dyDescent="0.3">
      <c r="C305" s="2" t="str">
        <f>IF(A305&lt;&gt;"",SUM(B305),"")</f>
        <v/>
      </c>
      <c r="D305" s="2" t="str">
        <f>IF(A305&lt;&gt;"",('TP2'!D1*'TP2'!C305)/'TP2'!C1, "")</f>
        <v/>
      </c>
    </row>
    <row r="306" spans="3:4" x14ac:dyDescent="0.3">
      <c r="C306" s="2" t="str">
        <f>IF(A306&lt;&gt;"",SUM(B306),"")</f>
        <v/>
      </c>
      <c r="D306" s="2" t="str">
        <f>IF(A306&lt;&gt;"",('TP2'!D1*'TP2'!C306)/'TP2'!C1, "")</f>
        <v/>
      </c>
    </row>
    <row r="307" spans="3:4" x14ac:dyDescent="0.3">
      <c r="C307" s="2" t="str">
        <f>IF(A307&lt;&gt;"",SUM(B307),"")</f>
        <v/>
      </c>
      <c r="D307" s="2" t="str">
        <f>IF(A307&lt;&gt;"",('TP2'!D1*'TP2'!C307)/'TP2'!C1, "")</f>
        <v/>
      </c>
    </row>
    <row r="308" spans="3:4" x14ac:dyDescent="0.3">
      <c r="C308" s="2" t="str">
        <f>IF(A308&lt;&gt;"",SUM(B308),"")</f>
        <v/>
      </c>
      <c r="D308" s="2" t="str">
        <f>IF(A308&lt;&gt;"",('TP2'!D1*'TP2'!C308)/'TP2'!C1, "")</f>
        <v/>
      </c>
    </row>
    <row r="309" spans="3:4" x14ac:dyDescent="0.3">
      <c r="C309" s="2" t="str">
        <f>IF(A309&lt;&gt;"",SUM(B309),"")</f>
        <v/>
      </c>
      <c r="D309" s="2" t="str">
        <f>IF(A309&lt;&gt;"",('TP2'!D1*'TP2'!C309)/'TP2'!C1, "")</f>
        <v/>
      </c>
    </row>
    <row r="310" spans="3:4" x14ac:dyDescent="0.3">
      <c r="C310" s="2" t="str">
        <f>IF(A310&lt;&gt;"",SUM(B310),"")</f>
        <v/>
      </c>
      <c r="D310" s="2" t="str">
        <f>IF(A310&lt;&gt;"",('TP2'!D1*'TP2'!C310)/'TP2'!C1, "")</f>
        <v/>
      </c>
    </row>
    <row r="311" spans="3:4" x14ac:dyDescent="0.3">
      <c r="C311" s="2" t="str">
        <f>IF(A311&lt;&gt;"",SUM(B311),"")</f>
        <v/>
      </c>
      <c r="D311" s="2" t="str">
        <f>IF(A311&lt;&gt;"",('TP2'!D1*'TP2'!C311)/'TP2'!C1, "")</f>
        <v/>
      </c>
    </row>
    <row r="312" spans="3:4" x14ac:dyDescent="0.3">
      <c r="C312" s="2" t="str">
        <f>IF(A312&lt;&gt;"",SUM(B312),"")</f>
        <v/>
      </c>
      <c r="D312" s="2" t="str">
        <f>IF(A312&lt;&gt;"",('TP2'!D1*'TP2'!C312)/'TP2'!C1, "")</f>
        <v/>
      </c>
    </row>
    <row r="313" spans="3:4" x14ac:dyDescent="0.3">
      <c r="C313" s="2" t="str">
        <f>IF(A313&lt;&gt;"",SUM(B313),"")</f>
        <v/>
      </c>
      <c r="D313" s="2" t="str">
        <f>IF(A313&lt;&gt;"",('TP2'!D1*'TP2'!C313)/'TP2'!C1, "")</f>
        <v/>
      </c>
    </row>
    <row r="314" spans="3:4" x14ac:dyDescent="0.3">
      <c r="C314" s="2" t="str">
        <f>IF(A314&lt;&gt;"",SUM(B314),"")</f>
        <v/>
      </c>
      <c r="D314" s="2" t="str">
        <f>IF(A314&lt;&gt;"",('TP2'!D1*'TP2'!C314)/'TP2'!C1, "")</f>
        <v/>
      </c>
    </row>
    <row r="315" spans="3:4" x14ac:dyDescent="0.3">
      <c r="C315" s="2" t="str">
        <f>IF(A315&lt;&gt;"",SUM(B315),"")</f>
        <v/>
      </c>
      <c r="D315" s="2" t="str">
        <f>IF(A315&lt;&gt;"",('TP2'!D1*'TP2'!C315)/'TP2'!C1, "")</f>
        <v/>
      </c>
    </row>
    <row r="316" spans="3:4" x14ac:dyDescent="0.3">
      <c r="C316" s="2" t="str">
        <f>IF(A316&lt;&gt;"",SUM(B316),"")</f>
        <v/>
      </c>
      <c r="D316" s="2" t="str">
        <f>IF(A316&lt;&gt;"",('TP2'!D1*'TP2'!C316)/'TP2'!C1, "")</f>
        <v/>
      </c>
    </row>
    <row r="317" spans="3:4" x14ac:dyDescent="0.3">
      <c r="C317" s="2" t="str">
        <f>IF(A317&lt;&gt;"",SUM(B317),"")</f>
        <v/>
      </c>
      <c r="D317" s="2" t="str">
        <f>IF(A317&lt;&gt;"",('TP2'!D1*'TP2'!C317)/'TP2'!C1, "")</f>
        <v/>
      </c>
    </row>
    <row r="318" spans="3:4" x14ac:dyDescent="0.3">
      <c r="C318" s="2" t="str">
        <f>IF(A318&lt;&gt;"",SUM(B318),"")</f>
        <v/>
      </c>
      <c r="D318" s="2" t="str">
        <f>IF(A318&lt;&gt;"",('TP2'!D1*'TP2'!C318)/'TP2'!C1, "")</f>
        <v/>
      </c>
    </row>
    <row r="319" spans="3:4" x14ac:dyDescent="0.3">
      <c r="C319" s="2" t="str">
        <f>IF(A319&lt;&gt;"",SUM(B319),"")</f>
        <v/>
      </c>
      <c r="D319" s="2" t="str">
        <f>IF(A319&lt;&gt;"",('TP2'!D1*'TP2'!C319)/'TP2'!C1, "")</f>
        <v/>
      </c>
    </row>
    <row r="320" spans="3:4" x14ac:dyDescent="0.3">
      <c r="C320" s="2" t="str">
        <f>IF(A320&lt;&gt;"",SUM(B320),"")</f>
        <v/>
      </c>
      <c r="D320" s="2" t="str">
        <f>IF(A320&lt;&gt;"",('TP2'!D1*'TP2'!C320)/'TP2'!C1, "")</f>
        <v/>
      </c>
    </row>
    <row r="321" spans="3:4" x14ac:dyDescent="0.3">
      <c r="C321" s="2" t="str">
        <f>IF(A321&lt;&gt;"",SUM(B321),"")</f>
        <v/>
      </c>
      <c r="D321" s="2" t="str">
        <f>IF(A321&lt;&gt;"",('TP2'!D1*'TP2'!C321)/'TP2'!C1, "")</f>
        <v/>
      </c>
    </row>
    <row r="322" spans="3:4" x14ac:dyDescent="0.3">
      <c r="C322" s="2" t="str">
        <f>IF(A322&lt;&gt;"",SUM(B322),"")</f>
        <v/>
      </c>
      <c r="D322" s="2" t="str">
        <f>IF(A322&lt;&gt;"",('TP2'!D1*'TP2'!C322)/'TP2'!C1, "")</f>
        <v/>
      </c>
    </row>
    <row r="323" spans="3:4" x14ac:dyDescent="0.3">
      <c r="C323" s="2" t="str">
        <f>IF(A323&lt;&gt;"",SUM(B323),"")</f>
        <v/>
      </c>
      <c r="D323" s="2" t="str">
        <f>IF(A323&lt;&gt;"",('TP2'!D1*'TP2'!C323)/'TP2'!C1, "")</f>
        <v/>
      </c>
    </row>
    <row r="324" spans="3:4" x14ac:dyDescent="0.3">
      <c r="C324" s="2" t="str">
        <f>IF(A324&lt;&gt;"",SUM(B324),"")</f>
        <v/>
      </c>
      <c r="D324" s="2" t="str">
        <f>IF(A324&lt;&gt;"",('TP2'!D1*'TP2'!C324)/'TP2'!C1, "")</f>
        <v/>
      </c>
    </row>
    <row r="325" spans="3:4" x14ac:dyDescent="0.3">
      <c r="C325" s="2" t="str">
        <f>IF(A325&lt;&gt;"",SUM(B325),"")</f>
        <v/>
      </c>
      <c r="D325" s="2" t="str">
        <f>IF(A325&lt;&gt;"",('TP2'!D1*'TP2'!C325)/'TP2'!C1, "")</f>
        <v/>
      </c>
    </row>
    <row r="326" spans="3:4" x14ac:dyDescent="0.3">
      <c r="C326" s="2" t="str">
        <f>IF(A326&lt;&gt;"",SUM(B326),"")</f>
        <v/>
      </c>
      <c r="D326" s="2" t="str">
        <f>IF(A326&lt;&gt;"",('TP2'!D1*'TP2'!C326)/'TP2'!C1, "")</f>
        <v/>
      </c>
    </row>
    <row r="327" spans="3:4" x14ac:dyDescent="0.3">
      <c r="C327" s="2" t="str">
        <f>IF(A327&lt;&gt;"",SUM(B327),"")</f>
        <v/>
      </c>
      <c r="D327" s="2" t="str">
        <f>IF(A327&lt;&gt;"",('TP2'!D1*'TP2'!C327)/'TP2'!C1, "")</f>
        <v/>
      </c>
    </row>
    <row r="328" spans="3:4" x14ac:dyDescent="0.3">
      <c r="C328" s="2" t="str">
        <f>IF(A328&lt;&gt;"",SUM(B328),"")</f>
        <v/>
      </c>
      <c r="D328" s="2" t="str">
        <f>IF(A328&lt;&gt;"",('TP2'!D1*'TP2'!C328)/'TP2'!C1, "")</f>
        <v/>
      </c>
    </row>
    <row r="329" spans="3:4" x14ac:dyDescent="0.3">
      <c r="C329" s="2" t="str">
        <f>IF(A329&lt;&gt;"",SUM(B329),"")</f>
        <v/>
      </c>
      <c r="D329" s="2" t="str">
        <f>IF(A329&lt;&gt;"",('TP2'!D1*'TP2'!C329)/'TP2'!C1, "")</f>
        <v/>
      </c>
    </row>
    <row r="330" spans="3:4" x14ac:dyDescent="0.3">
      <c r="C330" s="2" t="str">
        <f>IF(A330&lt;&gt;"",SUM(B330),"")</f>
        <v/>
      </c>
      <c r="D330" s="2" t="str">
        <f>IF(A330&lt;&gt;"",('TP2'!D1*'TP2'!C330)/'TP2'!C1, "")</f>
        <v/>
      </c>
    </row>
    <row r="331" spans="3:4" x14ac:dyDescent="0.3">
      <c r="C331" s="2" t="str">
        <f>IF(A331&lt;&gt;"",SUM(B331),"")</f>
        <v/>
      </c>
      <c r="D331" s="2" t="str">
        <f>IF(A331&lt;&gt;"",('TP2'!D1*'TP2'!C331)/'TP2'!C1, "")</f>
        <v/>
      </c>
    </row>
    <row r="332" spans="3:4" x14ac:dyDescent="0.3">
      <c r="C332" s="2" t="str">
        <f>IF(A332&lt;&gt;"",SUM(B332),"")</f>
        <v/>
      </c>
      <c r="D332" s="2" t="str">
        <f>IF(A332&lt;&gt;"",('TP2'!D1*'TP2'!C332)/'TP2'!C1, "")</f>
        <v/>
      </c>
    </row>
    <row r="333" spans="3:4" x14ac:dyDescent="0.3">
      <c r="C333" s="2" t="str">
        <f>IF(A333&lt;&gt;"",SUM(B333),"")</f>
        <v/>
      </c>
      <c r="D333" s="2" t="str">
        <f>IF(A333&lt;&gt;"",('TP2'!D1*'TP2'!C333)/'TP2'!C1, "")</f>
        <v/>
      </c>
    </row>
    <row r="334" spans="3:4" x14ac:dyDescent="0.3">
      <c r="C334" s="2" t="str">
        <f>IF(A334&lt;&gt;"",SUM(B334),"")</f>
        <v/>
      </c>
      <c r="D334" s="2" t="str">
        <f>IF(A334&lt;&gt;"",('TP2'!D1*'TP2'!C334)/'TP2'!C1, "")</f>
        <v/>
      </c>
    </row>
    <row r="335" spans="3:4" x14ac:dyDescent="0.3">
      <c r="C335" s="2" t="str">
        <f>IF(A335&lt;&gt;"",SUM(B335),"")</f>
        <v/>
      </c>
      <c r="D335" s="2" t="str">
        <f>IF(A335&lt;&gt;"",('TP2'!D1*'TP2'!C335)/'TP2'!C1, "")</f>
        <v/>
      </c>
    </row>
    <row r="336" spans="3:4" x14ac:dyDescent="0.3">
      <c r="C336" s="2" t="str">
        <f>IF(A336&lt;&gt;"",SUM(B336),"")</f>
        <v/>
      </c>
      <c r="D336" s="2" t="str">
        <f>IF(A336&lt;&gt;"",('TP2'!D1*'TP2'!C336)/'TP2'!C1, "")</f>
        <v/>
      </c>
    </row>
    <row r="337" spans="3:4" x14ac:dyDescent="0.3">
      <c r="C337" s="2" t="str">
        <f>IF(A337&lt;&gt;"",SUM(B337),"")</f>
        <v/>
      </c>
      <c r="D337" s="2" t="str">
        <f>IF(A337&lt;&gt;"",('TP2'!D1*'TP2'!C337)/'TP2'!C1, "")</f>
        <v/>
      </c>
    </row>
    <row r="338" spans="3:4" x14ac:dyDescent="0.3">
      <c r="C338" s="2" t="str">
        <f>IF(A338&lt;&gt;"",SUM(B338),"")</f>
        <v/>
      </c>
      <c r="D338" s="2" t="str">
        <f>IF(A338&lt;&gt;"",('TP2'!D1*'TP2'!C338)/'TP2'!C1, "")</f>
        <v/>
      </c>
    </row>
    <row r="339" spans="3:4" x14ac:dyDescent="0.3">
      <c r="C339" s="2" t="str">
        <f>IF(A339&lt;&gt;"",SUM(B339),"")</f>
        <v/>
      </c>
      <c r="D339" s="2" t="str">
        <f>IF(A339&lt;&gt;"",('TP2'!D1*'TP2'!C339)/'TP2'!C1, "")</f>
        <v/>
      </c>
    </row>
    <row r="340" spans="3:4" x14ac:dyDescent="0.3">
      <c r="C340" s="2" t="str">
        <f>IF(A340&lt;&gt;"",SUM(B340),"")</f>
        <v/>
      </c>
      <c r="D340" s="2" t="str">
        <f>IF(A340&lt;&gt;"",('TP2'!D1*'TP2'!C340)/'TP2'!C1, "")</f>
        <v/>
      </c>
    </row>
    <row r="341" spans="3:4" x14ac:dyDescent="0.3">
      <c r="C341" s="2" t="str">
        <f>IF(A341&lt;&gt;"",SUM(B341),"")</f>
        <v/>
      </c>
      <c r="D341" s="2" t="str">
        <f>IF(A341&lt;&gt;"",('TP2'!D1*'TP2'!C341)/'TP2'!C1, "")</f>
        <v/>
      </c>
    </row>
    <row r="342" spans="3:4" x14ac:dyDescent="0.3">
      <c r="C342" s="2" t="str">
        <f>IF(A342&lt;&gt;"",SUM(B342),"")</f>
        <v/>
      </c>
      <c r="D342" s="2" t="str">
        <f>IF(A342&lt;&gt;"",('TP2'!D1*'TP2'!C342)/'TP2'!C1, "")</f>
        <v/>
      </c>
    </row>
    <row r="343" spans="3:4" x14ac:dyDescent="0.3">
      <c r="C343" s="2" t="str">
        <f>IF(A343&lt;&gt;"",SUM(B343),"")</f>
        <v/>
      </c>
      <c r="D343" s="2" t="str">
        <f>IF(A343&lt;&gt;"",('TP2'!D1*'TP2'!C343)/'TP2'!C1, "")</f>
        <v/>
      </c>
    </row>
    <row r="344" spans="3:4" x14ac:dyDescent="0.3">
      <c r="C344" s="2" t="str">
        <f>IF(A344&lt;&gt;"",SUM(B344),"")</f>
        <v/>
      </c>
      <c r="D344" s="2" t="str">
        <f>IF(A344&lt;&gt;"",('TP2'!D1*'TP2'!C344)/'TP2'!C1, "")</f>
        <v/>
      </c>
    </row>
    <row r="345" spans="3:4" x14ac:dyDescent="0.3">
      <c r="C345" s="2" t="str">
        <f>IF(A345&lt;&gt;"",SUM(B345),"")</f>
        <v/>
      </c>
      <c r="D345" s="2" t="str">
        <f>IF(A345&lt;&gt;"",('TP2'!D1*'TP2'!C345)/'TP2'!C1, "")</f>
        <v/>
      </c>
    </row>
    <row r="346" spans="3:4" x14ac:dyDescent="0.3">
      <c r="C346" s="2" t="str">
        <f>IF(A346&lt;&gt;"",SUM(B346),"")</f>
        <v/>
      </c>
      <c r="D346" s="2" t="str">
        <f>IF(A346&lt;&gt;"",('TP2'!D1*'TP2'!C346)/'TP2'!C1, "")</f>
        <v/>
      </c>
    </row>
    <row r="347" spans="3:4" x14ac:dyDescent="0.3">
      <c r="C347" s="2" t="str">
        <f>IF(A347&lt;&gt;"",SUM(B347),"")</f>
        <v/>
      </c>
      <c r="D347" s="2" t="str">
        <f>IF(A347&lt;&gt;"",('TP2'!D1*'TP2'!C347)/'TP2'!C1, "")</f>
        <v/>
      </c>
    </row>
    <row r="348" spans="3:4" x14ac:dyDescent="0.3">
      <c r="C348" s="2" t="str">
        <f>IF(A348&lt;&gt;"",SUM(B348),"")</f>
        <v/>
      </c>
      <c r="D348" s="2" t="str">
        <f>IF(A348&lt;&gt;"",('TP2'!D1*'TP2'!C348)/'TP2'!C1, "")</f>
        <v/>
      </c>
    </row>
    <row r="349" spans="3:4" x14ac:dyDescent="0.3">
      <c r="C349" s="2" t="str">
        <f>IF(A349&lt;&gt;"",SUM(B349),"")</f>
        <v/>
      </c>
      <c r="D349" s="2" t="str">
        <f>IF(A349&lt;&gt;"",('TP2'!D1*'TP2'!C349)/'TP2'!C1, "")</f>
        <v/>
      </c>
    </row>
    <row r="350" spans="3:4" x14ac:dyDescent="0.3">
      <c r="C350" s="2" t="str">
        <f>IF(A350&lt;&gt;"",SUM(B350),"")</f>
        <v/>
      </c>
      <c r="D350" s="2" t="str">
        <f>IF(A350&lt;&gt;"",('TP2'!D1*'TP2'!C350)/'TP2'!C1, "")</f>
        <v/>
      </c>
    </row>
    <row r="351" spans="3:4" x14ac:dyDescent="0.3">
      <c r="C351" s="2" t="str">
        <f>IF(A351&lt;&gt;"",SUM(B351),"")</f>
        <v/>
      </c>
      <c r="D351" s="2" t="str">
        <f>IF(A351&lt;&gt;"",('TP2'!D1*'TP2'!C351)/'TP2'!C1, "")</f>
        <v/>
      </c>
    </row>
    <row r="352" spans="3:4" x14ac:dyDescent="0.3">
      <c r="C352" s="2" t="str">
        <f>IF(A352&lt;&gt;"",SUM(B352),"")</f>
        <v/>
      </c>
      <c r="D352" s="2" t="str">
        <f>IF(A352&lt;&gt;"",('TP2'!D1*'TP2'!C352)/'TP2'!C1, "")</f>
        <v/>
      </c>
    </row>
    <row r="353" spans="3:4" x14ac:dyDescent="0.3">
      <c r="C353" s="2" t="str">
        <f>IF(A353&lt;&gt;"",SUM(B353),"")</f>
        <v/>
      </c>
      <c r="D353" s="2" t="str">
        <f>IF(A353&lt;&gt;"",('TP2'!D1*'TP2'!C353)/'TP2'!C1, "")</f>
        <v/>
      </c>
    </row>
    <row r="354" spans="3:4" x14ac:dyDescent="0.3">
      <c r="C354" s="2" t="str">
        <f>IF(A354&lt;&gt;"",SUM(B354),"")</f>
        <v/>
      </c>
      <c r="D354" s="2" t="str">
        <f>IF(A354&lt;&gt;"",('TP2'!D1*'TP2'!C354)/'TP2'!C1, "")</f>
        <v/>
      </c>
    </row>
    <row r="355" spans="3:4" x14ac:dyDescent="0.3">
      <c r="C355" s="2" t="str">
        <f>IF(A355&lt;&gt;"",SUM(B355),"")</f>
        <v/>
      </c>
      <c r="D355" s="2" t="str">
        <f>IF(A355&lt;&gt;"",('TP2'!D1*'TP2'!C355)/'TP2'!C1, "")</f>
        <v/>
      </c>
    </row>
    <row r="356" spans="3:4" x14ac:dyDescent="0.3">
      <c r="C356" s="2" t="str">
        <f>IF(A356&lt;&gt;"",SUM(B356),"")</f>
        <v/>
      </c>
      <c r="D356" s="2" t="str">
        <f>IF(A356&lt;&gt;"",('TP2'!D1*'TP2'!C356)/'TP2'!C1, "")</f>
        <v/>
      </c>
    </row>
    <row r="357" spans="3:4" x14ac:dyDescent="0.3">
      <c r="C357" s="2" t="str">
        <f>IF(A357&lt;&gt;"",SUM(B357),"")</f>
        <v/>
      </c>
      <c r="D357" s="2" t="str">
        <f>IF(A357&lt;&gt;"",('TP2'!D1*'TP2'!C357)/'TP2'!C1, "")</f>
        <v/>
      </c>
    </row>
    <row r="358" spans="3:4" x14ac:dyDescent="0.3">
      <c r="C358" s="2" t="str">
        <f>IF(A358&lt;&gt;"",SUM(B358),"")</f>
        <v/>
      </c>
      <c r="D358" s="2" t="str">
        <f>IF(A358&lt;&gt;"",('TP2'!D1*'TP2'!C358)/'TP2'!C1, "")</f>
        <v/>
      </c>
    </row>
    <row r="359" spans="3:4" x14ac:dyDescent="0.3">
      <c r="C359" s="2" t="str">
        <f>IF(A359&lt;&gt;"",SUM(B359),"")</f>
        <v/>
      </c>
      <c r="D359" s="2" t="str">
        <f>IF(A359&lt;&gt;"",('TP2'!D1*'TP2'!C359)/'TP2'!C1, "")</f>
        <v/>
      </c>
    </row>
    <row r="360" spans="3:4" x14ac:dyDescent="0.3">
      <c r="C360" s="2" t="str">
        <f>IF(A360&lt;&gt;"",SUM(B360),"")</f>
        <v/>
      </c>
      <c r="D360" s="2" t="str">
        <f>IF(A360&lt;&gt;"",('TP2'!D1*'TP2'!C360)/'TP2'!C1, "")</f>
        <v/>
      </c>
    </row>
    <row r="361" spans="3:4" x14ac:dyDescent="0.3">
      <c r="C361" s="2" t="str">
        <f>IF(A361&lt;&gt;"",SUM(B361),"")</f>
        <v/>
      </c>
      <c r="D361" s="2" t="str">
        <f>IF(A361&lt;&gt;"",('TP2'!D1*'TP2'!C361)/'TP2'!C1, "")</f>
        <v/>
      </c>
    </row>
    <row r="362" spans="3:4" x14ac:dyDescent="0.3">
      <c r="C362" s="2" t="str">
        <f>IF(A362&lt;&gt;"",SUM(B362),"")</f>
        <v/>
      </c>
      <c r="D362" s="2" t="str">
        <f>IF(A362&lt;&gt;"",('TP2'!D1*'TP2'!C362)/'TP2'!C1, "")</f>
        <v/>
      </c>
    </row>
    <row r="363" spans="3:4" x14ac:dyDescent="0.3">
      <c r="C363" s="2" t="str">
        <f>IF(A363&lt;&gt;"",SUM(B363),"")</f>
        <v/>
      </c>
      <c r="D363" s="2" t="str">
        <f>IF(A363&lt;&gt;"",('TP2'!D1*'TP2'!C363)/'TP2'!C1, "")</f>
        <v/>
      </c>
    </row>
    <row r="364" spans="3:4" x14ac:dyDescent="0.3">
      <c r="C364" s="2" t="str">
        <f>IF(A364&lt;&gt;"",SUM(B364),"")</f>
        <v/>
      </c>
      <c r="D364" s="2" t="str">
        <f>IF(A364&lt;&gt;"",('TP2'!D1*'TP2'!C364)/'TP2'!C1, "")</f>
        <v/>
      </c>
    </row>
    <row r="365" spans="3:4" x14ac:dyDescent="0.3">
      <c r="C365" s="2" t="str">
        <f>IF(A365&lt;&gt;"",SUM(B365),"")</f>
        <v/>
      </c>
      <c r="D365" s="2" t="str">
        <f>IF(A365&lt;&gt;"",('TP2'!D1*'TP2'!C365)/'TP2'!C1, "")</f>
        <v/>
      </c>
    </row>
    <row r="366" spans="3:4" x14ac:dyDescent="0.3">
      <c r="C366" s="2" t="str">
        <f>IF(A366&lt;&gt;"",SUM(B366),"")</f>
        <v/>
      </c>
      <c r="D366" s="2" t="str">
        <f>IF(A366&lt;&gt;"",('TP2'!D1*'TP2'!C366)/'TP2'!C1, "")</f>
        <v/>
      </c>
    </row>
    <row r="367" spans="3:4" x14ac:dyDescent="0.3">
      <c r="C367" s="2" t="str">
        <f>IF(A367&lt;&gt;"",SUM(B367),"")</f>
        <v/>
      </c>
      <c r="D367" s="2" t="str">
        <f>IF(A367&lt;&gt;"",('TP2'!D1*'TP2'!C367)/'TP2'!C1, "")</f>
        <v/>
      </c>
    </row>
    <row r="368" spans="3:4" x14ac:dyDescent="0.3">
      <c r="C368" s="2" t="str">
        <f>IF(A368&lt;&gt;"",SUM(B368),"")</f>
        <v/>
      </c>
      <c r="D368" s="2" t="str">
        <f>IF(A368&lt;&gt;"",('TP2'!D1*'TP2'!C368)/'TP2'!C1, "")</f>
        <v/>
      </c>
    </row>
    <row r="369" spans="3:4" x14ac:dyDescent="0.3">
      <c r="C369" s="2" t="str">
        <f>IF(A369&lt;&gt;"",SUM(B369),"")</f>
        <v/>
      </c>
      <c r="D369" s="2" t="str">
        <f>IF(A369&lt;&gt;"",('TP2'!D1*'TP2'!C369)/'TP2'!C1, "")</f>
        <v/>
      </c>
    </row>
    <row r="370" spans="3:4" x14ac:dyDescent="0.3">
      <c r="C370" s="2" t="str">
        <f>IF(A370&lt;&gt;"",SUM(B370),"")</f>
        <v/>
      </c>
      <c r="D370" s="2" t="str">
        <f>IF(A370&lt;&gt;"",('TP2'!D1*'TP2'!C370)/'TP2'!C1, "")</f>
        <v/>
      </c>
    </row>
    <row r="371" spans="3:4" x14ac:dyDescent="0.3">
      <c r="C371" s="2" t="str">
        <f>IF(A371&lt;&gt;"",SUM(B371),"")</f>
        <v/>
      </c>
      <c r="D371" s="2" t="str">
        <f>IF(A371&lt;&gt;"",('TP2'!D1*'TP2'!C371)/'TP2'!C1, "")</f>
        <v/>
      </c>
    </row>
    <row r="372" spans="3:4" x14ac:dyDescent="0.3">
      <c r="C372" s="2" t="str">
        <f>IF(A372&lt;&gt;"",SUM(B372),"")</f>
        <v/>
      </c>
      <c r="D372" s="2" t="str">
        <f>IF(A372&lt;&gt;"",('TP2'!D1*'TP2'!C372)/'TP2'!C1, "")</f>
        <v/>
      </c>
    </row>
    <row r="373" spans="3:4" x14ac:dyDescent="0.3">
      <c r="C373" s="2" t="str">
        <f>IF(A373&lt;&gt;"",SUM(B373),"")</f>
        <v/>
      </c>
      <c r="D373" s="2" t="str">
        <f>IF(A373&lt;&gt;"",('TP2'!D1*'TP2'!C373)/'TP2'!C1, "")</f>
        <v/>
      </c>
    </row>
    <row r="374" spans="3:4" x14ac:dyDescent="0.3">
      <c r="C374" s="2" t="str">
        <f>IF(A374&lt;&gt;"",SUM(B374),"")</f>
        <v/>
      </c>
      <c r="D374" s="2" t="str">
        <f>IF(A374&lt;&gt;"",('TP2'!D1*'TP2'!C374)/'TP2'!C1, "")</f>
        <v/>
      </c>
    </row>
    <row r="375" spans="3:4" x14ac:dyDescent="0.3">
      <c r="C375" s="2" t="str">
        <f>IF(A375&lt;&gt;"",SUM(B375),"")</f>
        <v/>
      </c>
      <c r="D375" s="2" t="str">
        <f>IF(A375&lt;&gt;"",('TP2'!D1*'TP2'!C375)/'TP2'!C1, "")</f>
        <v/>
      </c>
    </row>
    <row r="376" spans="3:4" x14ac:dyDescent="0.3">
      <c r="C376" s="2" t="str">
        <f>IF(A376&lt;&gt;"",SUM(B376),"")</f>
        <v/>
      </c>
      <c r="D376" s="2" t="str">
        <f>IF(A376&lt;&gt;"",('TP2'!D1*'TP2'!C376)/'TP2'!C1, "")</f>
        <v/>
      </c>
    </row>
    <row r="377" spans="3:4" x14ac:dyDescent="0.3">
      <c r="C377" s="2" t="str">
        <f>IF(A377&lt;&gt;"",SUM(B377),"")</f>
        <v/>
      </c>
      <c r="D377" s="2" t="str">
        <f>IF(A377&lt;&gt;"",('TP2'!D1*'TP2'!C377)/'TP2'!C1, "")</f>
        <v/>
      </c>
    </row>
    <row r="378" spans="3:4" x14ac:dyDescent="0.3">
      <c r="C378" s="2" t="str">
        <f>IF(A378&lt;&gt;"",SUM(B378),"")</f>
        <v/>
      </c>
      <c r="D378" s="2" t="str">
        <f>IF(A378&lt;&gt;"",('TP2'!D1*'TP2'!C378)/'TP2'!C1, "")</f>
        <v/>
      </c>
    </row>
    <row r="379" spans="3:4" x14ac:dyDescent="0.3">
      <c r="C379" s="2" t="str">
        <f>IF(A379&lt;&gt;"",SUM(B379),"")</f>
        <v/>
      </c>
      <c r="D379" s="2" t="str">
        <f>IF(A379&lt;&gt;"",('TP2'!D1*'TP2'!C379)/'TP2'!C1, "")</f>
        <v/>
      </c>
    </row>
    <row r="380" spans="3:4" x14ac:dyDescent="0.3">
      <c r="C380" s="2" t="str">
        <f>IF(A380&lt;&gt;"",SUM(B380),"")</f>
        <v/>
      </c>
      <c r="D380" s="2" t="str">
        <f>IF(A380&lt;&gt;"",('TP2'!D1*'TP2'!C380)/'TP2'!C1, "")</f>
        <v/>
      </c>
    </row>
    <row r="381" spans="3:4" x14ac:dyDescent="0.3">
      <c r="C381" s="2" t="str">
        <f>IF(A381&lt;&gt;"",SUM(B381),"")</f>
        <v/>
      </c>
      <c r="D381" s="2" t="str">
        <f>IF(A381&lt;&gt;"",('TP2'!D1*'TP2'!C381)/'TP2'!C1, "")</f>
        <v/>
      </c>
    </row>
    <row r="382" spans="3:4" x14ac:dyDescent="0.3">
      <c r="C382" s="2" t="str">
        <f>IF(A382&lt;&gt;"",SUM(B382),"")</f>
        <v/>
      </c>
      <c r="D382" s="2" t="str">
        <f>IF(A382&lt;&gt;"",('TP2'!D1*'TP2'!C382)/'TP2'!C1, "")</f>
        <v/>
      </c>
    </row>
    <row r="383" spans="3:4" x14ac:dyDescent="0.3">
      <c r="C383" s="2" t="str">
        <f>IF(A383&lt;&gt;"",SUM(B383),"")</f>
        <v/>
      </c>
      <c r="D383" s="2" t="str">
        <f>IF(A383&lt;&gt;"",('TP2'!D1*'TP2'!C383)/'TP2'!C1, "")</f>
        <v/>
      </c>
    </row>
    <row r="384" spans="3:4" x14ac:dyDescent="0.3">
      <c r="C384" s="2" t="str">
        <f>IF(A384&lt;&gt;"",SUM(B384),"")</f>
        <v/>
      </c>
      <c r="D384" s="2" t="str">
        <f>IF(A384&lt;&gt;"",('TP2'!D1*'TP2'!C384)/'TP2'!C1, "")</f>
        <v/>
      </c>
    </row>
    <row r="385" spans="3:4" x14ac:dyDescent="0.3">
      <c r="C385" s="2" t="str">
        <f>IF(A385&lt;&gt;"",SUM(B385),"")</f>
        <v/>
      </c>
      <c r="D385" s="2" t="str">
        <f>IF(A385&lt;&gt;"",('TP2'!D1*'TP2'!C385)/'TP2'!C1, "")</f>
        <v/>
      </c>
    </row>
    <row r="386" spans="3:4" x14ac:dyDescent="0.3">
      <c r="C386" s="2" t="str">
        <f>IF(A386&lt;&gt;"",SUM(B386),"")</f>
        <v/>
      </c>
      <c r="D386" s="2" t="str">
        <f>IF(A386&lt;&gt;"",('TP2'!D1*'TP2'!C386)/'TP2'!C1, "")</f>
        <v/>
      </c>
    </row>
    <row r="387" spans="3:4" x14ac:dyDescent="0.3">
      <c r="C387" s="2" t="str">
        <f>IF(A387&lt;&gt;"",SUM(B387),"")</f>
        <v/>
      </c>
      <c r="D387" s="2" t="str">
        <f>IF(A387&lt;&gt;"",('TP2'!D1*'TP2'!C387)/'TP2'!C1, "")</f>
        <v/>
      </c>
    </row>
    <row r="388" spans="3:4" x14ac:dyDescent="0.3">
      <c r="C388" s="2" t="str">
        <f>IF(A388&lt;&gt;"",SUM(B388),"")</f>
        <v/>
      </c>
      <c r="D388" s="2" t="str">
        <f>IF(A388&lt;&gt;"",('TP2'!D1*'TP2'!C388)/'TP2'!C1, "")</f>
        <v/>
      </c>
    </row>
    <row r="389" spans="3:4" x14ac:dyDescent="0.3">
      <c r="C389" s="2" t="str">
        <f>IF(A389&lt;&gt;"",SUM(B389),"")</f>
        <v/>
      </c>
      <c r="D389" s="2" t="str">
        <f>IF(A389&lt;&gt;"",('TP2'!D1*'TP2'!C389)/'TP2'!C1, "")</f>
        <v/>
      </c>
    </row>
    <row r="390" spans="3:4" x14ac:dyDescent="0.3">
      <c r="C390" s="2" t="str">
        <f>IF(A390&lt;&gt;"",SUM(B390),"")</f>
        <v/>
      </c>
      <c r="D390" s="2" t="str">
        <f>IF(A390&lt;&gt;"",('TP2'!D1*'TP2'!C390)/'TP2'!C1, "")</f>
        <v/>
      </c>
    </row>
    <row r="391" spans="3:4" x14ac:dyDescent="0.3">
      <c r="C391" s="2" t="str">
        <f>IF(A391&lt;&gt;"",SUM(B391),"")</f>
        <v/>
      </c>
      <c r="D391" s="2" t="str">
        <f>IF(A391&lt;&gt;"",('TP2'!D1*'TP2'!C391)/'TP2'!C1, "")</f>
        <v/>
      </c>
    </row>
    <row r="392" spans="3:4" x14ac:dyDescent="0.3">
      <c r="C392" s="2" t="str">
        <f>IF(A392&lt;&gt;"",SUM(B392),"")</f>
        <v/>
      </c>
      <c r="D392" s="2" t="str">
        <f>IF(A392&lt;&gt;"",('TP2'!D1*'TP2'!C392)/'TP2'!C1, "")</f>
        <v/>
      </c>
    </row>
    <row r="393" spans="3:4" x14ac:dyDescent="0.3">
      <c r="C393" s="2" t="str">
        <f>IF(A393&lt;&gt;"",SUM(B393),"")</f>
        <v/>
      </c>
      <c r="D393" s="2" t="str">
        <f>IF(A393&lt;&gt;"",('TP2'!D1*'TP2'!C393)/'TP2'!C1, "")</f>
        <v/>
      </c>
    </row>
    <row r="394" spans="3:4" x14ac:dyDescent="0.3">
      <c r="C394" s="2" t="str">
        <f>IF(A394&lt;&gt;"",SUM(B394),"")</f>
        <v/>
      </c>
      <c r="D394" s="2" t="str">
        <f>IF(A394&lt;&gt;"",('TP2'!D1*'TP2'!C394)/'TP2'!C1, "")</f>
        <v/>
      </c>
    </row>
    <row r="395" spans="3:4" x14ac:dyDescent="0.3">
      <c r="C395" s="2" t="str">
        <f>IF(A395&lt;&gt;"",SUM(B395),"")</f>
        <v/>
      </c>
      <c r="D395" s="2" t="str">
        <f>IF(A395&lt;&gt;"",('TP2'!D1*'TP2'!C395)/'TP2'!C1, "")</f>
        <v/>
      </c>
    </row>
    <row r="396" spans="3:4" x14ac:dyDescent="0.3">
      <c r="C396" s="2" t="str">
        <f>IF(A396&lt;&gt;"",SUM(B396),"")</f>
        <v/>
      </c>
      <c r="D396" s="2" t="str">
        <f>IF(A396&lt;&gt;"",('TP2'!D1*'TP2'!C396)/'TP2'!C1, "")</f>
        <v/>
      </c>
    </row>
    <row r="397" spans="3:4" x14ac:dyDescent="0.3">
      <c r="C397" s="2" t="str">
        <f>IF(A397&lt;&gt;"",SUM(B397),"")</f>
        <v/>
      </c>
      <c r="D397" s="2" t="str">
        <f>IF(A397&lt;&gt;"",('TP2'!D1*'TP2'!C397)/'TP2'!C1, "")</f>
        <v/>
      </c>
    </row>
    <row r="398" spans="3:4" x14ac:dyDescent="0.3">
      <c r="C398" s="2" t="str">
        <f>IF(A398&lt;&gt;"",SUM(B398),"")</f>
        <v/>
      </c>
      <c r="D398" s="2" t="str">
        <f>IF(A398&lt;&gt;"",('TP2'!D1*'TP2'!C398)/'TP2'!C1, "")</f>
        <v/>
      </c>
    </row>
    <row r="399" spans="3:4" x14ac:dyDescent="0.3">
      <c r="C399" s="2" t="str">
        <f>IF(A399&lt;&gt;"",SUM(B399),"")</f>
        <v/>
      </c>
      <c r="D399" s="2" t="str">
        <f>IF(A399&lt;&gt;"",('TP2'!D1*'TP2'!C399)/'TP2'!C1, "")</f>
        <v/>
      </c>
    </row>
    <row r="400" spans="3:4" x14ac:dyDescent="0.3">
      <c r="C400" s="2" t="str">
        <f>IF(A400&lt;&gt;"",SUM(B400),"")</f>
        <v/>
      </c>
      <c r="D400" s="2" t="str">
        <f>IF(A400&lt;&gt;"",('TP2'!D1*'TP2'!C400)/'TP2'!C1, "")</f>
        <v/>
      </c>
    </row>
    <row r="401" spans="3:4" x14ac:dyDescent="0.3">
      <c r="C401" s="2" t="str">
        <f>IF(A401&lt;&gt;"",SUM(B401),"")</f>
        <v/>
      </c>
      <c r="D401" s="2" t="str">
        <f>IF(A401&lt;&gt;"",('TP2'!D1*'TP2'!C401)/'TP2'!C1, "")</f>
        <v/>
      </c>
    </row>
    <row r="402" spans="3:4" x14ac:dyDescent="0.3">
      <c r="C402" s="2" t="str">
        <f>IF(A402&lt;&gt;"",SUM(B402),"")</f>
        <v/>
      </c>
      <c r="D402" s="2" t="str">
        <f>IF(A402&lt;&gt;"",('TP2'!D1*'TP2'!C402)/'TP2'!C1, "")</f>
        <v/>
      </c>
    </row>
    <row r="403" spans="3:4" x14ac:dyDescent="0.3">
      <c r="C403" s="2" t="str">
        <f>IF(A403&lt;&gt;"",SUM(B403),"")</f>
        <v/>
      </c>
      <c r="D403" s="2" t="str">
        <f>IF(A403&lt;&gt;"",('TP2'!D1*'TP2'!C403)/'TP2'!C1, "")</f>
        <v/>
      </c>
    </row>
    <row r="404" spans="3:4" x14ac:dyDescent="0.3">
      <c r="C404" s="2" t="str">
        <f>IF(A404&lt;&gt;"",SUM(B404),"")</f>
        <v/>
      </c>
      <c r="D404" s="2" t="str">
        <f>IF(A404&lt;&gt;"",('TP2'!D1*'TP2'!C404)/'TP2'!C1, "")</f>
        <v/>
      </c>
    </row>
    <row r="405" spans="3:4" x14ac:dyDescent="0.3">
      <c r="C405" s="2" t="str">
        <f>IF(A405&lt;&gt;"",SUM(B405),"")</f>
        <v/>
      </c>
      <c r="D405" s="2" t="str">
        <f>IF(A405&lt;&gt;"",('TP2'!D1*'TP2'!C405)/'TP2'!C1, "")</f>
        <v/>
      </c>
    </row>
    <row r="406" spans="3:4" x14ac:dyDescent="0.3">
      <c r="C406" s="2" t="str">
        <f>IF(A406&lt;&gt;"",SUM(B406),"")</f>
        <v/>
      </c>
      <c r="D406" s="2" t="str">
        <f>IF(A406&lt;&gt;"",('TP2'!D1*'TP2'!C406)/'TP2'!C1, "")</f>
        <v/>
      </c>
    </row>
    <row r="407" spans="3:4" x14ac:dyDescent="0.3">
      <c r="C407" s="2" t="str">
        <f>IF(A407&lt;&gt;"",SUM(B407),"")</f>
        <v/>
      </c>
      <c r="D407" s="2" t="str">
        <f>IF(A407&lt;&gt;"",('TP2'!D1*'TP2'!C407)/'TP2'!C1, "")</f>
        <v/>
      </c>
    </row>
    <row r="408" spans="3:4" x14ac:dyDescent="0.3">
      <c r="C408" s="2" t="str">
        <f>IF(A408&lt;&gt;"",SUM(B408),"")</f>
        <v/>
      </c>
      <c r="D408" s="2" t="str">
        <f>IF(A408&lt;&gt;"",('TP2'!D1*'TP2'!C408)/'TP2'!C1, "")</f>
        <v/>
      </c>
    </row>
    <row r="409" spans="3:4" x14ac:dyDescent="0.3">
      <c r="C409" s="2" t="str">
        <f>IF(A409&lt;&gt;"",SUM(B409),"")</f>
        <v/>
      </c>
      <c r="D409" s="2" t="str">
        <f>IF(A409&lt;&gt;"",('TP2'!D1*'TP2'!C409)/'TP2'!C1, "")</f>
        <v/>
      </c>
    </row>
    <row r="410" spans="3:4" x14ac:dyDescent="0.3">
      <c r="C410" s="2" t="str">
        <f>IF(A410&lt;&gt;"",SUM(B410),"")</f>
        <v/>
      </c>
      <c r="D410" s="2" t="str">
        <f>IF(A410&lt;&gt;"",('TP2'!D1*'TP2'!C410)/'TP2'!C1, "")</f>
        <v/>
      </c>
    </row>
    <row r="411" spans="3:4" x14ac:dyDescent="0.3">
      <c r="C411" s="2" t="str">
        <f>IF(A411&lt;&gt;"",SUM(B411),"")</f>
        <v/>
      </c>
      <c r="D411" s="2" t="str">
        <f>IF(A411&lt;&gt;"",('TP2'!D1*'TP2'!C411)/'TP2'!C1, "")</f>
        <v/>
      </c>
    </row>
    <row r="412" spans="3:4" x14ac:dyDescent="0.3">
      <c r="C412" s="2" t="str">
        <f>IF(A412&lt;&gt;"",SUM(B412),"")</f>
        <v/>
      </c>
      <c r="D412" s="2" t="str">
        <f>IF(A412&lt;&gt;"",('TP2'!D1*'TP2'!C412)/'TP2'!C1, "")</f>
        <v/>
      </c>
    </row>
    <row r="413" spans="3:4" x14ac:dyDescent="0.3">
      <c r="C413" s="2" t="str">
        <f>IF(A413&lt;&gt;"",SUM(B413),"")</f>
        <v/>
      </c>
      <c r="D413" s="2" t="str">
        <f>IF(A413&lt;&gt;"",('TP2'!D1*'TP2'!C413)/'TP2'!C1, "")</f>
        <v/>
      </c>
    </row>
    <row r="414" spans="3:4" x14ac:dyDescent="0.3">
      <c r="C414" s="2" t="str">
        <f>IF(A414&lt;&gt;"",SUM(B414),"")</f>
        <v/>
      </c>
      <c r="D414" s="2" t="str">
        <f>IF(A414&lt;&gt;"",('TP2'!D1*'TP2'!C414)/'TP2'!C1, "")</f>
        <v/>
      </c>
    </row>
    <row r="415" spans="3:4" x14ac:dyDescent="0.3">
      <c r="C415" s="2" t="str">
        <f>IF(A415&lt;&gt;"",SUM(B415),"")</f>
        <v/>
      </c>
      <c r="D415" s="2" t="str">
        <f>IF(A415&lt;&gt;"",('TP2'!D1*'TP2'!C415)/'TP2'!C1, "")</f>
        <v/>
      </c>
    </row>
    <row r="416" spans="3:4" x14ac:dyDescent="0.3">
      <c r="C416" s="2" t="str">
        <f>IF(A416&lt;&gt;"",SUM(B416),"")</f>
        <v/>
      </c>
      <c r="D416" s="2" t="str">
        <f>IF(A416&lt;&gt;"",('TP2'!D1*'TP2'!C416)/'TP2'!C1, "")</f>
        <v/>
      </c>
    </row>
    <row r="417" spans="3:4" x14ac:dyDescent="0.3">
      <c r="C417" s="2" t="str">
        <f>IF(A417&lt;&gt;"",SUM(B417),"")</f>
        <v/>
      </c>
      <c r="D417" s="2" t="str">
        <f>IF(A417&lt;&gt;"",('TP2'!D1*'TP2'!C417)/'TP2'!C1, "")</f>
        <v/>
      </c>
    </row>
    <row r="418" spans="3:4" x14ac:dyDescent="0.3">
      <c r="C418" s="2" t="str">
        <f>IF(A418&lt;&gt;"",SUM(B418),"")</f>
        <v/>
      </c>
      <c r="D418" s="2" t="str">
        <f>IF(A418&lt;&gt;"",('TP2'!D1*'TP2'!C418)/'TP2'!C1, "")</f>
        <v/>
      </c>
    </row>
    <row r="419" spans="3:4" x14ac:dyDescent="0.3">
      <c r="C419" s="2" t="str">
        <f>IF(A419&lt;&gt;"",SUM(B419),"")</f>
        <v/>
      </c>
      <c r="D419" s="2" t="str">
        <f>IF(A419&lt;&gt;"",('TP2'!D1*'TP2'!C419)/'TP2'!C1, "")</f>
        <v/>
      </c>
    </row>
    <row r="420" spans="3:4" x14ac:dyDescent="0.3">
      <c r="C420" s="2" t="str">
        <f>IF(A420&lt;&gt;"",SUM(B420),"")</f>
        <v/>
      </c>
      <c r="D420" s="2" t="str">
        <f>IF(A420&lt;&gt;"",('TP2'!D1*'TP2'!C420)/'TP2'!C1, "")</f>
        <v/>
      </c>
    </row>
    <row r="421" spans="3:4" x14ac:dyDescent="0.3">
      <c r="C421" s="2" t="str">
        <f>IF(A421&lt;&gt;"",SUM(B421),"")</f>
        <v/>
      </c>
      <c r="D421" s="2" t="str">
        <f>IF(A421&lt;&gt;"",('TP2'!D1*'TP2'!C421)/'TP2'!C1, "")</f>
        <v/>
      </c>
    </row>
    <row r="422" spans="3:4" x14ac:dyDescent="0.3">
      <c r="C422" s="2" t="str">
        <f>IF(A422&lt;&gt;"",SUM(B422),"")</f>
        <v/>
      </c>
      <c r="D422" s="2" t="str">
        <f>IF(A422&lt;&gt;"",('TP2'!D1*'TP2'!C422)/'TP2'!C1, "")</f>
        <v/>
      </c>
    </row>
    <row r="423" spans="3:4" x14ac:dyDescent="0.3">
      <c r="C423" s="2" t="str">
        <f>IF(A423&lt;&gt;"",SUM(B423),"")</f>
        <v/>
      </c>
      <c r="D423" s="2" t="str">
        <f>IF(A423&lt;&gt;"",('TP2'!D1*'TP2'!C423)/'TP2'!C1, "")</f>
        <v/>
      </c>
    </row>
    <row r="424" spans="3:4" x14ac:dyDescent="0.3">
      <c r="C424" s="2" t="str">
        <f>IF(A424&lt;&gt;"",SUM(B424),"")</f>
        <v/>
      </c>
      <c r="D424" s="2" t="str">
        <f>IF(A424&lt;&gt;"",('TP2'!D1*'TP2'!C424)/'TP2'!C1, "")</f>
        <v/>
      </c>
    </row>
    <row r="425" spans="3:4" x14ac:dyDescent="0.3">
      <c r="C425" s="2" t="str">
        <f>IF(A425&lt;&gt;"",SUM(B425),"")</f>
        <v/>
      </c>
      <c r="D425" s="2" t="str">
        <f>IF(A425&lt;&gt;"",('TP2'!D1*'TP2'!C425)/'TP2'!C1, "")</f>
        <v/>
      </c>
    </row>
    <row r="426" spans="3:4" x14ac:dyDescent="0.3">
      <c r="C426" s="2" t="str">
        <f>IF(A426&lt;&gt;"",SUM(B426),"")</f>
        <v/>
      </c>
      <c r="D426" s="2" t="str">
        <f>IF(A426&lt;&gt;"",('TP2'!D1*'TP2'!C426)/'TP2'!C1, "")</f>
        <v/>
      </c>
    </row>
    <row r="427" spans="3:4" x14ac:dyDescent="0.3">
      <c r="C427" s="2" t="str">
        <f>IF(A427&lt;&gt;"",SUM(B427),"")</f>
        <v/>
      </c>
      <c r="D427" s="2" t="str">
        <f>IF(A427&lt;&gt;"",('TP2'!D1*'TP2'!C427)/'TP2'!C1, "")</f>
        <v/>
      </c>
    </row>
    <row r="428" spans="3:4" x14ac:dyDescent="0.3">
      <c r="C428" s="2" t="str">
        <f>IF(A428&lt;&gt;"",SUM(B428),"")</f>
        <v/>
      </c>
      <c r="D428" s="2" t="str">
        <f>IF(A428&lt;&gt;"",('TP2'!D1*'TP2'!C428)/'TP2'!C1, "")</f>
        <v/>
      </c>
    </row>
    <row r="429" spans="3:4" x14ac:dyDescent="0.3">
      <c r="C429" s="2" t="str">
        <f>IF(A429&lt;&gt;"",SUM(B429),"")</f>
        <v/>
      </c>
      <c r="D429" s="2" t="str">
        <f>IF(A429&lt;&gt;"",('TP2'!D1*'TP2'!C429)/'TP2'!C1, "")</f>
        <v/>
      </c>
    </row>
    <row r="430" spans="3:4" x14ac:dyDescent="0.3">
      <c r="C430" s="2" t="str">
        <f>IF(A430&lt;&gt;"",SUM(B430),"")</f>
        <v/>
      </c>
      <c r="D430" s="2" t="str">
        <f>IF(A430&lt;&gt;"",('TP2'!D1*'TP2'!C430)/'TP2'!C1, "")</f>
        <v/>
      </c>
    </row>
    <row r="431" spans="3:4" x14ac:dyDescent="0.3">
      <c r="C431" s="2" t="str">
        <f>IF(A431&lt;&gt;"",SUM(B431),"")</f>
        <v/>
      </c>
      <c r="D431" s="2" t="str">
        <f>IF(A431&lt;&gt;"",('TP2'!D1*'TP2'!C431)/'TP2'!C1, "")</f>
        <v/>
      </c>
    </row>
    <row r="432" spans="3:4" x14ac:dyDescent="0.3">
      <c r="C432" s="2" t="str">
        <f>IF(A432&lt;&gt;"",SUM(B432),"")</f>
        <v/>
      </c>
      <c r="D432" s="2" t="str">
        <f>IF(A432&lt;&gt;"",('TP2'!D1*'TP2'!C432)/'TP2'!C1, "")</f>
        <v/>
      </c>
    </row>
    <row r="433" spans="3:4" x14ac:dyDescent="0.3">
      <c r="C433" s="2" t="str">
        <f>IF(A433&lt;&gt;"",SUM(B433),"")</f>
        <v/>
      </c>
      <c r="D433" s="2" t="str">
        <f>IF(A433&lt;&gt;"",('TP2'!D1*'TP2'!C433)/'TP2'!C1, "")</f>
        <v/>
      </c>
    </row>
    <row r="434" spans="3:4" x14ac:dyDescent="0.3">
      <c r="C434" s="2" t="str">
        <f>IF(A434&lt;&gt;"",SUM(B434),"")</f>
        <v/>
      </c>
      <c r="D434" s="2" t="str">
        <f>IF(A434&lt;&gt;"",('TP2'!D1*'TP2'!C434)/'TP2'!C1, "")</f>
        <v/>
      </c>
    </row>
    <row r="435" spans="3:4" x14ac:dyDescent="0.3">
      <c r="C435" s="2" t="str">
        <f>IF(A435&lt;&gt;"",SUM(B435),"")</f>
        <v/>
      </c>
      <c r="D435" s="2" t="str">
        <f>IF(A435&lt;&gt;"",('TP2'!D1*'TP2'!C435)/'TP2'!C1, "")</f>
        <v/>
      </c>
    </row>
    <row r="436" spans="3:4" x14ac:dyDescent="0.3">
      <c r="C436" s="2" t="str">
        <f>IF(A436&lt;&gt;"",SUM(B436),"")</f>
        <v/>
      </c>
      <c r="D436" s="2" t="str">
        <f>IF(A436&lt;&gt;"",('TP2'!D1*'TP2'!C436)/'TP2'!C1, "")</f>
        <v/>
      </c>
    </row>
    <row r="437" spans="3:4" x14ac:dyDescent="0.3">
      <c r="C437" s="2" t="str">
        <f>IF(A437&lt;&gt;"",SUM(B437),"")</f>
        <v/>
      </c>
      <c r="D437" s="2" t="str">
        <f>IF(A437&lt;&gt;"",('TP2'!D1*'TP2'!C437)/'TP2'!C1, "")</f>
        <v/>
      </c>
    </row>
    <row r="438" spans="3:4" x14ac:dyDescent="0.3">
      <c r="C438" s="2" t="str">
        <f>IF(A438&lt;&gt;"",SUM(B438),"")</f>
        <v/>
      </c>
      <c r="D438" s="2" t="str">
        <f>IF(A438&lt;&gt;"",('TP2'!D1*'TP2'!C438)/'TP2'!C1, "")</f>
        <v/>
      </c>
    </row>
    <row r="439" spans="3:4" x14ac:dyDescent="0.3">
      <c r="C439" s="2" t="str">
        <f>IF(A439&lt;&gt;"",SUM(B439),"")</f>
        <v/>
      </c>
      <c r="D439" s="2" t="str">
        <f>IF(A439&lt;&gt;"",('TP2'!D1*'TP2'!C439)/'TP2'!C1, "")</f>
        <v/>
      </c>
    </row>
    <row r="440" spans="3:4" x14ac:dyDescent="0.3">
      <c r="C440" s="2" t="str">
        <f>IF(A440&lt;&gt;"",SUM(B440),"")</f>
        <v/>
      </c>
      <c r="D440" s="2" t="str">
        <f>IF(A440&lt;&gt;"",('TP2'!D1*'TP2'!C440)/'TP2'!C1, "")</f>
        <v/>
      </c>
    </row>
    <row r="441" spans="3:4" x14ac:dyDescent="0.3">
      <c r="C441" s="2" t="str">
        <f>IF(A441&lt;&gt;"",SUM(B441),"")</f>
        <v/>
      </c>
      <c r="D441" s="2" t="str">
        <f>IF(A441&lt;&gt;"",('TP2'!D1*'TP2'!C441)/'TP2'!C1, "")</f>
        <v/>
      </c>
    </row>
    <row r="442" spans="3:4" x14ac:dyDescent="0.3">
      <c r="C442" s="2" t="str">
        <f>IF(A442&lt;&gt;"",SUM(B442),"")</f>
        <v/>
      </c>
      <c r="D442" s="2" t="str">
        <f>IF(A442&lt;&gt;"",('TP2'!D1*'TP2'!C442)/'TP2'!C1, "")</f>
        <v/>
      </c>
    </row>
    <row r="443" spans="3:4" x14ac:dyDescent="0.3">
      <c r="C443" s="2" t="str">
        <f>IF(A443&lt;&gt;"",SUM(B443),"")</f>
        <v/>
      </c>
      <c r="D443" s="2" t="str">
        <f>IF(A443&lt;&gt;"",('TP2'!D1*'TP2'!C443)/'TP2'!C1, "")</f>
        <v/>
      </c>
    </row>
    <row r="444" spans="3:4" x14ac:dyDescent="0.3">
      <c r="C444" s="2" t="str">
        <f>IF(A444&lt;&gt;"",SUM(B444),"")</f>
        <v/>
      </c>
      <c r="D444" s="2" t="str">
        <f>IF(A444&lt;&gt;"",('TP2'!D1*'TP2'!C444)/'TP2'!C1, "")</f>
        <v/>
      </c>
    </row>
    <row r="445" spans="3:4" x14ac:dyDescent="0.3">
      <c r="C445" s="2" t="str">
        <f>IF(A445&lt;&gt;"",SUM(B445),"")</f>
        <v/>
      </c>
      <c r="D445" s="2" t="str">
        <f>IF(A445&lt;&gt;"",('TP2'!D1*'TP2'!C445)/'TP2'!C1, "")</f>
        <v/>
      </c>
    </row>
    <row r="446" spans="3:4" x14ac:dyDescent="0.3">
      <c r="C446" s="2" t="str">
        <f>IF(A446&lt;&gt;"",SUM(B446),"")</f>
        <v/>
      </c>
      <c r="D446" s="2" t="str">
        <f>IF(A446&lt;&gt;"",('TP2'!D1*'TP2'!C446)/'TP2'!C1, "")</f>
        <v/>
      </c>
    </row>
    <row r="447" spans="3:4" x14ac:dyDescent="0.3">
      <c r="C447" s="2" t="str">
        <f>IF(A447&lt;&gt;"",SUM(B447),"")</f>
        <v/>
      </c>
      <c r="D447" s="2" t="str">
        <f>IF(A447&lt;&gt;"",('TP2'!D1*'TP2'!C447)/'TP2'!C1, "")</f>
        <v/>
      </c>
    </row>
    <row r="448" spans="3:4" x14ac:dyDescent="0.3">
      <c r="C448" s="2" t="str">
        <f>IF(A448&lt;&gt;"",SUM(B448),"")</f>
        <v/>
      </c>
      <c r="D448" s="2" t="str">
        <f>IF(A448&lt;&gt;"",('TP2'!D1*'TP2'!C448)/'TP2'!C1, "")</f>
        <v/>
      </c>
    </row>
    <row r="449" spans="3:4" x14ac:dyDescent="0.3">
      <c r="C449" s="2" t="str">
        <f>IF(A449&lt;&gt;"",SUM(B449),"")</f>
        <v/>
      </c>
      <c r="D449" s="2" t="str">
        <f>IF(A449&lt;&gt;"",('TP2'!D1*'TP2'!C449)/'TP2'!C1, "")</f>
        <v/>
      </c>
    </row>
    <row r="450" spans="3:4" x14ac:dyDescent="0.3">
      <c r="C450" s="2" t="str">
        <f>IF(A450&lt;&gt;"",SUM(B450),"")</f>
        <v/>
      </c>
      <c r="D450" s="2" t="str">
        <f>IF(A450&lt;&gt;"",('TP2'!D1*'TP2'!C450)/'TP2'!C1, "")</f>
        <v/>
      </c>
    </row>
    <row r="451" spans="3:4" x14ac:dyDescent="0.3">
      <c r="C451" s="2" t="str">
        <f>IF(A451&lt;&gt;"",SUM(B451),"")</f>
        <v/>
      </c>
      <c r="D451" s="2" t="str">
        <f>IF(A451&lt;&gt;"",('TP2'!D1*'TP2'!C451)/'TP2'!C1, "")</f>
        <v/>
      </c>
    </row>
    <row r="452" spans="3:4" x14ac:dyDescent="0.3">
      <c r="C452" s="2" t="str">
        <f>IF(A452&lt;&gt;"",SUM(B452),"")</f>
        <v/>
      </c>
      <c r="D452" s="2" t="str">
        <f>IF(A452&lt;&gt;"",('TP2'!D1*'TP2'!C452)/'TP2'!C1, "")</f>
        <v/>
      </c>
    </row>
    <row r="453" spans="3:4" x14ac:dyDescent="0.3">
      <c r="C453" s="2" t="str">
        <f>IF(A453&lt;&gt;"",SUM(B453),"")</f>
        <v/>
      </c>
      <c r="D453" s="2" t="str">
        <f>IF(A453&lt;&gt;"",('TP2'!D1*'TP2'!C453)/'TP2'!C1, "")</f>
        <v/>
      </c>
    </row>
    <row r="454" spans="3:4" x14ac:dyDescent="0.3">
      <c r="C454" s="2" t="str">
        <f>IF(A454&lt;&gt;"",SUM(B454),"")</f>
        <v/>
      </c>
      <c r="D454" s="2" t="str">
        <f>IF(A454&lt;&gt;"",('TP2'!D1*'TP2'!C454)/'TP2'!C1, "")</f>
        <v/>
      </c>
    </row>
    <row r="455" spans="3:4" x14ac:dyDescent="0.3">
      <c r="C455" s="2" t="str">
        <f>IF(A455&lt;&gt;"",SUM(B455),"")</f>
        <v/>
      </c>
      <c r="D455" s="2" t="str">
        <f>IF(A455&lt;&gt;"",('TP2'!D1*'TP2'!C455)/'TP2'!C1, "")</f>
        <v/>
      </c>
    </row>
    <row r="456" spans="3:4" x14ac:dyDescent="0.3">
      <c r="C456" s="2" t="str">
        <f>IF(A456&lt;&gt;"",SUM(B456),"")</f>
        <v/>
      </c>
      <c r="D456" s="2" t="str">
        <f>IF(A456&lt;&gt;"",('TP2'!D1*'TP2'!C456)/'TP2'!C1, "")</f>
        <v/>
      </c>
    </row>
    <row r="457" spans="3:4" x14ac:dyDescent="0.3">
      <c r="C457" s="2" t="str">
        <f>IF(A457&lt;&gt;"",SUM(B457),"")</f>
        <v/>
      </c>
      <c r="D457" s="2" t="str">
        <f>IF(A457&lt;&gt;"",('TP2'!D1*'TP2'!C457)/'TP2'!C1, "")</f>
        <v/>
      </c>
    </row>
    <row r="458" spans="3:4" x14ac:dyDescent="0.3">
      <c r="C458" s="2" t="str">
        <f>IF(A458&lt;&gt;"",SUM(B458),"")</f>
        <v/>
      </c>
      <c r="D458" s="2" t="str">
        <f>IF(A458&lt;&gt;"",('TP2'!D1*'TP2'!C458)/'TP2'!C1, "")</f>
        <v/>
      </c>
    </row>
    <row r="459" spans="3:4" x14ac:dyDescent="0.3">
      <c r="C459" s="2" t="str">
        <f>IF(A459&lt;&gt;"",SUM(B459),"")</f>
        <v/>
      </c>
      <c r="D459" s="2" t="str">
        <f>IF(A459&lt;&gt;"",('TP2'!D1*'TP2'!C459)/'TP2'!C1, "")</f>
        <v/>
      </c>
    </row>
    <row r="460" spans="3:4" x14ac:dyDescent="0.3">
      <c r="C460" s="2" t="str">
        <f>IF(A460&lt;&gt;"",SUM(B460),"")</f>
        <v/>
      </c>
      <c r="D460" s="2" t="str">
        <f>IF(A460&lt;&gt;"",('TP2'!D1*'TP2'!C460)/'TP2'!C1, "")</f>
        <v/>
      </c>
    </row>
    <row r="461" spans="3:4" x14ac:dyDescent="0.3">
      <c r="C461" s="2" t="str">
        <f>IF(A461&lt;&gt;"",SUM(B461),"")</f>
        <v/>
      </c>
      <c r="D461" s="2" t="str">
        <f>IF(A461&lt;&gt;"",('TP2'!D1*'TP2'!C461)/'TP2'!C1, "")</f>
        <v/>
      </c>
    </row>
    <row r="462" spans="3:4" x14ac:dyDescent="0.3">
      <c r="C462" s="2" t="str">
        <f>IF(A462&lt;&gt;"",SUM(B462),"")</f>
        <v/>
      </c>
      <c r="D462" s="2" t="str">
        <f>IF(A462&lt;&gt;"",('TP2'!D1*'TP2'!C462)/'TP2'!C1, "")</f>
        <v/>
      </c>
    </row>
    <row r="463" spans="3:4" x14ac:dyDescent="0.3">
      <c r="C463" s="2" t="str">
        <f>IF(A463&lt;&gt;"",SUM(B463),"")</f>
        <v/>
      </c>
      <c r="D463" s="2" t="str">
        <f>IF(A463&lt;&gt;"",('TP2'!D1*'TP2'!C463)/'TP2'!C1, "")</f>
        <v/>
      </c>
    </row>
    <row r="464" spans="3:4" x14ac:dyDescent="0.3">
      <c r="C464" s="2" t="str">
        <f>IF(A464&lt;&gt;"",SUM(B464),"")</f>
        <v/>
      </c>
      <c r="D464" s="2" t="str">
        <f>IF(A464&lt;&gt;"",('TP2'!D1*'TP2'!C464)/'TP2'!C1, "")</f>
        <v/>
      </c>
    </row>
    <row r="465" spans="3:4" x14ac:dyDescent="0.3">
      <c r="C465" s="2" t="str">
        <f>IF(A465&lt;&gt;"",SUM(B465),"")</f>
        <v/>
      </c>
      <c r="D465" s="2" t="str">
        <f>IF(A465&lt;&gt;"",('TP2'!D1*'TP2'!C465)/'TP2'!C1, "")</f>
        <v/>
      </c>
    </row>
    <row r="466" spans="3:4" x14ac:dyDescent="0.3">
      <c r="C466" s="2" t="str">
        <f>IF(A466&lt;&gt;"",SUM(B466),"")</f>
        <v/>
      </c>
      <c r="D466" s="2" t="str">
        <f>IF(A466&lt;&gt;"",('TP2'!D1*'TP2'!C466)/'TP2'!C1, "")</f>
        <v/>
      </c>
    </row>
    <row r="467" spans="3:4" x14ac:dyDescent="0.3">
      <c r="C467" s="2" t="str">
        <f>IF(A467&lt;&gt;"",SUM(B467),"")</f>
        <v/>
      </c>
      <c r="D467" s="2" t="str">
        <f>IF(A467&lt;&gt;"",('TP2'!D1*'TP2'!C467)/'TP2'!C1, "")</f>
        <v/>
      </c>
    </row>
    <row r="468" spans="3:4" x14ac:dyDescent="0.3">
      <c r="C468" s="2" t="str">
        <f>IF(A468&lt;&gt;"",SUM(B468),"")</f>
        <v/>
      </c>
      <c r="D468" s="2" t="str">
        <f>IF(A468&lt;&gt;"",('TP2'!D1*'TP2'!C468)/'TP2'!C1, "")</f>
        <v/>
      </c>
    </row>
    <row r="469" spans="3:4" x14ac:dyDescent="0.3">
      <c r="C469" s="2" t="str">
        <f>IF(A469&lt;&gt;"",SUM(B469),"")</f>
        <v/>
      </c>
      <c r="D469" s="2" t="str">
        <f>IF(A469&lt;&gt;"",('TP2'!D1*'TP2'!C469)/'TP2'!C1, "")</f>
        <v/>
      </c>
    </row>
    <row r="470" spans="3:4" x14ac:dyDescent="0.3">
      <c r="C470" s="2" t="str">
        <f>IF(A470&lt;&gt;"",SUM(B470),"")</f>
        <v/>
      </c>
      <c r="D470" s="2" t="str">
        <f>IF(A470&lt;&gt;"",('TP2'!D1*'TP2'!C470)/'TP2'!C1, "")</f>
        <v/>
      </c>
    </row>
    <row r="471" spans="3:4" x14ac:dyDescent="0.3">
      <c r="C471" s="2" t="str">
        <f>IF(A471&lt;&gt;"",SUM(B471),"")</f>
        <v/>
      </c>
      <c r="D471" s="2" t="str">
        <f>IF(A471&lt;&gt;"",('TP2'!D1*'TP2'!C471)/'TP2'!C1, "")</f>
        <v/>
      </c>
    </row>
    <row r="472" spans="3:4" x14ac:dyDescent="0.3">
      <c r="C472" s="2" t="str">
        <f>IF(A472&lt;&gt;"",SUM(B472),"")</f>
        <v/>
      </c>
      <c r="D472" s="2" t="str">
        <f>IF(A472&lt;&gt;"",('TP2'!D1*'TP2'!C472)/'TP2'!C1, "")</f>
        <v/>
      </c>
    </row>
    <row r="473" spans="3:4" x14ac:dyDescent="0.3">
      <c r="C473" s="2" t="str">
        <f>IF(A473&lt;&gt;"",SUM(B473),"")</f>
        <v/>
      </c>
      <c r="D473" s="2" t="str">
        <f>IF(A473&lt;&gt;"",('TP2'!D1*'TP2'!C473)/'TP2'!C1, "")</f>
        <v/>
      </c>
    </row>
    <row r="474" spans="3:4" x14ac:dyDescent="0.3">
      <c r="C474" s="2" t="str">
        <f>IF(A474&lt;&gt;"",SUM(B474),"")</f>
        <v/>
      </c>
      <c r="D474" s="2" t="str">
        <f>IF(A474&lt;&gt;"",('TP2'!D1*'TP2'!C474)/'TP2'!C1, "")</f>
        <v/>
      </c>
    </row>
    <row r="475" spans="3:4" x14ac:dyDescent="0.3">
      <c r="C475" s="2" t="str">
        <f>IF(A475&lt;&gt;"",SUM(B475),"")</f>
        <v/>
      </c>
      <c r="D475" s="2" t="str">
        <f>IF(A475&lt;&gt;"",('TP2'!D1*'TP2'!C475)/'TP2'!C1, "")</f>
        <v/>
      </c>
    </row>
    <row r="476" spans="3:4" x14ac:dyDescent="0.3">
      <c r="C476" s="2" t="str">
        <f>IF(A476&lt;&gt;"",SUM(B476),"")</f>
        <v/>
      </c>
      <c r="D476" s="2" t="str">
        <f>IF(A476&lt;&gt;"",('TP2'!D1*'TP2'!C476)/'TP2'!C1, "")</f>
        <v/>
      </c>
    </row>
    <row r="477" spans="3:4" x14ac:dyDescent="0.3">
      <c r="C477" s="2" t="str">
        <f>IF(A477&lt;&gt;"",SUM(B477),"")</f>
        <v/>
      </c>
      <c r="D477" s="2" t="str">
        <f>IF(A477&lt;&gt;"",('TP2'!D1*'TP2'!C477)/'TP2'!C1, "")</f>
        <v/>
      </c>
    </row>
    <row r="478" spans="3:4" x14ac:dyDescent="0.3">
      <c r="C478" s="2" t="str">
        <f>IF(A478&lt;&gt;"",SUM(B478),"")</f>
        <v/>
      </c>
      <c r="D478" s="2" t="str">
        <f>IF(A478&lt;&gt;"",('TP2'!D1*'TP2'!C478)/'TP2'!C1, "")</f>
        <v/>
      </c>
    </row>
    <row r="479" spans="3:4" x14ac:dyDescent="0.3">
      <c r="C479" s="2" t="str">
        <f>IF(A479&lt;&gt;"",SUM(B479),"")</f>
        <v/>
      </c>
      <c r="D479" s="2" t="str">
        <f>IF(A479&lt;&gt;"",('TP2'!D1*'TP2'!C479)/'TP2'!C1, "")</f>
        <v/>
      </c>
    </row>
    <row r="480" spans="3:4" x14ac:dyDescent="0.3">
      <c r="C480" s="2" t="str">
        <f>IF(A480&lt;&gt;"",SUM(B480),"")</f>
        <v/>
      </c>
      <c r="D480" s="2" t="str">
        <f>IF(A480&lt;&gt;"",('TP2'!D1*'TP2'!C480)/'TP2'!C1, "")</f>
        <v/>
      </c>
    </row>
    <row r="481" spans="3:4" x14ac:dyDescent="0.3">
      <c r="C481" s="2" t="str">
        <f>IF(A481&lt;&gt;"",SUM(B481),"")</f>
        <v/>
      </c>
      <c r="D481" s="2" t="str">
        <f>IF(A481&lt;&gt;"",('TP2'!D1*'TP2'!C481)/'TP2'!C1, "")</f>
        <v/>
      </c>
    </row>
    <row r="482" spans="3:4" x14ac:dyDescent="0.3">
      <c r="C482" s="2" t="str">
        <f>IF(A482&lt;&gt;"",SUM(B482),"")</f>
        <v/>
      </c>
      <c r="D482" s="2" t="str">
        <f>IF(A482&lt;&gt;"",('TP2'!D1*'TP2'!C482)/'TP2'!C1, "")</f>
        <v/>
      </c>
    </row>
    <row r="483" spans="3:4" x14ac:dyDescent="0.3">
      <c r="C483" s="2" t="str">
        <f>IF(A483&lt;&gt;"",SUM(B483),"")</f>
        <v/>
      </c>
      <c r="D483" s="2" t="str">
        <f>IF(A483&lt;&gt;"",('TP2'!D1*'TP2'!C483)/'TP2'!C1, "")</f>
        <v/>
      </c>
    </row>
    <row r="484" spans="3:4" x14ac:dyDescent="0.3">
      <c r="C484" s="2" t="str">
        <f>IF(A484&lt;&gt;"",SUM(B484),"")</f>
        <v/>
      </c>
      <c r="D484" s="2" t="str">
        <f>IF(A484&lt;&gt;"",('TP2'!D1*'TP2'!C484)/'TP2'!C1, "")</f>
        <v/>
      </c>
    </row>
    <row r="485" spans="3:4" x14ac:dyDescent="0.3">
      <c r="C485" s="2" t="str">
        <f>IF(A485&lt;&gt;"",SUM(B485),"")</f>
        <v/>
      </c>
      <c r="D485" s="2" t="str">
        <f>IF(A485&lt;&gt;"",('TP2'!D1*'TP2'!C485)/'TP2'!C1, "")</f>
        <v/>
      </c>
    </row>
    <row r="486" spans="3:4" x14ac:dyDescent="0.3">
      <c r="C486" s="2" t="str">
        <f>IF(A486&lt;&gt;"",SUM(B486),"")</f>
        <v/>
      </c>
      <c r="D486" s="2" t="str">
        <f>IF(A486&lt;&gt;"",('TP2'!D1*'TP2'!C486)/'TP2'!C1, "")</f>
        <v/>
      </c>
    </row>
    <row r="487" spans="3:4" x14ac:dyDescent="0.3">
      <c r="C487" s="2" t="str">
        <f>IF(A487&lt;&gt;"",SUM(B487),"")</f>
        <v/>
      </c>
      <c r="D487" s="2" t="str">
        <f>IF(A487&lt;&gt;"",('TP2'!D1*'TP2'!C487)/'TP2'!C1, "")</f>
        <v/>
      </c>
    </row>
    <row r="488" spans="3:4" x14ac:dyDescent="0.3">
      <c r="C488" s="2" t="str">
        <f>IF(A488&lt;&gt;"",SUM(B488),"")</f>
        <v/>
      </c>
      <c r="D488" s="2" t="str">
        <f>IF(A488&lt;&gt;"",('TP2'!D1*'TP2'!C488)/'TP2'!C1, "")</f>
        <v/>
      </c>
    </row>
    <row r="489" spans="3:4" x14ac:dyDescent="0.3">
      <c r="C489" s="2" t="str">
        <f>IF(A489&lt;&gt;"",SUM(B489),"")</f>
        <v/>
      </c>
      <c r="D489" s="2" t="str">
        <f>IF(A489&lt;&gt;"",('TP2'!D1*'TP2'!C489)/'TP2'!C1, "")</f>
        <v/>
      </c>
    </row>
    <row r="490" spans="3:4" x14ac:dyDescent="0.3">
      <c r="C490" s="2" t="str">
        <f>IF(A490&lt;&gt;"",SUM(B490),"")</f>
        <v/>
      </c>
      <c r="D490" s="2" t="str">
        <f>IF(A490&lt;&gt;"",('TP2'!D1*'TP2'!C490)/'TP2'!C1, "")</f>
        <v/>
      </c>
    </row>
    <row r="491" spans="3:4" x14ac:dyDescent="0.3">
      <c r="C491" s="2" t="str">
        <f>IF(A491&lt;&gt;"",SUM(B491),"")</f>
        <v/>
      </c>
      <c r="D491" s="2" t="str">
        <f>IF(A491&lt;&gt;"",('TP2'!D1*'TP2'!C491)/'TP2'!C1, "")</f>
        <v/>
      </c>
    </row>
    <row r="492" spans="3:4" x14ac:dyDescent="0.3">
      <c r="C492" s="2" t="str">
        <f>IF(A492&lt;&gt;"",SUM(B492),"")</f>
        <v/>
      </c>
      <c r="D492" s="2" t="str">
        <f>IF(A492&lt;&gt;"",('TP2'!D1*'TP2'!C492)/'TP2'!C1, "")</f>
        <v/>
      </c>
    </row>
    <row r="493" spans="3:4" x14ac:dyDescent="0.3">
      <c r="C493" s="2" t="str">
        <f>IF(A493&lt;&gt;"",SUM(B493),"")</f>
        <v/>
      </c>
      <c r="D493" s="2" t="str">
        <f>IF(A493&lt;&gt;"",('TP2'!D1*'TP2'!C493)/'TP2'!C1, "")</f>
        <v/>
      </c>
    </row>
    <row r="494" spans="3:4" x14ac:dyDescent="0.3">
      <c r="C494" s="2" t="str">
        <f>IF(A494&lt;&gt;"",SUM(B494),"")</f>
        <v/>
      </c>
      <c r="D494" s="2" t="str">
        <f>IF(A494&lt;&gt;"",('TP2'!D1*'TP2'!C494)/'TP2'!C1, "")</f>
        <v/>
      </c>
    </row>
    <row r="495" spans="3:4" x14ac:dyDescent="0.3">
      <c r="C495" s="2" t="str">
        <f>IF(A495&lt;&gt;"",SUM(B495),"")</f>
        <v/>
      </c>
      <c r="D495" s="2" t="str">
        <f>IF(A495&lt;&gt;"",('TP2'!D1*'TP2'!C495)/'TP2'!C1, "")</f>
        <v/>
      </c>
    </row>
    <row r="496" spans="3:4" x14ac:dyDescent="0.3">
      <c r="C496" s="2" t="str">
        <f>IF(A496&lt;&gt;"",SUM(B496),"")</f>
        <v/>
      </c>
      <c r="D496" s="2" t="str">
        <f>IF(A496&lt;&gt;"",('TP2'!D1*'TP2'!C496)/'TP2'!C1, "")</f>
        <v/>
      </c>
    </row>
    <row r="497" spans="3:4" x14ac:dyDescent="0.3">
      <c r="C497" s="2" t="str">
        <f>IF(A497&lt;&gt;"",SUM(B497),"")</f>
        <v/>
      </c>
      <c r="D497" s="2" t="str">
        <f>IF(A497&lt;&gt;"",('TP2'!D1*'TP2'!C497)/'TP2'!C1, "")</f>
        <v/>
      </c>
    </row>
    <row r="498" spans="3:4" x14ac:dyDescent="0.3">
      <c r="C498" s="2" t="str">
        <f>IF(A498&lt;&gt;"",SUM(B498),"")</f>
        <v/>
      </c>
      <c r="D498" s="2" t="str">
        <f>IF(A498&lt;&gt;"",('TP2'!D1*'TP2'!C498)/'TP2'!C1, "")</f>
        <v/>
      </c>
    </row>
    <row r="499" spans="3:4" x14ac:dyDescent="0.3">
      <c r="C499" s="2" t="str">
        <f>IF(A499&lt;&gt;"",SUM(B499),"")</f>
        <v/>
      </c>
      <c r="D499" s="2" t="str">
        <f>IF(A499&lt;&gt;"",('TP2'!D1*'TP2'!C499)/'TP2'!C1, "")</f>
        <v/>
      </c>
    </row>
    <row r="500" spans="3:4" x14ac:dyDescent="0.3">
      <c r="C500" s="2" t="str">
        <f>IF(A500&lt;&gt;"",SUM(B500),"")</f>
        <v/>
      </c>
      <c r="D500" s="2" t="str">
        <f>IF(A500&lt;&gt;"",('TP2'!D1*'TP2'!C500)/'TP2'!C1, "")</f>
        <v/>
      </c>
    </row>
    <row r="501" spans="3:4" x14ac:dyDescent="0.3">
      <c r="C501" s="2" t="str">
        <f>IF(A501&lt;&gt;"",SUM(B501),"")</f>
        <v/>
      </c>
      <c r="D501" s="2" t="str">
        <f>IF(A501&lt;&gt;"",('TP2'!D1*'TP2'!C501)/'TP2'!C1, "")</f>
        <v/>
      </c>
    </row>
    <row r="502" spans="3:4" x14ac:dyDescent="0.3">
      <c r="C502" s="2" t="str">
        <f>IF(A502&lt;&gt;"",SUM(B502),"")</f>
        <v/>
      </c>
      <c r="D502" s="2" t="str">
        <f>IF(A502&lt;&gt;"",('TP2'!D1*'TP2'!C502)/'TP2'!C1, "")</f>
        <v/>
      </c>
    </row>
    <row r="503" spans="3:4" x14ac:dyDescent="0.3">
      <c r="C503" s="2" t="str">
        <f>IF(A503&lt;&gt;"",SUM(B503),"")</f>
        <v/>
      </c>
      <c r="D503" s="2" t="str">
        <f>IF(A503&lt;&gt;"",('TP2'!D1*'TP2'!C503)/'TP2'!C1, "")</f>
        <v/>
      </c>
    </row>
    <row r="504" spans="3:4" x14ac:dyDescent="0.3">
      <c r="C504" s="2" t="str">
        <f>IF(A504&lt;&gt;"",SUM(B504),"")</f>
        <v/>
      </c>
      <c r="D504" s="2" t="str">
        <f>IF(A504&lt;&gt;"",('TP2'!D1*'TP2'!C504)/'TP2'!C1, "")</f>
        <v/>
      </c>
    </row>
    <row r="505" spans="3:4" x14ac:dyDescent="0.3">
      <c r="C505" s="2" t="str">
        <f>IF(A505&lt;&gt;"",SUM(B505),"")</f>
        <v/>
      </c>
      <c r="D505" s="2" t="str">
        <f>IF(A505&lt;&gt;"",('TP2'!D1*'TP2'!C505)/'TP2'!C1, "")</f>
        <v/>
      </c>
    </row>
    <row r="506" spans="3:4" x14ac:dyDescent="0.3">
      <c r="C506" s="2" t="str">
        <f>IF(A506&lt;&gt;"",SUM(B506),"")</f>
        <v/>
      </c>
      <c r="D506" s="2" t="str">
        <f>IF(A506&lt;&gt;"",('TP2'!D1*'TP2'!C506)/'TP2'!C1, "")</f>
        <v/>
      </c>
    </row>
    <row r="507" spans="3:4" x14ac:dyDescent="0.3">
      <c r="C507" s="2" t="str">
        <f>IF(A507&lt;&gt;"",SUM(B507),"")</f>
        <v/>
      </c>
      <c r="D507" s="2" t="str">
        <f>IF(A507&lt;&gt;"",('TP2'!D1*'TP2'!C507)/'TP2'!C1, "")</f>
        <v/>
      </c>
    </row>
    <row r="508" spans="3:4" x14ac:dyDescent="0.3">
      <c r="C508" s="2" t="str">
        <f>IF(A508&lt;&gt;"",SUM(B508),"")</f>
        <v/>
      </c>
      <c r="D508" s="2" t="str">
        <f>IF(A508&lt;&gt;"",('TP2'!D1*'TP2'!C508)/'TP2'!C1, "")</f>
        <v/>
      </c>
    </row>
    <row r="509" spans="3:4" x14ac:dyDescent="0.3">
      <c r="C509" s="2" t="str">
        <f>IF(A509&lt;&gt;"",SUM(B509),"")</f>
        <v/>
      </c>
      <c r="D509" s="2" t="str">
        <f>IF(A509&lt;&gt;"",('TP2'!D1*'TP2'!C509)/'TP2'!C1, "")</f>
        <v/>
      </c>
    </row>
    <row r="510" spans="3:4" x14ac:dyDescent="0.3">
      <c r="C510" s="2" t="str">
        <f>IF(A510&lt;&gt;"",SUM(B510),"")</f>
        <v/>
      </c>
      <c r="D510" s="2" t="str">
        <f>IF(A510&lt;&gt;"",('TP2'!D1*'TP2'!C510)/'TP2'!C1, "")</f>
        <v/>
      </c>
    </row>
    <row r="511" spans="3:4" x14ac:dyDescent="0.3">
      <c r="C511" s="2" t="str">
        <f>IF(A511&lt;&gt;"",SUM(B511),"")</f>
        <v/>
      </c>
      <c r="D511" s="2" t="str">
        <f>IF(A511&lt;&gt;"",('TP2'!D1*'TP2'!C511)/'TP2'!C1, "")</f>
        <v/>
      </c>
    </row>
    <row r="512" spans="3:4" x14ac:dyDescent="0.3">
      <c r="C512" s="2" t="str">
        <f>IF(A512&lt;&gt;"",SUM(B512),"")</f>
        <v/>
      </c>
      <c r="D512" s="2" t="str">
        <f>IF(A512&lt;&gt;"",('TP2'!D1*'TP2'!C512)/'TP2'!C1, "")</f>
        <v/>
      </c>
    </row>
    <row r="513" spans="3:4" x14ac:dyDescent="0.3">
      <c r="C513" s="2" t="str">
        <f>IF(A513&lt;&gt;"",SUM(B513),"")</f>
        <v/>
      </c>
      <c r="D513" s="2" t="str">
        <f>IF(A513&lt;&gt;"",('TP2'!D1*'TP2'!C513)/'TP2'!C1, "")</f>
        <v/>
      </c>
    </row>
    <row r="514" spans="3:4" x14ac:dyDescent="0.3">
      <c r="C514" s="2" t="str">
        <f>IF(A514&lt;&gt;"",SUM(B514),"")</f>
        <v/>
      </c>
      <c r="D514" s="2" t="str">
        <f>IF(A514&lt;&gt;"",('TP2'!D1*'TP2'!C514)/'TP2'!C1, "")</f>
        <v/>
      </c>
    </row>
    <row r="515" spans="3:4" x14ac:dyDescent="0.3">
      <c r="C515" s="2" t="str">
        <f>IF(A515&lt;&gt;"",SUM(B515),"")</f>
        <v/>
      </c>
      <c r="D515" s="2" t="str">
        <f>IF(A515&lt;&gt;"",('TP2'!D1*'TP2'!C515)/'TP2'!C1, "")</f>
        <v/>
      </c>
    </row>
    <row r="516" spans="3:4" x14ac:dyDescent="0.3">
      <c r="C516" s="2" t="str">
        <f>IF(A516&lt;&gt;"",SUM(B516),"")</f>
        <v/>
      </c>
      <c r="D516" s="2" t="str">
        <f>IF(A516&lt;&gt;"",('TP2'!D1*'TP2'!C516)/'TP2'!C1, "")</f>
        <v/>
      </c>
    </row>
    <row r="517" spans="3:4" x14ac:dyDescent="0.3">
      <c r="C517" s="2" t="str">
        <f>IF(A517&lt;&gt;"",SUM(B517),"")</f>
        <v/>
      </c>
      <c r="D517" s="2" t="str">
        <f>IF(A517&lt;&gt;"",('TP2'!D1*'TP2'!C517)/'TP2'!C1, "")</f>
        <v/>
      </c>
    </row>
    <row r="518" spans="3:4" x14ac:dyDescent="0.3">
      <c r="C518" s="2" t="str">
        <f>IF(A518&lt;&gt;"",SUM(B518),"")</f>
        <v/>
      </c>
      <c r="D518" s="2" t="str">
        <f>IF(A518&lt;&gt;"",('TP2'!D1*'TP2'!C518)/'TP2'!C1, "")</f>
        <v/>
      </c>
    </row>
    <row r="519" spans="3:4" x14ac:dyDescent="0.3">
      <c r="C519" s="2" t="str">
        <f>IF(A519&lt;&gt;"",SUM(B519),"")</f>
        <v/>
      </c>
      <c r="D519" s="2" t="str">
        <f>IF(A519&lt;&gt;"",('TP2'!D1*'TP2'!C519)/'TP2'!C1, "")</f>
        <v/>
      </c>
    </row>
    <row r="520" spans="3:4" x14ac:dyDescent="0.3">
      <c r="C520" s="2" t="str">
        <f>IF(A520&lt;&gt;"",SUM(B520),"")</f>
        <v/>
      </c>
      <c r="D520" s="2" t="str">
        <f>IF(A520&lt;&gt;"",('TP2'!D1*'TP2'!C520)/'TP2'!C1, "")</f>
        <v/>
      </c>
    </row>
    <row r="521" spans="3:4" x14ac:dyDescent="0.3">
      <c r="C521" s="2" t="str">
        <f>IF(A521&lt;&gt;"",SUM(B521),"")</f>
        <v/>
      </c>
      <c r="D521" s="2" t="str">
        <f>IF(A521&lt;&gt;"",('TP2'!D1*'TP2'!C521)/'TP2'!C1, "")</f>
        <v/>
      </c>
    </row>
    <row r="522" spans="3:4" x14ac:dyDescent="0.3">
      <c r="C522" s="2" t="str">
        <f>IF(A522&lt;&gt;"",SUM(B522),"")</f>
        <v/>
      </c>
      <c r="D522" s="2" t="str">
        <f>IF(A522&lt;&gt;"",('TP2'!D1*'TP2'!C522)/'TP2'!C1, "")</f>
        <v/>
      </c>
    </row>
    <row r="523" spans="3:4" x14ac:dyDescent="0.3">
      <c r="C523" s="2" t="str">
        <f>IF(A523&lt;&gt;"",SUM(B523),"")</f>
        <v/>
      </c>
      <c r="D523" s="2" t="str">
        <f>IF(A523&lt;&gt;"",('TP2'!D1*'TP2'!C523)/'TP2'!C1, "")</f>
        <v/>
      </c>
    </row>
    <row r="524" spans="3:4" x14ac:dyDescent="0.3">
      <c r="C524" s="2" t="str">
        <f>IF(A524&lt;&gt;"",SUM(B524),"")</f>
        <v/>
      </c>
      <c r="D524" s="2" t="str">
        <f>IF(A524&lt;&gt;"",('TP2'!D1*'TP2'!C524)/'TP2'!C1, "")</f>
        <v/>
      </c>
    </row>
    <row r="525" spans="3:4" x14ac:dyDescent="0.3">
      <c r="C525" s="2" t="str">
        <f>IF(A525&lt;&gt;"",SUM(B525),"")</f>
        <v/>
      </c>
      <c r="D525" s="2" t="str">
        <f>IF(A525&lt;&gt;"",('TP2'!D1*'TP2'!C525)/'TP2'!C1, "")</f>
        <v/>
      </c>
    </row>
    <row r="526" spans="3:4" x14ac:dyDescent="0.3">
      <c r="C526" s="2" t="str">
        <f>IF(A526&lt;&gt;"",SUM(B526),"")</f>
        <v/>
      </c>
      <c r="D526" s="2" t="str">
        <f>IF(A526&lt;&gt;"",('TP2'!D1*'TP2'!C526)/'TP2'!C1, "")</f>
        <v/>
      </c>
    </row>
    <row r="527" spans="3:4" x14ac:dyDescent="0.3">
      <c r="C527" s="2" t="str">
        <f>IF(A527&lt;&gt;"",SUM(B527),"")</f>
        <v/>
      </c>
      <c r="D527" s="2" t="str">
        <f>IF(A527&lt;&gt;"",('TP2'!D1*'TP2'!C527)/'TP2'!C1, "")</f>
        <v/>
      </c>
    </row>
    <row r="528" spans="3:4" x14ac:dyDescent="0.3">
      <c r="C528" s="2" t="str">
        <f>IF(A528&lt;&gt;"",SUM(B528),"")</f>
        <v/>
      </c>
      <c r="D528" s="2" t="str">
        <f>IF(A528&lt;&gt;"",('TP2'!D1*'TP2'!C528)/'TP2'!C1, "")</f>
        <v/>
      </c>
    </row>
    <row r="529" spans="3:4" x14ac:dyDescent="0.3">
      <c r="C529" s="2" t="str">
        <f>IF(A529&lt;&gt;"",SUM(B529),"")</f>
        <v/>
      </c>
      <c r="D529" s="2" t="str">
        <f>IF(A529&lt;&gt;"",('TP2'!D1*'TP2'!C529)/'TP2'!C1, "")</f>
        <v/>
      </c>
    </row>
    <row r="530" spans="3:4" x14ac:dyDescent="0.3">
      <c r="C530" s="2" t="str">
        <f>IF(A530&lt;&gt;"",SUM(B530),"")</f>
        <v/>
      </c>
      <c r="D530" s="2" t="str">
        <f>IF(A530&lt;&gt;"",('TP2'!D1*'TP2'!C530)/'TP2'!C1, "")</f>
        <v/>
      </c>
    </row>
    <row r="531" spans="3:4" x14ac:dyDescent="0.3">
      <c r="C531" s="2" t="str">
        <f>IF(A531&lt;&gt;"",SUM(B531),"")</f>
        <v/>
      </c>
      <c r="D531" s="2" t="str">
        <f>IF(A531&lt;&gt;"",('TP2'!D1*'TP2'!C531)/'TP2'!C1, "")</f>
        <v/>
      </c>
    </row>
    <row r="532" spans="3:4" x14ac:dyDescent="0.3">
      <c r="C532" s="2" t="str">
        <f>IF(A532&lt;&gt;"",SUM(B532),"")</f>
        <v/>
      </c>
      <c r="D532" s="2" t="str">
        <f>IF(A532&lt;&gt;"",('TP2'!D1*'TP2'!C532)/'TP2'!C1, "")</f>
        <v/>
      </c>
    </row>
    <row r="533" spans="3:4" x14ac:dyDescent="0.3">
      <c r="C533" s="2" t="str">
        <f>IF(A533&lt;&gt;"",SUM(B533),"")</f>
        <v/>
      </c>
      <c r="D533" s="2" t="str">
        <f>IF(A533&lt;&gt;"",('TP2'!D1*'TP2'!C533)/'TP2'!C1, "")</f>
        <v/>
      </c>
    </row>
    <row r="534" spans="3:4" x14ac:dyDescent="0.3">
      <c r="C534" s="2" t="str">
        <f>IF(A534&lt;&gt;"",SUM(B534),"")</f>
        <v/>
      </c>
      <c r="D534" s="2" t="str">
        <f>IF(A534&lt;&gt;"",('TP2'!D1*'TP2'!C534)/'TP2'!C1, "")</f>
        <v/>
      </c>
    </row>
    <row r="535" spans="3:4" x14ac:dyDescent="0.3">
      <c r="C535" s="2" t="str">
        <f>IF(A535&lt;&gt;"",SUM(B535),"")</f>
        <v/>
      </c>
      <c r="D535" s="2" t="str">
        <f>IF(A535&lt;&gt;"",('TP2'!D1*'TP2'!C535)/'TP2'!C1, "")</f>
        <v/>
      </c>
    </row>
    <row r="536" spans="3:4" x14ac:dyDescent="0.3">
      <c r="C536" s="2" t="str">
        <f>IF(A536&lt;&gt;"",SUM(B536),"")</f>
        <v/>
      </c>
      <c r="D536" s="2" t="str">
        <f>IF(A536&lt;&gt;"",('TP2'!D1*'TP2'!C536)/'TP2'!C1, "")</f>
        <v/>
      </c>
    </row>
    <row r="537" spans="3:4" x14ac:dyDescent="0.3">
      <c r="C537" s="2" t="str">
        <f>IF(A537&lt;&gt;"",SUM(B537),"")</f>
        <v/>
      </c>
      <c r="D537" s="2" t="str">
        <f>IF(A537&lt;&gt;"",('TP2'!D1*'TP2'!C537)/'TP2'!C1, "")</f>
        <v/>
      </c>
    </row>
    <row r="538" spans="3:4" x14ac:dyDescent="0.3">
      <c r="C538" s="2" t="str">
        <f>IF(A538&lt;&gt;"",SUM(B538),"")</f>
        <v/>
      </c>
      <c r="D538" s="2" t="str">
        <f>IF(A538&lt;&gt;"",('TP2'!D1*'TP2'!C538)/'TP2'!C1, "")</f>
        <v/>
      </c>
    </row>
    <row r="539" spans="3:4" x14ac:dyDescent="0.3">
      <c r="C539" s="2" t="str">
        <f>IF(A539&lt;&gt;"",SUM(B539),"")</f>
        <v/>
      </c>
      <c r="D539" s="2" t="str">
        <f>IF(A539&lt;&gt;"",('TP2'!D1*'TP2'!C539)/'TP2'!C1, "")</f>
        <v/>
      </c>
    </row>
    <row r="540" spans="3:4" x14ac:dyDescent="0.3">
      <c r="C540" s="2" t="str">
        <f>IF(A540&lt;&gt;"",SUM(B540),"")</f>
        <v/>
      </c>
      <c r="D540" s="2" t="str">
        <f>IF(A540&lt;&gt;"",('TP2'!D1*'TP2'!C540)/'TP2'!C1, "")</f>
        <v/>
      </c>
    </row>
    <row r="541" spans="3:4" x14ac:dyDescent="0.3">
      <c r="C541" s="2" t="str">
        <f>IF(A541&lt;&gt;"",SUM(B541),"")</f>
        <v/>
      </c>
      <c r="D541" s="2" t="str">
        <f>IF(A541&lt;&gt;"",('TP2'!D1*'TP2'!C541)/'TP2'!C1, "")</f>
        <v/>
      </c>
    </row>
    <row r="542" spans="3:4" x14ac:dyDescent="0.3">
      <c r="C542" s="2" t="str">
        <f>IF(A542&lt;&gt;"",SUM(B542),"")</f>
        <v/>
      </c>
      <c r="D542" s="2" t="str">
        <f>IF(A542&lt;&gt;"",('TP2'!D1*'TP2'!C542)/'TP2'!C1, "")</f>
        <v/>
      </c>
    </row>
    <row r="543" spans="3:4" x14ac:dyDescent="0.3">
      <c r="C543" s="2" t="str">
        <f>IF(A543&lt;&gt;"",SUM(B543),"")</f>
        <v/>
      </c>
      <c r="D543" s="2" t="str">
        <f>IF(A543&lt;&gt;"",('TP2'!D1*'TP2'!C543)/'TP2'!C1, "")</f>
        <v/>
      </c>
    </row>
    <row r="544" spans="3:4" x14ac:dyDescent="0.3">
      <c r="C544" s="2" t="str">
        <f>IF(A544&lt;&gt;"",SUM(B544),"")</f>
        <v/>
      </c>
      <c r="D544" s="2" t="str">
        <f>IF(A544&lt;&gt;"",('TP2'!D1*'TP2'!C544)/'TP2'!C1, "")</f>
        <v/>
      </c>
    </row>
    <row r="545" spans="3:4" x14ac:dyDescent="0.3">
      <c r="C545" s="2" t="str">
        <f>IF(A545&lt;&gt;"",SUM(B545),"")</f>
        <v/>
      </c>
      <c r="D545" s="2" t="str">
        <f>IF(A545&lt;&gt;"",('TP2'!D1*'TP2'!C545)/'TP2'!C1, "")</f>
        <v/>
      </c>
    </row>
    <row r="546" spans="3:4" x14ac:dyDescent="0.3">
      <c r="C546" s="2" t="str">
        <f>IF(A546&lt;&gt;"",SUM(B546),"")</f>
        <v/>
      </c>
      <c r="D546" s="2" t="str">
        <f>IF(A546&lt;&gt;"",('TP2'!D1*'TP2'!C546)/'TP2'!C1, "")</f>
        <v/>
      </c>
    </row>
    <row r="547" spans="3:4" x14ac:dyDescent="0.3">
      <c r="C547" s="2" t="str">
        <f>IF(A547&lt;&gt;"",SUM(B547),"")</f>
        <v/>
      </c>
      <c r="D547" s="2" t="str">
        <f>IF(A547&lt;&gt;"",('TP2'!D1*'TP2'!C547)/'TP2'!C1, "")</f>
        <v/>
      </c>
    </row>
    <row r="548" spans="3:4" x14ac:dyDescent="0.3">
      <c r="C548" s="2" t="str">
        <f>IF(A548&lt;&gt;"",SUM(B548),"")</f>
        <v/>
      </c>
      <c r="D548" s="2" t="str">
        <f>IF(A548&lt;&gt;"",('TP2'!D1*'TP2'!C548)/'TP2'!C1, "")</f>
        <v/>
      </c>
    </row>
    <row r="549" spans="3:4" x14ac:dyDescent="0.3">
      <c r="C549" s="2" t="str">
        <f>IF(A549&lt;&gt;"",SUM(B549),"")</f>
        <v/>
      </c>
      <c r="D549" s="2" t="str">
        <f>IF(A549&lt;&gt;"",('TP2'!D1*'TP2'!C549)/'TP2'!C1, "")</f>
        <v/>
      </c>
    </row>
    <row r="550" spans="3:4" x14ac:dyDescent="0.3">
      <c r="C550" s="2" t="str">
        <f>IF(A550&lt;&gt;"",SUM(B550),"")</f>
        <v/>
      </c>
      <c r="D550" s="2" t="str">
        <f>IF(A550&lt;&gt;"",('TP2'!D1*'TP2'!C550)/'TP2'!C1, "")</f>
        <v/>
      </c>
    </row>
    <row r="551" spans="3:4" x14ac:dyDescent="0.3">
      <c r="C551" s="2" t="str">
        <f>IF(A551&lt;&gt;"",SUM(B551),"")</f>
        <v/>
      </c>
      <c r="D551" s="2" t="str">
        <f>IF(A551&lt;&gt;"",('TP2'!D1*'TP2'!C551)/'TP2'!C1, "")</f>
        <v/>
      </c>
    </row>
    <row r="552" spans="3:4" x14ac:dyDescent="0.3">
      <c r="C552" s="2" t="str">
        <f>IF(A552&lt;&gt;"",SUM(B552),"")</f>
        <v/>
      </c>
      <c r="D552" s="2" t="str">
        <f>IF(A552&lt;&gt;"",('TP2'!D1*'TP2'!C552)/'TP2'!C1, "")</f>
        <v/>
      </c>
    </row>
    <row r="553" spans="3:4" x14ac:dyDescent="0.3">
      <c r="C553" s="2" t="str">
        <f>IF(A553&lt;&gt;"",SUM(B553),"")</f>
        <v/>
      </c>
      <c r="D553" s="2" t="str">
        <f>IF(A553&lt;&gt;"",('TP2'!D1*'TP2'!C553)/'TP2'!C1, "")</f>
        <v/>
      </c>
    </row>
    <row r="554" spans="3:4" x14ac:dyDescent="0.3">
      <c r="C554" s="2" t="str">
        <f>IF(A554&lt;&gt;"",SUM(B554),"")</f>
        <v/>
      </c>
      <c r="D554" s="2" t="str">
        <f>IF(A554&lt;&gt;"",('TP2'!D1*'TP2'!C554)/'TP2'!C1, "")</f>
        <v/>
      </c>
    </row>
    <row r="555" spans="3:4" x14ac:dyDescent="0.3">
      <c r="C555" s="2" t="str">
        <f>IF(A555&lt;&gt;"",SUM(B555),"")</f>
        <v/>
      </c>
      <c r="D555" s="2" t="str">
        <f>IF(A555&lt;&gt;"",('TP2'!D1*'TP2'!C555)/'TP2'!C1, "")</f>
        <v/>
      </c>
    </row>
    <row r="556" spans="3:4" x14ac:dyDescent="0.3">
      <c r="C556" s="2" t="str">
        <f>IF(A556&lt;&gt;"",SUM(B556),"")</f>
        <v/>
      </c>
      <c r="D556" s="2" t="str">
        <f>IF(A556&lt;&gt;"",('TP2'!D1*'TP2'!C556)/'TP2'!C1, "")</f>
        <v/>
      </c>
    </row>
    <row r="557" spans="3:4" x14ac:dyDescent="0.3">
      <c r="C557" s="2" t="str">
        <f>IF(A557&lt;&gt;"",SUM(B557),"")</f>
        <v/>
      </c>
      <c r="D557" s="2" t="str">
        <f>IF(A557&lt;&gt;"",('TP2'!D1*'TP2'!C557)/'TP2'!C1, "")</f>
        <v/>
      </c>
    </row>
    <row r="558" spans="3:4" x14ac:dyDescent="0.3">
      <c r="C558" s="2" t="str">
        <f>IF(A558&lt;&gt;"",SUM(B558),"")</f>
        <v/>
      </c>
      <c r="D558" s="2" t="str">
        <f>IF(A558&lt;&gt;"",('TP2'!D1*'TP2'!C558)/'TP2'!C1, "")</f>
        <v/>
      </c>
    </row>
    <row r="559" spans="3:4" x14ac:dyDescent="0.3">
      <c r="C559" s="2" t="str">
        <f>IF(A559&lt;&gt;"",SUM(B559),"")</f>
        <v/>
      </c>
      <c r="D559" s="2" t="str">
        <f>IF(A559&lt;&gt;"",('TP2'!D1*'TP2'!C559)/'TP2'!C1, "")</f>
        <v/>
      </c>
    </row>
    <row r="560" spans="3:4" x14ac:dyDescent="0.3">
      <c r="C560" s="2" t="str">
        <f>IF(A560&lt;&gt;"",SUM(B560),"")</f>
        <v/>
      </c>
      <c r="D560" s="2" t="str">
        <f>IF(A560&lt;&gt;"",('TP2'!D1*'TP2'!C560)/'TP2'!C1, "")</f>
        <v/>
      </c>
    </row>
    <row r="561" spans="3:4" x14ac:dyDescent="0.3">
      <c r="C561" s="2" t="str">
        <f>IF(A561&lt;&gt;"",SUM(B561),"")</f>
        <v/>
      </c>
      <c r="D561" s="2" t="str">
        <f>IF(A561&lt;&gt;"",('TP2'!D1*'TP2'!C561)/'TP2'!C1, "")</f>
        <v/>
      </c>
    </row>
    <row r="562" spans="3:4" x14ac:dyDescent="0.3">
      <c r="C562" s="2" t="str">
        <f>IF(A562&lt;&gt;"",SUM(B562),"")</f>
        <v/>
      </c>
      <c r="D562" s="2" t="str">
        <f>IF(A562&lt;&gt;"",('TP2'!D1*'TP2'!C562)/'TP2'!C1, "")</f>
        <v/>
      </c>
    </row>
    <row r="563" spans="3:4" x14ac:dyDescent="0.3">
      <c r="C563" s="2" t="str">
        <f>IF(A563&lt;&gt;"",SUM(B563),"")</f>
        <v/>
      </c>
      <c r="D563" s="2" t="str">
        <f>IF(A563&lt;&gt;"",('TP2'!D1*'TP2'!C563)/'TP2'!C1, "")</f>
        <v/>
      </c>
    </row>
    <row r="564" spans="3:4" x14ac:dyDescent="0.3">
      <c r="C564" s="2" t="str">
        <f>IF(A564&lt;&gt;"",SUM(B564),"")</f>
        <v/>
      </c>
      <c r="D564" s="2" t="str">
        <f>IF(A564&lt;&gt;"",('TP2'!D1*'TP2'!C564)/'TP2'!C1, "")</f>
        <v/>
      </c>
    </row>
    <row r="565" spans="3:4" x14ac:dyDescent="0.3">
      <c r="C565" s="2" t="str">
        <f>IF(A565&lt;&gt;"",SUM(B565),"")</f>
        <v/>
      </c>
      <c r="D565" s="2" t="str">
        <f>IF(A565&lt;&gt;"",('TP2'!D1*'TP2'!C565)/'TP2'!C1, "")</f>
        <v/>
      </c>
    </row>
    <row r="566" spans="3:4" x14ac:dyDescent="0.3">
      <c r="C566" s="2" t="str">
        <f>IF(A566&lt;&gt;"",SUM(B566),"")</f>
        <v/>
      </c>
      <c r="D566" s="2" t="str">
        <f>IF(A566&lt;&gt;"",('TP2'!D1*'TP2'!C566)/'TP2'!C1, "")</f>
        <v/>
      </c>
    </row>
    <row r="567" spans="3:4" x14ac:dyDescent="0.3">
      <c r="C567" s="2" t="str">
        <f>IF(A567&lt;&gt;"",SUM(B567),"")</f>
        <v/>
      </c>
      <c r="D567" s="2" t="str">
        <f>IF(A567&lt;&gt;"",('TP2'!D1*'TP2'!C567)/'TP2'!C1, "")</f>
        <v/>
      </c>
    </row>
    <row r="568" spans="3:4" x14ac:dyDescent="0.3">
      <c r="C568" s="2" t="str">
        <f>IF(A568&lt;&gt;"",SUM(B568),"")</f>
        <v/>
      </c>
      <c r="D568" s="2" t="str">
        <f>IF(A568&lt;&gt;"",('TP2'!D1*'TP2'!C568)/'TP2'!C1, "")</f>
        <v/>
      </c>
    </row>
    <row r="569" spans="3:4" x14ac:dyDescent="0.3">
      <c r="C569" s="2" t="str">
        <f>IF(A569&lt;&gt;"",SUM(B569),"")</f>
        <v/>
      </c>
      <c r="D569" s="2" t="str">
        <f>IF(A569&lt;&gt;"",('TP2'!D1*'TP2'!C569)/'TP2'!C1, "")</f>
        <v/>
      </c>
    </row>
    <row r="570" spans="3:4" x14ac:dyDescent="0.3">
      <c r="C570" s="2" t="str">
        <f>IF(A570&lt;&gt;"",SUM(B570),"")</f>
        <v/>
      </c>
      <c r="D570" s="2" t="str">
        <f>IF(A570&lt;&gt;"",('TP2'!D1*'TP2'!C570)/'TP2'!C1, "")</f>
        <v/>
      </c>
    </row>
    <row r="571" spans="3:4" x14ac:dyDescent="0.3">
      <c r="C571" s="2" t="str">
        <f>IF(A571&lt;&gt;"",SUM(B571),"")</f>
        <v/>
      </c>
      <c r="D571" s="2" t="str">
        <f>IF(A571&lt;&gt;"",('TP2'!D1*'TP2'!C571)/'TP2'!C1, "")</f>
        <v/>
      </c>
    </row>
    <row r="572" spans="3:4" x14ac:dyDescent="0.3">
      <c r="C572" s="2" t="str">
        <f>IF(A572&lt;&gt;"",SUM(B572),"")</f>
        <v/>
      </c>
      <c r="D572" s="2" t="str">
        <f>IF(A572&lt;&gt;"",('TP2'!D1*'TP2'!C572)/'TP2'!C1, "")</f>
        <v/>
      </c>
    </row>
    <row r="573" spans="3:4" x14ac:dyDescent="0.3">
      <c r="C573" s="2" t="str">
        <f>IF(A573&lt;&gt;"",SUM(B573),"")</f>
        <v/>
      </c>
      <c r="D573" s="2" t="str">
        <f>IF(A573&lt;&gt;"",('TP2'!D1*'TP2'!C573)/'TP2'!C1, "")</f>
        <v/>
      </c>
    </row>
    <row r="574" spans="3:4" x14ac:dyDescent="0.3">
      <c r="C574" s="2" t="str">
        <f>IF(A574&lt;&gt;"",SUM(B574),"")</f>
        <v/>
      </c>
      <c r="D574" s="2" t="str">
        <f>IF(A574&lt;&gt;"",('TP2'!D1*'TP2'!C574)/'TP2'!C1, "")</f>
        <v/>
      </c>
    </row>
    <row r="575" spans="3:4" x14ac:dyDescent="0.3">
      <c r="C575" s="2" t="str">
        <f>IF(A575&lt;&gt;"",SUM(B575),"")</f>
        <v/>
      </c>
      <c r="D575" s="2" t="str">
        <f>IF(A575&lt;&gt;"",('TP2'!D1*'TP2'!C575)/'TP2'!C1, "")</f>
        <v/>
      </c>
    </row>
    <row r="576" spans="3:4" x14ac:dyDescent="0.3">
      <c r="C576" s="2" t="str">
        <f>IF(A576&lt;&gt;"",SUM(B576),"")</f>
        <v/>
      </c>
      <c r="D576" s="2" t="str">
        <f>IF(A576&lt;&gt;"",('TP2'!D1*'TP2'!C576)/'TP2'!C1, "")</f>
        <v/>
      </c>
    </row>
    <row r="577" spans="3:4" x14ac:dyDescent="0.3">
      <c r="C577" s="2" t="str">
        <f>IF(A577&lt;&gt;"",SUM(B577),"")</f>
        <v/>
      </c>
      <c r="D577" s="2" t="str">
        <f>IF(A577&lt;&gt;"",('TP2'!D1*'TP2'!C577)/'TP2'!C1, "")</f>
        <v/>
      </c>
    </row>
    <row r="578" spans="3:4" x14ac:dyDescent="0.3">
      <c r="C578" s="2" t="str">
        <f>IF(A578&lt;&gt;"",SUM(B578),"")</f>
        <v/>
      </c>
      <c r="D578" s="2" t="str">
        <f>IF(A578&lt;&gt;"",('TP2'!D1*'TP2'!C578)/'TP2'!C1, "")</f>
        <v/>
      </c>
    </row>
    <row r="579" spans="3:4" x14ac:dyDescent="0.3">
      <c r="C579" s="2" t="str">
        <f>IF(A579&lt;&gt;"",SUM(B579),"")</f>
        <v/>
      </c>
      <c r="D579" s="2" t="str">
        <f>IF(A579&lt;&gt;"",('TP2'!D1*'TP2'!C579)/'TP2'!C1, "")</f>
        <v/>
      </c>
    </row>
    <row r="580" spans="3:4" x14ac:dyDescent="0.3">
      <c r="C580" s="2" t="str">
        <f>IF(A580&lt;&gt;"",SUM(B580),"")</f>
        <v/>
      </c>
      <c r="D580" s="2" t="str">
        <f>IF(A580&lt;&gt;"",('TP2'!D1*'TP2'!C580)/'TP2'!C1, "")</f>
        <v/>
      </c>
    </row>
    <row r="581" spans="3:4" x14ac:dyDescent="0.3">
      <c r="C581" s="2" t="str">
        <f>IF(A581&lt;&gt;"",SUM(B581),"")</f>
        <v/>
      </c>
      <c r="D581" s="2" t="str">
        <f>IF(A581&lt;&gt;"",('TP2'!D1*'TP2'!C581)/'TP2'!C1, "")</f>
        <v/>
      </c>
    </row>
    <row r="582" spans="3:4" x14ac:dyDescent="0.3">
      <c r="C582" s="2" t="str">
        <f>IF(A582&lt;&gt;"",SUM(B582),"")</f>
        <v/>
      </c>
      <c r="D582" s="2" t="str">
        <f>IF(A582&lt;&gt;"",('TP2'!D1*'TP2'!C582)/'TP2'!C1, "")</f>
        <v/>
      </c>
    </row>
    <row r="583" spans="3:4" x14ac:dyDescent="0.3">
      <c r="C583" s="2" t="str">
        <f>IF(A583&lt;&gt;"",SUM(B583),"")</f>
        <v/>
      </c>
      <c r="D583" s="2" t="str">
        <f>IF(A583&lt;&gt;"",('TP2'!D1*'TP2'!C583)/'TP2'!C1, "")</f>
        <v/>
      </c>
    </row>
    <row r="584" spans="3:4" x14ac:dyDescent="0.3">
      <c r="C584" s="2" t="str">
        <f>IF(A584&lt;&gt;"",SUM(B584),"")</f>
        <v/>
      </c>
      <c r="D584" s="2" t="str">
        <f>IF(A584&lt;&gt;"",('TP2'!D1*'TP2'!C584)/'TP2'!C1, "")</f>
        <v/>
      </c>
    </row>
    <row r="585" spans="3:4" x14ac:dyDescent="0.3">
      <c r="C585" s="2" t="str">
        <f>IF(A585&lt;&gt;"",SUM(B585),"")</f>
        <v/>
      </c>
      <c r="D585" s="2" t="str">
        <f>IF(A585&lt;&gt;"",('TP2'!D1*'TP2'!C585)/'TP2'!C1, "")</f>
        <v/>
      </c>
    </row>
    <row r="586" spans="3:4" x14ac:dyDescent="0.3">
      <c r="C586" s="2" t="str">
        <f>IF(A586&lt;&gt;"",SUM(B586),"")</f>
        <v/>
      </c>
      <c r="D586" s="2" t="str">
        <f>IF(A586&lt;&gt;"",('TP2'!D1*'TP2'!C586)/'TP2'!C1, "")</f>
        <v/>
      </c>
    </row>
    <row r="587" spans="3:4" x14ac:dyDescent="0.3">
      <c r="C587" s="2" t="str">
        <f>IF(A587&lt;&gt;"",SUM(B587),"")</f>
        <v/>
      </c>
      <c r="D587" s="2" t="str">
        <f>IF(A587&lt;&gt;"",('TP2'!D1*'TP2'!C587)/'TP2'!C1, "")</f>
        <v/>
      </c>
    </row>
    <row r="588" spans="3:4" x14ac:dyDescent="0.3">
      <c r="C588" s="2" t="str">
        <f>IF(A588&lt;&gt;"",SUM(B588),"")</f>
        <v/>
      </c>
      <c r="D588" s="2" t="str">
        <f>IF(A588&lt;&gt;"",('TP2'!D1*'TP2'!C588)/'TP2'!C1, "")</f>
        <v/>
      </c>
    </row>
    <row r="589" spans="3:4" x14ac:dyDescent="0.3">
      <c r="C589" s="2" t="str">
        <f>IF(A589&lt;&gt;"",SUM(B589),"")</f>
        <v/>
      </c>
      <c r="D589" s="2" t="str">
        <f>IF(A589&lt;&gt;"",('TP2'!D1*'TP2'!C589)/'TP2'!C1, "")</f>
        <v/>
      </c>
    </row>
    <row r="590" spans="3:4" x14ac:dyDescent="0.3">
      <c r="C590" s="2" t="str">
        <f>IF(A590&lt;&gt;"",SUM(B590),"")</f>
        <v/>
      </c>
      <c r="D590" s="2" t="str">
        <f>IF(A590&lt;&gt;"",('TP2'!D1*'TP2'!C590)/'TP2'!C1, "")</f>
        <v/>
      </c>
    </row>
    <row r="591" spans="3:4" x14ac:dyDescent="0.3">
      <c r="C591" s="2" t="str">
        <f>IF(A591&lt;&gt;"",SUM(B591),"")</f>
        <v/>
      </c>
      <c r="D591" s="2" t="str">
        <f>IF(A591&lt;&gt;"",('TP2'!D1*'TP2'!C591)/'TP2'!C1, "")</f>
        <v/>
      </c>
    </row>
    <row r="592" spans="3:4" x14ac:dyDescent="0.3">
      <c r="C592" s="2" t="str">
        <f>IF(A592&lt;&gt;"",SUM(B592),"")</f>
        <v/>
      </c>
      <c r="D592" s="2" t="str">
        <f>IF(A592&lt;&gt;"",('TP2'!D1*'TP2'!C592)/'TP2'!C1, "")</f>
        <v/>
      </c>
    </row>
    <row r="593" spans="3:4" x14ac:dyDescent="0.3">
      <c r="C593" s="2" t="str">
        <f>IF(A593&lt;&gt;"",SUM(B593),"")</f>
        <v/>
      </c>
      <c r="D593" s="2" t="str">
        <f>IF(A593&lt;&gt;"",('TP2'!D1*'TP2'!C593)/'TP2'!C1, "")</f>
        <v/>
      </c>
    </row>
    <row r="594" spans="3:4" x14ac:dyDescent="0.3">
      <c r="C594" s="2" t="str">
        <f>IF(A594&lt;&gt;"",SUM(B594),"")</f>
        <v/>
      </c>
      <c r="D594" s="2" t="str">
        <f>IF(A594&lt;&gt;"",('TP2'!D1*'TP2'!C594)/'TP2'!C1, "")</f>
        <v/>
      </c>
    </row>
    <row r="595" spans="3:4" x14ac:dyDescent="0.3">
      <c r="C595" s="2" t="str">
        <f>IF(A595&lt;&gt;"",SUM(B595),"")</f>
        <v/>
      </c>
      <c r="D595" s="2" t="str">
        <f>IF(A595&lt;&gt;"",('TP2'!D1*'TP2'!C595)/'TP2'!C1, "")</f>
        <v/>
      </c>
    </row>
    <row r="596" spans="3:4" x14ac:dyDescent="0.3">
      <c r="C596" s="2" t="str">
        <f>IF(A596&lt;&gt;"",SUM(B596),"")</f>
        <v/>
      </c>
      <c r="D596" s="2" t="str">
        <f>IF(A596&lt;&gt;"",('TP2'!D1*'TP2'!C596)/'TP2'!C1, "")</f>
        <v/>
      </c>
    </row>
    <row r="597" spans="3:4" x14ac:dyDescent="0.3">
      <c r="C597" s="2" t="str">
        <f>IF(A597&lt;&gt;"",SUM(B597),"")</f>
        <v/>
      </c>
      <c r="D597" s="2" t="str">
        <f>IF(A597&lt;&gt;"",('TP2'!D1*'TP2'!C597)/'TP2'!C1, "")</f>
        <v/>
      </c>
    </row>
    <row r="598" spans="3:4" x14ac:dyDescent="0.3">
      <c r="C598" s="2" t="str">
        <f>IF(A598&lt;&gt;"",SUM(B598),"")</f>
        <v/>
      </c>
      <c r="D598" s="2" t="str">
        <f>IF(A598&lt;&gt;"",('TP2'!D1*'TP2'!C598)/'TP2'!C1, "")</f>
        <v/>
      </c>
    </row>
    <row r="599" spans="3:4" x14ac:dyDescent="0.3">
      <c r="C599" s="2" t="str">
        <f>IF(A599&lt;&gt;"",SUM(B599),"")</f>
        <v/>
      </c>
      <c r="D599" s="2" t="str">
        <f>IF(A599&lt;&gt;"",('TP2'!D1*'TP2'!C599)/'TP2'!C1, "")</f>
        <v/>
      </c>
    </row>
    <row r="600" spans="3:4" x14ac:dyDescent="0.3">
      <c r="C600" s="2" t="str">
        <f>IF(A600&lt;&gt;"",SUM(B600),"")</f>
        <v/>
      </c>
      <c r="D600" s="2" t="str">
        <f>IF(A600&lt;&gt;"",('TP2'!D1*'TP2'!C600)/'TP2'!C1, "")</f>
        <v/>
      </c>
    </row>
    <row r="601" spans="3:4" x14ac:dyDescent="0.3">
      <c r="C601" s="2" t="str">
        <f>IF(A601&lt;&gt;"",SUM(B601),"")</f>
        <v/>
      </c>
      <c r="D601" s="2" t="str">
        <f>IF(A601&lt;&gt;"",('TP2'!D1*'TP2'!C601)/'TP2'!C1, "")</f>
        <v/>
      </c>
    </row>
    <row r="602" spans="3:4" x14ac:dyDescent="0.3">
      <c r="C602" s="2" t="str">
        <f>IF(A602&lt;&gt;"",SUM(B602),"")</f>
        <v/>
      </c>
      <c r="D602" s="2" t="str">
        <f>IF(A602&lt;&gt;"",('TP2'!D1*'TP2'!C602)/'TP2'!C1, "")</f>
        <v/>
      </c>
    </row>
    <row r="603" spans="3:4" x14ac:dyDescent="0.3">
      <c r="C603" s="2" t="str">
        <f>IF(A603&lt;&gt;"",SUM(B603),"")</f>
        <v/>
      </c>
      <c r="D603" s="2" t="str">
        <f>IF(A603&lt;&gt;"",('TP2'!D1*'TP2'!C603)/'TP2'!C1, "")</f>
        <v/>
      </c>
    </row>
    <row r="604" spans="3:4" x14ac:dyDescent="0.3">
      <c r="C604" s="2" t="str">
        <f>IF(A604&lt;&gt;"",SUM(B604),"")</f>
        <v/>
      </c>
      <c r="D604" s="2" t="str">
        <f>IF(A604&lt;&gt;"",('TP2'!D1*'TP2'!C604)/'TP2'!C1, "")</f>
        <v/>
      </c>
    </row>
    <row r="605" spans="3:4" x14ac:dyDescent="0.3">
      <c r="C605" s="2" t="str">
        <f>IF(A605&lt;&gt;"",SUM(B605),"")</f>
        <v/>
      </c>
      <c r="D605" s="2" t="str">
        <f>IF(A605&lt;&gt;"",('TP2'!D1*'TP2'!C605)/'TP2'!C1, "")</f>
        <v/>
      </c>
    </row>
    <row r="606" spans="3:4" x14ac:dyDescent="0.3">
      <c r="C606" s="2" t="str">
        <f>IF(A606&lt;&gt;"",SUM(B606),"")</f>
        <v/>
      </c>
      <c r="D606" s="2" t="str">
        <f>IF(A606&lt;&gt;"",('TP2'!D1*'TP2'!C606)/'TP2'!C1, "")</f>
        <v/>
      </c>
    </row>
    <row r="607" spans="3:4" x14ac:dyDescent="0.3">
      <c r="C607" s="2" t="str">
        <f>IF(A607&lt;&gt;"",SUM(B607),"")</f>
        <v/>
      </c>
      <c r="D607" s="2" t="str">
        <f>IF(A607&lt;&gt;"",('TP2'!D1*'TP2'!C607)/'TP2'!C1, "")</f>
        <v/>
      </c>
    </row>
    <row r="608" spans="3:4" x14ac:dyDescent="0.3">
      <c r="C608" s="2" t="str">
        <f>IF(A608&lt;&gt;"",SUM(B608),"")</f>
        <v/>
      </c>
      <c r="D608" s="2" t="str">
        <f>IF(A608&lt;&gt;"",('TP2'!D1*'TP2'!C608)/'TP2'!C1, "")</f>
        <v/>
      </c>
    </row>
    <row r="609" spans="3:4" x14ac:dyDescent="0.3">
      <c r="C609" s="2" t="str">
        <f>IF(A609&lt;&gt;"",SUM(B609),"")</f>
        <v/>
      </c>
      <c r="D609" s="2" t="str">
        <f>IF(A609&lt;&gt;"",('TP2'!D1*'TP2'!C609)/'TP2'!C1, "")</f>
        <v/>
      </c>
    </row>
    <row r="610" spans="3:4" x14ac:dyDescent="0.3">
      <c r="C610" s="2" t="str">
        <f>IF(A610&lt;&gt;"",SUM(B610),"")</f>
        <v/>
      </c>
      <c r="D610" s="2" t="str">
        <f>IF(A610&lt;&gt;"",('TP2'!D1*'TP2'!C610)/'TP2'!C1, "")</f>
        <v/>
      </c>
    </row>
    <row r="611" spans="3:4" x14ac:dyDescent="0.3">
      <c r="C611" s="2" t="str">
        <f>IF(A611&lt;&gt;"",SUM(B611),"")</f>
        <v/>
      </c>
      <c r="D611" s="2" t="str">
        <f>IF(A611&lt;&gt;"",('TP2'!D1*'TP2'!C611)/'TP2'!C1, "")</f>
        <v/>
      </c>
    </row>
    <row r="612" spans="3:4" x14ac:dyDescent="0.3">
      <c r="C612" s="2" t="str">
        <f>IF(A612&lt;&gt;"",SUM(B612),"")</f>
        <v/>
      </c>
      <c r="D612" s="2" t="str">
        <f>IF(A612&lt;&gt;"",('TP2'!D1*'TP2'!C612)/'TP2'!C1, "")</f>
        <v/>
      </c>
    </row>
    <row r="613" spans="3:4" x14ac:dyDescent="0.3">
      <c r="C613" s="2" t="str">
        <f>IF(A613&lt;&gt;"",SUM(B613),"")</f>
        <v/>
      </c>
      <c r="D613" s="2" t="str">
        <f>IF(A613&lt;&gt;"",('TP2'!D1*'TP2'!C613)/'TP2'!C1, "")</f>
        <v/>
      </c>
    </row>
    <row r="614" spans="3:4" x14ac:dyDescent="0.3">
      <c r="C614" s="2" t="str">
        <f>IF(A614&lt;&gt;"",SUM(B614),"")</f>
        <v/>
      </c>
      <c r="D614" s="2" t="str">
        <f>IF(A614&lt;&gt;"",('TP2'!D1*'TP2'!C614)/'TP2'!C1, "")</f>
        <v/>
      </c>
    </row>
    <row r="615" spans="3:4" x14ac:dyDescent="0.3">
      <c r="C615" s="2" t="str">
        <f>IF(A615&lt;&gt;"",SUM(B615),"")</f>
        <v/>
      </c>
      <c r="D615" s="2" t="str">
        <f>IF(A615&lt;&gt;"",('TP2'!D1*'TP2'!C615)/'TP2'!C1, "")</f>
        <v/>
      </c>
    </row>
    <row r="616" spans="3:4" x14ac:dyDescent="0.3">
      <c r="C616" s="2" t="str">
        <f>IF(A616&lt;&gt;"",SUM(B616),"")</f>
        <v/>
      </c>
      <c r="D616" s="2" t="str">
        <f>IF(A616&lt;&gt;"",('TP2'!D1*'TP2'!C616)/'TP2'!C1, "")</f>
        <v/>
      </c>
    </row>
    <row r="617" spans="3:4" x14ac:dyDescent="0.3">
      <c r="C617" s="2" t="str">
        <f>IF(A617&lt;&gt;"",SUM(B617),"")</f>
        <v/>
      </c>
      <c r="D617" s="2" t="str">
        <f>IF(A617&lt;&gt;"",('TP2'!D1*'TP2'!C617)/'TP2'!C1, "")</f>
        <v/>
      </c>
    </row>
    <row r="618" spans="3:4" x14ac:dyDescent="0.3">
      <c r="C618" s="2" t="str">
        <f>IF(A618&lt;&gt;"",SUM(B618),"")</f>
        <v/>
      </c>
      <c r="D618" s="2" t="str">
        <f>IF(A618&lt;&gt;"",('TP2'!D1*'TP2'!C618)/'TP2'!C1, "")</f>
        <v/>
      </c>
    </row>
    <row r="619" spans="3:4" x14ac:dyDescent="0.3">
      <c r="C619" s="2" t="str">
        <f>IF(A619&lt;&gt;"",SUM(B619),"")</f>
        <v/>
      </c>
      <c r="D619" s="2" t="str">
        <f>IF(A619&lt;&gt;"",('TP2'!D1*'TP2'!C619)/'TP2'!C1, "")</f>
        <v/>
      </c>
    </row>
    <row r="620" spans="3:4" x14ac:dyDescent="0.3">
      <c r="C620" s="2" t="str">
        <f>IF(A620&lt;&gt;"",SUM(B620),"")</f>
        <v/>
      </c>
      <c r="D620" s="2" t="str">
        <f>IF(A620&lt;&gt;"",('TP2'!D1*'TP2'!C620)/'TP2'!C1, "")</f>
        <v/>
      </c>
    </row>
    <row r="621" spans="3:4" x14ac:dyDescent="0.3">
      <c r="C621" s="2" t="str">
        <f>IF(A621&lt;&gt;"",SUM(B621),"")</f>
        <v/>
      </c>
      <c r="D621" s="2" t="str">
        <f>IF(A621&lt;&gt;"",('TP2'!D1*'TP2'!C621)/'TP2'!C1, "")</f>
        <v/>
      </c>
    </row>
    <row r="622" spans="3:4" x14ac:dyDescent="0.3">
      <c r="C622" s="2" t="str">
        <f>IF(A622&lt;&gt;"",SUM(B622),"")</f>
        <v/>
      </c>
      <c r="D622" s="2" t="str">
        <f>IF(A622&lt;&gt;"",('TP2'!D1*'TP2'!C622)/'TP2'!C1, "")</f>
        <v/>
      </c>
    </row>
    <row r="623" spans="3:4" x14ac:dyDescent="0.3">
      <c r="C623" s="2" t="str">
        <f>IF(A623&lt;&gt;"",SUM(B623),"")</f>
        <v/>
      </c>
      <c r="D623" s="2" t="str">
        <f>IF(A623&lt;&gt;"",('TP2'!D1*'TP2'!C623)/'TP2'!C1, "")</f>
        <v/>
      </c>
    </row>
    <row r="624" spans="3:4" x14ac:dyDescent="0.3">
      <c r="C624" s="2" t="str">
        <f>IF(A624&lt;&gt;"",SUM(B624),"")</f>
        <v/>
      </c>
      <c r="D624" s="2" t="str">
        <f>IF(A624&lt;&gt;"",('TP2'!D1*'TP2'!C624)/'TP2'!C1, "")</f>
        <v/>
      </c>
    </row>
    <row r="625" spans="3:4" x14ac:dyDescent="0.3">
      <c r="C625" s="2" t="str">
        <f>IF(A625&lt;&gt;"",SUM(B625),"")</f>
        <v/>
      </c>
      <c r="D625" s="2" t="str">
        <f>IF(A625&lt;&gt;"",('TP2'!D1*'TP2'!C625)/'TP2'!C1, "")</f>
        <v/>
      </c>
    </row>
    <row r="626" spans="3:4" x14ac:dyDescent="0.3">
      <c r="C626" s="2" t="str">
        <f>IF(A626&lt;&gt;"",SUM(B626),"")</f>
        <v/>
      </c>
      <c r="D626" s="2" t="str">
        <f>IF(A626&lt;&gt;"",('TP2'!D1*'TP2'!C626)/'TP2'!C1, "")</f>
        <v/>
      </c>
    </row>
    <row r="627" spans="3:4" x14ac:dyDescent="0.3">
      <c r="C627" s="2" t="str">
        <f>IF(A627&lt;&gt;"",SUM(B627),"")</f>
        <v/>
      </c>
      <c r="D627" s="2" t="str">
        <f>IF(A627&lt;&gt;"",('TP2'!D1*'TP2'!C627)/'TP2'!C1, "")</f>
        <v/>
      </c>
    </row>
    <row r="628" spans="3:4" x14ac:dyDescent="0.3">
      <c r="C628" s="2" t="str">
        <f>IF(A628&lt;&gt;"",SUM(B628),"")</f>
        <v/>
      </c>
      <c r="D628" s="2" t="str">
        <f>IF(A628&lt;&gt;"",('TP2'!D1*'TP2'!C628)/'TP2'!C1, "")</f>
        <v/>
      </c>
    </row>
    <row r="629" spans="3:4" x14ac:dyDescent="0.3">
      <c r="C629" s="2" t="str">
        <f>IF(A629&lt;&gt;"",SUM(B629),"")</f>
        <v/>
      </c>
      <c r="D629" s="2" t="str">
        <f>IF(A629&lt;&gt;"",('TP2'!D1*'TP2'!C629)/'TP2'!C1, "")</f>
        <v/>
      </c>
    </row>
    <row r="630" spans="3:4" x14ac:dyDescent="0.3">
      <c r="C630" s="2" t="str">
        <f>IF(A630&lt;&gt;"",SUM(B630),"")</f>
        <v/>
      </c>
      <c r="D630" s="2" t="str">
        <f>IF(A630&lt;&gt;"",('TP2'!D1*'TP2'!C630)/'TP2'!C1, "")</f>
        <v/>
      </c>
    </row>
    <row r="631" spans="3:4" x14ac:dyDescent="0.3">
      <c r="C631" s="2" t="str">
        <f>IF(A631&lt;&gt;"",SUM(B631),"")</f>
        <v/>
      </c>
      <c r="D631" s="2" t="str">
        <f>IF(A631&lt;&gt;"",('TP2'!D1*'TP2'!C631)/'TP2'!C1, "")</f>
        <v/>
      </c>
    </row>
    <row r="632" spans="3:4" x14ac:dyDescent="0.3">
      <c r="C632" s="2" t="str">
        <f>IF(A632&lt;&gt;"",SUM(B632),"")</f>
        <v/>
      </c>
      <c r="D632" s="2" t="str">
        <f>IF(A632&lt;&gt;"",('TP2'!D1*'TP2'!C632)/'TP2'!C1, "")</f>
        <v/>
      </c>
    </row>
    <row r="633" spans="3:4" x14ac:dyDescent="0.3">
      <c r="C633" s="2" t="str">
        <f>IF(A633&lt;&gt;"",SUM(B633),"")</f>
        <v/>
      </c>
      <c r="D633" s="2" t="str">
        <f>IF(A633&lt;&gt;"",('TP2'!D1*'TP2'!C633)/'TP2'!C1, "")</f>
        <v/>
      </c>
    </row>
    <row r="634" spans="3:4" x14ac:dyDescent="0.3">
      <c r="C634" s="2" t="str">
        <f>IF(A634&lt;&gt;"",SUM(B634),"")</f>
        <v/>
      </c>
      <c r="D634" s="2" t="str">
        <f>IF(A634&lt;&gt;"",('TP2'!D1*'TP2'!C634)/'TP2'!C1, "")</f>
        <v/>
      </c>
    </row>
    <row r="635" spans="3:4" x14ac:dyDescent="0.3">
      <c r="C635" s="2" t="str">
        <f>IF(A635&lt;&gt;"",SUM(B635),"")</f>
        <v/>
      </c>
      <c r="D635" s="2" t="str">
        <f>IF(A635&lt;&gt;"",('TP2'!D1*'TP2'!C635)/'TP2'!C1, "")</f>
        <v/>
      </c>
    </row>
    <row r="636" spans="3:4" x14ac:dyDescent="0.3">
      <c r="C636" s="2" t="str">
        <f>IF(A636&lt;&gt;"",SUM(B636),"")</f>
        <v/>
      </c>
      <c r="D636" s="2" t="str">
        <f>IF(A636&lt;&gt;"",('TP2'!D1*'TP2'!C636)/'TP2'!C1, "")</f>
        <v/>
      </c>
    </row>
    <row r="637" spans="3:4" x14ac:dyDescent="0.3">
      <c r="C637" s="2" t="str">
        <f>IF(A637&lt;&gt;"",SUM(B637),"")</f>
        <v/>
      </c>
      <c r="D637" s="2" t="str">
        <f>IF(A637&lt;&gt;"",('TP2'!D1*'TP2'!C637)/'TP2'!C1, "")</f>
        <v/>
      </c>
    </row>
    <row r="638" spans="3:4" x14ac:dyDescent="0.3">
      <c r="C638" s="2" t="str">
        <f>IF(A638&lt;&gt;"",SUM(B638),"")</f>
        <v/>
      </c>
      <c r="D638" s="2" t="str">
        <f>IF(A638&lt;&gt;"",('TP2'!D1*'TP2'!C638)/'TP2'!C1, "")</f>
        <v/>
      </c>
    </row>
    <row r="639" spans="3:4" x14ac:dyDescent="0.3">
      <c r="C639" s="2" t="str">
        <f>IF(A639&lt;&gt;"",SUM(B639),"")</f>
        <v/>
      </c>
      <c r="D639" s="2" t="str">
        <f>IF(A639&lt;&gt;"",('TP2'!D1*'TP2'!C639)/'TP2'!C1, "")</f>
        <v/>
      </c>
    </row>
    <row r="640" spans="3:4" x14ac:dyDescent="0.3">
      <c r="C640" s="2" t="str">
        <f>IF(A640&lt;&gt;"",SUM(B640),"")</f>
        <v/>
      </c>
      <c r="D640" s="2" t="str">
        <f>IF(A640&lt;&gt;"",('TP2'!D1*'TP2'!C640)/'TP2'!C1, "")</f>
        <v/>
      </c>
    </row>
    <row r="641" spans="3:4" x14ac:dyDescent="0.3">
      <c r="C641" s="2" t="str">
        <f>IF(A641&lt;&gt;"",SUM(B641),"")</f>
        <v/>
      </c>
      <c r="D641" s="2" t="str">
        <f>IF(A641&lt;&gt;"",('TP2'!D1*'TP2'!C641)/'TP2'!C1, "")</f>
        <v/>
      </c>
    </row>
    <row r="642" spans="3:4" x14ac:dyDescent="0.3">
      <c r="C642" s="2" t="str">
        <f>IF(A642&lt;&gt;"",SUM(B642),"")</f>
        <v/>
      </c>
      <c r="D642" s="2" t="str">
        <f>IF(A642&lt;&gt;"",('TP2'!D1*'TP2'!C642)/'TP2'!C1, "")</f>
        <v/>
      </c>
    </row>
    <row r="643" spans="3:4" x14ac:dyDescent="0.3">
      <c r="C643" s="2" t="str">
        <f>IF(A643&lt;&gt;"",SUM(B643),"")</f>
        <v/>
      </c>
      <c r="D643" s="2" t="str">
        <f>IF(A643&lt;&gt;"",('TP2'!D1*'TP2'!C643)/'TP2'!C1, "")</f>
        <v/>
      </c>
    </row>
    <row r="644" spans="3:4" x14ac:dyDescent="0.3">
      <c r="C644" s="2" t="str">
        <f>IF(A644&lt;&gt;"",SUM(B644),"")</f>
        <v/>
      </c>
      <c r="D644" s="2" t="str">
        <f>IF(A644&lt;&gt;"",('TP2'!D1*'TP2'!C644)/'TP2'!C1, "")</f>
        <v/>
      </c>
    </row>
    <row r="645" spans="3:4" x14ac:dyDescent="0.3">
      <c r="C645" s="2" t="str">
        <f>IF(A645&lt;&gt;"",SUM(B645),"")</f>
        <v/>
      </c>
      <c r="D645" s="2" t="str">
        <f>IF(A645&lt;&gt;"",('TP2'!D1*'TP2'!C645)/'TP2'!C1, "")</f>
        <v/>
      </c>
    </row>
    <row r="646" spans="3:4" x14ac:dyDescent="0.3">
      <c r="C646" s="2" t="str">
        <f>IF(A646&lt;&gt;"",SUM(B646),"")</f>
        <v/>
      </c>
      <c r="D646" s="2" t="str">
        <f>IF(A646&lt;&gt;"",('TP2'!D1*'TP2'!C646)/'TP2'!C1, "")</f>
        <v/>
      </c>
    </row>
    <row r="647" spans="3:4" x14ac:dyDescent="0.3">
      <c r="C647" s="2" t="str">
        <f>IF(A647&lt;&gt;"",SUM(B647),"")</f>
        <v/>
      </c>
      <c r="D647" s="2" t="str">
        <f>IF(A647&lt;&gt;"",('TP2'!D1*'TP2'!C647)/'TP2'!C1, "")</f>
        <v/>
      </c>
    </row>
    <row r="648" spans="3:4" x14ac:dyDescent="0.3">
      <c r="C648" s="2" t="str">
        <f>IF(A648&lt;&gt;"",SUM(B648),"")</f>
        <v/>
      </c>
      <c r="D648" s="2" t="str">
        <f>IF(A648&lt;&gt;"",('TP2'!D1*'TP2'!C648)/'TP2'!C1, "")</f>
        <v/>
      </c>
    </row>
    <row r="649" spans="3:4" x14ac:dyDescent="0.3">
      <c r="C649" s="2" t="str">
        <f>IF(A649&lt;&gt;"",SUM(B649),"")</f>
        <v/>
      </c>
      <c r="D649" s="2" t="str">
        <f>IF(A649&lt;&gt;"",('TP2'!D1*'TP2'!C649)/'TP2'!C1, "")</f>
        <v/>
      </c>
    </row>
    <row r="650" spans="3:4" x14ac:dyDescent="0.3">
      <c r="C650" s="2" t="str">
        <f>IF(A650&lt;&gt;"",SUM(B650),"")</f>
        <v/>
      </c>
      <c r="D650" s="2" t="str">
        <f>IF(A650&lt;&gt;"",('TP2'!D1*'TP2'!C650)/'TP2'!C1, "")</f>
        <v/>
      </c>
    </row>
    <row r="651" spans="3:4" x14ac:dyDescent="0.3">
      <c r="C651" s="2" t="str">
        <f>IF(A651&lt;&gt;"",SUM(B651),"")</f>
        <v/>
      </c>
      <c r="D651" s="2" t="str">
        <f>IF(A651&lt;&gt;"",('TP2'!D1*'TP2'!C651)/'TP2'!C1, "")</f>
        <v/>
      </c>
    </row>
    <row r="652" spans="3:4" x14ac:dyDescent="0.3">
      <c r="C652" s="2" t="str">
        <f>IF(A652&lt;&gt;"",SUM(B652),"")</f>
        <v/>
      </c>
      <c r="D652" s="2" t="str">
        <f>IF(A652&lt;&gt;"",('TP2'!D1*'TP2'!C652)/'TP2'!C1, "")</f>
        <v/>
      </c>
    </row>
    <row r="653" spans="3:4" x14ac:dyDescent="0.3">
      <c r="C653" s="2" t="str">
        <f>IF(A653&lt;&gt;"",SUM(B653),"")</f>
        <v/>
      </c>
      <c r="D653" s="2" t="str">
        <f>IF(A653&lt;&gt;"",('TP2'!D1*'TP2'!C653)/'TP2'!C1, "")</f>
        <v/>
      </c>
    </row>
    <row r="654" spans="3:4" x14ac:dyDescent="0.3">
      <c r="C654" s="2" t="str">
        <f>IF(A654&lt;&gt;"",SUM(B654),"")</f>
        <v/>
      </c>
      <c r="D654" s="2" t="str">
        <f>IF(A654&lt;&gt;"",('TP2'!D1*'TP2'!C654)/'TP2'!C1, "")</f>
        <v/>
      </c>
    </row>
    <row r="655" spans="3:4" x14ac:dyDescent="0.3">
      <c r="C655" s="2" t="str">
        <f>IF(A655&lt;&gt;"",SUM(B655),"")</f>
        <v/>
      </c>
      <c r="D655" s="2" t="str">
        <f>IF(A655&lt;&gt;"",('TP2'!D1*'TP2'!C655)/'TP2'!C1, "")</f>
        <v/>
      </c>
    </row>
    <row r="656" spans="3:4" x14ac:dyDescent="0.3">
      <c r="C656" s="2" t="str">
        <f>IF(A656&lt;&gt;"",SUM(B656),"")</f>
        <v/>
      </c>
      <c r="D656" s="2" t="str">
        <f>IF(A656&lt;&gt;"",('TP2'!D1*'TP2'!C656)/'TP2'!C1, "")</f>
        <v/>
      </c>
    </row>
    <row r="657" spans="3:4" x14ac:dyDescent="0.3">
      <c r="C657" s="2" t="str">
        <f>IF(A657&lt;&gt;"",SUM(B657),"")</f>
        <v/>
      </c>
      <c r="D657" s="2" t="str">
        <f>IF(A657&lt;&gt;"",('TP2'!D1*'TP2'!C657)/'TP2'!C1, "")</f>
        <v/>
      </c>
    </row>
    <row r="658" spans="3:4" x14ac:dyDescent="0.3">
      <c r="C658" s="2" t="str">
        <f>IF(A658&lt;&gt;"",SUM(B658),"")</f>
        <v/>
      </c>
      <c r="D658" s="2" t="str">
        <f>IF(A658&lt;&gt;"",('TP2'!D1*'TP2'!C658)/'TP2'!C1, "")</f>
        <v/>
      </c>
    </row>
    <row r="659" spans="3:4" x14ac:dyDescent="0.3">
      <c r="C659" s="2" t="str">
        <f>IF(A659&lt;&gt;"",SUM(B659),"")</f>
        <v/>
      </c>
      <c r="D659" s="2" t="str">
        <f>IF(A659&lt;&gt;"",('TP2'!D1*'TP2'!C659)/'TP2'!C1, "")</f>
        <v/>
      </c>
    </row>
    <row r="660" spans="3:4" x14ac:dyDescent="0.3">
      <c r="C660" s="2" t="str">
        <f>IF(A660&lt;&gt;"",SUM(B660),"")</f>
        <v/>
      </c>
      <c r="D660" s="2" t="str">
        <f>IF(A660&lt;&gt;"",('TP2'!D1*'TP2'!C660)/'TP2'!C1, "")</f>
        <v/>
      </c>
    </row>
    <row r="661" spans="3:4" x14ac:dyDescent="0.3">
      <c r="C661" s="2" t="str">
        <f>IF(A661&lt;&gt;"",SUM(B661),"")</f>
        <v/>
      </c>
      <c r="D661" s="2" t="str">
        <f>IF(A661&lt;&gt;"",('TP2'!D1*'TP2'!C661)/'TP2'!C1, "")</f>
        <v/>
      </c>
    </row>
    <row r="662" spans="3:4" x14ac:dyDescent="0.3">
      <c r="C662" s="2" t="str">
        <f>IF(A662&lt;&gt;"",SUM(B662),"")</f>
        <v/>
      </c>
      <c r="D662" s="2" t="str">
        <f>IF(A662&lt;&gt;"",('TP2'!D1*'TP2'!C662)/'TP2'!C1, "")</f>
        <v/>
      </c>
    </row>
    <row r="663" spans="3:4" x14ac:dyDescent="0.3">
      <c r="C663" s="2" t="str">
        <f>IF(A663&lt;&gt;"",SUM(B663),"")</f>
        <v/>
      </c>
      <c r="D663" s="2" t="str">
        <f>IF(A663&lt;&gt;"",('TP2'!D1*'TP2'!C663)/'TP2'!C1, "")</f>
        <v/>
      </c>
    </row>
    <row r="664" spans="3:4" x14ac:dyDescent="0.3">
      <c r="C664" s="2" t="str">
        <f>IF(A664&lt;&gt;"",SUM(B664),"")</f>
        <v/>
      </c>
      <c r="D664" s="2" t="str">
        <f>IF(A664&lt;&gt;"",('TP2'!D1*'TP2'!C664)/'TP2'!C1, "")</f>
        <v/>
      </c>
    </row>
    <row r="665" spans="3:4" x14ac:dyDescent="0.3">
      <c r="C665" s="2" t="str">
        <f>IF(A665&lt;&gt;"",SUM(B665),"")</f>
        <v/>
      </c>
      <c r="D665" s="2" t="str">
        <f>IF(A665&lt;&gt;"",('TP2'!D1*'TP2'!C665)/'TP2'!C1, "")</f>
        <v/>
      </c>
    </row>
    <row r="666" spans="3:4" x14ac:dyDescent="0.3">
      <c r="C666" s="2" t="str">
        <f>IF(A666&lt;&gt;"",SUM(B666),"")</f>
        <v/>
      </c>
      <c r="D666" s="2" t="str">
        <f>IF(A666&lt;&gt;"",('TP2'!D1*'TP2'!C666)/'TP2'!C1, "")</f>
        <v/>
      </c>
    </row>
    <row r="667" spans="3:4" x14ac:dyDescent="0.3">
      <c r="C667" s="2" t="str">
        <f>IF(A667&lt;&gt;"",SUM(B667),"")</f>
        <v/>
      </c>
      <c r="D667" s="2" t="str">
        <f>IF(A667&lt;&gt;"",('TP2'!D1*'TP2'!C667)/'TP2'!C1, "")</f>
        <v/>
      </c>
    </row>
    <row r="668" spans="3:4" x14ac:dyDescent="0.3">
      <c r="C668" s="2" t="str">
        <f>IF(A668&lt;&gt;"",SUM(B668),"")</f>
        <v/>
      </c>
      <c r="D668" s="2" t="str">
        <f>IF(A668&lt;&gt;"",('TP2'!D1*'TP2'!C668)/'TP2'!C1, "")</f>
        <v/>
      </c>
    </row>
    <row r="669" spans="3:4" x14ac:dyDescent="0.3">
      <c r="C669" s="2" t="str">
        <f>IF(A669&lt;&gt;"",SUM(B669),"")</f>
        <v/>
      </c>
      <c r="D669" s="2" t="str">
        <f>IF(A669&lt;&gt;"",('TP2'!D1*'TP2'!C669)/'TP2'!C1, "")</f>
        <v/>
      </c>
    </row>
    <row r="670" spans="3:4" x14ac:dyDescent="0.3">
      <c r="C670" s="2" t="str">
        <f>IF(A670&lt;&gt;"",SUM(B670),"")</f>
        <v/>
      </c>
      <c r="D670" s="2" t="str">
        <f>IF(A670&lt;&gt;"",('TP2'!D1*'TP2'!C670)/'TP2'!C1, "")</f>
        <v/>
      </c>
    </row>
    <row r="671" spans="3:4" x14ac:dyDescent="0.3">
      <c r="C671" s="2" t="str">
        <f>IF(A671&lt;&gt;"",SUM(B671),"")</f>
        <v/>
      </c>
      <c r="D671" s="2" t="str">
        <f>IF(A671&lt;&gt;"",('TP2'!D1*'TP2'!C671)/'TP2'!C1, "")</f>
        <v/>
      </c>
    </row>
    <row r="672" spans="3:4" x14ac:dyDescent="0.3">
      <c r="C672" s="2" t="str">
        <f>IF(A672&lt;&gt;"",SUM(B672),"")</f>
        <v/>
      </c>
      <c r="D672" s="2" t="str">
        <f>IF(A672&lt;&gt;"",('TP2'!D1*'TP2'!C672)/'TP2'!C1, "")</f>
        <v/>
      </c>
    </row>
    <row r="673" spans="3:4" x14ac:dyDescent="0.3">
      <c r="C673" s="2" t="str">
        <f>IF(A673&lt;&gt;"",SUM(B673),"")</f>
        <v/>
      </c>
      <c r="D673" s="2" t="str">
        <f>IF(A673&lt;&gt;"",('TP2'!D1*'TP2'!C673)/'TP2'!C1, "")</f>
        <v/>
      </c>
    </row>
    <row r="674" spans="3:4" x14ac:dyDescent="0.3">
      <c r="C674" s="2" t="str">
        <f>IF(A674&lt;&gt;"",SUM(B674),"")</f>
        <v/>
      </c>
      <c r="D674" s="2" t="str">
        <f>IF(A674&lt;&gt;"",('TP2'!D1*'TP2'!C674)/'TP2'!C1, "")</f>
        <v/>
      </c>
    </row>
    <row r="675" spans="3:4" x14ac:dyDescent="0.3">
      <c r="C675" s="2" t="str">
        <f>IF(A675&lt;&gt;"",SUM(B675),"")</f>
        <v/>
      </c>
      <c r="D675" s="2" t="str">
        <f>IF(A675&lt;&gt;"",('TP2'!D1*'TP2'!C675)/'TP2'!C1, "")</f>
        <v/>
      </c>
    </row>
    <row r="676" spans="3:4" x14ac:dyDescent="0.3">
      <c r="C676" s="2" t="str">
        <f>IF(A676&lt;&gt;"",SUM(B676),"")</f>
        <v/>
      </c>
      <c r="D676" s="2" t="str">
        <f>IF(A676&lt;&gt;"",('TP2'!D1*'TP2'!C676)/'TP2'!C1, "")</f>
        <v/>
      </c>
    </row>
    <row r="677" spans="3:4" x14ac:dyDescent="0.3">
      <c r="C677" s="2" t="str">
        <f>IF(A677&lt;&gt;"",SUM(B677),"")</f>
        <v/>
      </c>
      <c r="D677" s="2" t="str">
        <f>IF(A677&lt;&gt;"",('TP2'!D1*'TP2'!C677)/'TP2'!C1, "")</f>
        <v/>
      </c>
    </row>
    <row r="678" spans="3:4" x14ac:dyDescent="0.3">
      <c r="C678" s="2" t="str">
        <f>IF(A678&lt;&gt;"",SUM(B678),"")</f>
        <v/>
      </c>
      <c r="D678" s="2" t="str">
        <f>IF(A678&lt;&gt;"",('TP2'!D1*'TP2'!C678)/'TP2'!C1, "")</f>
        <v/>
      </c>
    </row>
    <row r="679" spans="3:4" x14ac:dyDescent="0.3">
      <c r="C679" s="2" t="str">
        <f>IF(A679&lt;&gt;"",SUM(B679),"")</f>
        <v/>
      </c>
      <c r="D679" s="2" t="str">
        <f>IF(A679&lt;&gt;"",('TP2'!D1*'TP2'!C679)/'TP2'!C1, "")</f>
        <v/>
      </c>
    </row>
    <row r="680" spans="3:4" x14ac:dyDescent="0.3">
      <c r="C680" s="2" t="str">
        <f>IF(A680&lt;&gt;"",SUM(B680),"")</f>
        <v/>
      </c>
      <c r="D680" s="2" t="str">
        <f>IF(A680&lt;&gt;"",('TP2'!D1*'TP2'!C680)/'TP2'!C1, "")</f>
        <v/>
      </c>
    </row>
    <row r="681" spans="3:4" x14ac:dyDescent="0.3">
      <c r="C681" s="2" t="str">
        <f>IF(A681&lt;&gt;"",SUM(B681),"")</f>
        <v/>
      </c>
      <c r="D681" s="2" t="str">
        <f>IF(A681&lt;&gt;"",('TP2'!D1*'TP2'!C681)/'TP2'!C1, "")</f>
        <v/>
      </c>
    </row>
    <row r="682" spans="3:4" x14ac:dyDescent="0.3">
      <c r="C682" s="2" t="str">
        <f>IF(A682&lt;&gt;"",SUM(B682),"")</f>
        <v/>
      </c>
      <c r="D682" s="2" t="str">
        <f>IF(A682&lt;&gt;"",('TP2'!D1*'TP2'!C682)/'TP2'!C1, "")</f>
        <v/>
      </c>
    </row>
    <row r="683" spans="3:4" x14ac:dyDescent="0.3">
      <c r="C683" s="2" t="str">
        <f>IF(A683&lt;&gt;"",SUM(B683),"")</f>
        <v/>
      </c>
      <c r="D683" s="2" t="str">
        <f>IF(A683&lt;&gt;"",('TP2'!D1*'TP2'!C683)/'TP2'!C1, "")</f>
        <v/>
      </c>
    </row>
    <row r="684" spans="3:4" x14ac:dyDescent="0.3">
      <c r="C684" s="2" t="str">
        <f>IF(A684&lt;&gt;"",SUM(B684),"")</f>
        <v/>
      </c>
      <c r="D684" s="2" t="str">
        <f>IF(A684&lt;&gt;"",('TP2'!D1*'TP2'!C684)/'TP2'!C1, "")</f>
        <v/>
      </c>
    </row>
    <row r="685" spans="3:4" x14ac:dyDescent="0.3">
      <c r="C685" s="2" t="str">
        <f>IF(A685&lt;&gt;"",SUM(B685),"")</f>
        <v/>
      </c>
      <c r="D685" s="2" t="str">
        <f>IF(A685&lt;&gt;"",('TP2'!D1*'TP2'!C685)/'TP2'!C1, "")</f>
        <v/>
      </c>
    </row>
    <row r="686" spans="3:4" x14ac:dyDescent="0.3">
      <c r="C686" s="2" t="str">
        <f>IF(A686&lt;&gt;"",SUM(B686),"")</f>
        <v/>
      </c>
      <c r="D686" s="2" t="str">
        <f>IF(A686&lt;&gt;"",('TP2'!D1*'TP2'!C686)/'TP2'!C1, "")</f>
        <v/>
      </c>
    </row>
    <row r="687" spans="3:4" x14ac:dyDescent="0.3">
      <c r="C687" s="2" t="str">
        <f>IF(A687&lt;&gt;"",SUM(B687),"")</f>
        <v/>
      </c>
      <c r="D687" s="2" t="str">
        <f>IF(A687&lt;&gt;"",('TP2'!D1*'TP2'!C687)/'TP2'!C1, "")</f>
        <v/>
      </c>
    </row>
    <row r="688" spans="3:4" x14ac:dyDescent="0.3">
      <c r="C688" s="2" t="str">
        <f>IF(A688&lt;&gt;"",SUM(B688),"")</f>
        <v/>
      </c>
      <c r="D688" s="2" t="str">
        <f>IF(A688&lt;&gt;"",('TP2'!D1*'TP2'!C688)/'TP2'!C1, "")</f>
        <v/>
      </c>
    </row>
    <row r="689" spans="3:4" x14ac:dyDescent="0.3">
      <c r="C689" s="2" t="str">
        <f>IF(A689&lt;&gt;"",SUM(B689),"")</f>
        <v/>
      </c>
      <c r="D689" s="2" t="str">
        <f>IF(A689&lt;&gt;"",('TP2'!D1*'TP2'!C689)/'TP2'!C1, "")</f>
        <v/>
      </c>
    </row>
    <row r="690" spans="3:4" x14ac:dyDescent="0.3">
      <c r="C690" s="2" t="str">
        <f>IF(A690&lt;&gt;"",SUM(B690),"")</f>
        <v/>
      </c>
      <c r="D690" s="2" t="str">
        <f>IF(A690&lt;&gt;"",('TP2'!D1*'TP2'!C690)/'TP2'!C1, "")</f>
        <v/>
      </c>
    </row>
    <row r="691" spans="3:4" x14ac:dyDescent="0.3">
      <c r="C691" s="2" t="str">
        <f>IF(A691&lt;&gt;"",SUM(B691),"")</f>
        <v/>
      </c>
      <c r="D691" s="2" t="str">
        <f>IF(A691&lt;&gt;"",('TP2'!D1*'TP2'!C691)/'TP2'!C1, "")</f>
        <v/>
      </c>
    </row>
    <row r="692" spans="3:4" x14ac:dyDescent="0.3">
      <c r="C692" s="2" t="str">
        <f>IF(A692&lt;&gt;"",SUM(B692),"")</f>
        <v/>
      </c>
      <c r="D692" s="2" t="str">
        <f>IF(A692&lt;&gt;"",('TP2'!D1*'TP2'!C692)/'TP2'!C1, "")</f>
        <v/>
      </c>
    </row>
    <row r="693" spans="3:4" x14ac:dyDescent="0.3">
      <c r="C693" s="2" t="str">
        <f>IF(A693&lt;&gt;"",SUM(B693),"")</f>
        <v/>
      </c>
      <c r="D693" s="2" t="str">
        <f>IF(A693&lt;&gt;"",('TP2'!D1*'TP2'!C693)/'TP2'!C1, "")</f>
        <v/>
      </c>
    </row>
    <row r="694" spans="3:4" x14ac:dyDescent="0.3">
      <c r="C694" s="2" t="str">
        <f>IF(A694&lt;&gt;"",SUM(B694),"")</f>
        <v/>
      </c>
      <c r="D694" s="2" t="str">
        <f>IF(A694&lt;&gt;"",('TP2'!D1*'TP2'!C694)/'TP2'!C1, "")</f>
        <v/>
      </c>
    </row>
    <row r="695" spans="3:4" x14ac:dyDescent="0.3">
      <c r="C695" s="2" t="str">
        <f>IF(A695&lt;&gt;"",SUM(B695),"")</f>
        <v/>
      </c>
      <c r="D695" s="2" t="str">
        <f>IF(A695&lt;&gt;"",('TP2'!D1*'TP2'!C695)/'TP2'!C1, "")</f>
        <v/>
      </c>
    </row>
    <row r="696" spans="3:4" x14ac:dyDescent="0.3">
      <c r="C696" s="2" t="str">
        <f>IF(A696&lt;&gt;"",SUM(B696),"")</f>
        <v/>
      </c>
      <c r="D696" s="2" t="str">
        <f>IF(A696&lt;&gt;"",('TP2'!D1*'TP2'!C696)/'TP2'!C1, "")</f>
        <v/>
      </c>
    </row>
    <row r="697" spans="3:4" x14ac:dyDescent="0.3">
      <c r="C697" s="2" t="str">
        <f>IF(A697&lt;&gt;"",SUM(B697),"")</f>
        <v/>
      </c>
      <c r="D697" s="2" t="str">
        <f>IF(A697&lt;&gt;"",('TP2'!D1*'TP2'!C697)/'TP2'!C1, "")</f>
        <v/>
      </c>
    </row>
    <row r="698" spans="3:4" x14ac:dyDescent="0.3">
      <c r="C698" s="2" t="str">
        <f>IF(A698&lt;&gt;"",SUM(B698),"")</f>
        <v/>
      </c>
      <c r="D698" s="2" t="str">
        <f>IF(A698&lt;&gt;"",('TP2'!D1*'TP2'!C698)/'TP2'!C1, "")</f>
        <v/>
      </c>
    </row>
    <row r="699" spans="3:4" x14ac:dyDescent="0.3">
      <c r="C699" s="2" t="str">
        <f>IF(A699&lt;&gt;"",SUM(B699),"")</f>
        <v/>
      </c>
      <c r="D699" s="2" t="str">
        <f>IF(A699&lt;&gt;"",('TP2'!D1*'TP2'!C699)/'TP2'!C1, "")</f>
        <v/>
      </c>
    </row>
    <row r="700" spans="3:4" x14ac:dyDescent="0.3">
      <c r="C700" s="2" t="str">
        <f>IF(A700&lt;&gt;"",SUM(B700),"")</f>
        <v/>
      </c>
      <c r="D700" s="2" t="str">
        <f>IF(A700&lt;&gt;"",('TP2'!D1*'TP2'!C700)/'TP2'!C1, "")</f>
        <v/>
      </c>
    </row>
    <row r="701" spans="3:4" x14ac:dyDescent="0.3">
      <c r="C701" s="2" t="str">
        <f>IF(A701&lt;&gt;"",SUM(B701),"")</f>
        <v/>
      </c>
      <c r="D701" s="2" t="str">
        <f>IF(A701&lt;&gt;"",('TP2'!D1*'TP2'!C701)/'TP2'!C1, "")</f>
        <v/>
      </c>
    </row>
    <row r="702" spans="3:4" x14ac:dyDescent="0.3">
      <c r="C702" s="2" t="str">
        <f>IF(A702&lt;&gt;"",SUM(B702),"")</f>
        <v/>
      </c>
      <c r="D702" s="2" t="str">
        <f>IF(A702&lt;&gt;"",('TP2'!D1*'TP2'!C702)/'TP2'!C1, "")</f>
        <v/>
      </c>
    </row>
    <row r="703" spans="3:4" x14ac:dyDescent="0.3">
      <c r="C703" s="2" t="str">
        <f>IF(A703&lt;&gt;"",SUM(B703),"")</f>
        <v/>
      </c>
      <c r="D703" s="2" t="str">
        <f>IF(A703&lt;&gt;"",('TP2'!D1*'TP2'!C703)/'TP2'!C1, "")</f>
        <v/>
      </c>
    </row>
    <row r="704" spans="3:4" x14ac:dyDescent="0.3">
      <c r="C704" s="2" t="str">
        <f>IF(A704&lt;&gt;"",SUM(B704),"")</f>
        <v/>
      </c>
      <c r="D704" s="2" t="str">
        <f>IF(A704&lt;&gt;"",('TP2'!D1*'TP2'!C704)/'TP2'!C1, "")</f>
        <v/>
      </c>
    </row>
    <row r="705" spans="3:4" x14ac:dyDescent="0.3">
      <c r="C705" s="2" t="str">
        <f>IF(A705&lt;&gt;"",SUM(B705),"")</f>
        <v/>
      </c>
      <c r="D705" s="2" t="str">
        <f>IF(A705&lt;&gt;"",('TP2'!D1*'TP2'!C705)/'TP2'!C1, "")</f>
        <v/>
      </c>
    </row>
    <row r="706" spans="3:4" x14ac:dyDescent="0.3">
      <c r="C706" s="2" t="str">
        <f>IF(A706&lt;&gt;"",SUM(B706),"")</f>
        <v/>
      </c>
      <c r="D706" s="2" t="str">
        <f>IF(A706&lt;&gt;"",('TP2'!D1*'TP2'!C706)/'TP2'!C1, "")</f>
        <v/>
      </c>
    </row>
    <row r="707" spans="3:4" x14ac:dyDescent="0.3">
      <c r="C707" s="2" t="str">
        <f>IF(A707&lt;&gt;"",SUM(B707),"")</f>
        <v/>
      </c>
      <c r="D707" s="2" t="str">
        <f>IF(A707&lt;&gt;"",('TP2'!D1*'TP2'!C707)/'TP2'!C1, "")</f>
        <v/>
      </c>
    </row>
    <row r="708" spans="3:4" x14ac:dyDescent="0.3">
      <c r="C708" s="2" t="str">
        <f>IF(A708&lt;&gt;"",SUM(B708),"")</f>
        <v/>
      </c>
      <c r="D708" s="2" t="str">
        <f>IF(A708&lt;&gt;"",('TP2'!D1*'TP2'!C708)/'TP2'!C1, "")</f>
        <v/>
      </c>
    </row>
    <row r="709" spans="3:4" x14ac:dyDescent="0.3">
      <c r="C709" s="2" t="str">
        <f>IF(A709&lt;&gt;"",SUM(B709),"")</f>
        <v/>
      </c>
      <c r="D709" s="2" t="str">
        <f>IF(A709&lt;&gt;"",('TP2'!D1*'TP2'!C709)/'TP2'!C1, "")</f>
        <v/>
      </c>
    </row>
    <row r="710" spans="3:4" x14ac:dyDescent="0.3">
      <c r="C710" s="2" t="str">
        <f>IF(A710&lt;&gt;"",SUM(B710),"")</f>
        <v/>
      </c>
      <c r="D710" s="2" t="str">
        <f>IF(A710&lt;&gt;"",('TP2'!D1*'TP2'!C710)/'TP2'!C1, "")</f>
        <v/>
      </c>
    </row>
    <row r="711" spans="3:4" x14ac:dyDescent="0.3">
      <c r="C711" s="2" t="str">
        <f>IF(A711&lt;&gt;"",SUM(B711),"")</f>
        <v/>
      </c>
      <c r="D711" s="2" t="str">
        <f>IF(A711&lt;&gt;"",('TP2'!D1*'TP2'!C711)/'TP2'!C1, "")</f>
        <v/>
      </c>
    </row>
    <row r="712" spans="3:4" x14ac:dyDescent="0.3">
      <c r="C712" s="2" t="str">
        <f>IF(A712&lt;&gt;"",SUM(B712),"")</f>
        <v/>
      </c>
      <c r="D712" s="2" t="str">
        <f>IF(A712&lt;&gt;"",('TP2'!D1*'TP2'!C712)/'TP2'!C1, "")</f>
        <v/>
      </c>
    </row>
    <row r="713" spans="3:4" x14ac:dyDescent="0.3">
      <c r="C713" s="2" t="str">
        <f>IF(A713&lt;&gt;"",SUM(B713),"")</f>
        <v/>
      </c>
      <c r="D713" s="2" t="str">
        <f>IF(A713&lt;&gt;"",('TP2'!D1*'TP2'!C713)/'TP2'!C1, "")</f>
        <v/>
      </c>
    </row>
    <row r="714" spans="3:4" x14ac:dyDescent="0.3">
      <c r="C714" s="2" t="str">
        <f>IF(A714&lt;&gt;"",SUM(B714),"")</f>
        <v/>
      </c>
      <c r="D714" s="2" t="str">
        <f>IF(A714&lt;&gt;"",('TP2'!D1*'TP2'!C714)/'TP2'!C1, "")</f>
        <v/>
      </c>
    </row>
    <row r="715" spans="3:4" x14ac:dyDescent="0.3">
      <c r="C715" s="2" t="str">
        <f>IF(A715&lt;&gt;"",SUM(B715),"")</f>
        <v/>
      </c>
      <c r="D715" s="2" t="str">
        <f>IF(A715&lt;&gt;"",('TP2'!D1*'TP2'!C715)/'TP2'!C1, "")</f>
        <v/>
      </c>
    </row>
    <row r="716" spans="3:4" x14ac:dyDescent="0.3">
      <c r="C716" s="2" t="str">
        <f>IF(A716&lt;&gt;"",SUM(B716),"")</f>
        <v/>
      </c>
      <c r="D716" s="2" t="str">
        <f>IF(A716&lt;&gt;"",('TP2'!D1*'TP2'!C716)/'TP2'!C1, "")</f>
        <v/>
      </c>
    </row>
    <row r="717" spans="3:4" x14ac:dyDescent="0.3">
      <c r="C717" s="2" t="str">
        <f>IF(A717&lt;&gt;"",SUM(B717),"")</f>
        <v/>
      </c>
      <c r="D717" s="2" t="str">
        <f>IF(A717&lt;&gt;"",('TP2'!D1*'TP2'!C717)/'TP2'!C1, "")</f>
        <v/>
      </c>
    </row>
    <row r="718" spans="3:4" x14ac:dyDescent="0.3">
      <c r="C718" s="2" t="str">
        <f>IF(A718&lt;&gt;"",SUM(B718),"")</f>
        <v/>
      </c>
      <c r="D718" s="2" t="str">
        <f>IF(A718&lt;&gt;"",('TP2'!D1*'TP2'!C718)/'TP2'!C1, "")</f>
        <v/>
      </c>
    </row>
    <row r="719" spans="3:4" x14ac:dyDescent="0.3">
      <c r="C719" s="2" t="str">
        <f>IF(A719&lt;&gt;"",SUM(B719),"")</f>
        <v/>
      </c>
      <c r="D719" s="2" t="str">
        <f>IF(A719&lt;&gt;"",('TP2'!D1*'TP2'!C719)/'TP2'!C1, "")</f>
        <v/>
      </c>
    </row>
    <row r="720" spans="3:4" x14ac:dyDescent="0.3">
      <c r="C720" s="2" t="str">
        <f>IF(A720&lt;&gt;"",SUM(B720),"")</f>
        <v/>
      </c>
      <c r="D720" s="2" t="str">
        <f>IF(A720&lt;&gt;"",('TP2'!D1*'TP2'!C720)/'TP2'!C1, "")</f>
        <v/>
      </c>
    </row>
    <row r="721" spans="3:4" x14ac:dyDescent="0.3">
      <c r="C721" s="2" t="str">
        <f>IF(A721&lt;&gt;"",SUM(B721),"")</f>
        <v/>
      </c>
      <c r="D721" s="2" t="str">
        <f>IF(A721&lt;&gt;"",('TP2'!D1*'TP2'!C721)/'TP2'!C1, "")</f>
        <v/>
      </c>
    </row>
    <row r="722" spans="3:4" x14ac:dyDescent="0.3">
      <c r="C722" s="2" t="str">
        <f>IF(A722&lt;&gt;"",SUM(B722),"")</f>
        <v/>
      </c>
      <c r="D722" s="2" t="str">
        <f>IF(A722&lt;&gt;"",('TP2'!D1*'TP2'!C722)/'TP2'!C1, "")</f>
        <v/>
      </c>
    </row>
    <row r="723" spans="3:4" x14ac:dyDescent="0.3">
      <c r="C723" s="2" t="str">
        <f>IF(A723&lt;&gt;"",SUM(B723),"")</f>
        <v/>
      </c>
      <c r="D723" s="2" t="str">
        <f>IF(A723&lt;&gt;"",('TP2'!D1*'TP2'!C723)/'TP2'!C1, "")</f>
        <v/>
      </c>
    </row>
    <row r="724" spans="3:4" x14ac:dyDescent="0.3">
      <c r="C724" s="2" t="str">
        <f>IF(A724&lt;&gt;"",SUM(B724),"")</f>
        <v/>
      </c>
      <c r="D724" s="2" t="str">
        <f>IF(A724&lt;&gt;"",('TP2'!D1*'TP2'!C724)/'TP2'!C1, "")</f>
        <v/>
      </c>
    </row>
    <row r="725" spans="3:4" x14ac:dyDescent="0.3">
      <c r="C725" s="2" t="str">
        <f>IF(A725&lt;&gt;"",SUM(B725),"")</f>
        <v/>
      </c>
      <c r="D725" s="2" t="str">
        <f>IF(A725&lt;&gt;"",('TP2'!D1*'TP2'!C725)/'TP2'!C1, "")</f>
        <v/>
      </c>
    </row>
    <row r="726" spans="3:4" x14ac:dyDescent="0.3">
      <c r="C726" s="2" t="str">
        <f>IF(A726&lt;&gt;"",SUM(B726),"")</f>
        <v/>
      </c>
      <c r="D726" s="2" t="str">
        <f>IF(A726&lt;&gt;"",('TP2'!D1*'TP2'!C726)/'TP2'!C1, "")</f>
        <v/>
      </c>
    </row>
    <row r="727" spans="3:4" x14ac:dyDescent="0.3">
      <c r="C727" s="2" t="str">
        <f>IF(A727&lt;&gt;"",SUM(B727),"")</f>
        <v/>
      </c>
      <c r="D727" s="2" t="str">
        <f>IF(A727&lt;&gt;"",('TP2'!D1*'TP2'!C727)/'TP2'!C1, "")</f>
        <v/>
      </c>
    </row>
    <row r="728" spans="3:4" x14ac:dyDescent="0.3">
      <c r="C728" s="2" t="str">
        <f>IF(A728&lt;&gt;"",SUM(B728),"")</f>
        <v/>
      </c>
      <c r="D728" s="2" t="str">
        <f>IF(A728&lt;&gt;"",('TP2'!D1*'TP2'!C728)/'TP2'!C1, "")</f>
        <v/>
      </c>
    </row>
    <row r="729" spans="3:4" x14ac:dyDescent="0.3">
      <c r="C729" s="2" t="str">
        <f>IF(A729&lt;&gt;"",SUM(B729),"")</f>
        <v/>
      </c>
      <c r="D729" s="2" t="str">
        <f>IF(A729&lt;&gt;"",('TP2'!D1*'TP2'!C729)/'TP2'!C1, "")</f>
        <v/>
      </c>
    </row>
    <row r="730" spans="3:4" x14ac:dyDescent="0.3">
      <c r="C730" s="2" t="str">
        <f>IF(A730&lt;&gt;"",SUM(B730),"")</f>
        <v/>
      </c>
      <c r="D730" s="2" t="str">
        <f>IF(A730&lt;&gt;"",('TP2'!D1*'TP2'!C730)/'TP2'!C1, "")</f>
        <v/>
      </c>
    </row>
    <row r="731" spans="3:4" x14ac:dyDescent="0.3">
      <c r="C731" s="2" t="str">
        <f>IF(A731&lt;&gt;"",SUM(B731),"")</f>
        <v/>
      </c>
      <c r="D731" s="2" t="str">
        <f>IF(A731&lt;&gt;"",('TP2'!D1*'TP2'!C731)/'TP2'!C1, "")</f>
        <v/>
      </c>
    </row>
    <row r="732" spans="3:4" x14ac:dyDescent="0.3">
      <c r="C732" s="2" t="str">
        <f>IF(A732&lt;&gt;"",SUM(B732),"")</f>
        <v/>
      </c>
      <c r="D732" s="2" t="str">
        <f>IF(A732&lt;&gt;"",('TP2'!D1*'TP2'!C732)/'TP2'!C1, "")</f>
        <v/>
      </c>
    </row>
    <row r="733" spans="3:4" x14ac:dyDescent="0.3">
      <c r="C733" s="2" t="str">
        <f>IF(A733&lt;&gt;"",SUM(B733),"")</f>
        <v/>
      </c>
      <c r="D733" s="2" t="str">
        <f>IF(A733&lt;&gt;"",('TP2'!D1*'TP2'!C733)/'TP2'!C1, "")</f>
        <v/>
      </c>
    </row>
    <row r="734" spans="3:4" x14ac:dyDescent="0.3">
      <c r="C734" s="2" t="str">
        <f>IF(A734&lt;&gt;"",SUM(B734),"")</f>
        <v/>
      </c>
      <c r="D734" s="2" t="str">
        <f>IF(A734&lt;&gt;"",('TP2'!D1*'TP2'!C734)/'TP2'!C1, "")</f>
        <v/>
      </c>
    </row>
    <row r="735" spans="3:4" x14ac:dyDescent="0.3">
      <c r="C735" s="2" t="str">
        <f>IF(A735&lt;&gt;"",SUM(B735),"")</f>
        <v/>
      </c>
      <c r="D735" s="2" t="str">
        <f>IF(A735&lt;&gt;"",('TP2'!D1*'TP2'!C735)/'TP2'!C1, "")</f>
        <v/>
      </c>
    </row>
    <row r="736" spans="3:4" x14ac:dyDescent="0.3">
      <c r="C736" s="2" t="str">
        <f>IF(A736&lt;&gt;"",SUM(B736),"")</f>
        <v/>
      </c>
      <c r="D736" s="2" t="str">
        <f>IF(A736&lt;&gt;"",('TP2'!D1*'TP2'!C736)/'TP2'!C1, "")</f>
        <v/>
      </c>
    </row>
    <row r="737" spans="3:4" x14ac:dyDescent="0.3">
      <c r="C737" s="2" t="str">
        <f>IF(A737&lt;&gt;"",SUM(B737),"")</f>
        <v/>
      </c>
      <c r="D737" s="2" t="str">
        <f>IF(A737&lt;&gt;"",('TP2'!D1*'TP2'!C737)/'TP2'!C1, "")</f>
        <v/>
      </c>
    </row>
    <row r="738" spans="3:4" x14ac:dyDescent="0.3">
      <c r="C738" s="2" t="str">
        <f>IF(A738&lt;&gt;"",SUM(B738),"")</f>
        <v/>
      </c>
      <c r="D738" s="2" t="str">
        <f>IF(A738&lt;&gt;"",('TP2'!D1*'TP2'!C738)/'TP2'!C1, "")</f>
        <v/>
      </c>
    </row>
    <row r="739" spans="3:4" x14ac:dyDescent="0.3">
      <c r="C739" s="2" t="str">
        <f>IF(A739&lt;&gt;"",SUM(B739),"")</f>
        <v/>
      </c>
      <c r="D739" s="2" t="str">
        <f>IF(A739&lt;&gt;"",('TP2'!D1*'TP2'!C739)/'TP2'!C1, "")</f>
        <v/>
      </c>
    </row>
    <row r="740" spans="3:4" x14ac:dyDescent="0.3">
      <c r="C740" s="2" t="str">
        <f>IF(A740&lt;&gt;"",SUM(B740),"")</f>
        <v/>
      </c>
      <c r="D740" s="2" t="str">
        <f>IF(A740&lt;&gt;"",('TP2'!D1*'TP2'!C740)/'TP2'!C1, "")</f>
        <v/>
      </c>
    </row>
    <row r="741" spans="3:4" x14ac:dyDescent="0.3">
      <c r="C741" s="2" t="str">
        <f>IF(A741&lt;&gt;"",SUM(B741),"")</f>
        <v/>
      </c>
      <c r="D741" s="2" t="str">
        <f>IF(A741&lt;&gt;"",('TP2'!D1*'TP2'!C741)/'TP2'!C1, "")</f>
        <v/>
      </c>
    </row>
    <row r="742" spans="3:4" x14ac:dyDescent="0.3">
      <c r="C742" s="2" t="str">
        <f>IF(A742&lt;&gt;"",SUM(B742),"")</f>
        <v/>
      </c>
      <c r="D742" s="2" t="str">
        <f>IF(A742&lt;&gt;"",('TP2'!D1*'TP2'!C742)/'TP2'!C1, "")</f>
        <v/>
      </c>
    </row>
    <row r="743" spans="3:4" x14ac:dyDescent="0.3">
      <c r="C743" s="2" t="str">
        <f>IF(A743&lt;&gt;"",SUM(B743),"")</f>
        <v/>
      </c>
      <c r="D743" s="2" t="str">
        <f>IF(A743&lt;&gt;"",('TP2'!D1*'TP2'!C743)/'TP2'!C1, "")</f>
        <v/>
      </c>
    </row>
    <row r="744" spans="3:4" x14ac:dyDescent="0.3">
      <c r="C744" s="2" t="str">
        <f>IF(A744&lt;&gt;"",SUM(B744),"")</f>
        <v/>
      </c>
      <c r="D744" s="2" t="str">
        <f>IF(A744&lt;&gt;"",('TP2'!D1*'TP2'!C744)/'TP2'!C1, "")</f>
        <v/>
      </c>
    </row>
    <row r="745" spans="3:4" x14ac:dyDescent="0.3">
      <c r="C745" s="2" t="str">
        <f>IF(A745&lt;&gt;"",SUM(B745),"")</f>
        <v/>
      </c>
      <c r="D745" s="2" t="str">
        <f>IF(A745&lt;&gt;"",('TP2'!D1*'TP2'!C745)/'TP2'!C1, "")</f>
        <v/>
      </c>
    </row>
    <row r="746" spans="3:4" x14ac:dyDescent="0.3">
      <c r="C746" s="2" t="str">
        <f>IF(A746&lt;&gt;"",SUM(B746),"")</f>
        <v/>
      </c>
      <c r="D746" s="2" t="str">
        <f>IF(A746&lt;&gt;"",('TP2'!D1*'TP2'!C746)/'TP2'!C1, "")</f>
        <v/>
      </c>
    </row>
    <row r="747" spans="3:4" x14ac:dyDescent="0.3">
      <c r="C747" s="2" t="str">
        <f>IF(A747&lt;&gt;"",SUM(B747),"")</f>
        <v/>
      </c>
      <c r="D747" s="2" t="str">
        <f>IF(A747&lt;&gt;"",('TP2'!D1*'TP2'!C747)/'TP2'!C1, "")</f>
        <v/>
      </c>
    </row>
    <row r="748" spans="3:4" x14ac:dyDescent="0.3">
      <c r="C748" s="2" t="str">
        <f>IF(A748&lt;&gt;"",SUM(B748),"")</f>
        <v/>
      </c>
      <c r="D748" s="2" t="str">
        <f>IF(A748&lt;&gt;"",('TP2'!D1*'TP2'!C748)/'TP2'!C1, "")</f>
        <v/>
      </c>
    </row>
    <row r="749" spans="3:4" x14ac:dyDescent="0.3">
      <c r="C749" s="2" t="str">
        <f>IF(A749&lt;&gt;"",SUM(B749),"")</f>
        <v/>
      </c>
      <c r="D749" s="2" t="str">
        <f>IF(A749&lt;&gt;"",('TP2'!D1*'TP2'!C749)/'TP2'!C1, "")</f>
        <v/>
      </c>
    </row>
    <row r="750" spans="3:4" x14ac:dyDescent="0.3">
      <c r="C750" s="2" t="str">
        <f>IF(A750&lt;&gt;"",SUM(B750),"")</f>
        <v/>
      </c>
      <c r="D750" s="2" t="str">
        <f>IF(A750&lt;&gt;"",('TP2'!D1*'TP2'!C750)/'TP2'!C1, "")</f>
        <v/>
      </c>
    </row>
    <row r="751" spans="3:4" x14ac:dyDescent="0.3">
      <c r="C751" s="2" t="str">
        <f>IF(A751&lt;&gt;"",SUM(B751),"")</f>
        <v/>
      </c>
      <c r="D751" s="2" t="str">
        <f>IF(A751&lt;&gt;"",('TP2'!D1*'TP2'!C751)/'TP2'!C1, "")</f>
        <v/>
      </c>
    </row>
    <row r="752" spans="3:4" x14ac:dyDescent="0.3">
      <c r="C752" s="2" t="str">
        <f>IF(A752&lt;&gt;"",SUM(B752),"")</f>
        <v/>
      </c>
      <c r="D752" s="2" t="str">
        <f>IF(A752&lt;&gt;"",('TP2'!D1*'TP2'!C752)/'TP2'!C1, "")</f>
        <v/>
      </c>
    </row>
    <row r="753" spans="3:4" x14ac:dyDescent="0.3">
      <c r="C753" s="2" t="str">
        <f>IF(A753&lt;&gt;"",SUM(B753),"")</f>
        <v/>
      </c>
      <c r="D753" s="2" t="str">
        <f>IF(A753&lt;&gt;"",('TP2'!D1*'TP2'!C753)/'TP2'!C1, "")</f>
        <v/>
      </c>
    </row>
    <row r="754" spans="3:4" x14ac:dyDescent="0.3">
      <c r="C754" s="2" t="str">
        <f>IF(A754&lt;&gt;"",SUM(B754),"")</f>
        <v/>
      </c>
      <c r="D754" s="2" t="str">
        <f>IF(A754&lt;&gt;"",('TP2'!D1*'TP2'!C754)/'TP2'!C1, "")</f>
        <v/>
      </c>
    </row>
    <row r="755" spans="3:4" x14ac:dyDescent="0.3">
      <c r="C755" s="2" t="str">
        <f>IF(A755&lt;&gt;"",SUM(B755),"")</f>
        <v/>
      </c>
      <c r="D755" s="2" t="str">
        <f>IF(A755&lt;&gt;"",('TP2'!D1*'TP2'!C755)/'TP2'!C1, "")</f>
        <v/>
      </c>
    </row>
    <row r="756" spans="3:4" x14ac:dyDescent="0.3">
      <c r="C756" s="2" t="str">
        <f>IF(A756&lt;&gt;"",SUM(B756),"")</f>
        <v/>
      </c>
      <c r="D756" s="2" t="str">
        <f>IF(A756&lt;&gt;"",('TP2'!D1*'TP2'!C756)/'TP2'!C1, "")</f>
        <v/>
      </c>
    </row>
    <row r="757" spans="3:4" x14ac:dyDescent="0.3">
      <c r="C757" s="2" t="str">
        <f>IF(A757&lt;&gt;"",SUM(B757),"")</f>
        <v/>
      </c>
      <c r="D757" s="2" t="str">
        <f>IF(A757&lt;&gt;"",('TP2'!D1*'TP2'!C757)/'TP2'!C1, "")</f>
        <v/>
      </c>
    </row>
    <row r="758" spans="3:4" x14ac:dyDescent="0.3">
      <c r="C758" s="2" t="str">
        <f>IF(A758&lt;&gt;"",SUM(B758),"")</f>
        <v/>
      </c>
      <c r="D758" s="2" t="str">
        <f>IF(A758&lt;&gt;"",('TP2'!D1*'TP2'!C758)/'TP2'!C1, "")</f>
        <v/>
      </c>
    </row>
    <row r="759" spans="3:4" x14ac:dyDescent="0.3">
      <c r="C759" s="2" t="str">
        <f>IF(A759&lt;&gt;"",SUM(B759),"")</f>
        <v/>
      </c>
      <c r="D759" s="2" t="str">
        <f>IF(A759&lt;&gt;"",('TP2'!D1*'TP2'!C759)/'TP2'!C1, "")</f>
        <v/>
      </c>
    </row>
    <row r="760" spans="3:4" x14ac:dyDescent="0.3">
      <c r="C760" s="2" t="str">
        <f>IF(A760&lt;&gt;"",SUM(B760),"")</f>
        <v/>
      </c>
      <c r="D760" s="2" t="str">
        <f>IF(A760&lt;&gt;"",('TP2'!D1*'TP2'!C760)/'TP2'!C1, "")</f>
        <v/>
      </c>
    </row>
    <row r="761" spans="3:4" x14ac:dyDescent="0.3">
      <c r="C761" s="2" t="str">
        <f>IF(A761&lt;&gt;"",SUM(B761),"")</f>
        <v/>
      </c>
      <c r="D761" s="2" t="str">
        <f>IF(A761&lt;&gt;"",('TP2'!D1*'TP2'!C761)/'TP2'!C1, "")</f>
        <v/>
      </c>
    </row>
    <row r="762" spans="3:4" x14ac:dyDescent="0.3">
      <c r="C762" s="2" t="str">
        <f>IF(A762&lt;&gt;"",SUM(B762),"")</f>
        <v/>
      </c>
      <c r="D762" s="2" t="str">
        <f>IF(A762&lt;&gt;"",('TP2'!D1*'TP2'!C762)/'TP2'!C1, "")</f>
        <v/>
      </c>
    </row>
    <row r="763" spans="3:4" x14ac:dyDescent="0.3">
      <c r="C763" s="2" t="str">
        <f>IF(A763&lt;&gt;"",SUM(B763),"")</f>
        <v/>
      </c>
      <c r="D763" s="2" t="str">
        <f>IF(A763&lt;&gt;"",('TP2'!D1*'TP2'!C763)/'TP2'!C1, "")</f>
        <v/>
      </c>
    </row>
    <row r="764" spans="3:4" x14ac:dyDescent="0.3">
      <c r="C764" s="2" t="str">
        <f>IF(A764&lt;&gt;"",SUM(B764),"")</f>
        <v/>
      </c>
      <c r="D764" s="2" t="str">
        <f>IF(A764&lt;&gt;"",('TP2'!D1*'TP2'!C764)/'TP2'!C1, "")</f>
        <v/>
      </c>
    </row>
    <row r="765" spans="3:4" x14ac:dyDescent="0.3">
      <c r="C765" s="2" t="str">
        <f>IF(A765&lt;&gt;"",SUM(B765),"")</f>
        <v/>
      </c>
      <c r="D765" s="2" t="str">
        <f>IF(A765&lt;&gt;"",('TP2'!D1*'TP2'!C765)/'TP2'!C1, "")</f>
        <v/>
      </c>
    </row>
    <row r="766" spans="3:4" x14ac:dyDescent="0.3">
      <c r="C766" s="2" t="str">
        <f>IF(A766&lt;&gt;"",SUM(B766),"")</f>
        <v/>
      </c>
      <c r="D766" s="2" t="str">
        <f>IF(A766&lt;&gt;"",('TP2'!D1*'TP2'!C766)/'TP2'!C1, "")</f>
        <v/>
      </c>
    </row>
    <row r="767" spans="3:4" x14ac:dyDescent="0.3">
      <c r="C767" s="2" t="str">
        <f>IF(A767&lt;&gt;"",SUM(B767),"")</f>
        <v/>
      </c>
      <c r="D767" s="2" t="str">
        <f>IF(A767&lt;&gt;"",('TP2'!D1*'TP2'!C767)/'TP2'!C1, "")</f>
        <v/>
      </c>
    </row>
    <row r="768" spans="3:4" x14ac:dyDescent="0.3">
      <c r="C768" s="2" t="str">
        <f>IF(A768&lt;&gt;"",SUM(B768),"")</f>
        <v/>
      </c>
      <c r="D768" s="2" t="str">
        <f>IF(A768&lt;&gt;"",('TP2'!D1*'TP2'!C768)/'TP2'!C1, "")</f>
        <v/>
      </c>
    </row>
    <row r="769" spans="3:4" x14ac:dyDescent="0.3">
      <c r="C769" s="2" t="str">
        <f>IF(A769&lt;&gt;"",SUM(B769),"")</f>
        <v/>
      </c>
      <c r="D769" s="2" t="str">
        <f>IF(A769&lt;&gt;"",('TP2'!D1*'TP2'!C769)/'TP2'!C1, "")</f>
        <v/>
      </c>
    </row>
    <row r="770" spans="3:4" x14ac:dyDescent="0.3">
      <c r="C770" s="2" t="str">
        <f>IF(A770&lt;&gt;"",SUM(B770),"")</f>
        <v/>
      </c>
      <c r="D770" s="2" t="str">
        <f>IF(A770&lt;&gt;"",('TP2'!D1*'TP2'!C770)/'TP2'!C1, "")</f>
        <v/>
      </c>
    </row>
    <row r="771" spans="3:4" x14ac:dyDescent="0.3">
      <c r="C771" s="2" t="str">
        <f>IF(A771&lt;&gt;"",SUM(B771),"")</f>
        <v/>
      </c>
      <c r="D771" s="2" t="str">
        <f>IF(A771&lt;&gt;"",('TP2'!D1*'TP2'!C771)/'TP2'!C1, "")</f>
        <v/>
      </c>
    </row>
    <row r="772" spans="3:4" x14ac:dyDescent="0.3">
      <c r="C772" s="2" t="str">
        <f>IF(A772&lt;&gt;"",SUM(B772),"")</f>
        <v/>
      </c>
      <c r="D772" s="2" t="str">
        <f>IF(A772&lt;&gt;"",('TP2'!D1*'TP2'!C772)/'TP2'!C1, "")</f>
        <v/>
      </c>
    </row>
    <row r="773" spans="3:4" x14ac:dyDescent="0.3">
      <c r="C773" s="2" t="str">
        <f>IF(A773&lt;&gt;"",SUM(B773),"")</f>
        <v/>
      </c>
      <c r="D773" s="2" t="str">
        <f>IF(A773&lt;&gt;"",('TP2'!D1*'TP2'!C773)/'TP2'!C1, "")</f>
        <v/>
      </c>
    </row>
    <row r="774" spans="3:4" x14ac:dyDescent="0.3">
      <c r="C774" s="2" t="str">
        <f>IF(A774&lt;&gt;"",SUM(B774),"")</f>
        <v/>
      </c>
      <c r="D774" s="2" t="str">
        <f>IF(A774&lt;&gt;"",('TP2'!D1*'TP2'!C774)/'TP2'!C1, "")</f>
        <v/>
      </c>
    </row>
    <row r="775" spans="3:4" x14ac:dyDescent="0.3">
      <c r="C775" s="2" t="str">
        <f>IF(A775&lt;&gt;"",SUM(B775),"")</f>
        <v/>
      </c>
      <c r="D775" s="2" t="str">
        <f>IF(A775&lt;&gt;"",('TP2'!D1*'TP2'!C775)/'TP2'!C1, "")</f>
        <v/>
      </c>
    </row>
    <row r="776" spans="3:4" x14ac:dyDescent="0.3">
      <c r="C776" s="2" t="str">
        <f>IF(A776&lt;&gt;"",SUM(B776),"")</f>
        <v/>
      </c>
      <c r="D776" s="2" t="str">
        <f>IF(A776&lt;&gt;"",('TP2'!D1*'TP2'!C776)/'TP2'!C1, "")</f>
        <v/>
      </c>
    </row>
    <row r="777" spans="3:4" x14ac:dyDescent="0.3">
      <c r="C777" s="2" t="str">
        <f>IF(A777&lt;&gt;"",SUM(B777),"")</f>
        <v/>
      </c>
      <c r="D777" s="2" t="str">
        <f>IF(A777&lt;&gt;"",('TP2'!D1*'TP2'!C777)/'TP2'!C1, "")</f>
        <v/>
      </c>
    </row>
    <row r="778" spans="3:4" x14ac:dyDescent="0.3">
      <c r="C778" s="2" t="str">
        <f>IF(A778&lt;&gt;"",SUM(B778),"")</f>
        <v/>
      </c>
      <c r="D778" s="2" t="str">
        <f>IF(A778&lt;&gt;"",('TP2'!D1*'TP2'!C778)/'TP2'!C1, "")</f>
        <v/>
      </c>
    </row>
    <row r="779" spans="3:4" x14ac:dyDescent="0.3">
      <c r="C779" s="2" t="str">
        <f>IF(A779&lt;&gt;"",SUM(B779),"")</f>
        <v/>
      </c>
      <c r="D779" s="2" t="str">
        <f>IF(A779&lt;&gt;"",('TP2'!D1*'TP2'!C779)/'TP2'!C1, "")</f>
        <v/>
      </c>
    </row>
    <row r="780" spans="3:4" x14ac:dyDescent="0.3">
      <c r="C780" s="2" t="str">
        <f>IF(A780&lt;&gt;"",SUM(B780),"")</f>
        <v/>
      </c>
      <c r="D780" s="2" t="str">
        <f>IF(A780&lt;&gt;"",('TP2'!D1*'TP2'!C780)/'TP2'!C1, "")</f>
        <v/>
      </c>
    </row>
    <row r="781" spans="3:4" x14ac:dyDescent="0.3">
      <c r="C781" s="2" t="str">
        <f>IF(A781&lt;&gt;"",SUM(B781),"")</f>
        <v/>
      </c>
      <c r="D781" s="2" t="str">
        <f>IF(A781&lt;&gt;"",('TP2'!D1*'TP2'!C781)/'TP2'!C1, "")</f>
        <v/>
      </c>
    </row>
    <row r="782" spans="3:4" x14ac:dyDescent="0.3">
      <c r="C782" s="2" t="str">
        <f>IF(A782&lt;&gt;"",SUM(B782),"")</f>
        <v/>
      </c>
      <c r="D782" s="2" t="str">
        <f>IF(A782&lt;&gt;"",('TP2'!D1*'TP2'!C782)/'TP2'!C1, "")</f>
        <v/>
      </c>
    </row>
    <row r="783" spans="3:4" x14ac:dyDescent="0.3">
      <c r="C783" s="2" t="str">
        <f>IF(A783&lt;&gt;"",SUM(B783),"")</f>
        <v/>
      </c>
      <c r="D783" s="2" t="str">
        <f>IF(A783&lt;&gt;"",('TP2'!D1*'TP2'!C783)/'TP2'!C1, "")</f>
        <v/>
      </c>
    </row>
    <row r="784" spans="3:4" x14ac:dyDescent="0.3">
      <c r="C784" s="2" t="str">
        <f>IF(A784&lt;&gt;"",SUM(B784),"")</f>
        <v/>
      </c>
      <c r="D784" s="2" t="str">
        <f>IF(A784&lt;&gt;"",('TP2'!D1*'TP2'!C784)/'TP2'!C1, "")</f>
        <v/>
      </c>
    </row>
    <row r="785" spans="3:4" x14ac:dyDescent="0.3">
      <c r="C785" s="2" t="str">
        <f>IF(A785&lt;&gt;"",SUM(B785),"")</f>
        <v/>
      </c>
      <c r="D785" s="2" t="str">
        <f>IF(A785&lt;&gt;"",('TP2'!D1*'TP2'!C785)/'TP2'!C1, "")</f>
        <v/>
      </c>
    </row>
    <row r="786" spans="3:4" x14ac:dyDescent="0.3">
      <c r="C786" s="2" t="str">
        <f>IF(A786&lt;&gt;"",SUM(B786),"")</f>
        <v/>
      </c>
      <c r="D786" s="2" t="str">
        <f>IF(A786&lt;&gt;"",('TP2'!D1*'TP2'!C786)/'TP2'!C1, "")</f>
        <v/>
      </c>
    </row>
    <row r="787" spans="3:4" x14ac:dyDescent="0.3">
      <c r="C787" s="2" t="str">
        <f>IF(A787&lt;&gt;"",SUM(B787),"")</f>
        <v/>
      </c>
      <c r="D787" s="2" t="str">
        <f>IF(A787&lt;&gt;"",('TP2'!D1*'TP2'!C787)/'TP2'!C1, "")</f>
        <v/>
      </c>
    </row>
    <row r="788" spans="3:4" x14ac:dyDescent="0.3">
      <c r="C788" s="2" t="str">
        <f>IF(A788&lt;&gt;"",SUM(B788),"")</f>
        <v/>
      </c>
      <c r="D788" s="2" t="str">
        <f>IF(A788&lt;&gt;"",('TP2'!D1*'TP2'!C788)/'TP2'!C1, "")</f>
        <v/>
      </c>
    </row>
    <row r="789" spans="3:4" x14ac:dyDescent="0.3">
      <c r="C789" s="2" t="str">
        <f>IF(A789&lt;&gt;"",SUM(B789),"")</f>
        <v/>
      </c>
      <c r="D789" s="2" t="str">
        <f>IF(A789&lt;&gt;"",('TP2'!D1*'TP2'!C789)/'TP2'!C1, "")</f>
        <v/>
      </c>
    </row>
    <row r="790" spans="3:4" x14ac:dyDescent="0.3">
      <c r="C790" s="2" t="str">
        <f>IF(A790&lt;&gt;"",SUM(B790),"")</f>
        <v/>
      </c>
      <c r="D790" s="2" t="str">
        <f>IF(A790&lt;&gt;"",('TP2'!D1*'TP2'!C790)/'TP2'!C1, "")</f>
        <v/>
      </c>
    </row>
    <row r="791" spans="3:4" x14ac:dyDescent="0.3">
      <c r="C791" s="2" t="str">
        <f>IF(A791&lt;&gt;"",SUM(B791),"")</f>
        <v/>
      </c>
      <c r="D791" s="2" t="str">
        <f>IF(A791&lt;&gt;"",('TP2'!D1*'TP2'!C791)/'TP2'!C1, "")</f>
        <v/>
      </c>
    </row>
    <row r="792" spans="3:4" x14ac:dyDescent="0.3">
      <c r="C792" s="2" t="str">
        <f>IF(A792&lt;&gt;"",SUM(B792),"")</f>
        <v/>
      </c>
      <c r="D792" s="2" t="str">
        <f>IF(A792&lt;&gt;"",('TP2'!D1*'TP2'!C792)/'TP2'!C1, "")</f>
        <v/>
      </c>
    </row>
    <row r="793" spans="3:4" x14ac:dyDescent="0.3">
      <c r="C793" s="2" t="str">
        <f>IF(A793&lt;&gt;"",SUM(B793),"")</f>
        <v/>
      </c>
      <c r="D793" s="2" t="str">
        <f>IF(A793&lt;&gt;"",('TP2'!D1*'TP2'!C793)/'TP2'!C1, "")</f>
        <v/>
      </c>
    </row>
    <row r="794" spans="3:4" x14ac:dyDescent="0.3">
      <c r="C794" s="2" t="str">
        <f>IF(A794&lt;&gt;"",SUM(B794),"")</f>
        <v/>
      </c>
      <c r="D794" s="2" t="str">
        <f>IF(A794&lt;&gt;"",('TP2'!D1*'TP2'!C794)/'TP2'!C1, "")</f>
        <v/>
      </c>
    </row>
    <row r="795" spans="3:4" x14ac:dyDescent="0.3">
      <c r="C795" s="2" t="str">
        <f>IF(A795&lt;&gt;"",SUM(B795),"")</f>
        <v/>
      </c>
      <c r="D795" s="2" t="str">
        <f>IF(A795&lt;&gt;"",('TP2'!D1*'TP2'!C795)/'TP2'!C1, "")</f>
        <v/>
      </c>
    </row>
    <row r="796" spans="3:4" x14ac:dyDescent="0.3">
      <c r="C796" s="2" t="str">
        <f>IF(A796&lt;&gt;"",SUM(B796),"")</f>
        <v/>
      </c>
      <c r="D796" s="2" t="str">
        <f>IF(A796&lt;&gt;"",('TP2'!D1*'TP2'!C796)/'TP2'!C1, "")</f>
        <v/>
      </c>
    </row>
    <row r="797" spans="3:4" x14ac:dyDescent="0.3">
      <c r="C797" s="2" t="str">
        <f>IF(A797&lt;&gt;"",SUM(B797),"")</f>
        <v/>
      </c>
      <c r="D797" s="2" t="str">
        <f>IF(A797&lt;&gt;"",('TP2'!D1*'TP2'!C797)/'TP2'!C1, "")</f>
        <v/>
      </c>
    </row>
    <row r="798" spans="3:4" x14ac:dyDescent="0.3">
      <c r="C798" s="2" t="str">
        <f>IF(A798&lt;&gt;"",SUM(B798),"")</f>
        <v/>
      </c>
      <c r="D798" s="2" t="str">
        <f>IF(A798&lt;&gt;"",('TP2'!D1*'TP2'!C798)/'TP2'!C1, "")</f>
        <v/>
      </c>
    </row>
    <row r="799" spans="3:4" x14ac:dyDescent="0.3">
      <c r="C799" s="2" t="str">
        <f>IF(A799&lt;&gt;"",SUM(B799),"")</f>
        <v/>
      </c>
      <c r="D799" s="2" t="str">
        <f>IF(A799&lt;&gt;"",('TP2'!D1*'TP2'!C799)/'TP2'!C1, "")</f>
        <v/>
      </c>
    </row>
    <row r="800" spans="3:4" x14ac:dyDescent="0.3">
      <c r="C800" s="2" t="str">
        <f>IF(A800&lt;&gt;"",SUM(B800),"")</f>
        <v/>
      </c>
      <c r="D800" s="2" t="str">
        <f>IF(A800&lt;&gt;"",('TP2'!D1*'TP2'!C800)/'TP2'!C1, "")</f>
        <v/>
      </c>
    </row>
    <row r="801" spans="3:4" x14ac:dyDescent="0.3">
      <c r="C801" s="2" t="str">
        <f>IF(A801&lt;&gt;"",SUM(B801),"")</f>
        <v/>
      </c>
      <c r="D801" s="2" t="str">
        <f>IF(A801&lt;&gt;"",('TP2'!D1*'TP2'!C801)/'TP2'!C1, "")</f>
        <v/>
      </c>
    </row>
    <row r="802" spans="3:4" x14ac:dyDescent="0.3">
      <c r="C802" s="2" t="str">
        <f>IF(A802&lt;&gt;"",SUM(B802),"")</f>
        <v/>
      </c>
      <c r="D802" s="2" t="str">
        <f>IF(A802&lt;&gt;"",('TP2'!D1*'TP2'!C802)/'TP2'!C1, "")</f>
        <v/>
      </c>
    </row>
    <row r="803" spans="3:4" x14ac:dyDescent="0.3">
      <c r="C803" s="2" t="str">
        <f>IF(A803&lt;&gt;"",SUM(B803),"")</f>
        <v/>
      </c>
      <c r="D803" s="2" t="str">
        <f>IF(A803&lt;&gt;"",('TP2'!D1*'TP2'!C803)/'TP2'!C1, "")</f>
        <v/>
      </c>
    </row>
    <row r="804" spans="3:4" x14ac:dyDescent="0.3">
      <c r="C804" s="2" t="str">
        <f>IF(A804&lt;&gt;"",SUM(B804),"")</f>
        <v/>
      </c>
      <c r="D804" s="2" t="str">
        <f>IF(A804&lt;&gt;"",('TP2'!D1*'TP2'!C804)/'TP2'!C1, "")</f>
        <v/>
      </c>
    </row>
    <row r="805" spans="3:4" x14ac:dyDescent="0.3">
      <c r="C805" s="2" t="str">
        <f>IF(A805&lt;&gt;"",SUM(B805),"")</f>
        <v/>
      </c>
      <c r="D805" s="2" t="str">
        <f>IF(A805&lt;&gt;"",('TP2'!D1*'TP2'!C805)/'TP2'!C1, "")</f>
        <v/>
      </c>
    </row>
    <row r="806" spans="3:4" x14ac:dyDescent="0.3">
      <c r="C806" s="2" t="str">
        <f>IF(A806&lt;&gt;"",SUM(B806),"")</f>
        <v/>
      </c>
      <c r="D806" s="2" t="str">
        <f>IF(A806&lt;&gt;"",('TP2'!D1*'TP2'!C806)/'TP2'!C1, "")</f>
        <v/>
      </c>
    </row>
    <row r="807" spans="3:4" x14ac:dyDescent="0.3">
      <c r="C807" s="2" t="str">
        <f>IF(A807&lt;&gt;"",SUM(B807),"")</f>
        <v/>
      </c>
      <c r="D807" s="2" t="str">
        <f>IF(A807&lt;&gt;"",('TP2'!D1*'TP2'!C807)/'TP2'!C1, "")</f>
        <v/>
      </c>
    </row>
    <row r="808" spans="3:4" x14ac:dyDescent="0.3">
      <c r="C808" s="2" t="str">
        <f>IF(A808&lt;&gt;"",SUM(B808),"")</f>
        <v/>
      </c>
      <c r="D808" s="2" t="str">
        <f>IF(A808&lt;&gt;"",('TP2'!D1*'TP2'!C808)/'TP2'!C1, "")</f>
        <v/>
      </c>
    </row>
    <row r="809" spans="3:4" x14ac:dyDescent="0.3">
      <c r="C809" s="2" t="str">
        <f>IF(A809&lt;&gt;"",SUM(B809),"")</f>
        <v/>
      </c>
      <c r="D809" s="2" t="str">
        <f>IF(A809&lt;&gt;"",('TP2'!D1*'TP2'!C809)/'TP2'!C1, "")</f>
        <v/>
      </c>
    </row>
    <row r="810" spans="3:4" x14ac:dyDescent="0.3">
      <c r="C810" s="2" t="str">
        <f>IF(A810&lt;&gt;"",SUM(B810),"")</f>
        <v/>
      </c>
      <c r="D810" s="2" t="str">
        <f>IF(A810&lt;&gt;"",('TP2'!D1*'TP2'!C810)/'TP2'!C1, "")</f>
        <v/>
      </c>
    </row>
    <row r="811" spans="3:4" x14ac:dyDescent="0.3">
      <c r="C811" s="2" t="str">
        <f>IF(A811&lt;&gt;"",SUM(B811),"")</f>
        <v/>
      </c>
      <c r="D811" s="2" t="str">
        <f>IF(A811&lt;&gt;"",('TP2'!D1*'TP2'!C811)/'TP2'!C1, "")</f>
        <v/>
      </c>
    </row>
    <row r="812" spans="3:4" x14ac:dyDescent="0.3">
      <c r="C812" s="2" t="str">
        <f>IF(A812&lt;&gt;"",SUM(B812),"")</f>
        <v/>
      </c>
      <c r="D812" s="2" t="str">
        <f>IF(A812&lt;&gt;"",('TP2'!D1*'TP2'!C812)/'TP2'!C1, "")</f>
        <v/>
      </c>
    </row>
    <row r="813" spans="3:4" x14ac:dyDescent="0.3">
      <c r="C813" s="2" t="str">
        <f>IF(A813&lt;&gt;"",SUM(B813),"")</f>
        <v/>
      </c>
      <c r="D813" s="2" t="str">
        <f>IF(A813&lt;&gt;"",('TP2'!D1*'TP2'!C813)/'TP2'!C1, "")</f>
        <v/>
      </c>
    </row>
    <row r="814" spans="3:4" x14ac:dyDescent="0.3">
      <c r="C814" s="2" t="str">
        <f>IF(A814&lt;&gt;"",SUM(B814),"")</f>
        <v/>
      </c>
      <c r="D814" s="2" t="str">
        <f>IF(A814&lt;&gt;"",('TP2'!D1*'TP2'!C814)/'TP2'!C1, "")</f>
        <v/>
      </c>
    </row>
    <row r="815" spans="3:4" x14ac:dyDescent="0.3">
      <c r="C815" s="2" t="str">
        <f>IF(A815&lt;&gt;"",SUM(B815),"")</f>
        <v/>
      </c>
      <c r="D815" s="2" t="str">
        <f>IF(A815&lt;&gt;"",('TP2'!D1*'TP2'!C815)/'TP2'!C1, "")</f>
        <v/>
      </c>
    </row>
    <row r="816" spans="3:4" x14ac:dyDescent="0.3">
      <c r="C816" s="2" t="str">
        <f>IF(A816&lt;&gt;"",SUM(B816),"")</f>
        <v/>
      </c>
      <c r="D816" s="2" t="str">
        <f>IF(A816&lt;&gt;"",('TP2'!D1*'TP2'!C816)/'TP2'!C1, "")</f>
        <v/>
      </c>
    </row>
    <row r="817" spans="3:4" x14ac:dyDescent="0.3">
      <c r="C817" s="2" t="str">
        <f>IF(A817&lt;&gt;"",SUM(B817),"")</f>
        <v/>
      </c>
      <c r="D817" s="2" t="str">
        <f>IF(A817&lt;&gt;"",('TP2'!D1*'TP2'!C817)/'TP2'!C1, "")</f>
        <v/>
      </c>
    </row>
    <row r="818" spans="3:4" x14ac:dyDescent="0.3">
      <c r="C818" s="2" t="str">
        <f>IF(A818&lt;&gt;"",SUM(B818),"")</f>
        <v/>
      </c>
      <c r="D818" s="2" t="str">
        <f>IF(A818&lt;&gt;"",('TP2'!D1*'TP2'!C818)/'TP2'!C1, "")</f>
        <v/>
      </c>
    </row>
    <row r="819" spans="3:4" x14ac:dyDescent="0.3">
      <c r="C819" s="2" t="str">
        <f>IF(A819&lt;&gt;"",SUM(B819),"")</f>
        <v/>
      </c>
      <c r="D819" s="2" t="str">
        <f>IF(A819&lt;&gt;"",('TP2'!D1*'TP2'!C819)/'TP2'!C1, "")</f>
        <v/>
      </c>
    </row>
    <row r="820" spans="3:4" x14ac:dyDescent="0.3">
      <c r="C820" s="2" t="str">
        <f>IF(A820&lt;&gt;"",SUM(B820),"")</f>
        <v/>
      </c>
      <c r="D820" s="2" t="str">
        <f>IF(A820&lt;&gt;"",('TP2'!D1*'TP2'!C820)/'TP2'!C1, "")</f>
        <v/>
      </c>
    </row>
    <row r="821" spans="3:4" x14ac:dyDescent="0.3">
      <c r="C821" s="2" t="str">
        <f>IF(A821&lt;&gt;"",SUM(B821),"")</f>
        <v/>
      </c>
      <c r="D821" s="2" t="str">
        <f>IF(A821&lt;&gt;"",('TP2'!D1*'TP2'!C821)/'TP2'!C1, "")</f>
        <v/>
      </c>
    </row>
    <row r="822" spans="3:4" x14ac:dyDescent="0.3">
      <c r="C822" s="2" t="str">
        <f>IF(A822&lt;&gt;"",SUM(B822),"")</f>
        <v/>
      </c>
      <c r="D822" s="2" t="str">
        <f>IF(A822&lt;&gt;"",('TP2'!D1*'TP2'!C822)/'TP2'!C1, "")</f>
        <v/>
      </c>
    </row>
    <row r="823" spans="3:4" x14ac:dyDescent="0.3">
      <c r="C823" s="2" t="str">
        <f>IF(A823&lt;&gt;"",SUM(B823),"")</f>
        <v/>
      </c>
      <c r="D823" s="2" t="str">
        <f>IF(A823&lt;&gt;"",('TP2'!D1*'TP2'!C823)/'TP2'!C1, "")</f>
        <v/>
      </c>
    </row>
    <row r="824" spans="3:4" x14ac:dyDescent="0.3">
      <c r="C824" s="2" t="str">
        <f>IF(A824&lt;&gt;"",SUM(B824),"")</f>
        <v/>
      </c>
      <c r="D824" s="2" t="str">
        <f>IF(A824&lt;&gt;"",('TP2'!D1*'TP2'!C824)/'TP2'!C1, "")</f>
        <v/>
      </c>
    </row>
    <row r="825" spans="3:4" x14ac:dyDescent="0.3">
      <c r="C825" s="2" t="str">
        <f>IF(A825&lt;&gt;"",SUM(B825),"")</f>
        <v/>
      </c>
      <c r="D825" s="2" t="str">
        <f>IF(A825&lt;&gt;"",('TP2'!D1*'TP2'!C825)/'TP2'!C1, "")</f>
        <v/>
      </c>
    </row>
    <row r="826" spans="3:4" x14ac:dyDescent="0.3">
      <c r="C826" s="2" t="str">
        <f>IF(A826&lt;&gt;"",SUM(B826),"")</f>
        <v/>
      </c>
      <c r="D826" s="2" t="str">
        <f>IF(A826&lt;&gt;"",('TP2'!D1*'TP2'!C826)/'TP2'!C1, "")</f>
        <v/>
      </c>
    </row>
    <row r="827" spans="3:4" x14ac:dyDescent="0.3">
      <c r="C827" s="2" t="str">
        <f>IF(A827&lt;&gt;"",SUM(B827),"")</f>
        <v/>
      </c>
      <c r="D827" s="2" t="str">
        <f>IF(A827&lt;&gt;"",('TP2'!D1*'TP2'!C827)/'TP2'!C1, "")</f>
        <v/>
      </c>
    </row>
    <row r="828" spans="3:4" x14ac:dyDescent="0.3">
      <c r="C828" s="2" t="str">
        <f>IF(A828&lt;&gt;"",SUM(B828),"")</f>
        <v/>
      </c>
      <c r="D828" s="2" t="str">
        <f>IF(A828&lt;&gt;"",('TP2'!D1*'TP2'!C828)/'TP2'!C1, "")</f>
        <v/>
      </c>
    </row>
    <row r="829" spans="3:4" x14ac:dyDescent="0.3">
      <c r="C829" s="2" t="str">
        <f>IF(A829&lt;&gt;"",SUM(B829),"")</f>
        <v/>
      </c>
      <c r="D829" s="2" t="str">
        <f>IF(A829&lt;&gt;"",('TP2'!D1*'TP2'!C829)/'TP2'!C1, "")</f>
        <v/>
      </c>
    </row>
    <row r="830" spans="3:4" x14ac:dyDescent="0.3">
      <c r="C830" s="2" t="str">
        <f>IF(A830&lt;&gt;"",SUM(B830),"")</f>
        <v/>
      </c>
      <c r="D830" s="2" t="str">
        <f>IF(A830&lt;&gt;"",('TP2'!D1*'TP2'!C830)/'TP2'!C1, "")</f>
        <v/>
      </c>
    </row>
    <row r="831" spans="3:4" x14ac:dyDescent="0.3">
      <c r="C831" s="2" t="str">
        <f>IF(A831&lt;&gt;"",SUM(B831),"")</f>
        <v/>
      </c>
      <c r="D831" s="2" t="str">
        <f>IF(A831&lt;&gt;"",('TP2'!D1*'TP2'!C831)/'TP2'!C1, "")</f>
        <v/>
      </c>
    </row>
    <row r="832" spans="3:4" x14ac:dyDescent="0.3">
      <c r="C832" s="2" t="str">
        <f>IF(A832&lt;&gt;"",SUM(B832),"")</f>
        <v/>
      </c>
      <c r="D832" s="2" t="str">
        <f>IF(A832&lt;&gt;"",('TP2'!D1*'TP2'!C832)/'TP2'!C1, "")</f>
        <v/>
      </c>
    </row>
    <row r="833" spans="3:4" x14ac:dyDescent="0.3">
      <c r="C833" s="2" t="str">
        <f>IF(A833&lt;&gt;"",SUM(B833),"")</f>
        <v/>
      </c>
      <c r="D833" s="2" t="str">
        <f>IF(A833&lt;&gt;"",('TP2'!D1*'TP2'!C833)/'TP2'!C1, "")</f>
        <v/>
      </c>
    </row>
    <row r="834" spans="3:4" x14ac:dyDescent="0.3">
      <c r="C834" s="2" t="str">
        <f>IF(A834&lt;&gt;"",SUM(B834),"")</f>
        <v/>
      </c>
      <c r="D834" s="2" t="str">
        <f>IF(A834&lt;&gt;"",('TP2'!D1*'TP2'!C834)/'TP2'!C1, "")</f>
        <v/>
      </c>
    </row>
    <row r="835" spans="3:4" x14ac:dyDescent="0.3">
      <c r="C835" s="2" t="str">
        <f>IF(A835&lt;&gt;"",SUM(B835),"")</f>
        <v/>
      </c>
      <c r="D835" s="2" t="str">
        <f>IF(A835&lt;&gt;"",('TP2'!D1*'TP2'!C835)/'TP2'!C1, "")</f>
        <v/>
      </c>
    </row>
    <row r="836" spans="3:4" x14ac:dyDescent="0.3">
      <c r="C836" s="2" t="str">
        <f>IF(A836&lt;&gt;"",SUM(B836),"")</f>
        <v/>
      </c>
      <c r="D836" s="2" t="str">
        <f>IF(A836&lt;&gt;"",('TP2'!D1*'TP2'!C836)/'TP2'!C1, "")</f>
        <v/>
      </c>
    </row>
    <row r="837" spans="3:4" x14ac:dyDescent="0.3">
      <c r="C837" s="2" t="str">
        <f>IF(A837&lt;&gt;"",SUM(B837),"")</f>
        <v/>
      </c>
      <c r="D837" s="2" t="str">
        <f>IF(A837&lt;&gt;"",('TP2'!D1*'TP2'!C837)/'TP2'!C1, "")</f>
        <v/>
      </c>
    </row>
    <row r="838" spans="3:4" x14ac:dyDescent="0.3">
      <c r="C838" s="2" t="str">
        <f>IF(A838&lt;&gt;"",SUM(B838),"")</f>
        <v/>
      </c>
      <c r="D838" s="2" t="str">
        <f>IF(A838&lt;&gt;"",('TP2'!D1*'TP2'!C838)/'TP2'!C1, "")</f>
        <v/>
      </c>
    </row>
    <row r="839" spans="3:4" x14ac:dyDescent="0.3">
      <c r="C839" s="2" t="str">
        <f>IF(A839&lt;&gt;"",SUM(B839),"")</f>
        <v/>
      </c>
      <c r="D839" s="2" t="str">
        <f>IF(A839&lt;&gt;"",('TP2'!D1*'TP2'!C839)/'TP2'!C1, "")</f>
        <v/>
      </c>
    </row>
    <row r="840" spans="3:4" x14ac:dyDescent="0.3">
      <c r="C840" s="2" t="str">
        <f>IF(A840&lt;&gt;"",SUM(B840),"")</f>
        <v/>
      </c>
      <c r="D840" s="2" t="str">
        <f>IF(A840&lt;&gt;"",('TP2'!D1*'TP2'!C840)/'TP2'!C1, "")</f>
        <v/>
      </c>
    </row>
    <row r="841" spans="3:4" x14ac:dyDescent="0.3">
      <c r="C841" s="2" t="str">
        <f>IF(A841&lt;&gt;"",SUM(B841),"")</f>
        <v/>
      </c>
      <c r="D841" s="2" t="str">
        <f>IF(A841&lt;&gt;"",('TP2'!D1*'TP2'!C841)/'TP2'!C1, "")</f>
        <v/>
      </c>
    </row>
    <row r="842" spans="3:4" x14ac:dyDescent="0.3">
      <c r="C842" s="2" t="str">
        <f>IF(A842&lt;&gt;"",SUM(B842),"")</f>
        <v/>
      </c>
      <c r="D842" s="2" t="str">
        <f>IF(A842&lt;&gt;"",('TP2'!D1*'TP2'!C842)/'TP2'!C1, "")</f>
        <v/>
      </c>
    </row>
    <row r="843" spans="3:4" x14ac:dyDescent="0.3">
      <c r="C843" s="2" t="str">
        <f>IF(A843&lt;&gt;"",SUM(B843),"")</f>
        <v/>
      </c>
      <c r="D843" s="2" t="str">
        <f>IF(A843&lt;&gt;"",('TP2'!D1*'TP2'!C843)/'TP2'!C1, "")</f>
        <v/>
      </c>
    </row>
    <row r="844" spans="3:4" x14ac:dyDescent="0.3">
      <c r="C844" s="2" t="str">
        <f>IF(A844&lt;&gt;"",SUM(B844),"")</f>
        <v/>
      </c>
      <c r="D844" s="2" t="str">
        <f>IF(A844&lt;&gt;"",('TP2'!D1*'TP2'!C844)/'TP2'!C1, "")</f>
        <v/>
      </c>
    </row>
    <row r="845" spans="3:4" x14ac:dyDescent="0.3">
      <c r="C845" s="2" t="str">
        <f>IF(A845&lt;&gt;"",SUM(B845),"")</f>
        <v/>
      </c>
      <c r="D845" s="2" t="str">
        <f>IF(A845&lt;&gt;"",('TP2'!D1*'TP2'!C845)/'TP2'!C1, "")</f>
        <v/>
      </c>
    </row>
    <row r="846" spans="3:4" x14ac:dyDescent="0.3">
      <c r="C846" s="2" t="str">
        <f>IF(A846&lt;&gt;"",SUM(B846),"")</f>
        <v/>
      </c>
      <c r="D846" s="2" t="str">
        <f>IF(A846&lt;&gt;"",('TP2'!D1*'TP2'!C846)/'TP2'!C1, "")</f>
        <v/>
      </c>
    </row>
    <row r="847" spans="3:4" x14ac:dyDescent="0.3">
      <c r="C847" s="2" t="str">
        <f>IF(A847&lt;&gt;"",SUM(B847),"")</f>
        <v/>
      </c>
      <c r="D847" s="2" t="str">
        <f>IF(A847&lt;&gt;"",('TP2'!D1*'TP2'!C847)/'TP2'!C1, "")</f>
        <v/>
      </c>
    </row>
    <row r="848" spans="3:4" x14ac:dyDescent="0.3">
      <c r="C848" s="2" t="str">
        <f>IF(A848&lt;&gt;"",SUM(B848),"")</f>
        <v/>
      </c>
      <c r="D848" s="2" t="str">
        <f>IF(A848&lt;&gt;"",('TP2'!D1*'TP2'!C848)/'TP2'!C1, "")</f>
        <v/>
      </c>
    </row>
    <row r="849" spans="3:4" x14ac:dyDescent="0.3">
      <c r="C849" s="2" t="str">
        <f>IF(A849&lt;&gt;"",SUM(B849),"")</f>
        <v/>
      </c>
      <c r="D849" s="2" t="str">
        <f>IF(A849&lt;&gt;"",('TP2'!D1*'TP2'!C849)/'TP2'!C1, "")</f>
        <v/>
      </c>
    </row>
    <row r="850" spans="3:4" x14ac:dyDescent="0.3">
      <c r="C850" s="2" t="str">
        <f>IF(A850&lt;&gt;"",SUM(B850),"")</f>
        <v/>
      </c>
      <c r="D850" s="2" t="str">
        <f>IF(A850&lt;&gt;"",('TP2'!D1*'TP2'!C850)/'TP2'!C1, "")</f>
        <v/>
      </c>
    </row>
    <row r="851" spans="3:4" x14ac:dyDescent="0.3">
      <c r="C851" s="2" t="str">
        <f>IF(A851&lt;&gt;"",SUM(B851),"")</f>
        <v/>
      </c>
      <c r="D851" s="2" t="str">
        <f>IF(A851&lt;&gt;"",('TP2'!D1*'TP2'!C851)/'TP2'!C1, "")</f>
        <v/>
      </c>
    </row>
    <row r="852" spans="3:4" x14ac:dyDescent="0.3">
      <c r="C852" s="2" t="str">
        <f>IF(A852&lt;&gt;"",SUM(B852),"")</f>
        <v/>
      </c>
      <c r="D852" s="2" t="str">
        <f>IF(A852&lt;&gt;"",('TP2'!D1*'TP2'!C852)/'TP2'!C1, "")</f>
        <v/>
      </c>
    </row>
    <row r="853" spans="3:4" x14ac:dyDescent="0.3">
      <c r="C853" s="2" t="str">
        <f>IF(A853&lt;&gt;"",SUM(B853),"")</f>
        <v/>
      </c>
      <c r="D853" s="2" t="str">
        <f>IF(A853&lt;&gt;"",('TP2'!D1*'TP2'!C853)/'TP2'!C1, "")</f>
        <v/>
      </c>
    </row>
    <row r="854" spans="3:4" x14ac:dyDescent="0.3">
      <c r="C854" s="2" t="str">
        <f>IF(A854&lt;&gt;"",SUM(B854),"")</f>
        <v/>
      </c>
      <c r="D854" s="2" t="str">
        <f>IF(A854&lt;&gt;"",('TP2'!D1*'TP2'!C854)/'TP2'!C1, "")</f>
        <v/>
      </c>
    </row>
    <row r="855" spans="3:4" x14ac:dyDescent="0.3">
      <c r="C855" s="2" t="str">
        <f>IF(A855&lt;&gt;"",SUM(B855),"")</f>
        <v/>
      </c>
      <c r="D855" s="2" t="str">
        <f>IF(A855&lt;&gt;"",('TP2'!D1*'TP2'!C855)/'TP2'!C1, "")</f>
        <v/>
      </c>
    </row>
    <row r="856" spans="3:4" x14ac:dyDescent="0.3">
      <c r="C856" s="2" t="str">
        <f>IF(A856&lt;&gt;"",SUM(B856),"")</f>
        <v/>
      </c>
      <c r="D856" s="2" t="str">
        <f>IF(A856&lt;&gt;"",('TP2'!D1*'TP2'!C856)/'TP2'!C1, "")</f>
        <v/>
      </c>
    </row>
    <row r="857" spans="3:4" x14ac:dyDescent="0.3">
      <c r="C857" s="2" t="str">
        <f>IF(A857&lt;&gt;"",SUM(B857),"")</f>
        <v/>
      </c>
      <c r="D857" s="2" t="str">
        <f>IF(A857&lt;&gt;"",('TP2'!D1*'TP2'!C857)/'TP2'!C1, "")</f>
        <v/>
      </c>
    </row>
    <row r="858" spans="3:4" x14ac:dyDescent="0.3">
      <c r="C858" s="2" t="str">
        <f>IF(A858&lt;&gt;"",SUM(B858),"")</f>
        <v/>
      </c>
      <c r="D858" s="2" t="str">
        <f>IF(A858&lt;&gt;"",('TP2'!D1*'TP2'!C858)/'TP2'!C1, "")</f>
        <v/>
      </c>
    </row>
    <row r="859" spans="3:4" x14ac:dyDescent="0.3">
      <c r="C859" s="2" t="str">
        <f>IF(A859&lt;&gt;"",SUM(B859),"")</f>
        <v/>
      </c>
      <c r="D859" s="2" t="str">
        <f>IF(A859&lt;&gt;"",('TP2'!D1*'TP2'!C859)/'TP2'!C1, "")</f>
        <v/>
      </c>
    </row>
    <row r="860" spans="3:4" x14ac:dyDescent="0.3">
      <c r="C860" s="2" t="str">
        <f>IF(A860&lt;&gt;"",SUM(B860),"")</f>
        <v/>
      </c>
      <c r="D860" s="2" t="str">
        <f>IF(A860&lt;&gt;"",('TP2'!D1*'TP2'!C860)/'TP2'!C1, "")</f>
        <v/>
      </c>
    </row>
    <row r="861" spans="3:4" x14ac:dyDescent="0.3">
      <c r="C861" s="2" t="str">
        <f>IF(A861&lt;&gt;"",SUM(B861),"")</f>
        <v/>
      </c>
      <c r="D861" s="2" t="str">
        <f>IF(A861&lt;&gt;"",('TP2'!D1*'TP2'!C861)/'TP2'!C1, "")</f>
        <v/>
      </c>
    </row>
    <row r="862" spans="3:4" x14ac:dyDescent="0.3">
      <c r="C862" s="2" t="str">
        <f>IF(A862&lt;&gt;"",SUM(B862),"")</f>
        <v/>
      </c>
      <c r="D862" s="2" t="str">
        <f>IF(A862&lt;&gt;"",('TP2'!D1*'TP2'!C862)/'TP2'!C1, "")</f>
        <v/>
      </c>
    </row>
    <row r="863" spans="3:4" x14ac:dyDescent="0.3">
      <c r="C863" s="2" t="str">
        <f>IF(A863&lt;&gt;"",SUM(B863),"")</f>
        <v/>
      </c>
      <c r="D863" s="2" t="str">
        <f>IF(A863&lt;&gt;"",('TP2'!D1*'TP2'!C863)/'TP2'!C1, "")</f>
        <v/>
      </c>
    </row>
    <row r="864" spans="3:4" x14ac:dyDescent="0.3">
      <c r="C864" s="2" t="str">
        <f>IF(A864&lt;&gt;"",SUM(B864),"")</f>
        <v/>
      </c>
      <c r="D864" s="2" t="str">
        <f>IF(A864&lt;&gt;"",('TP2'!D1*'TP2'!C864)/'TP2'!C1, "")</f>
        <v/>
      </c>
    </row>
    <row r="865" spans="3:4" x14ac:dyDescent="0.3">
      <c r="C865" s="2" t="str">
        <f>IF(A865&lt;&gt;"",SUM(B865),"")</f>
        <v/>
      </c>
      <c r="D865" s="2" t="str">
        <f>IF(A865&lt;&gt;"",('TP2'!D1*'TP2'!C865)/'TP2'!C1, "")</f>
        <v/>
      </c>
    </row>
    <row r="866" spans="3:4" x14ac:dyDescent="0.3">
      <c r="C866" s="2" t="str">
        <f>IF(A866&lt;&gt;"",SUM(B866),"")</f>
        <v/>
      </c>
      <c r="D866" s="2" t="str">
        <f>IF(A866&lt;&gt;"",('TP2'!D1*'TP2'!C866)/'TP2'!C1, "")</f>
        <v/>
      </c>
    </row>
    <row r="867" spans="3:4" x14ac:dyDescent="0.3">
      <c r="C867" s="2" t="str">
        <f>IF(A867&lt;&gt;"",SUM(B867),"")</f>
        <v/>
      </c>
      <c r="D867" s="2" t="str">
        <f>IF(A867&lt;&gt;"",('TP2'!D1*'TP2'!C867)/'TP2'!C1, "")</f>
        <v/>
      </c>
    </row>
    <row r="868" spans="3:4" x14ac:dyDescent="0.3">
      <c r="C868" s="2" t="str">
        <f>IF(A868&lt;&gt;"",SUM(B868),"")</f>
        <v/>
      </c>
      <c r="D868" s="2" t="str">
        <f>IF(A868&lt;&gt;"",('TP2'!D1*'TP2'!C868)/'TP2'!C1, "")</f>
        <v/>
      </c>
    </row>
    <row r="869" spans="3:4" x14ac:dyDescent="0.3">
      <c r="C869" s="2" t="str">
        <f>IF(A869&lt;&gt;"",SUM(B869),"")</f>
        <v/>
      </c>
      <c r="D869" s="2" t="str">
        <f>IF(A869&lt;&gt;"",('TP2'!D1*'TP2'!C869)/'TP2'!C1, "")</f>
        <v/>
      </c>
    </row>
    <row r="870" spans="3:4" x14ac:dyDescent="0.3">
      <c r="C870" s="2" t="str">
        <f>IF(A870&lt;&gt;"",SUM(B870),"")</f>
        <v/>
      </c>
      <c r="D870" s="2" t="str">
        <f>IF(A870&lt;&gt;"",('TP2'!D1*'TP2'!C870)/'TP2'!C1, "")</f>
        <v/>
      </c>
    </row>
    <row r="871" spans="3:4" x14ac:dyDescent="0.3">
      <c r="C871" s="2" t="str">
        <f>IF(A871&lt;&gt;"",SUM(B871),"")</f>
        <v/>
      </c>
      <c r="D871" s="2" t="str">
        <f>IF(A871&lt;&gt;"",('TP2'!D1*'TP2'!C871)/'TP2'!C1, "")</f>
        <v/>
      </c>
    </row>
    <row r="872" spans="3:4" x14ac:dyDescent="0.3">
      <c r="C872" s="2" t="str">
        <f>IF(A872&lt;&gt;"",SUM(B872),"")</f>
        <v/>
      </c>
      <c r="D872" s="2" t="str">
        <f>IF(A872&lt;&gt;"",('TP2'!D1*'TP2'!C872)/'TP2'!C1, "")</f>
        <v/>
      </c>
    </row>
    <row r="873" spans="3:4" x14ac:dyDescent="0.3">
      <c r="C873" s="2" t="str">
        <f>IF(A873&lt;&gt;"",SUM(B873),"")</f>
        <v/>
      </c>
      <c r="D873" s="2" t="str">
        <f>IF(A873&lt;&gt;"",('TP2'!D1*'TP2'!C873)/'TP2'!C1, "")</f>
        <v/>
      </c>
    </row>
    <row r="874" spans="3:4" x14ac:dyDescent="0.3">
      <c r="C874" s="2" t="str">
        <f>IF(A874&lt;&gt;"",SUM(B874),"")</f>
        <v/>
      </c>
      <c r="D874" s="2" t="str">
        <f>IF(A874&lt;&gt;"",('TP2'!D1*'TP2'!C874)/'TP2'!C1, "")</f>
        <v/>
      </c>
    </row>
    <row r="875" spans="3:4" x14ac:dyDescent="0.3">
      <c r="C875" s="2" t="str">
        <f>IF(A875&lt;&gt;"",SUM(B875),"")</f>
        <v/>
      </c>
      <c r="D875" s="2" t="str">
        <f>IF(A875&lt;&gt;"",('TP2'!D1*'TP2'!C875)/'TP2'!C1, "")</f>
        <v/>
      </c>
    </row>
    <row r="876" spans="3:4" x14ac:dyDescent="0.3">
      <c r="C876" s="2" t="str">
        <f>IF(A876&lt;&gt;"",SUM(B876),"")</f>
        <v/>
      </c>
      <c r="D876" s="2" t="str">
        <f>IF(A876&lt;&gt;"",('TP2'!D1*'TP2'!C876)/'TP2'!C1, "")</f>
        <v/>
      </c>
    </row>
    <row r="877" spans="3:4" x14ac:dyDescent="0.3">
      <c r="C877" s="2" t="str">
        <f>IF(A877&lt;&gt;"",SUM(B877),"")</f>
        <v/>
      </c>
      <c r="D877" s="2" t="str">
        <f>IF(A877&lt;&gt;"",('TP2'!D1*'TP2'!C877)/'TP2'!C1, "")</f>
        <v/>
      </c>
    </row>
    <row r="878" spans="3:4" x14ac:dyDescent="0.3">
      <c r="C878" s="2" t="str">
        <f>IF(A878&lt;&gt;"",SUM(B878),"")</f>
        <v/>
      </c>
      <c r="D878" s="2" t="str">
        <f>IF(A878&lt;&gt;"",('TP2'!D1*'TP2'!C878)/'TP2'!C1, "")</f>
        <v/>
      </c>
    </row>
    <row r="879" spans="3:4" x14ac:dyDescent="0.3">
      <c r="C879" s="2" t="str">
        <f>IF(A879&lt;&gt;"",SUM(B879),"")</f>
        <v/>
      </c>
      <c r="D879" s="2" t="str">
        <f>IF(A879&lt;&gt;"",('TP2'!D1*'TP2'!C879)/'TP2'!C1, "")</f>
        <v/>
      </c>
    </row>
    <row r="880" spans="3:4" x14ac:dyDescent="0.3">
      <c r="C880" s="2" t="str">
        <f>IF(A880&lt;&gt;"",SUM(B880),"")</f>
        <v/>
      </c>
      <c r="D880" s="2" t="str">
        <f>IF(A880&lt;&gt;"",('TP2'!D1*'TP2'!C880)/'TP2'!C1, "")</f>
        <v/>
      </c>
    </row>
    <row r="881" spans="3:4" x14ac:dyDescent="0.3">
      <c r="C881" s="2" t="str">
        <f>IF(A881&lt;&gt;"",SUM(B881),"")</f>
        <v/>
      </c>
      <c r="D881" s="2" t="str">
        <f>IF(A881&lt;&gt;"",('TP2'!D1*'TP2'!C881)/'TP2'!C1, "")</f>
        <v/>
      </c>
    </row>
    <row r="882" spans="3:4" x14ac:dyDescent="0.3">
      <c r="C882" s="2" t="str">
        <f>IF(A882&lt;&gt;"",SUM(B882),"")</f>
        <v/>
      </c>
      <c r="D882" s="2" t="str">
        <f>IF(A882&lt;&gt;"",('TP2'!D1*'TP2'!C882)/'TP2'!C1, "")</f>
        <v/>
      </c>
    </row>
    <row r="883" spans="3:4" x14ac:dyDescent="0.3">
      <c r="C883" s="2" t="str">
        <f>IF(A883&lt;&gt;"",SUM(B883),"")</f>
        <v/>
      </c>
      <c r="D883" s="2" t="str">
        <f>IF(A883&lt;&gt;"",('TP2'!D1*'TP2'!C883)/'TP2'!C1, "")</f>
        <v/>
      </c>
    </row>
    <row r="884" spans="3:4" x14ac:dyDescent="0.3">
      <c r="C884" s="2" t="str">
        <f>IF(A884&lt;&gt;"",SUM(B884),"")</f>
        <v/>
      </c>
      <c r="D884" s="2" t="str">
        <f>IF(A884&lt;&gt;"",('TP2'!D1*'TP2'!C884)/'TP2'!C1, "")</f>
        <v/>
      </c>
    </row>
    <row r="885" spans="3:4" x14ac:dyDescent="0.3">
      <c r="C885" s="2" t="str">
        <f>IF(A885&lt;&gt;"",SUM(B885),"")</f>
        <v/>
      </c>
      <c r="D885" s="2" t="str">
        <f>IF(A885&lt;&gt;"",('TP2'!D1*'TP2'!C885)/'TP2'!C1, "")</f>
        <v/>
      </c>
    </row>
    <row r="886" spans="3:4" x14ac:dyDescent="0.3">
      <c r="C886" s="2" t="str">
        <f>IF(A886&lt;&gt;"",SUM(B886),"")</f>
        <v/>
      </c>
      <c r="D886" s="2" t="str">
        <f>IF(A886&lt;&gt;"",('TP2'!D1*'TP2'!C886)/'TP2'!C1, "")</f>
        <v/>
      </c>
    </row>
    <row r="887" spans="3:4" x14ac:dyDescent="0.3">
      <c r="C887" s="2" t="str">
        <f>IF(A887&lt;&gt;"",SUM(B887),"")</f>
        <v/>
      </c>
      <c r="D887" s="2" t="str">
        <f>IF(A887&lt;&gt;"",('TP2'!D1*'TP2'!C887)/'TP2'!C1, "")</f>
        <v/>
      </c>
    </row>
    <row r="888" spans="3:4" x14ac:dyDescent="0.3">
      <c r="C888" s="2" t="str">
        <f>IF(A888&lt;&gt;"",SUM(B888),"")</f>
        <v/>
      </c>
      <c r="D888" s="2" t="str">
        <f>IF(A888&lt;&gt;"",('TP2'!D1*'TP2'!C888)/'TP2'!C1, "")</f>
        <v/>
      </c>
    </row>
    <row r="889" spans="3:4" x14ac:dyDescent="0.3">
      <c r="C889" s="2" t="str">
        <f>IF(A889&lt;&gt;"",SUM(B889),"")</f>
        <v/>
      </c>
      <c r="D889" s="2" t="str">
        <f>IF(A889&lt;&gt;"",('TP2'!D1*'TP2'!C889)/'TP2'!C1, "")</f>
        <v/>
      </c>
    </row>
    <row r="890" spans="3:4" x14ac:dyDescent="0.3">
      <c r="C890" s="2" t="str">
        <f>IF(A890&lt;&gt;"",SUM(B890),"")</f>
        <v/>
      </c>
      <c r="D890" s="2" t="str">
        <f>IF(A890&lt;&gt;"",('TP2'!D1*'TP2'!C890)/'TP2'!C1, "")</f>
        <v/>
      </c>
    </row>
    <row r="891" spans="3:4" x14ac:dyDescent="0.3">
      <c r="C891" s="2" t="str">
        <f>IF(A891&lt;&gt;"",SUM(B891),"")</f>
        <v/>
      </c>
      <c r="D891" s="2" t="str">
        <f>IF(A891&lt;&gt;"",('TP2'!D1*'TP2'!C891)/'TP2'!C1, "")</f>
        <v/>
      </c>
    </row>
    <row r="892" spans="3:4" x14ac:dyDescent="0.3">
      <c r="C892" s="2" t="str">
        <f>IF(A892&lt;&gt;"",SUM(B892),"")</f>
        <v/>
      </c>
      <c r="D892" s="2" t="str">
        <f>IF(A892&lt;&gt;"",('TP2'!D1*'TP2'!C892)/'TP2'!C1, "")</f>
        <v/>
      </c>
    </row>
    <row r="893" spans="3:4" x14ac:dyDescent="0.3">
      <c r="C893" s="2" t="str">
        <f>IF(A893&lt;&gt;"",SUM(B893),"")</f>
        <v/>
      </c>
      <c r="D893" s="2" t="str">
        <f>IF(A893&lt;&gt;"",('TP2'!D1*'TP2'!C893)/'TP2'!C1, "")</f>
        <v/>
      </c>
    </row>
    <row r="894" spans="3:4" x14ac:dyDescent="0.3">
      <c r="C894" s="2" t="str">
        <f>IF(A894&lt;&gt;"",SUM(B894),"")</f>
        <v/>
      </c>
      <c r="D894" s="2" t="str">
        <f>IF(A894&lt;&gt;"",('TP2'!D1*'TP2'!C894)/'TP2'!C1, "")</f>
        <v/>
      </c>
    </row>
    <row r="895" spans="3:4" x14ac:dyDescent="0.3">
      <c r="C895" s="2" t="str">
        <f>IF(A895&lt;&gt;"",SUM(B895),"")</f>
        <v/>
      </c>
      <c r="D895" s="2" t="str">
        <f>IF(A895&lt;&gt;"",('TP2'!D1*'TP2'!C895)/'TP2'!C1, "")</f>
        <v/>
      </c>
    </row>
    <row r="896" spans="3:4" x14ac:dyDescent="0.3">
      <c r="C896" s="2" t="str">
        <f>IF(A896&lt;&gt;"",SUM(B896),"")</f>
        <v/>
      </c>
      <c r="D896" s="2" t="str">
        <f>IF(A896&lt;&gt;"",('TP2'!D1*'TP2'!C896)/'TP2'!C1, "")</f>
        <v/>
      </c>
    </row>
    <row r="897" spans="3:4" x14ac:dyDescent="0.3">
      <c r="C897" s="2" t="str">
        <f>IF(A897&lt;&gt;"",SUM(B897),"")</f>
        <v/>
      </c>
      <c r="D897" s="2" t="str">
        <f>IF(A897&lt;&gt;"",('TP2'!D1*'TP2'!C897)/'TP2'!C1, "")</f>
        <v/>
      </c>
    </row>
    <row r="898" spans="3:4" x14ac:dyDescent="0.3">
      <c r="C898" s="2" t="str">
        <f>IF(A898&lt;&gt;"",SUM(B898),"")</f>
        <v/>
      </c>
      <c r="D898" s="2" t="str">
        <f>IF(A898&lt;&gt;"",('TP2'!D1*'TP2'!C898)/'TP2'!C1, "")</f>
        <v/>
      </c>
    </row>
    <row r="899" spans="3:4" x14ac:dyDescent="0.3">
      <c r="C899" s="2" t="str">
        <f>IF(A899&lt;&gt;"",SUM(B899),"")</f>
        <v/>
      </c>
      <c r="D899" s="2" t="str">
        <f>IF(A899&lt;&gt;"",('TP2'!D1*'TP2'!C899)/'TP2'!C1, "")</f>
        <v/>
      </c>
    </row>
    <row r="900" spans="3:4" x14ac:dyDescent="0.3">
      <c r="C900" s="2" t="str">
        <f>IF(A900&lt;&gt;"",SUM(B900),"")</f>
        <v/>
      </c>
      <c r="D900" s="2" t="str">
        <f>IF(A900&lt;&gt;"",('TP2'!D1*'TP2'!C900)/'TP2'!C1, "")</f>
        <v/>
      </c>
    </row>
    <row r="901" spans="3:4" x14ac:dyDescent="0.3">
      <c r="C901" s="2" t="str">
        <f>IF(A901&lt;&gt;"",SUM(B901),"")</f>
        <v/>
      </c>
      <c r="D901" s="2" t="str">
        <f>IF(A901&lt;&gt;"",('TP2'!D1*'TP2'!C901)/'TP2'!C1, "")</f>
        <v/>
      </c>
    </row>
    <row r="902" spans="3:4" x14ac:dyDescent="0.3">
      <c r="C902" s="2" t="str">
        <f>IF(A902&lt;&gt;"",SUM(B902),"")</f>
        <v/>
      </c>
      <c r="D902" s="2" t="str">
        <f>IF(A902&lt;&gt;"",('TP2'!D1*'TP2'!C902)/'TP2'!C1, "")</f>
        <v/>
      </c>
    </row>
    <row r="903" spans="3:4" x14ac:dyDescent="0.3">
      <c r="C903" s="2" t="str">
        <f>IF(A903&lt;&gt;"",SUM(B903),"")</f>
        <v/>
      </c>
      <c r="D903" s="2" t="str">
        <f>IF(A903&lt;&gt;"",('TP2'!D1*'TP2'!C903)/'TP2'!C1, "")</f>
        <v/>
      </c>
    </row>
    <row r="904" spans="3:4" x14ac:dyDescent="0.3">
      <c r="C904" s="2" t="str">
        <f>IF(A904&lt;&gt;"",SUM(B904),"")</f>
        <v/>
      </c>
      <c r="D904" s="2" t="str">
        <f>IF(A904&lt;&gt;"",('TP2'!D1*'TP2'!C904)/'TP2'!C1, "")</f>
        <v/>
      </c>
    </row>
    <row r="905" spans="3:4" x14ac:dyDescent="0.3">
      <c r="C905" s="2" t="str">
        <f>IF(A905&lt;&gt;"",SUM(B905),"")</f>
        <v/>
      </c>
      <c r="D905" s="2" t="str">
        <f>IF(A905&lt;&gt;"",('TP2'!D1*'TP2'!C905)/'TP2'!C1, "")</f>
        <v/>
      </c>
    </row>
    <row r="906" spans="3:4" x14ac:dyDescent="0.3">
      <c r="C906" s="2" t="str">
        <f>IF(A906&lt;&gt;"",SUM(B906),"")</f>
        <v/>
      </c>
      <c r="D906" s="2" t="str">
        <f>IF(A906&lt;&gt;"",('TP2'!D1*'TP2'!C906)/'TP2'!C1, "")</f>
        <v/>
      </c>
    </row>
    <row r="907" spans="3:4" x14ac:dyDescent="0.3">
      <c r="C907" s="2" t="str">
        <f>IF(A907&lt;&gt;"",SUM(B907),"")</f>
        <v/>
      </c>
      <c r="D907" s="2" t="str">
        <f>IF(A907&lt;&gt;"",('TP2'!D1*'TP2'!C907)/'TP2'!C1, "")</f>
        <v/>
      </c>
    </row>
    <row r="908" spans="3:4" x14ac:dyDescent="0.3">
      <c r="C908" s="2" t="str">
        <f>IF(A908&lt;&gt;"",SUM(B908),"")</f>
        <v/>
      </c>
      <c r="D908" s="2" t="str">
        <f>IF(A908&lt;&gt;"",('TP2'!D1*'TP2'!C908)/'TP2'!C1, "")</f>
        <v/>
      </c>
    </row>
    <row r="909" spans="3:4" x14ac:dyDescent="0.3">
      <c r="C909" s="2" t="str">
        <f>IF(A909&lt;&gt;"",SUM(B909),"")</f>
        <v/>
      </c>
      <c r="D909" s="2" t="str">
        <f>IF(A909&lt;&gt;"",('TP2'!D1*'TP2'!C909)/'TP2'!C1, "")</f>
        <v/>
      </c>
    </row>
    <row r="910" spans="3:4" x14ac:dyDescent="0.3">
      <c r="C910" s="2" t="str">
        <f>IF(A910&lt;&gt;"",SUM(B910),"")</f>
        <v/>
      </c>
      <c r="D910" s="2" t="str">
        <f>IF(A910&lt;&gt;"",('TP2'!D1*'TP2'!C910)/'TP2'!C1, "")</f>
        <v/>
      </c>
    </row>
    <row r="911" spans="3:4" x14ac:dyDescent="0.3">
      <c r="C911" s="2" t="str">
        <f>IF(A911&lt;&gt;"",SUM(B911),"")</f>
        <v/>
      </c>
      <c r="D911" s="2" t="str">
        <f>IF(A911&lt;&gt;"",('TP2'!D1*'TP2'!C911)/'TP2'!C1, "")</f>
        <v/>
      </c>
    </row>
    <row r="912" spans="3:4" x14ac:dyDescent="0.3">
      <c r="C912" s="2" t="str">
        <f>IF(A912&lt;&gt;"",SUM(B912),"")</f>
        <v/>
      </c>
      <c r="D912" s="2" t="str">
        <f>IF(A912&lt;&gt;"",('TP2'!D1*'TP2'!C912)/'TP2'!C1, "")</f>
        <v/>
      </c>
    </row>
    <row r="913" spans="3:4" x14ac:dyDescent="0.3">
      <c r="C913" s="2" t="str">
        <f>IF(A913&lt;&gt;"",SUM(B913),"")</f>
        <v/>
      </c>
      <c r="D913" s="2" t="str">
        <f>IF(A913&lt;&gt;"",('TP2'!D1*'TP2'!C913)/'TP2'!C1, "")</f>
        <v/>
      </c>
    </row>
    <row r="914" spans="3:4" x14ac:dyDescent="0.3">
      <c r="C914" s="2" t="str">
        <f>IF(A914&lt;&gt;"",SUM(B914),"")</f>
        <v/>
      </c>
      <c r="D914" s="2" t="str">
        <f>IF(A914&lt;&gt;"",('TP2'!D1*'TP2'!C914)/'TP2'!C1, "")</f>
        <v/>
      </c>
    </row>
    <row r="915" spans="3:4" x14ac:dyDescent="0.3">
      <c r="C915" s="2" t="str">
        <f>IF(A915&lt;&gt;"",SUM(B915),"")</f>
        <v/>
      </c>
      <c r="D915" s="2" t="str">
        <f>IF(A915&lt;&gt;"",('TP2'!D1*'TP2'!C915)/'TP2'!C1, "")</f>
        <v/>
      </c>
    </row>
    <row r="916" spans="3:4" x14ac:dyDescent="0.3">
      <c r="C916" s="2" t="str">
        <f>IF(A916&lt;&gt;"",SUM(B916),"")</f>
        <v/>
      </c>
      <c r="D916" s="2" t="str">
        <f>IF(A916&lt;&gt;"",('TP2'!D1*'TP2'!C916)/'TP2'!C1, "")</f>
        <v/>
      </c>
    </row>
    <row r="917" spans="3:4" x14ac:dyDescent="0.3">
      <c r="C917" s="2" t="str">
        <f>IF(A917&lt;&gt;"",SUM(B917),"")</f>
        <v/>
      </c>
      <c r="D917" s="2" t="str">
        <f>IF(A917&lt;&gt;"",('TP2'!D1*'TP2'!C917)/'TP2'!C1, "")</f>
        <v/>
      </c>
    </row>
    <row r="918" spans="3:4" x14ac:dyDescent="0.3">
      <c r="C918" s="2" t="str">
        <f>IF(A918&lt;&gt;"",SUM(B918),"")</f>
        <v/>
      </c>
      <c r="D918" s="2" t="str">
        <f>IF(A918&lt;&gt;"",('TP2'!D1*'TP2'!C918)/'TP2'!C1, "")</f>
        <v/>
      </c>
    </row>
    <row r="919" spans="3:4" x14ac:dyDescent="0.3">
      <c r="C919" s="2" t="str">
        <f>IF(A919&lt;&gt;"",SUM(B919),"")</f>
        <v/>
      </c>
      <c r="D919" s="2" t="str">
        <f>IF(A919&lt;&gt;"",('TP2'!D1*'TP2'!C919)/'TP2'!C1, "")</f>
        <v/>
      </c>
    </row>
    <row r="920" spans="3:4" x14ac:dyDescent="0.3">
      <c r="C920" s="2" t="str">
        <f>IF(A920&lt;&gt;"",SUM(B920),"")</f>
        <v/>
      </c>
      <c r="D920" s="2" t="str">
        <f>IF(A920&lt;&gt;"",('TP2'!D1*'TP2'!C920)/'TP2'!C1, "")</f>
        <v/>
      </c>
    </row>
    <row r="921" spans="3:4" x14ac:dyDescent="0.3">
      <c r="C921" s="2" t="str">
        <f>IF(A921&lt;&gt;"",SUM(B921),"")</f>
        <v/>
      </c>
      <c r="D921" s="2" t="str">
        <f>IF(A921&lt;&gt;"",('TP2'!D1*'TP2'!C921)/'TP2'!C1, "")</f>
        <v/>
      </c>
    </row>
    <row r="922" spans="3:4" x14ac:dyDescent="0.3">
      <c r="C922" s="2" t="str">
        <f>IF(A922&lt;&gt;"",SUM(B922),"")</f>
        <v/>
      </c>
      <c r="D922" s="2" t="str">
        <f>IF(A922&lt;&gt;"",('TP2'!D1*'TP2'!C922)/'TP2'!C1, "")</f>
        <v/>
      </c>
    </row>
    <row r="923" spans="3:4" x14ac:dyDescent="0.3">
      <c r="C923" s="2" t="str">
        <f>IF(A923&lt;&gt;"",SUM(B923),"")</f>
        <v/>
      </c>
      <c r="D923" s="2" t="str">
        <f>IF(A923&lt;&gt;"",('TP2'!D1*'TP2'!C923)/'TP2'!C1, "")</f>
        <v/>
      </c>
    </row>
    <row r="924" spans="3:4" x14ac:dyDescent="0.3">
      <c r="C924" s="2" t="str">
        <f>IF(A924&lt;&gt;"",SUM(B924),"")</f>
        <v/>
      </c>
      <c r="D924" s="2" t="str">
        <f>IF(A924&lt;&gt;"",('TP2'!D1*'TP2'!C924)/'TP2'!C1, "")</f>
        <v/>
      </c>
    </row>
    <row r="925" spans="3:4" x14ac:dyDescent="0.3">
      <c r="C925" s="2" t="str">
        <f>IF(A925&lt;&gt;"",SUM(B925),"")</f>
        <v/>
      </c>
      <c r="D925" s="2" t="str">
        <f>IF(A925&lt;&gt;"",('TP2'!D1*'TP2'!C925)/'TP2'!C1, "")</f>
        <v/>
      </c>
    </row>
    <row r="926" spans="3:4" x14ac:dyDescent="0.3">
      <c r="C926" s="2" t="str">
        <f>IF(A926&lt;&gt;"",SUM(B926),"")</f>
        <v/>
      </c>
      <c r="D926" s="2" t="str">
        <f>IF(A926&lt;&gt;"",('TP2'!D1*'TP2'!C926)/'TP2'!C1, "")</f>
        <v/>
      </c>
    </row>
    <row r="927" spans="3:4" x14ac:dyDescent="0.3">
      <c r="C927" s="2" t="str">
        <f>IF(A927&lt;&gt;"",SUM(B927),"")</f>
        <v/>
      </c>
      <c r="D927" s="2" t="str">
        <f>IF(A927&lt;&gt;"",('TP2'!D1*'TP2'!C927)/'TP2'!C1, "")</f>
        <v/>
      </c>
    </row>
    <row r="928" spans="3:4" x14ac:dyDescent="0.3">
      <c r="C928" s="2" t="str">
        <f>IF(A928&lt;&gt;"",SUM(B928),"")</f>
        <v/>
      </c>
      <c r="D928" s="2" t="str">
        <f>IF(A928&lt;&gt;"",('TP2'!D1*'TP2'!C928)/'TP2'!C1, "")</f>
        <v/>
      </c>
    </row>
    <row r="929" spans="3:4" x14ac:dyDescent="0.3">
      <c r="C929" s="2" t="str">
        <f>IF(A929&lt;&gt;"",SUM(B929),"")</f>
        <v/>
      </c>
      <c r="D929" s="2" t="str">
        <f>IF(A929&lt;&gt;"",('TP2'!D1*'TP2'!C929)/'TP2'!C1, "")</f>
        <v/>
      </c>
    </row>
    <row r="930" spans="3:4" x14ac:dyDescent="0.3">
      <c r="C930" s="2" t="str">
        <f>IF(A930&lt;&gt;"",SUM(B930),"")</f>
        <v/>
      </c>
      <c r="D930" s="2" t="str">
        <f>IF(A930&lt;&gt;"",('TP2'!D1*'TP2'!C930)/'TP2'!C1, "")</f>
        <v/>
      </c>
    </row>
    <row r="931" spans="3:4" x14ac:dyDescent="0.3">
      <c r="C931" s="2" t="str">
        <f>IF(A931&lt;&gt;"",SUM(B931),"")</f>
        <v/>
      </c>
      <c r="D931" s="2" t="str">
        <f>IF(A931&lt;&gt;"",('TP2'!D1*'TP2'!C931)/'TP2'!C1, "")</f>
        <v/>
      </c>
    </row>
    <row r="932" spans="3:4" x14ac:dyDescent="0.3">
      <c r="C932" s="2" t="str">
        <f>IF(A932&lt;&gt;"",SUM(B932),"")</f>
        <v/>
      </c>
      <c r="D932" s="2" t="str">
        <f>IF(A932&lt;&gt;"",('TP2'!D1*'TP2'!C932)/'TP2'!C1, "")</f>
        <v/>
      </c>
    </row>
    <row r="933" spans="3:4" x14ac:dyDescent="0.3">
      <c r="C933" s="2" t="str">
        <f>IF(A933&lt;&gt;"",SUM(B933),"")</f>
        <v/>
      </c>
      <c r="D933" s="2" t="str">
        <f>IF(A933&lt;&gt;"",('TP2'!D1*'TP2'!C933)/'TP2'!C1, "")</f>
        <v/>
      </c>
    </row>
    <row r="934" spans="3:4" x14ac:dyDescent="0.3">
      <c r="C934" s="2" t="str">
        <f>IF(A934&lt;&gt;"",SUM(B934),"")</f>
        <v/>
      </c>
      <c r="D934" s="2" t="str">
        <f>IF(A934&lt;&gt;"",('TP2'!D1*'TP2'!C934)/'TP2'!C1, "")</f>
        <v/>
      </c>
    </row>
    <row r="935" spans="3:4" x14ac:dyDescent="0.3">
      <c r="C935" s="2" t="str">
        <f>IF(A935&lt;&gt;"",SUM(B935),"")</f>
        <v/>
      </c>
      <c r="D935" s="2" t="str">
        <f>IF(A935&lt;&gt;"",('TP2'!D1*'TP2'!C935)/'TP2'!C1, "")</f>
        <v/>
      </c>
    </row>
    <row r="936" spans="3:4" x14ac:dyDescent="0.3">
      <c r="C936" s="2" t="str">
        <f>IF(A936&lt;&gt;"",SUM(B936),"")</f>
        <v/>
      </c>
      <c r="D936" s="2" t="str">
        <f>IF(A936&lt;&gt;"",('TP2'!D1*'TP2'!C936)/'TP2'!C1, "")</f>
        <v/>
      </c>
    </row>
    <row r="937" spans="3:4" x14ac:dyDescent="0.3">
      <c r="C937" s="2" t="str">
        <f>IF(A937&lt;&gt;"",SUM(B937),"")</f>
        <v/>
      </c>
      <c r="D937" s="2" t="str">
        <f>IF(A937&lt;&gt;"",('TP2'!D1*'TP2'!C937)/'TP2'!C1, "")</f>
        <v/>
      </c>
    </row>
    <row r="938" spans="3:4" x14ac:dyDescent="0.3">
      <c r="C938" s="2" t="str">
        <f>IF(A938&lt;&gt;"",SUM(B938),"")</f>
        <v/>
      </c>
      <c r="D938" s="2" t="str">
        <f>IF(A938&lt;&gt;"",('TP2'!D1*'TP2'!C938)/'TP2'!C1, "")</f>
        <v/>
      </c>
    </row>
    <row r="939" spans="3:4" x14ac:dyDescent="0.3">
      <c r="C939" s="2" t="str">
        <f>IF(A939&lt;&gt;"",SUM(B939),"")</f>
        <v/>
      </c>
      <c r="D939" s="2" t="str">
        <f>IF(A939&lt;&gt;"",('TP2'!D1*'TP2'!C939)/'TP2'!C1, "")</f>
        <v/>
      </c>
    </row>
    <row r="940" spans="3:4" x14ac:dyDescent="0.3">
      <c r="C940" s="2" t="str">
        <f>IF(A940&lt;&gt;"",SUM(B940),"")</f>
        <v/>
      </c>
      <c r="D940" s="2" t="str">
        <f>IF(A940&lt;&gt;"",('TP2'!D1*'TP2'!C940)/'TP2'!C1, "")</f>
        <v/>
      </c>
    </row>
    <row r="941" spans="3:4" x14ac:dyDescent="0.3">
      <c r="C941" s="2" t="str">
        <f>IF(A941&lt;&gt;"",SUM(B941),"")</f>
        <v/>
      </c>
      <c r="D941" s="2" t="str">
        <f>IF(A941&lt;&gt;"",('TP2'!D1*'TP2'!C941)/'TP2'!C1, "")</f>
        <v/>
      </c>
    </row>
    <row r="942" spans="3:4" x14ac:dyDescent="0.3">
      <c r="C942" s="2" t="str">
        <f>IF(A942&lt;&gt;"",SUM(B942),"")</f>
        <v/>
      </c>
      <c r="D942" s="2" t="str">
        <f>IF(A942&lt;&gt;"",('TP2'!D1*'TP2'!C942)/'TP2'!C1, "")</f>
        <v/>
      </c>
    </row>
    <row r="943" spans="3:4" x14ac:dyDescent="0.3">
      <c r="C943" s="2" t="str">
        <f>IF(A943&lt;&gt;"",SUM(B943),"")</f>
        <v/>
      </c>
      <c r="D943" s="2" t="str">
        <f>IF(A943&lt;&gt;"",('TP2'!D1*'TP2'!C943)/'TP2'!C1, "")</f>
        <v/>
      </c>
    </row>
    <row r="944" spans="3:4" x14ac:dyDescent="0.3">
      <c r="C944" s="2" t="str">
        <f>IF(A944&lt;&gt;"",SUM(B944),"")</f>
        <v/>
      </c>
      <c r="D944" s="2" t="str">
        <f>IF(A944&lt;&gt;"",('TP2'!D1*'TP2'!C944)/'TP2'!C1, "")</f>
        <v/>
      </c>
    </row>
    <row r="945" spans="3:4" x14ac:dyDescent="0.3">
      <c r="C945" s="2" t="str">
        <f>IF(A945&lt;&gt;"",SUM(B945),"")</f>
        <v/>
      </c>
      <c r="D945" s="2" t="str">
        <f>IF(A945&lt;&gt;"",('TP2'!D1*'TP2'!C945)/'TP2'!C1, "")</f>
        <v/>
      </c>
    </row>
    <row r="946" spans="3:4" x14ac:dyDescent="0.3">
      <c r="C946" s="2" t="str">
        <f>IF(A946&lt;&gt;"",SUM(B946),"")</f>
        <v/>
      </c>
      <c r="D946" s="2" t="str">
        <f>IF(A946&lt;&gt;"",('TP2'!D1*'TP2'!C946)/'TP2'!C1, "")</f>
        <v/>
      </c>
    </row>
    <row r="947" spans="3:4" x14ac:dyDescent="0.3">
      <c r="C947" s="2" t="str">
        <f>IF(A947&lt;&gt;"",SUM(B947),"")</f>
        <v/>
      </c>
      <c r="D947" s="2" t="str">
        <f>IF(A947&lt;&gt;"",('TP2'!D1*'TP2'!C947)/'TP2'!C1, "")</f>
        <v/>
      </c>
    </row>
    <row r="948" spans="3:4" x14ac:dyDescent="0.3">
      <c r="C948" s="2" t="str">
        <f>IF(A948&lt;&gt;"",SUM(B948),"")</f>
        <v/>
      </c>
      <c r="D948" s="2" t="str">
        <f>IF(A948&lt;&gt;"",('TP2'!D1*'TP2'!C948)/'TP2'!C1, "")</f>
        <v/>
      </c>
    </row>
    <row r="949" spans="3:4" x14ac:dyDescent="0.3">
      <c r="C949" s="2" t="str">
        <f>IF(A949&lt;&gt;"",SUM(B949),"")</f>
        <v/>
      </c>
      <c r="D949" s="2" t="str">
        <f>IF(A949&lt;&gt;"",('TP2'!D1*'TP2'!C949)/'TP2'!C1, "")</f>
        <v/>
      </c>
    </row>
    <row r="950" spans="3:4" x14ac:dyDescent="0.3">
      <c r="C950" s="2" t="str">
        <f>IF(A950&lt;&gt;"",SUM(B950),"")</f>
        <v/>
      </c>
      <c r="D950" s="2" t="str">
        <f>IF(A950&lt;&gt;"",('TP2'!D1*'TP2'!C950)/'TP2'!C1, "")</f>
        <v/>
      </c>
    </row>
    <row r="951" spans="3:4" x14ac:dyDescent="0.3">
      <c r="C951" s="2" t="str">
        <f>IF(A951&lt;&gt;"",SUM(B951),"")</f>
        <v/>
      </c>
      <c r="D951" s="2" t="str">
        <f>IF(A951&lt;&gt;"",('TP2'!D1*'TP2'!C951)/'TP2'!C1, "")</f>
        <v/>
      </c>
    </row>
    <row r="952" spans="3:4" x14ac:dyDescent="0.3">
      <c r="C952" s="2" t="str">
        <f>IF(A952&lt;&gt;"",SUM(B952),"")</f>
        <v/>
      </c>
      <c r="D952" s="2" t="str">
        <f>IF(A952&lt;&gt;"",('TP2'!D1*'TP2'!C952)/'TP2'!C1, "")</f>
        <v/>
      </c>
    </row>
    <row r="953" spans="3:4" x14ac:dyDescent="0.3">
      <c r="C953" s="2" t="str">
        <f>IF(A953&lt;&gt;"",SUM(B953),"")</f>
        <v/>
      </c>
      <c r="D953" s="2" t="str">
        <f>IF(A953&lt;&gt;"",('TP2'!D1*'TP2'!C953)/'TP2'!C1, "")</f>
        <v/>
      </c>
    </row>
    <row r="954" spans="3:4" x14ac:dyDescent="0.3">
      <c r="C954" s="2" t="str">
        <f>IF(A954&lt;&gt;"",SUM(B954),"")</f>
        <v/>
      </c>
      <c r="D954" s="2" t="str">
        <f>IF(A954&lt;&gt;"",('TP2'!D1*'TP2'!C954)/'TP2'!C1, "")</f>
        <v/>
      </c>
    </row>
    <row r="955" spans="3:4" x14ac:dyDescent="0.3">
      <c r="C955" s="2" t="str">
        <f>IF(A955&lt;&gt;"",SUM(B955),"")</f>
        <v/>
      </c>
      <c r="D955" s="2" t="str">
        <f>IF(A955&lt;&gt;"",('TP2'!D1*'TP2'!C955)/'TP2'!C1, "")</f>
        <v/>
      </c>
    </row>
    <row r="956" spans="3:4" x14ac:dyDescent="0.3">
      <c r="C956" s="2" t="str">
        <f>IF(A956&lt;&gt;"",SUM(B956),"")</f>
        <v/>
      </c>
      <c r="D956" s="2" t="str">
        <f>IF(A956&lt;&gt;"",('TP2'!D1*'TP2'!C956)/'TP2'!C1, "")</f>
        <v/>
      </c>
    </row>
    <row r="957" spans="3:4" x14ac:dyDescent="0.3">
      <c r="C957" s="2" t="str">
        <f>IF(A957&lt;&gt;"",SUM(B957),"")</f>
        <v/>
      </c>
      <c r="D957" s="2" t="str">
        <f>IF(A957&lt;&gt;"",('TP2'!D1*'TP2'!C957)/'TP2'!C1, "")</f>
        <v/>
      </c>
    </row>
    <row r="958" spans="3:4" x14ac:dyDescent="0.3">
      <c r="C958" s="2" t="str">
        <f>IF(A958&lt;&gt;"",SUM(B958),"")</f>
        <v/>
      </c>
      <c r="D958" s="2" t="str">
        <f>IF(A958&lt;&gt;"",('TP2'!D1*'TP2'!C958)/'TP2'!C1, "")</f>
        <v/>
      </c>
    </row>
    <row r="959" spans="3:4" x14ac:dyDescent="0.3">
      <c r="C959" s="2" t="str">
        <f>IF(A959&lt;&gt;"",SUM(B959),"")</f>
        <v/>
      </c>
      <c r="D959" s="2" t="str">
        <f>IF(A959&lt;&gt;"",('TP2'!D1*'TP2'!C959)/'TP2'!C1, "")</f>
        <v/>
      </c>
    </row>
    <row r="960" spans="3:4" x14ac:dyDescent="0.3">
      <c r="C960" s="2" t="str">
        <f>IF(A960&lt;&gt;"",SUM(B960),"")</f>
        <v/>
      </c>
      <c r="D960" s="2" t="str">
        <f>IF(A960&lt;&gt;"",('TP2'!D1*'TP2'!C960)/'TP2'!C1, "")</f>
        <v/>
      </c>
    </row>
    <row r="961" spans="3:4" x14ac:dyDescent="0.3">
      <c r="C961" s="2" t="str">
        <f>IF(A961&lt;&gt;"",SUM(B961),"")</f>
        <v/>
      </c>
      <c r="D961" s="2" t="str">
        <f>IF(A961&lt;&gt;"",('TP2'!D1*'TP2'!C961)/'TP2'!C1, "")</f>
        <v/>
      </c>
    </row>
    <row r="962" spans="3:4" x14ac:dyDescent="0.3">
      <c r="C962" s="2" t="str">
        <f>IF(A962&lt;&gt;"",SUM(B962),"")</f>
        <v/>
      </c>
      <c r="D962" s="2" t="str">
        <f>IF(A962&lt;&gt;"",('TP2'!D1*'TP2'!C962)/'TP2'!C1, "")</f>
        <v/>
      </c>
    </row>
    <row r="963" spans="3:4" x14ac:dyDescent="0.3">
      <c r="C963" s="2" t="str">
        <f>IF(A963&lt;&gt;"",SUM(B963),"")</f>
        <v/>
      </c>
      <c r="D963" s="2" t="str">
        <f>IF(A963&lt;&gt;"",('TP2'!D1*'TP2'!C963)/'TP2'!C1, "")</f>
        <v/>
      </c>
    </row>
    <row r="964" spans="3:4" x14ac:dyDescent="0.3">
      <c r="C964" s="2" t="str">
        <f>IF(A964&lt;&gt;"",SUM(B964),"")</f>
        <v/>
      </c>
      <c r="D964" s="2" t="str">
        <f>IF(A964&lt;&gt;"",('TP2'!D1*'TP2'!C964)/'TP2'!C1, "")</f>
        <v/>
      </c>
    </row>
    <row r="965" spans="3:4" x14ac:dyDescent="0.3">
      <c r="C965" s="2" t="str">
        <f>IF(A965&lt;&gt;"",SUM(B965),"")</f>
        <v/>
      </c>
      <c r="D965" s="2" t="str">
        <f>IF(A965&lt;&gt;"",('TP2'!D1*'TP2'!C965)/'TP2'!C1, "")</f>
        <v/>
      </c>
    </row>
    <row r="966" spans="3:4" x14ac:dyDescent="0.3">
      <c r="C966" s="2" t="str">
        <f>IF(A966&lt;&gt;"",SUM(B966),"")</f>
        <v/>
      </c>
      <c r="D966" s="2" t="str">
        <f>IF(A966&lt;&gt;"",('TP2'!D1*'TP2'!C966)/'TP2'!C1, "")</f>
        <v/>
      </c>
    </row>
    <row r="967" spans="3:4" x14ac:dyDescent="0.3">
      <c r="C967" s="2" t="str">
        <f>IF(A967&lt;&gt;"",SUM(B967),"")</f>
        <v/>
      </c>
      <c r="D967" s="2" t="str">
        <f>IF(A967&lt;&gt;"",('TP2'!D1*'TP2'!C967)/'TP2'!C1, "")</f>
        <v/>
      </c>
    </row>
    <row r="968" spans="3:4" x14ac:dyDescent="0.3">
      <c r="C968" s="2" t="str">
        <f>IF(A968&lt;&gt;"",SUM(B968),"")</f>
        <v/>
      </c>
      <c r="D968" s="2" t="str">
        <f>IF(A968&lt;&gt;"",('TP2'!D1*'TP2'!C968)/'TP2'!C1, "")</f>
        <v/>
      </c>
    </row>
    <row r="969" spans="3:4" x14ac:dyDescent="0.3">
      <c r="C969" s="2" t="str">
        <f>IF(A969&lt;&gt;"",SUM(B969),"")</f>
        <v/>
      </c>
      <c r="D969" s="2" t="str">
        <f>IF(A969&lt;&gt;"",('TP2'!D1*'TP2'!C969)/'TP2'!C1, "")</f>
        <v/>
      </c>
    </row>
    <row r="970" spans="3:4" x14ac:dyDescent="0.3">
      <c r="C970" s="2" t="str">
        <f>IF(A970&lt;&gt;"",SUM(B970),"")</f>
        <v/>
      </c>
      <c r="D970" s="2" t="str">
        <f>IF(A970&lt;&gt;"",('TP2'!D1*'TP2'!C970)/'TP2'!C1, "")</f>
        <v/>
      </c>
    </row>
    <row r="971" spans="3:4" x14ac:dyDescent="0.3">
      <c r="C971" s="2" t="str">
        <f>IF(A971&lt;&gt;"",SUM(B971),"")</f>
        <v/>
      </c>
      <c r="D971" s="2" t="str">
        <f>IF(A971&lt;&gt;"",('TP2'!D1*'TP2'!C971)/'TP2'!C1, "")</f>
        <v/>
      </c>
    </row>
    <row r="972" spans="3:4" x14ac:dyDescent="0.3">
      <c r="C972" s="2" t="str">
        <f>IF(A972&lt;&gt;"",SUM(B972),"")</f>
        <v/>
      </c>
      <c r="D972" s="2" t="str">
        <f>IF(A972&lt;&gt;"",('TP2'!D1*'TP2'!C972)/'TP2'!C1, "")</f>
        <v/>
      </c>
    </row>
    <row r="973" spans="3:4" x14ac:dyDescent="0.3">
      <c r="C973" s="2" t="str">
        <f>IF(A973&lt;&gt;"",SUM(B973),"")</f>
        <v/>
      </c>
      <c r="D973" s="2" t="str">
        <f>IF(A973&lt;&gt;"",('TP2'!D1*'TP2'!C973)/'TP2'!C1, "")</f>
        <v/>
      </c>
    </row>
    <row r="974" spans="3:4" x14ac:dyDescent="0.3">
      <c r="C974" s="2" t="str">
        <f>IF(A974&lt;&gt;"",SUM(B974),"")</f>
        <v/>
      </c>
      <c r="D974" s="2" t="str">
        <f>IF(A974&lt;&gt;"",('TP2'!D1*'TP2'!C974)/'TP2'!C1, "")</f>
        <v/>
      </c>
    </row>
    <row r="975" spans="3:4" x14ac:dyDescent="0.3">
      <c r="C975" s="2" t="str">
        <f>IF(A975&lt;&gt;"",SUM(B975),"")</f>
        <v/>
      </c>
      <c r="D975" s="2" t="str">
        <f>IF(A975&lt;&gt;"",('TP2'!D1*'TP2'!C975)/'TP2'!C1, "")</f>
        <v/>
      </c>
    </row>
    <row r="976" spans="3:4" x14ac:dyDescent="0.3">
      <c r="C976" s="2" t="str">
        <f>IF(A976&lt;&gt;"",SUM(B976),"")</f>
        <v/>
      </c>
      <c r="D976" s="2" t="str">
        <f>IF(A976&lt;&gt;"",('TP2'!D1*'TP2'!C976)/'TP2'!C1, "")</f>
        <v/>
      </c>
    </row>
    <row r="977" spans="3:4" x14ac:dyDescent="0.3">
      <c r="C977" s="2" t="str">
        <f>IF(A977&lt;&gt;"",SUM(B977),"")</f>
        <v/>
      </c>
      <c r="D977" s="2" t="str">
        <f>IF(A977&lt;&gt;"",('TP2'!D1*'TP2'!C977)/'TP2'!C1, "")</f>
        <v/>
      </c>
    </row>
    <row r="978" spans="3:4" x14ac:dyDescent="0.3">
      <c r="C978" s="2" t="str">
        <f>IF(A978&lt;&gt;"",SUM(B978),"")</f>
        <v/>
      </c>
      <c r="D978" s="2" t="str">
        <f>IF(A978&lt;&gt;"",('TP2'!D1*'TP2'!C978)/'TP2'!C1, "")</f>
        <v/>
      </c>
    </row>
    <row r="979" spans="3:4" x14ac:dyDescent="0.3">
      <c r="C979" s="2" t="str">
        <f>IF(A979&lt;&gt;"",SUM(B979),"")</f>
        <v/>
      </c>
      <c r="D979" s="2" t="str">
        <f>IF(A979&lt;&gt;"",('TP2'!D1*'TP2'!C979)/'TP2'!C1, "")</f>
        <v/>
      </c>
    </row>
    <row r="980" spans="3:4" x14ac:dyDescent="0.3">
      <c r="C980" s="2" t="str">
        <f>IF(A980&lt;&gt;"",SUM(B980),"")</f>
        <v/>
      </c>
      <c r="D980" s="2" t="str">
        <f>IF(A980&lt;&gt;"",('TP2'!D1*'TP2'!C980)/'TP2'!C1, "")</f>
        <v/>
      </c>
    </row>
    <row r="981" spans="3:4" x14ac:dyDescent="0.3">
      <c r="C981" s="2" t="str">
        <f>IF(A981&lt;&gt;"",SUM(B981),"")</f>
        <v/>
      </c>
      <c r="D981" s="2" t="str">
        <f>IF(A981&lt;&gt;"",('TP2'!D1*'TP2'!C981)/'TP2'!C1, "")</f>
        <v/>
      </c>
    </row>
    <row r="982" spans="3:4" x14ac:dyDescent="0.3">
      <c r="C982" s="2" t="str">
        <f>IF(A982&lt;&gt;"",SUM(B982),"")</f>
        <v/>
      </c>
      <c r="D982" s="2" t="str">
        <f>IF(A982&lt;&gt;"",('TP2'!D1*'TP2'!C982)/'TP2'!C1, "")</f>
        <v/>
      </c>
    </row>
    <row r="983" spans="3:4" x14ac:dyDescent="0.3">
      <c r="C983" s="2" t="str">
        <f>IF(A983&lt;&gt;"",SUM(B983),"")</f>
        <v/>
      </c>
      <c r="D983" s="2" t="str">
        <f>IF(A983&lt;&gt;"",('TP2'!D1*'TP2'!C983)/'TP2'!C1, "")</f>
        <v/>
      </c>
    </row>
    <row r="984" spans="3:4" x14ac:dyDescent="0.3">
      <c r="C984" s="2" t="str">
        <f>IF(A984&lt;&gt;"",SUM(B984),"")</f>
        <v/>
      </c>
      <c r="D984" s="2" t="str">
        <f>IF(A984&lt;&gt;"",('TP2'!D1*'TP2'!C984)/'TP2'!C1, "")</f>
        <v/>
      </c>
    </row>
    <row r="985" spans="3:4" x14ac:dyDescent="0.3">
      <c r="C985" s="2" t="str">
        <f>IF(A985&lt;&gt;"",SUM(B985),"")</f>
        <v/>
      </c>
      <c r="D985" s="2" t="str">
        <f>IF(A985&lt;&gt;"",('TP2'!D1*'TP2'!C985)/'TP2'!C1, "")</f>
        <v/>
      </c>
    </row>
    <row r="986" spans="3:4" x14ac:dyDescent="0.3">
      <c r="C986" s="2" t="str">
        <f>IF(A986&lt;&gt;"",SUM(B986),"")</f>
        <v/>
      </c>
      <c r="D986" s="2" t="str">
        <f>IF(A986&lt;&gt;"",('TP2'!D1*'TP2'!C986)/'TP2'!C1, "")</f>
        <v/>
      </c>
    </row>
    <row r="987" spans="3:4" x14ac:dyDescent="0.3">
      <c r="C987" s="2" t="str">
        <f>IF(A987&lt;&gt;"",SUM(B987),"")</f>
        <v/>
      </c>
      <c r="D987" s="2" t="str">
        <f>IF(A987&lt;&gt;"",('TP2'!D1*'TP2'!C987)/'TP2'!C1, "")</f>
        <v/>
      </c>
    </row>
    <row r="988" spans="3:4" x14ac:dyDescent="0.3">
      <c r="C988" s="2" t="str">
        <f>IF(A988&lt;&gt;"",SUM(B988),"")</f>
        <v/>
      </c>
      <c r="D988" s="2" t="str">
        <f>IF(A988&lt;&gt;"",('TP2'!D1*'TP2'!C988)/'TP2'!C1, "")</f>
        <v/>
      </c>
    </row>
    <row r="989" spans="3:4" x14ac:dyDescent="0.3">
      <c r="C989" s="2" t="str">
        <f>IF(A989&lt;&gt;"",SUM(B989),"")</f>
        <v/>
      </c>
      <c r="D989" s="2" t="str">
        <f>IF(A989&lt;&gt;"",('TP2'!D1*'TP2'!C989)/'TP2'!C1, "")</f>
        <v/>
      </c>
    </row>
    <row r="990" spans="3:4" x14ac:dyDescent="0.3">
      <c r="C990" s="2" t="str">
        <f>IF(A990&lt;&gt;"",SUM(B990),"")</f>
        <v/>
      </c>
      <c r="D990" s="2" t="str">
        <f>IF(A990&lt;&gt;"",('TP2'!D1*'TP2'!C990)/'TP2'!C1, "")</f>
        <v/>
      </c>
    </row>
    <row r="991" spans="3:4" x14ac:dyDescent="0.3">
      <c r="C991" s="2" t="str">
        <f>IF(A991&lt;&gt;"",SUM(B991),"")</f>
        <v/>
      </c>
      <c r="D991" s="2" t="str">
        <f>IF(A991&lt;&gt;"",('TP2'!D1*'TP2'!C991)/'TP2'!C1, "")</f>
        <v/>
      </c>
    </row>
    <row r="992" spans="3:4" x14ac:dyDescent="0.3">
      <c r="C992" s="2" t="str">
        <f>IF(A992&lt;&gt;"",SUM(B992),"")</f>
        <v/>
      </c>
      <c r="D992" s="2" t="str">
        <f>IF(A992&lt;&gt;"",('TP2'!D1*'TP2'!C992)/'TP2'!C1, "")</f>
        <v/>
      </c>
    </row>
    <row r="993" spans="3:4" x14ac:dyDescent="0.3">
      <c r="C993" s="2" t="str">
        <f>IF(A993&lt;&gt;"",SUM(B993),"")</f>
        <v/>
      </c>
      <c r="D993" s="2" t="str">
        <f>IF(A993&lt;&gt;"",('TP2'!D1*'TP2'!C993)/'TP2'!C1, "")</f>
        <v/>
      </c>
    </row>
    <row r="994" spans="3:4" x14ac:dyDescent="0.3">
      <c r="C994" s="2" t="str">
        <f>IF(A994&lt;&gt;"",SUM(B994),"")</f>
        <v/>
      </c>
      <c r="D994" s="2" t="str">
        <f>IF(A994&lt;&gt;"",('TP2'!D1*'TP2'!C994)/'TP2'!C1, "")</f>
        <v/>
      </c>
    </row>
    <row r="995" spans="3:4" x14ac:dyDescent="0.3">
      <c r="C995" s="2" t="str">
        <f>IF(A995&lt;&gt;"",SUM(B995),"")</f>
        <v/>
      </c>
      <c r="D995" s="2" t="str">
        <f>IF(A995&lt;&gt;"",('TP2'!D1*'TP2'!C995)/'TP2'!C1, "")</f>
        <v/>
      </c>
    </row>
    <row r="996" spans="3:4" x14ac:dyDescent="0.3">
      <c r="C996" s="2" t="str">
        <f>IF(A996&lt;&gt;"",SUM(B996),"")</f>
        <v/>
      </c>
      <c r="D996" s="2" t="str">
        <f>IF(A996&lt;&gt;"",('TP2'!D1*'TP2'!C996)/'TP2'!C1, "")</f>
        <v/>
      </c>
    </row>
    <row r="997" spans="3:4" x14ac:dyDescent="0.3">
      <c r="C997" s="2" t="str">
        <f>IF(A997&lt;&gt;"",SUM(B997),"")</f>
        <v/>
      </c>
      <c r="D997" s="2" t="str">
        <f>IF(A997&lt;&gt;"",('TP2'!D1*'TP2'!C997)/'TP2'!C1, "")</f>
        <v/>
      </c>
    </row>
    <row r="998" spans="3:4" x14ac:dyDescent="0.3">
      <c r="C998" s="2" t="str">
        <f>IF(A998&lt;&gt;"",SUM(B998),"")</f>
        <v/>
      </c>
      <c r="D998" s="2" t="str">
        <f>IF(A998&lt;&gt;"",('TP2'!D1*'TP2'!C998)/'TP2'!C1, "")</f>
        <v/>
      </c>
    </row>
    <row r="999" spans="3:4" x14ac:dyDescent="0.3">
      <c r="C999" s="2" t="str">
        <f>IF(A999&lt;&gt;"",SUM(B999),"")</f>
        <v/>
      </c>
      <c r="D999" s="2" t="str">
        <f>IF(A999&lt;&gt;"",('TP2'!D1*'TP2'!C999)/'TP2'!C1, "")</f>
        <v/>
      </c>
    </row>
    <row r="1000" spans="3:4" x14ac:dyDescent="0.3">
      <c r="C1000" s="2" t="str">
        <f>IF(A1000&lt;&gt;"",SUM(B1000),"")</f>
        <v/>
      </c>
      <c r="D1000" s="2" t="str">
        <f>IF(A1000&lt;&gt;"",('TP2'!D1*'TP2'!C1000)/'TP2'!C1, 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521D9-FCF9-4D46-863E-84660B2F1805}">
  <sheetPr codeName="Folha152"/>
  <dimension ref="A1:ZZ1000"/>
  <sheetViews>
    <sheetView workbookViewId="0">
      <selection activeCell="B3" sqref="B3"/>
    </sheetView>
  </sheetViews>
  <sheetFormatPr defaultRowHeight="14.4" x14ac:dyDescent="0.3"/>
  <cols>
    <col min="1" max="1" width="35.77734375" style="2" customWidth="1"/>
    <col min="2" max="2" width="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20</v>
      </c>
      <c r="C1" s="8">
        <v>20</v>
      </c>
      <c r="D1" s="8">
        <v>12</v>
      </c>
    </row>
    <row r="2" spans="1:4" x14ac:dyDescent="0.3">
      <c r="A2" s="7" t="s">
        <v>12</v>
      </c>
      <c r="B2" s="7" t="s">
        <v>22</v>
      </c>
      <c r="C2" s="7" t="s">
        <v>13</v>
      </c>
      <c r="D2" s="7" t="s">
        <v>23</v>
      </c>
    </row>
    <row r="3" spans="1:4" x14ac:dyDescent="0.3">
      <c r="A3" s="2" t="s">
        <v>17</v>
      </c>
      <c r="B3" s="2">
        <v>15</v>
      </c>
      <c r="C3" s="2">
        <f>IF(A3&lt;&gt;"",SUM(B3),"")</f>
        <v>15</v>
      </c>
      <c r="D3" s="2">
        <f>IF(A3&lt;&gt;"",(Recurso!D1*Recurso!C3)/Recurso!C1, "")</f>
        <v>9</v>
      </c>
    </row>
    <row r="4" spans="1:4" x14ac:dyDescent="0.3">
      <c r="C4" s="2" t="str">
        <f>IF(A4&lt;&gt;"",SUM(B4),"")</f>
        <v/>
      </c>
      <c r="D4" s="2" t="str">
        <f>IF(A4&lt;&gt;"",(Recurso!D1*Recurso!C4)/Recurso!C1, "")</f>
        <v/>
      </c>
    </row>
    <row r="5" spans="1:4" x14ac:dyDescent="0.3">
      <c r="C5" s="2" t="str">
        <f>IF(A5&lt;&gt;"",SUM(B5),"")</f>
        <v/>
      </c>
      <c r="D5" s="2" t="str">
        <f>IF(A5&lt;&gt;"",(Recurso!D1*Recurso!C5)/Recurso!C1, "")</f>
        <v/>
      </c>
    </row>
    <row r="6" spans="1:4" x14ac:dyDescent="0.3">
      <c r="C6" s="2" t="str">
        <f>IF(A6&lt;&gt;"",SUM(B6),"")</f>
        <v/>
      </c>
      <c r="D6" s="2" t="str">
        <f>IF(A6&lt;&gt;"",(Recurso!D1*Recurso!C6)/Recurso!C1, "")</f>
        <v/>
      </c>
    </row>
    <row r="7" spans="1:4" x14ac:dyDescent="0.3">
      <c r="C7" s="2" t="str">
        <f>IF(A7&lt;&gt;"",SUM(B7),"")</f>
        <v/>
      </c>
      <c r="D7" s="2" t="str">
        <f>IF(A7&lt;&gt;"",(Recurso!D1*Recurso!C7)/Recurso!C1, "")</f>
        <v/>
      </c>
    </row>
    <row r="8" spans="1:4" x14ac:dyDescent="0.3">
      <c r="C8" s="2" t="str">
        <f>IF(A8&lt;&gt;"",SUM(B8),"")</f>
        <v/>
      </c>
      <c r="D8" s="2" t="str">
        <f>IF(A8&lt;&gt;"",(Recurso!D1*Recurso!C8)/Recurso!C1, "")</f>
        <v/>
      </c>
    </row>
    <row r="9" spans="1:4" x14ac:dyDescent="0.3">
      <c r="C9" s="2" t="str">
        <f>IF(A9&lt;&gt;"",SUM(B9),"")</f>
        <v/>
      </c>
      <c r="D9" s="2" t="str">
        <f>IF(A9&lt;&gt;"",(Recurso!D1*Recurso!C9)/Recurso!C1, "")</f>
        <v/>
      </c>
    </row>
    <row r="10" spans="1:4" x14ac:dyDescent="0.3">
      <c r="C10" s="2" t="str">
        <f>IF(A10&lt;&gt;"",SUM(B10),"")</f>
        <v/>
      </c>
      <c r="D10" s="2" t="str">
        <f>IF(A10&lt;&gt;"",(Recurso!D1*Recurso!C10)/Recurso!C1, "")</f>
        <v/>
      </c>
    </row>
    <row r="11" spans="1:4" x14ac:dyDescent="0.3">
      <c r="C11" s="2" t="str">
        <f>IF(A11&lt;&gt;"",SUM(B11),"")</f>
        <v/>
      </c>
      <c r="D11" s="2" t="str">
        <f>IF(A11&lt;&gt;"",(Recurso!D1*Recurso!C11)/Recurso!C1, "")</f>
        <v/>
      </c>
    </row>
    <row r="12" spans="1:4" x14ac:dyDescent="0.3">
      <c r="C12" s="2" t="str">
        <f>IF(A12&lt;&gt;"",SUM(B12),"")</f>
        <v/>
      </c>
      <c r="D12" s="2" t="str">
        <f>IF(A12&lt;&gt;"",(Recurso!D1*Recurso!C12)/Recurso!C1, "")</f>
        <v/>
      </c>
    </row>
    <row r="13" spans="1:4" x14ac:dyDescent="0.3">
      <c r="C13" s="2" t="str">
        <f>IF(A13&lt;&gt;"",SUM(B13),"")</f>
        <v/>
      </c>
      <c r="D13" s="2" t="str">
        <f>IF(A13&lt;&gt;"",(Recurso!D1*Recurso!C13)/Recurso!C1, "")</f>
        <v/>
      </c>
    </row>
    <row r="14" spans="1:4" x14ac:dyDescent="0.3">
      <c r="C14" s="2" t="str">
        <f>IF(A14&lt;&gt;"",SUM(B14),"")</f>
        <v/>
      </c>
      <c r="D14" s="2" t="str">
        <f>IF(A14&lt;&gt;"",(Recurso!D1*Recurso!C14)/Recurso!C1, "")</f>
        <v/>
      </c>
    </row>
    <row r="15" spans="1:4" x14ac:dyDescent="0.3">
      <c r="C15" s="2" t="str">
        <f>IF(A15&lt;&gt;"",SUM(B15),"")</f>
        <v/>
      </c>
      <c r="D15" s="2" t="str">
        <f>IF(A15&lt;&gt;"",(Recurso!D1*Recurso!C15)/Recurso!C1, "")</f>
        <v/>
      </c>
    </row>
    <row r="16" spans="1:4" x14ac:dyDescent="0.3">
      <c r="C16" s="2" t="str">
        <f>IF(A16&lt;&gt;"",SUM(B16),"")</f>
        <v/>
      </c>
      <c r="D16" s="2" t="str">
        <f>IF(A16&lt;&gt;"",(Recurso!D1*Recurso!C16)/Recurso!C1, "")</f>
        <v/>
      </c>
    </row>
    <row r="17" spans="3:4" x14ac:dyDescent="0.3">
      <c r="C17" s="2" t="str">
        <f>IF(A17&lt;&gt;"",SUM(B17),"")</f>
        <v/>
      </c>
      <c r="D17" s="2" t="str">
        <f>IF(A17&lt;&gt;"",(Recurso!D1*Recurso!C17)/Recurso!C1, "")</f>
        <v/>
      </c>
    </row>
    <row r="18" spans="3:4" x14ac:dyDescent="0.3">
      <c r="C18" s="2" t="str">
        <f>IF(A18&lt;&gt;"",SUM(B18),"")</f>
        <v/>
      </c>
      <c r="D18" s="2" t="str">
        <f>IF(A18&lt;&gt;"",(Recurso!D1*Recurso!C18)/Recurso!C1, "")</f>
        <v/>
      </c>
    </row>
    <row r="19" spans="3:4" x14ac:dyDescent="0.3">
      <c r="C19" s="2" t="str">
        <f>IF(A19&lt;&gt;"",SUM(B19),"")</f>
        <v/>
      </c>
      <c r="D19" s="2" t="str">
        <f>IF(A19&lt;&gt;"",(Recurso!D1*Recurso!C19)/Recurso!C1, "")</f>
        <v/>
      </c>
    </row>
    <row r="20" spans="3:4" x14ac:dyDescent="0.3">
      <c r="C20" s="2" t="str">
        <f>IF(A20&lt;&gt;"",SUM(B20),"")</f>
        <v/>
      </c>
      <c r="D20" s="2" t="str">
        <f>IF(A20&lt;&gt;"",(Recurso!D1*Recurso!C20)/Recurso!C1, "")</f>
        <v/>
      </c>
    </row>
    <row r="21" spans="3:4" x14ac:dyDescent="0.3">
      <c r="C21" s="2" t="str">
        <f>IF(A21&lt;&gt;"",SUM(B21),"")</f>
        <v/>
      </c>
      <c r="D21" s="2" t="str">
        <f>IF(A21&lt;&gt;"",(Recurso!D1*Recurso!C21)/Recurso!C1, "")</f>
        <v/>
      </c>
    </row>
    <row r="22" spans="3:4" x14ac:dyDescent="0.3">
      <c r="C22" s="2" t="str">
        <f>IF(A22&lt;&gt;"",SUM(B22),"")</f>
        <v/>
      </c>
      <c r="D22" s="2" t="str">
        <f>IF(A22&lt;&gt;"",(Recurso!D1*Recurso!C22)/Recurso!C1, "")</f>
        <v/>
      </c>
    </row>
    <row r="23" spans="3:4" x14ac:dyDescent="0.3">
      <c r="C23" s="2" t="str">
        <f>IF(A23&lt;&gt;"",SUM(B23),"")</f>
        <v/>
      </c>
      <c r="D23" s="2" t="str">
        <f>IF(A23&lt;&gt;"",(Recurso!D1*Recurso!C23)/Recurso!C1, "")</f>
        <v/>
      </c>
    </row>
    <row r="24" spans="3:4" x14ac:dyDescent="0.3">
      <c r="C24" s="2" t="str">
        <f>IF(A24&lt;&gt;"",SUM(B24),"")</f>
        <v/>
      </c>
      <c r="D24" s="2" t="str">
        <f>IF(A24&lt;&gt;"",(Recurso!D1*Recurso!C24)/Recurso!C1, "")</f>
        <v/>
      </c>
    </row>
    <row r="25" spans="3:4" x14ac:dyDescent="0.3">
      <c r="C25" s="2" t="str">
        <f>IF(A25&lt;&gt;"",SUM(B25),"")</f>
        <v/>
      </c>
      <c r="D25" s="2" t="str">
        <f>IF(A25&lt;&gt;"",(Recurso!D1*Recurso!C25)/Recurso!C1, "")</f>
        <v/>
      </c>
    </row>
    <row r="26" spans="3:4" x14ac:dyDescent="0.3">
      <c r="C26" s="2" t="str">
        <f>IF(A26&lt;&gt;"",SUM(B26),"")</f>
        <v/>
      </c>
      <c r="D26" s="2" t="str">
        <f>IF(A26&lt;&gt;"",(Recurso!D1*Recurso!C26)/Recurso!C1, "")</f>
        <v/>
      </c>
    </row>
    <row r="27" spans="3:4" x14ac:dyDescent="0.3">
      <c r="C27" s="2" t="str">
        <f>IF(A27&lt;&gt;"",SUM(B27),"")</f>
        <v/>
      </c>
      <c r="D27" s="2" t="str">
        <f>IF(A27&lt;&gt;"",(Recurso!D1*Recurso!C27)/Recurso!C1, "")</f>
        <v/>
      </c>
    </row>
    <row r="28" spans="3:4" x14ac:dyDescent="0.3">
      <c r="C28" s="2" t="str">
        <f>IF(A28&lt;&gt;"",SUM(B28),"")</f>
        <v/>
      </c>
      <c r="D28" s="2" t="str">
        <f>IF(A28&lt;&gt;"",(Recurso!D1*Recurso!C28)/Recurso!C1, "")</f>
        <v/>
      </c>
    </row>
    <row r="29" spans="3:4" x14ac:dyDescent="0.3">
      <c r="C29" s="2" t="str">
        <f>IF(A29&lt;&gt;"",SUM(B29),"")</f>
        <v/>
      </c>
      <c r="D29" s="2" t="str">
        <f>IF(A29&lt;&gt;"",(Recurso!D1*Recurso!C29)/Recurso!C1, "")</f>
        <v/>
      </c>
    </row>
    <row r="30" spans="3:4" x14ac:dyDescent="0.3">
      <c r="C30" s="2" t="str">
        <f>IF(A30&lt;&gt;"",SUM(B30),"")</f>
        <v/>
      </c>
      <c r="D30" s="2" t="str">
        <f>IF(A30&lt;&gt;"",(Recurso!D1*Recurso!C30)/Recurso!C1, "")</f>
        <v/>
      </c>
    </row>
    <row r="31" spans="3:4" x14ac:dyDescent="0.3">
      <c r="C31" s="2" t="str">
        <f>IF(A31&lt;&gt;"",SUM(B31),"")</f>
        <v/>
      </c>
      <c r="D31" s="2" t="str">
        <f>IF(A31&lt;&gt;"",(Recurso!D1*Recurso!C31)/Recurso!C1, "")</f>
        <v/>
      </c>
    </row>
    <row r="32" spans="3:4" x14ac:dyDescent="0.3">
      <c r="C32" s="2" t="str">
        <f>IF(A32&lt;&gt;"",SUM(B32),"")</f>
        <v/>
      </c>
      <c r="D32" s="2" t="str">
        <f>IF(A32&lt;&gt;"",(Recurso!D1*Recurso!C32)/Recurso!C1, "")</f>
        <v/>
      </c>
    </row>
    <row r="33" spans="3:4" x14ac:dyDescent="0.3">
      <c r="C33" s="2" t="str">
        <f>IF(A33&lt;&gt;"",SUM(B33),"")</f>
        <v/>
      </c>
      <c r="D33" s="2" t="str">
        <f>IF(A33&lt;&gt;"",(Recurso!D1*Recurso!C33)/Recurso!C1, "")</f>
        <v/>
      </c>
    </row>
    <row r="34" spans="3:4" x14ac:dyDescent="0.3">
      <c r="C34" s="2" t="str">
        <f>IF(A34&lt;&gt;"",SUM(B34),"")</f>
        <v/>
      </c>
      <c r="D34" s="2" t="str">
        <f>IF(A34&lt;&gt;"",(Recurso!D1*Recurso!C34)/Recurso!C1, "")</f>
        <v/>
      </c>
    </row>
    <row r="35" spans="3:4" x14ac:dyDescent="0.3">
      <c r="C35" s="2" t="str">
        <f>IF(A35&lt;&gt;"",SUM(B35),"")</f>
        <v/>
      </c>
      <c r="D35" s="2" t="str">
        <f>IF(A35&lt;&gt;"",(Recurso!D1*Recurso!C35)/Recurso!C1, "")</f>
        <v/>
      </c>
    </row>
    <row r="36" spans="3:4" x14ac:dyDescent="0.3">
      <c r="C36" s="2" t="str">
        <f>IF(A36&lt;&gt;"",SUM(B36),"")</f>
        <v/>
      </c>
      <c r="D36" s="2" t="str">
        <f>IF(A36&lt;&gt;"",(Recurso!D1*Recurso!C36)/Recurso!C1, "")</f>
        <v/>
      </c>
    </row>
    <row r="37" spans="3:4" x14ac:dyDescent="0.3">
      <c r="C37" s="2" t="str">
        <f>IF(A37&lt;&gt;"",SUM(B37),"")</f>
        <v/>
      </c>
      <c r="D37" s="2" t="str">
        <f>IF(A37&lt;&gt;"",(Recurso!D1*Recurso!C37)/Recurso!C1, "")</f>
        <v/>
      </c>
    </row>
    <row r="38" spans="3:4" x14ac:dyDescent="0.3">
      <c r="C38" s="2" t="str">
        <f>IF(A38&lt;&gt;"",SUM(B38),"")</f>
        <v/>
      </c>
      <c r="D38" s="2" t="str">
        <f>IF(A38&lt;&gt;"",(Recurso!D1*Recurso!C38)/Recurso!C1, "")</f>
        <v/>
      </c>
    </row>
    <row r="39" spans="3:4" x14ac:dyDescent="0.3">
      <c r="C39" s="2" t="str">
        <f>IF(A39&lt;&gt;"",SUM(B39),"")</f>
        <v/>
      </c>
      <c r="D39" s="2" t="str">
        <f>IF(A39&lt;&gt;"",(Recurso!D1*Recurso!C39)/Recurso!C1, "")</f>
        <v/>
      </c>
    </row>
    <row r="40" spans="3:4" x14ac:dyDescent="0.3">
      <c r="C40" s="2" t="str">
        <f>IF(A40&lt;&gt;"",SUM(B40),"")</f>
        <v/>
      </c>
      <c r="D40" s="2" t="str">
        <f>IF(A40&lt;&gt;"",(Recurso!D1*Recurso!C40)/Recurso!C1, "")</f>
        <v/>
      </c>
    </row>
    <row r="41" spans="3:4" x14ac:dyDescent="0.3">
      <c r="C41" s="2" t="str">
        <f>IF(A41&lt;&gt;"",SUM(B41),"")</f>
        <v/>
      </c>
      <c r="D41" s="2" t="str">
        <f>IF(A41&lt;&gt;"",(Recurso!D1*Recurso!C41)/Recurso!C1, "")</f>
        <v/>
      </c>
    </row>
    <row r="42" spans="3:4" x14ac:dyDescent="0.3">
      <c r="C42" s="2" t="str">
        <f>IF(A42&lt;&gt;"",SUM(B42),"")</f>
        <v/>
      </c>
      <c r="D42" s="2" t="str">
        <f>IF(A42&lt;&gt;"",(Recurso!D1*Recurso!C42)/Recurso!C1, "")</f>
        <v/>
      </c>
    </row>
    <row r="43" spans="3:4" x14ac:dyDescent="0.3">
      <c r="C43" s="2" t="str">
        <f>IF(A43&lt;&gt;"",SUM(B43),"")</f>
        <v/>
      </c>
      <c r="D43" s="2" t="str">
        <f>IF(A43&lt;&gt;"",(Recurso!D1*Recurso!C43)/Recurso!C1, "")</f>
        <v/>
      </c>
    </row>
    <row r="44" spans="3:4" x14ac:dyDescent="0.3">
      <c r="C44" s="2" t="str">
        <f>IF(A44&lt;&gt;"",SUM(B44),"")</f>
        <v/>
      </c>
      <c r="D44" s="2" t="str">
        <f>IF(A44&lt;&gt;"",(Recurso!D1*Recurso!C44)/Recurso!C1, "")</f>
        <v/>
      </c>
    </row>
    <row r="45" spans="3:4" x14ac:dyDescent="0.3">
      <c r="C45" s="2" t="str">
        <f>IF(A45&lt;&gt;"",SUM(B45),"")</f>
        <v/>
      </c>
      <c r="D45" s="2" t="str">
        <f>IF(A45&lt;&gt;"",(Recurso!D1*Recurso!C45)/Recurso!C1, "")</f>
        <v/>
      </c>
    </row>
    <row r="46" spans="3:4" x14ac:dyDescent="0.3">
      <c r="C46" s="2" t="str">
        <f>IF(A46&lt;&gt;"",SUM(B46),"")</f>
        <v/>
      </c>
      <c r="D46" s="2" t="str">
        <f>IF(A46&lt;&gt;"",(Recurso!D1*Recurso!C46)/Recurso!C1, "")</f>
        <v/>
      </c>
    </row>
    <row r="47" spans="3:4" x14ac:dyDescent="0.3">
      <c r="C47" s="2" t="str">
        <f>IF(A47&lt;&gt;"",SUM(B47),"")</f>
        <v/>
      </c>
      <c r="D47" s="2" t="str">
        <f>IF(A47&lt;&gt;"",(Recurso!D1*Recurso!C47)/Recurso!C1, "")</f>
        <v/>
      </c>
    </row>
    <row r="48" spans="3:4" x14ac:dyDescent="0.3">
      <c r="C48" s="2" t="str">
        <f>IF(A48&lt;&gt;"",SUM(B48),"")</f>
        <v/>
      </c>
      <c r="D48" s="2" t="str">
        <f>IF(A48&lt;&gt;"",(Recurso!D1*Recurso!C48)/Recurso!C1, "")</f>
        <v/>
      </c>
    </row>
    <row r="49" spans="3:4" x14ac:dyDescent="0.3">
      <c r="C49" s="2" t="str">
        <f>IF(A49&lt;&gt;"",SUM(B49),"")</f>
        <v/>
      </c>
      <c r="D49" s="2" t="str">
        <f>IF(A49&lt;&gt;"",(Recurso!D1*Recurso!C49)/Recurso!C1, "")</f>
        <v/>
      </c>
    </row>
    <row r="50" spans="3:4" x14ac:dyDescent="0.3">
      <c r="C50" s="2" t="str">
        <f>IF(A50&lt;&gt;"",SUM(B50),"")</f>
        <v/>
      </c>
      <c r="D50" s="2" t="str">
        <f>IF(A50&lt;&gt;"",(Recurso!D1*Recurso!C50)/Recurso!C1, "")</f>
        <v/>
      </c>
    </row>
    <row r="51" spans="3:4" x14ac:dyDescent="0.3">
      <c r="C51" s="2" t="str">
        <f>IF(A51&lt;&gt;"",SUM(B51),"")</f>
        <v/>
      </c>
      <c r="D51" s="2" t="str">
        <f>IF(A51&lt;&gt;"",(Recurso!D1*Recurso!C51)/Recurso!C1, "")</f>
        <v/>
      </c>
    </row>
    <row r="52" spans="3:4" x14ac:dyDescent="0.3">
      <c r="C52" s="2" t="str">
        <f>IF(A52&lt;&gt;"",SUM(B52),"")</f>
        <v/>
      </c>
      <c r="D52" s="2" t="str">
        <f>IF(A52&lt;&gt;"",(Recurso!D1*Recurso!C52)/Recurso!C1, "")</f>
        <v/>
      </c>
    </row>
    <row r="53" spans="3:4" x14ac:dyDescent="0.3">
      <c r="C53" s="2" t="str">
        <f>IF(A53&lt;&gt;"",SUM(B53),"")</f>
        <v/>
      </c>
      <c r="D53" s="2" t="str">
        <f>IF(A53&lt;&gt;"",(Recurso!D1*Recurso!C53)/Recurso!C1, "")</f>
        <v/>
      </c>
    </row>
    <row r="54" spans="3:4" x14ac:dyDescent="0.3">
      <c r="C54" s="2" t="str">
        <f>IF(A54&lt;&gt;"",SUM(B54),"")</f>
        <v/>
      </c>
      <c r="D54" s="2" t="str">
        <f>IF(A54&lt;&gt;"",(Recurso!D1*Recurso!C54)/Recurso!C1, "")</f>
        <v/>
      </c>
    </row>
    <row r="55" spans="3:4" x14ac:dyDescent="0.3">
      <c r="C55" s="2" t="str">
        <f>IF(A55&lt;&gt;"",SUM(B55),"")</f>
        <v/>
      </c>
      <c r="D55" s="2" t="str">
        <f>IF(A55&lt;&gt;"",(Recurso!D1*Recurso!C55)/Recurso!C1, "")</f>
        <v/>
      </c>
    </row>
    <row r="56" spans="3:4" x14ac:dyDescent="0.3">
      <c r="C56" s="2" t="str">
        <f>IF(A56&lt;&gt;"",SUM(B56),"")</f>
        <v/>
      </c>
      <c r="D56" s="2" t="str">
        <f>IF(A56&lt;&gt;"",(Recurso!D1*Recurso!C56)/Recurso!C1, "")</f>
        <v/>
      </c>
    </row>
    <row r="57" spans="3:4" x14ac:dyDescent="0.3">
      <c r="C57" s="2" t="str">
        <f>IF(A57&lt;&gt;"",SUM(B57),"")</f>
        <v/>
      </c>
      <c r="D57" s="2" t="str">
        <f>IF(A57&lt;&gt;"",(Recurso!D1*Recurso!C57)/Recurso!C1, "")</f>
        <v/>
      </c>
    </row>
    <row r="58" spans="3:4" x14ac:dyDescent="0.3">
      <c r="C58" s="2" t="str">
        <f>IF(A58&lt;&gt;"",SUM(B58),"")</f>
        <v/>
      </c>
      <c r="D58" s="2" t="str">
        <f>IF(A58&lt;&gt;"",(Recurso!D1*Recurso!C58)/Recurso!C1, "")</f>
        <v/>
      </c>
    </row>
    <row r="59" spans="3:4" x14ac:dyDescent="0.3">
      <c r="C59" s="2" t="str">
        <f>IF(A59&lt;&gt;"",SUM(B59),"")</f>
        <v/>
      </c>
      <c r="D59" s="2" t="str">
        <f>IF(A59&lt;&gt;"",(Recurso!D1*Recurso!C59)/Recurso!C1, "")</f>
        <v/>
      </c>
    </row>
    <row r="60" spans="3:4" x14ac:dyDescent="0.3">
      <c r="C60" s="2" t="str">
        <f>IF(A60&lt;&gt;"",SUM(B60),"")</f>
        <v/>
      </c>
      <c r="D60" s="2" t="str">
        <f>IF(A60&lt;&gt;"",(Recurso!D1*Recurso!C60)/Recurso!C1, "")</f>
        <v/>
      </c>
    </row>
    <row r="61" spans="3:4" x14ac:dyDescent="0.3">
      <c r="C61" s="2" t="str">
        <f>IF(A61&lt;&gt;"",SUM(B61),"")</f>
        <v/>
      </c>
      <c r="D61" s="2" t="str">
        <f>IF(A61&lt;&gt;"",(Recurso!D1*Recurso!C61)/Recurso!C1, "")</f>
        <v/>
      </c>
    </row>
    <row r="62" spans="3:4" x14ac:dyDescent="0.3">
      <c r="C62" s="2" t="str">
        <f>IF(A62&lt;&gt;"",SUM(B62),"")</f>
        <v/>
      </c>
      <c r="D62" s="2" t="str">
        <f>IF(A62&lt;&gt;"",(Recurso!D1*Recurso!C62)/Recurso!C1, "")</f>
        <v/>
      </c>
    </row>
    <row r="63" spans="3:4" x14ac:dyDescent="0.3">
      <c r="C63" s="2" t="str">
        <f>IF(A63&lt;&gt;"",SUM(B63),"")</f>
        <v/>
      </c>
      <c r="D63" s="2" t="str">
        <f>IF(A63&lt;&gt;"",(Recurso!D1*Recurso!C63)/Recurso!C1, "")</f>
        <v/>
      </c>
    </row>
    <row r="64" spans="3:4" x14ac:dyDescent="0.3">
      <c r="C64" s="2" t="str">
        <f>IF(A64&lt;&gt;"",SUM(B64),"")</f>
        <v/>
      </c>
      <c r="D64" s="2" t="str">
        <f>IF(A64&lt;&gt;"",(Recurso!D1*Recurso!C64)/Recurso!C1, "")</f>
        <v/>
      </c>
    </row>
    <row r="65" spans="3:4" x14ac:dyDescent="0.3">
      <c r="C65" s="2" t="str">
        <f>IF(A65&lt;&gt;"",SUM(B65),"")</f>
        <v/>
      </c>
      <c r="D65" s="2" t="str">
        <f>IF(A65&lt;&gt;"",(Recurso!D1*Recurso!C65)/Recurso!C1, "")</f>
        <v/>
      </c>
    </row>
    <row r="66" spans="3:4" x14ac:dyDescent="0.3">
      <c r="C66" s="2" t="str">
        <f>IF(A66&lt;&gt;"",SUM(B66),"")</f>
        <v/>
      </c>
      <c r="D66" s="2" t="str">
        <f>IF(A66&lt;&gt;"",(Recurso!D1*Recurso!C66)/Recurso!C1, "")</f>
        <v/>
      </c>
    </row>
    <row r="67" spans="3:4" x14ac:dyDescent="0.3">
      <c r="C67" s="2" t="str">
        <f>IF(A67&lt;&gt;"",SUM(B67),"")</f>
        <v/>
      </c>
      <c r="D67" s="2" t="str">
        <f>IF(A67&lt;&gt;"",(Recurso!D1*Recurso!C67)/Recurso!C1, "")</f>
        <v/>
      </c>
    </row>
    <row r="68" spans="3:4" x14ac:dyDescent="0.3">
      <c r="C68" s="2" t="str">
        <f>IF(A68&lt;&gt;"",SUM(B68),"")</f>
        <v/>
      </c>
      <c r="D68" s="2" t="str">
        <f>IF(A68&lt;&gt;"",(Recurso!D1*Recurso!C68)/Recurso!C1, "")</f>
        <v/>
      </c>
    </row>
    <row r="69" spans="3:4" x14ac:dyDescent="0.3">
      <c r="C69" s="2" t="str">
        <f>IF(A69&lt;&gt;"",SUM(B69),"")</f>
        <v/>
      </c>
      <c r="D69" s="2" t="str">
        <f>IF(A69&lt;&gt;"",(Recurso!D1*Recurso!C69)/Recurso!C1, "")</f>
        <v/>
      </c>
    </row>
    <row r="70" spans="3:4" x14ac:dyDescent="0.3">
      <c r="C70" s="2" t="str">
        <f>IF(A70&lt;&gt;"",SUM(B70),"")</f>
        <v/>
      </c>
      <c r="D70" s="2" t="str">
        <f>IF(A70&lt;&gt;"",(Recurso!D1*Recurso!C70)/Recurso!C1, "")</f>
        <v/>
      </c>
    </row>
    <row r="71" spans="3:4" x14ac:dyDescent="0.3">
      <c r="C71" s="2" t="str">
        <f>IF(A71&lt;&gt;"",SUM(B71),"")</f>
        <v/>
      </c>
      <c r="D71" s="2" t="str">
        <f>IF(A71&lt;&gt;"",(Recurso!D1*Recurso!C71)/Recurso!C1, "")</f>
        <v/>
      </c>
    </row>
    <row r="72" spans="3:4" x14ac:dyDescent="0.3">
      <c r="C72" s="2" t="str">
        <f>IF(A72&lt;&gt;"",SUM(B72),"")</f>
        <v/>
      </c>
      <c r="D72" s="2" t="str">
        <f>IF(A72&lt;&gt;"",(Recurso!D1*Recurso!C72)/Recurso!C1, "")</f>
        <v/>
      </c>
    </row>
    <row r="73" spans="3:4" x14ac:dyDescent="0.3">
      <c r="C73" s="2" t="str">
        <f>IF(A73&lt;&gt;"",SUM(B73),"")</f>
        <v/>
      </c>
      <c r="D73" s="2" t="str">
        <f>IF(A73&lt;&gt;"",(Recurso!D1*Recurso!C73)/Recurso!C1, "")</f>
        <v/>
      </c>
    </row>
    <row r="74" spans="3:4" x14ac:dyDescent="0.3">
      <c r="C74" s="2" t="str">
        <f>IF(A74&lt;&gt;"",SUM(B74),"")</f>
        <v/>
      </c>
      <c r="D74" s="2" t="str">
        <f>IF(A74&lt;&gt;"",(Recurso!D1*Recurso!C74)/Recurso!C1, "")</f>
        <v/>
      </c>
    </row>
    <row r="75" spans="3:4" x14ac:dyDescent="0.3">
      <c r="C75" s="2" t="str">
        <f>IF(A75&lt;&gt;"",SUM(B75),"")</f>
        <v/>
      </c>
      <c r="D75" s="2" t="str">
        <f>IF(A75&lt;&gt;"",(Recurso!D1*Recurso!C75)/Recurso!C1, "")</f>
        <v/>
      </c>
    </row>
    <row r="76" spans="3:4" x14ac:dyDescent="0.3">
      <c r="C76" s="2" t="str">
        <f>IF(A76&lt;&gt;"",SUM(B76),"")</f>
        <v/>
      </c>
      <c r="D76" s="2" t="str">
        <f>IF(A76&lt;&gt;"",(Recurso!D1*Recurso!C76)/Recurso!C1, "")</f>
        <v/>
      </c>
    </row>
    <row r="77" spans="3:4" x14ac:dyDescent="0.3">
      <c r="C77" s="2" t="str">
        <f>IF(A77&lt;&gt;"",SUM(B77),"")</f>
        <v/>
      </c>
      <c r="D77" s="2" t="str">
        <f>IF(A77&lt;&gt;"",(Recurso!D1*Recurso!C77)/Recurso!C1, "")</f>
        <v/>
      </c>
    </row>
    <row r="78" spans="3:4" x14ac:dyDescent="0.3">
      <c r="C78" s="2" t="str">
        <f>IF(A78&lt;&gt;"",SUM(B78),"")</f>
        <v/>
      </c>
      <c r="D78" s="2" t="str">
        <f>IF(A78&lt;&gt;"",(Recurso!D1*Recurso!C78)/Recurso!C1, "")</f>
        <v/>
      </c>
    </row>
    <row r="79" spans="3:4" x14ac:dyDescent="0.3">
      <c r="C79" s="2" t="str">
        <f>IF(A79&lt;&gt;"",SUM(B79),"")</f>
        <v/>
      </c>
      <c r="D79" s="2" t="str">
        <f>IF(A79&lt;&gt;"",(Recurso!D1*Recurso!C79)/Recurso!C1, "")</f>
        <v/>
      </c>
    </row>
    <row r="80" spans="3:4" x14ac:dyDescent="0.3">
      <c r="C80" s="2" t="str">
        <f>IF(A80&lt;&gt;"",SUM(B80),"")</f>
        <v/>
      </c>
      <c r="D80" s="2" t="str">
        <f>IF(A80&lt;&gt;"",(Recurso!D1*Recurso!C80)/Recurso!C1, "")</f>
        <v/>
      </c>
    </row>
    <row r="81" spans="3:4" x14ac:dyDescent="0.3">
      <c r="C81" s="2" t="str">
        <f>IF(A81&lt;&gt;"",SUM(B81),"")</f>
        <v/>
      </c>
      <c r="D81" s="2" t="str">
        <f>IF(A81&lt;&gt;"",(Recurso!D1*Recurso!C81)/Recurso!C1, "")</f>
        <v/>
      </c>
    </row>
    <row r="82" spans="3:4" x14ac:dyDescent="0.3">
      <c r="C82" s="2" t="str">
        <f>IF(A82&lt;&gt;"",SUM(B82),"")</f>
        <v/>
      </c>
      <c r="D82" s="2" t="str">
        <f>IF(A82&lt;&gt;"",(Recurso!D1*Recurso!C82)/Recurso!C1, "")</f>
        <v/>
      </c>
    </row>
    <row r="83" spans="3:4" x14ac:dyDescent="0.3">
      <c r="C83" s="2" t="str">
        <f>IF(A83&lt;&gt;"",SUM(B83),"")</f>
        <v/>
      </c>
      <c r="D83" s="2" t="str">
        <f>IF(A83&lt;&gt;"",(Recurso!D1*Recurso!C83)/Recurso!C1, "")</f>
        <v/>
      </c>
    </row>
    <row r="84" spans="3:4" x14ac:dyDescent="0.3">
      <c r="C84" s="2" t="str">
        <f>IF(A84&lt;&gt;"",SUM(B84),"")</f>
        <v/>
      </c>
      <c r="D84" s="2" t="str">
        <f>IF(A84&lt;&gt;"",(Recurso!D1*Recurso!C84)/Recurso!C1, "")</f>
        <v/>
      </c>
    </row>
    <row r="85" spans="3:4" x14ac:dyDescent="0.3">
      <c r="C85" s="2" t="str">
        <f>IF(A85&lt;&gt;"",SUM(B85),"")</f>
        <v/>
      </c>
      <c r="D85" s="2" t="str">
        <f>IF(A85&lt;&gt;"",(Recurso!D1*Recurso!C85)/Recurso!C1, "")</f>
        <v/>
      </c>
    </row>
    <row r="86" spans="3:4" x14ac:dyDescent="0.3">
      <c r="C86" s="2" t="str">
        <f>IF(A86&lt;&gt;"",SUM(B86),"")</f>
        <v/>
      </c>
      <c r="D86" s="2" t="str">
        <f>IF(A86&lt;&gt;"",(Recurso!D1*Recurso!C86)/Recurso!C1, "")</f>
        <v/>
      </c>
    </row>
    <row r="87" spans="3:4" x14ac:dyDescent="0.3">
      <c r="C87" s="2" t="str">
        <f>IF(A87&lt;&gt;"",SUM(B87),"")</f>
        <v/>
      </c>
      <c r="D87" s="2" t="str">
        <f>IF(A87&lt;&gt;"",(Recurso!D1*Recurso!C87)/Recurso!C1, "")</f>
        <v/>
      </c>
    </row>
    <row r="88" spans="3:4" x14ac:dyDescent="0.3">
      <c r="C88" s="2" t="str">
        <f>IF(A88&lt;&gt;"",SUM(B88),"")</f>
        <v/>
      </c>
      <c r="D88" s="2" t="str">
        <f>IF(A88&lt;&gt;"",(Recurso!D1*Recurso!C88)/Recurso!C1, "")</f>
        <v/>
      </c>
    </row>
    <row r="89" spans="3:4" x14ac:dyDescent="0.3">
      <c r="C89" s="2" t="str">
        <f>IF(A89&lt;&gt;"",SUM(B89),"")</f>
        <v/>
      </c>
      <c r="D89" s="2" t="str">
        <f>IF(A89&lt;&gt;"",(Recurso!D1*Recurso!C89)/Recurso!C1, "")</f>
        <v/>
      </c>
    </row>
    <row r="90" spans="3:4" x14ac:dyDescent="0.3">
      <c r="C90" s="2" t="str">
        <f>IF(A90&lt;&gt;"",SUM(B90),"")</f>
        <v/>
      </c>
      <c r="D90" s="2" t="str">
        <f>IF(A90&lt;&gt;"",(Recurso!D1*Recurso!C90)/Recurso!C1, "")</f>
        <v/>
      </c>
    </row>
    <row r="91" spans="3:4" x14ac:dyDescent="0.3">
      <c r="C91" s="2" t="str">
        <f>IF(A91&lt;&gt;"",SUM(B91),"")</f>
        <v/>
      </c>
      <c r="D91" s="2" t="str">
        <f>IF(A91&lt;&gt;"",(Recurso!D1*Recurso!C91)/Recurso!C1, "")</f>
        <v/>
      </c>
    </row>
    <row r="92" spans="3:4" x14ac:dyDescent="0.3">
      <c r="C92" s="2" t="str">
        <f>IF(A92&lt;&gt;"",SUM(B92),"")</f>
        <v/>
      </c>
      <c r="D92" s="2" t="str">
        <f>IF(A92&lt;&gt;"",(Recurso!D1*Recurso!C92)/Recurso!C1, "")</f>
        <v/>
      </c>
    </row>
    <row r="93" spans="3:4" x14ac:dyDescent="0.3">
      <c r="C93" s="2" t="str">
        <f>IF(A93&lt;&gt;"",SUM(B93),"")</f>
        <v/>
      </c>
      <c r="D93" s="2" t="str">
        <f>IF(A93&lt;&gt;"",(Recurso!D1*Recurso!C93)/Recurso!C1, "")</f>
        <v/>
      </c>
    </row>
    <row r="94" spans="3:4" x14ac:dyDescent="0.3">
      <c r="C94" s="2" t="str">
        <f>IF(A94&lt;&gt;"",SUM(B94),"")</f>
        <v/>
      </c>
      <c r="D94" s="2" t="str">
        <f>IF(A94&lt;&gt;"",(Recurso!D1*Recurso!C94)/Recurso!C1, "")</f>
        <v/>
      </c>
    </row>
    <row r="95" spans="3:4" x14ac:dyDescent="0.3">
      <c r="C95" s="2" t="str">
        <f>IF(A95&lt;&gt;"",SUM(B95),"")</f>
        <v/>
      </c>
      <c r="D95" s="2" t="str">
        <f>IF(A95&lt;&gt;"",(Recurso!D1*Recurso!C95)/Recurso!C1, "")</f>
        <v/>
      </c>
    </row>
    <row r="96" spans="3:4" x14ac:dyDescent="0.3">
      <c r="C96" s="2" t="str">
        <f>IF(A96&lt;&gt;"",SUM(B96),"")</f>
        <v/>
      </c>
      <c r="D96" s="2" t="str">
        <f>IF(A96&lt;&gt;"",(Recurso!D1*Recurso!C96)/Recurso!C1, "")</f>
        <v/>
      </c>
    </row>
    <row r="97" spans="3:4" x14ac:dyDescent="0.3">
      <c r="C97" s="2" t="str">
        <f>IF(A97&lt;&gt;"",SUM(B97),"")</f>
        <v/>
      </c>
      <c r="D97" s="2" t="str">
        <f>IF(A97&lt;&gt;"",(Recurso!D1*Recurso!C97)/Recurso!C1, "")</f>
        <v/>
      </c>
    </row>
    <row r="98" spans="3:4" x14ac:dyDescent="0.3">
      <c r="C98" s="2" t="str">
        <f>IF(A98&lt;&gt;"",SUM(B98),"")</f>
        <v/>
      </c>
      <c r="D98" s="2" t="str">
        <f>IF(A98&lt;&gt;"",(Recurso!D1*Recurso!C98)/Recurso!C1, "")</f>
        <v/>
      </c>
    </row>
    <row r="99" spans="3:4" x14ac:dyDescent="0.3">
      <c r="C99" s="2" t="str">
        <f>IF(A99&lt;&gt;"",SUM(B99),"")</f>
        <v/>
      </c>
      <c r="D99" s="2" t="str">
        <f>IF(A99&lt;&gt;"",(Recurso!D1*Recurso!C99)/Recurso!C1, "")</f>
        <v/>
      </c>
    </row>
    <row r="100" spans="3:4" x14ac:dyDescent="0.3">
      <c r="C100" s="2" t="str">
        <f>IF(A100&lt;&gt;"",SUM(B100),"")</f>
        <v/>
      </c>
      <c r="D100" s="2" t="str">
        <f>IF(A100&lt;&gt;"",(Recurso!D1*Recurso!C100)/Recurso!C1, "")</f>
        <v/>
      </c>
    </row>
    <row r="101" spans="3:4" x14ac:dyDescent="0.3">
      <c r="C101" s="2" t="str">
        <f>IF(A101&lt;&gt;"",SUM(B101),"")</f>
        <v/>
      </c>
      <c r="D101" s="2" t="str">
        <f>IF(A101&lt;&gt;"",(Recurso!D1*Recurso!C101)/Recurso!C1, "")</f>
        <v/>
      </c>
    </row>
    <row r="102" spans="3:4" x14ac:dyDescent="0.3">
      <c r="C102" s="2" t="str">
        <f>IF(A102&lt;&gt;"",SUM(B102),"")</f>
        <v/>
      </c>
      <c r="D102" s="2" t="str">
        <f>IF(A102&lt;&gt;"",(Recurso!D1*Recurso!C102)/Recurso!C1, "")</f>
        <v/>
      </c>
    </row>
    <row r="103" spans="3:4" x14ac:dyDescent="0.3">
      <c r="C103" s="2" t="str">
        <f>IF(A103&lt;&gt;"",SUM(B103),"")</f>
        <v/>
      </c>
      <c r="D103" s="2" t="str">
        <f>IF(A103&lt;&gt;"",(Recurso!D1*Recurso!C103)/Recurso!C1, "")</f>
        <v/>
      </c>
    </row>
    <row r="104" spans="3:4" x14ac:dyDescent="0.3">
      <c r="C104" s="2" t="str">
        <f>IF(A104&lt;&gt;"",SUM(B104),"")</f>
        <v/>
      </c>
      <c r="D104" s="2" t="str">
        <f>IF(A104&lt;&gt;"",(Recurso!D1*Recurso!C104)/Recurso!C1, "")</f>
        <v/>
      </c>
    </row>
    <row r="105" spans="3:4" x14ac:dyDescent="0.3">
      <c r="C105" s="2" t="str">
        <f>IF(A105&lt;&gt;"",SUM(B105),"")</f>
        <v/>
      </c>
      <c r="D105" s="2" t="str">
        <f>IF(A105&lt;&gt;"",(Recurso!D1*Recurso!C105)/Recurso!C1, "")</f>
        <v/>
      </c>
    </row>
    <row r="106" spans="3:4" x14ac:dyDescent="0.3">
      <c r="C106" s="2" t="str">
        <f>IF(A106&lt;&gt;"",SUM(B106),"")</f>
        <v/>
      </c>
      <c r="D106" s="2" t="str">
        <f>IF(A106&lt;&gt;"",(Recurso!D1*Recurso!C106)/Recurso!C1, "")</f>
        <v/>
      </c>
    </row>
    <row r="107" spans="3:4" x14ac:dyDescent="0.3">
      <c r="C107" s="2" t="str">
        <f>IF(A107&lt;&gt;"",SUM(B107),"")</f>
        <v/>
      </c>
      <c r="D107" s="2" t="str">
        <f>IF(A107&lt;&gt;"",(Recurso!D1*Recurso!C107)/Recurso!C1, "")</f>
        <v/>
      </c>
    </row>
    <row r="108" spans="3:4" x14ac:dyDescent="0.3">
      <c r="C108" s="2" t="str">
        <f>IF(A108&lt;&gt;"",SUM(B108),"")</f>
        <v/>
      </c>
      <c r="D108" s="2" t="str">
        <f>IF(A108&lt;&gt;"",(Recurso!D1*Recurso!C108)/Recurso!C1, "")</f>
        <v/>
      </c>
    </row>
    <row r="109" spans="3:4" x14ac:dyDescent="0.3">
      <c r="C109" s="2" t="str">
        <f>IF(A109&lt;&gt;"",SUM(B109),"")</f>
        <v/>
      </c>
      <c r="D109" s="2" t="str">
        <f>IF(A109&lt;&gt;"",(Recurso!D1*Recurso!C109)/Recurso!C1, "")</f>
        <v/>
      </c>
    </row>
    <row r="110" spans="3:4" x14ac:dyDescent="0.3">
      <c r="C110" s="2" t="str">
        <f>IF(A110&lt;&gt;"",SUM(B110),"")</f>
        <v/>
      </c>
      <c r="D110" s="2" t="str">
        <f>IF(A110&lt;&gt;"",(Recurso!D1*Recurso!C110)/Recurso!C1, "")</f>
        <v/>
      </c>
    </row>
    <row r="111" spans="3:4" x14ac:dyDescent="0.3">
      <c r="C111" s="2" t="str">
        <f>IF(A111&lt;&gt;"",SUM(B111),"")</f>
        <v/>
      </c>
      <c r="D111" s="2" t="str">
        <f>IF(A111&lt;&gt;"",(Recurso!D1*Recurso!C111)/Recurso!C1, "")</f>
        <v/>
      </c>
    </row>
    <row r="112" spans="3:4" x14ac:dyDescent="0.3">
      <c r="C112" s="2" t="str">
        <f>IF(A112&lt;&gt;"",SUM(B112),"")</f>
        <v/>
      </c>
      <c r="D112" s="2" t="str">
        <f>IF(A112&lt;&gt;"",(Recurso!D1*Recurso!C112)/Recurso!C1, "")</f>
        <v/>
      </c>
    </row>
    <row r="113" spans="3:4" x14ac:dyDescent="0.3">
      <c r="C113" s="2" t="str">
        <f>IF(A113&lt;&gt;"",SUM(B113),"")</f>
        <v/>
      </c>
      <c r="D113" s="2" t="str">
        <f>IF(A113&lt;&gt;"",(Recurso!D1*Recurso!C113)/Recurso!C1, "")</f>
        <v/>
      </c>
    </row>
    <row r="114" spans="3:4" x14ac:dyDescent="0.3">
      <c r="C114" s="2" t="str">
        <f>IF(A114&lt;&gt;"",SUM(B114),"")</f>
        <v/>
      </c>
      <c r="D114" s="2" t="str">
        <f>IF(A114&lt;&gt;"",(Recurso!D1*Recurso!C114)/Recurso!C1, "")</f>
        <v/>
      </c>
    </row>
    <row r="115" spans="3:4" x14ac:dyDescent="0.3">
      <c r="C115" s="2" t="str">
        <f>IF(A115&lt;&gt;"",SUM(B115),"")</f>
        <v/>
      </c>
      <c r="D115" s="2" t="str">
        <f>IF(A115&lt;&gt;"",(Recurso!D1*Recurso!C115)/Recurso!C1, "")</f>
        <v/>
      </c>
    </row>
    <row r="116" spans="3:4" x14ac:dyDescent="0.3">
      <c r="C116" s="2" t="str">
        <f>IF(A116&lt;&gt;"",SUM(B116),"")</f>
        <v/>
      </c>
      <c r="D116" s="2" t="str">
        <f>IF(A116&lt;&gt;"",(Recurso!D1*Recurso!C116)/Recurso!C1, "")</f>
        <v/>
      </c>
    </row>
    <row r="117" spans="3:4" x14ac:dyDescent="0.3">
      <c r="C117" s="2" t="str">
        <f>IF(A117&lt;&gt;"",SUM(B117),"")</f>
        <v/>
      </c>
      <c r="D117" s="2" t="str">
        <f>IF(A117&lt;&gt;"",(Recurso!D1*Recurso!C117)/Recurso!C1, "")</f>
        <v/>
      </c>
    </row>
    <row r="118" spans="3:4" x14ac:dyDescent="0.3">
      <c r="C118" s="2" t="str">
        <f>IF(A118&lt;&gt;"",SUM(B118),"")</f>
        <v/>
      </c>
      <c r="D118" s="2" t="str">
        <f>IF(A118&lt;&gt;"",(Recurso!D1*Recurso!C118)/Recurso!C1, "")</f>
        <v/>
      </c>
    </row>
    <row r="119" spans="3:4" x14ac:dyDescent="0.3">
      <c r="C119" s="2" t="str">
        <f>IF(A119&lt;&gt;"",SUM(B119),"")</f>
        <v/>
      </c>
      <c r="D119" s="2" t="str">
        <f>IF(A119&lt;&gt;"",(Recurso!D1*Recurso!C119)/Recurso!C1, "")</f>
        <v/>
      </c>
    </row>
    <row r="120" spans="3:4" x14ac:dyDescent="0.3">
      <c r="C120" s="2" t="str">
        <f>IF(A120&lt;&gt;"",SUM(B120),"")</f>
        <v/>
      </c>
      <c r="D120" s="2" t="str">
        <f>IF(A120&lt;&gt;"",(Recurso!D1*Recurso!C120)/Recurso!C1, "")</f>
        <v/>
      </c>
    </row>
    <row r="121" spans="3:4" x14ac:dyDescent="0.3">
      <c r="C121" s="2" t="str">
        <f>IF(A121&lt;&gt;"",SUM(B121),"")</f>
        <v/>
      </c>
      <c r="D121" s="2" t="str">
        <f>IF(A121&lt;&gt;"",(Recurso!D1*Recurso!C121)/Recurso!C1, "")</f>
        <v/>
      </c>
    </row>
    <row r="122" spans="3:4" x14ac:dyDescent="0.3">
      <c r="C122" s="2" t="str">
        <f>IF(A122&lt;&gt;"",SUM(B122),"")</f>
        <v/>
      </c>
      <c r="D122" s="2" t="str">
        <f>IF(A122&lt;&gt;"",(Recurso!D1*Recurso!C122)/Recurso!C1, "")</f>
        <v/>
      </c>
    </row>
    <row r="123" spans="3:4" x14ac:dyDescent="0.3">
      <c r="C123" s="2" t="str">
        <f>IF(A123&lt;&gt;"",SUM(B123),"")</f>
        <v/>
      </c>
      <c r="D123" s="2" t="str">
        <f>IF(A123&lt;&gt;"",(Recurso!D1*Recurso!C123)/Recurso!C1, "")</f>
        <v/>
      </c>
    </row>
    <row r="124" spans="3:4" x14ac:dyDescent="0.3">
      <c r="C124" s="2" t="str">
        <f>IF(A124&lt;&gt;"",SUM(B124),"")</f>
        <v/>
      </c>
      <c r="D124" s="2" t="str">
        <f>IF(A124&lt;&gt;"",(Recurso!D1*Recurso!C124)/Recurso!C1, "")</f>
        <v/>
      </c>
    </row>
    <row r="125" spans="3:4" x14ac:dyDescent="0.3">
      <c r="C125" s="2" t="str">
        <f>IF(A125&lt;&gt;"",SUM(B125),"")</f>
        <v/>
      </c>
      <c r="D125" s="2" t="str">
        <f>IF(A125&lt;&gt;"",(Recurso!D1*Recurso!C125)/Recurso!C1, "")</f>
        <v/>
      </c>
    </row>
    <row r="126" spans="3:4" x14ac:dyDescent="0.3">
      <c r="C126" s="2" t="str">
        <f>IF(A126&lt;&gt;"",SUM(B126),"")</f>
        <v/>
      </c>
      <c r="D126" s="2" t="str">
        <f>IF(A126&lt;&gt;"",(Recurso!D1*Recurso!C126)/Recurso!C1, "")</f>
        <v/>
      </c>
    </row>
    <row r="127" spans="3:4" x14ac:dyDescent="0.3">
      <c r="C127" s="2" t="str">
        <f>IF(A127&lt;&gt;"",SUM(B127),"")</f>
        <v/>
      </c>
      <c r="D127" s="2" t="str">
        <f>IF(A127&lt;&gt;"",(Recurso!D1*Recurso!C127)/Recurso!C1, "")</f>
        <v/>
      </c>
    </row>
    <row r="128" spans="3:4" x14ac:dyDescent="0.3">
      <c r="C128" s="2" t="str">
        <f>IF(A128&lt;&gt;"",SUM(B128),"")</f>
        <v/>
      </c>
      <c r="D128" s="2" t="str">
        <f>IF(A128&lt;&gt;"",(Recurso!D1*Recurso!C128)/Recurso!C1, "")</f>
        <v/>
      </c>
    </row>
    <row r="129" spans="3:4" x14ac:dyDescent="0.3">
      <c r="C129" s="2" t="str">
        <f>IF(A129&lt;&gt;"",SUM(B129),"")</f>
        <v/>
      </c>
      <c r="D129" s="2" t="str">
        <f>IF(A129&lt;&gt;"",(Recurso!D1*Recurso!C129)/Recurso!C1, "")</f>
        <v/>
      </c>
    </row>
    <row r="130" spans="3:4" x14ac:dyDescent="0.3">
      <c r="C130" s="2" t="str">
        <f>IF(A130&lt;&gt;"",SUM(B130),"")</f>
        <v/>
      </c>
      <c r="D130" s="2" t="str">
        <f>IF(A130&lt;&gt;"",(Recurso!D1*Recurso!C130)/Recurso!C1, "")</f>
        <v/>
      </c>
    </row>
    <row r="131" spans="3:4" x14ac:dyDescent="0.3">
      <c r="C131" s="2" t="str">
        <f>IF(A131&lt;&gt;"",SUM(B131),"")</f>
        <v/>
      </c>
      <c r="D131" s="2" t="str">
        <f>IF(A131&lt;&gt;"",(Recurso!D1*Recurso!C131)/Recurso!C1, "")</f>
        <v/>
      </c>
    </row>
    <row r="132" spans="3:4" x14ac:dyDescent="0.3">
      <c r="C132" s="2" t="str">
        <f>IF(A132&lt;&gt;"",SUM(B132),"")</f>
        <v/>
      </c>
      <c r="D132" s="2" t="str">
        <f>IF(A132&lt;&gt;"",(Recurso!D1*Recurso!C132)/Recurso!C1, "")</f>
        <v/>
      </c>
    </row>
    <row r="133" spans="3:4" x14ac:dyDescent="0.3">
      <c r="C133" s="2" t="str">
        <f>IF(A133&lt;&gt;"",SUM(B133),"")</f>
        <v/>
      </c>
      <c r="D133" s="2" t="str">
        <f>IF(A133&lt;&gt;"",(Recurso!D1*Recurso!C133)/Recurso!C1, "")</f>
        <v/>
      </c>
    </row>
    <row r="134" spans="3:4" x14ac:dyDescent="0.3">
      <c r="C134" s="2" t="str">
        <f>IF(A134&lt;&gt;"",SUM(B134),"")</f>
        <v/>
      </c>
      <c r="D134" s="2" t="str">
        <f>IF(A134&lt;&gt;"",(Recurso!D1*Recurso!C134)/Recurso!C1, "")</f>
        <v/>
      </c>
    </row>
    <row r="135" spans="3:4" x14ac:dyDescent="0.3">
      <c r="C135" s="2" t="str">
        <f>IF(A135&lt;&gt;"",SUM(B135),"")</f>
        <v/>
      </c>
      <c r="D135" s="2" t="str">
        <f>IF(A135&lt;&gt;"",(Recurso!D1*Recurso!C135)/Recurso!C1, "")</f>
        <v/>
      </c>
    </row>
    <row r="136" spans="3:4" x14ac:dyDescent="0.3">
      <c r="C136" s="2" t="str">
        <f>IF(A136&lt;&gt;"",SUM(B136),"")</f>
        <v/>
      </c>
      <c r="D136" s="2" t="str">
        <f>IF(A136&lt;&gt;"",(Recurso!D1*Recurso!C136)/Recurso!C1, "")</f>
        <v/>
      </c>
    </row>
    <row r="137" spans="3:4" x14ac:dyDescent="0.3">
      <c r="C137" s="2" t="str">
        <f>IF(A137&lt;&gt;"",SUM(B137),"")</f>
        <v/>
      </c>
      <c r="D137" s="2" t="str">
        <f>IF(A137&lt;&gt;"",(Recurso!D1*Recurso!C137)/Recurso!C1, "")</f>
        <v/>
      </c>
    </row>
    <row r="138" spans="3:4" x14ac:dyDescent="0.3">
      <c r="C138" s="2" t="str">
        <f>IF(A138&lt;&gt;"",SUM(B138),"")</f>
        <v/>
      </c>
      <c r="D138" s="2" t="str">
        <f>IF(A138&lt;&gt;"",(Recurso!D1*Recurso!C138)/Recurso!C1, "")</f>
        <v/>
      </c>
    </row>
    <row r="139" spans="3:4" x14ac:dyDescent="0.3">
      <c r="C139" s="2" t="str">
        <f>IF(A139&lt;&gt;"",SUM(B139),"")</f>
        <v/>
      </c>
      <c r="D139" s="2" t="str">
        <f>IF(A139&lt;&gt;"",(Recurso!D1*Recurso!C139)/Recurso!C1, "")</f>
        <v/>
      </c>
    </row>
    <row r="140" spans="3:4" x14ac:dyDescent="0.3">
      <c r="C140" s="2" t="str">
        <f>IF(A140&lt;&gt;"",SUM(B140),"")</f>
        <v/>
      </c>
      <c r="D140" s="2" t="str">
        <f>IF(A140&lt;&gt;"",(Recurso!D1*Recurso!C140)/Recurso!C1, "")</f>
        <v/>
      </c>
    </row>
    <row r="141" spans="3:4" x14ac:dyDescent="0.3">
      <c r="C141" s="2" t="str">
        <f>IF(A141&lt;&gt;"",SUM(B141),"")</f>
        <v/>
      </c>
      <c r="D141" s="2" t="str">
        <f>IF(A141&lt;&gt;"",(Recurso!D1*Recurso!C141)/Recurso!C1, "")</f>
        <v/>
      </c>
    </row>
    <row r="142" spans="3:4" x14ac:dyDescent="0.3">
      <c r="C142" s="2" t="str">
        <f>IF(A142&lt;&gt;"",SUM(B142),"")</f>
        <v/>
      </c>
      <c r="D142" s="2" t="str">
        <f>IF(A142&lt;&gt;"",(Recurso!D1*Recurso!C142)/Recurso!C1, "")</f>
        <v/>
      </c>
    </row>
    <row r="143" spans="3:4" x14ac:dyDescent="0.3">
      <c r="C143" s="2" t="str">
        <f>IF(A143&lt;&gt;"",SUM(B143),"")</f>
        <v/>
      </c>
      <c r="D143" s="2" t="str">
        <f>IF(A143&lt;&gt;"",(Recurso!D1*Recurso!C143)/Recurso!C1, "")</f>
        <v/>
      </c>
    </row>
    <row r="144" spans="3:4" x14ac:dyDescent="0.3">
      <c r="C144" s="2" t="str">
        <f>IF(A144&lt;&gt;"",SUM(B144),"")</f>
        <v/>
      </c>
      <c r="D144" s="2" t="str">
        <f>IF(A144&lt;&gt;"",(Recurso!D1*Recurso!C144)/Recurso!C1, "")</f>
        <v/>
      </c>
    </row>
    <row r="145" spans="3:4" x14ac:dyDescent="0.3">
      <c r="C145" s="2" t="str">
        <f>IF(A145&lt;&gt;"",SUM(B145),"")</f>
        <v/>
      </c>
      <c r="D145" s="2" t="str">
        <f>IF(A145&lt;&gt;"",(Recurso!D1*Recurso!C145)/Recurso!C1, "")</f>
        <v/>
      </c>
    </row>
    <row r="146" spans="3:4" x14ac:dyDescent="0.3">
      <c r="C146" s="2" t="str">
        <f>IF(A146&lt;&gt;"",SUM(B146),"")</f>
        <v/>
      </c>
      <c r="D146" s="2" t="str">
        <f>IF(A146&lt;&gt;"",(Recurso!D1*Recurso!C146)/Recurso!C1, "")</f>
        <v/>
      </c>
    </row>
    <row r="147" spans="3:4" x14ac:dyDescent="0.3">
      <c r="C147" s="2" t="str">
        <f>IF(A147&lt;&gt;"",SUM(B147),"")</f>
        <v/>
      </c>
      <c r="D147" s="2" t="str">
        <f>IF(A147&lt;&gt;"",(Recurso!D1*Recurso!C147)/Recurso!C1, "")</f>
        <v/>
      </c>
    </row>
    <row r="148" spans="3:4" x14ac:dyDescent="0.3">
      <c r="C148" s="2" t="str">
        <f>IF(A148&lt;&gt;"",SUM(B148),"")</f>
        <v/>
      </c>
      <c r="D148" s="2" t="str">
        <f>IF(A148&lt;&gt;"",(Recurso!D1*Recurso!C148)/Recurso!C1, "")</f>
        <v/>
      </c>
    </row>
    <row r="149" spans="3:4" x14ac:dyDescent="0.3">
      <c r="C149" s="2" t="str">
        <f>IF(A149&lt;&gt;"",SUM(B149),"")</f>
        <v/>
      </c>
      <c r="D149" s="2" t="str">
        <f>IF(A149&lt;&gt;"",(Recurso!D1*Recurso!C149)/Recurso!C1, "")</f>
        <v/>
      </c>
    </row>
    <row r="150" spans="3:4" x14ac:dyDescent="0.3">
      <c r="C150" s="2" t="str">
        <f>IF(A150&lt;&gt;"",SUM(B150),"")</f>
        <v/>
      </c>
      <c r="D150" s="2" t="str">
        <f>IF(A150&lt;&gt;"",(Recurso!D1*Recurso!C150)/Recurso!C1, "")</f>
        <v/>
      </c>
    </row>
    <row r="151" spans="3:4" x14ac:dyDescent="0.3">
      <c r="C151" s="2" t="str">
        <f>IF(A151&lt;&gt;"",SUM(B151),"")</f>
        <v/>
      </c>
      <c r="D151" s="2" t="str">
        <f>IF(A151&lt;&gt;"",(Recurso!D1*Recurso!C151)/Recurso!C1, "")</f>
        <v/>
      </c>
    </row>
    <row r="152" spans="3:4" x14ac:dyDescent="0.3">
      <c r="C152" s="2" t="str">
        <f>IF(A152&lt;&gt;"",SUM(B152),"")</f>
        <v/>
      </c>
      <c r="D152" s="2" t="str">
        <f>IF(A152&lt;&gt;"",(Recurso!D1*Recurso!C152)/Recurso!C1, "")</f>
        <v/>
      </c>
    </row>
    <row r="153" spans="3:4" x14ac:dyDescent="0.3">
      <c r="C153" s="2" t="str">
        <f>IF(A153&lt;&gt;"",SUM(B153),"")</f>
        <v/>
      </c>
      <c r="D153" s="2" t="str">
        <f>IF(A153&lt;&gt;"",(Recurso!D1*Recurso!C153)/Recurso!C1, "")</f>
        <v/>
      </c>
    </row>
    <row r="154" spans="3:4" x14ac:dyDescent="0.3">
      <c r="C154" s="2" t="str">
        <f>IF(A154&lt;&gt;"",SUM(B154),"")</f>
        <v/>
      </c>
      <c r="D154" s="2" t="str">
        <f>IF(A154&lt;&gt;"",(Recurso!D1*Recurso!C154)/Recurso!C1, "")</f>
        <v/>
      </c>
    </row>
    <row r="155" spans="3:4" x14ac:dyDescent="0.3">
      <c r="C155" s="2" t="str">
        <f>IF(A155&lt;&gt;"",SUM(B155),"")</f>
        <v/>
      </c>
      <c r="D155" s="2" t="str">
        <f>IF(A155&lt;&gt;"",(Recurso!D1*Recurso!C155)/Recurso!C1, "")</f>
        <v/>
      </c>
    </row>
    <row r="156" spans="3:4" x14ac:dyDescent="0.3">
      <c r="C156" s="2" t="str">
        <f>IF(A156&lt;&gt;"",SUM(B156),"")</f>
        <v/>
      </c>
      <c r="D156" s="2" t="str">
        <f>IF(A156&lt;&gt;"",(Recurso!D1*Recurso!C156)/Recurso!C1, "")</f>
        <v/>
      </c>
    </row>
    <row r="157" spans="3:4" x14ac:dyDescent="0.3">
      <c r="C157" s="2" t="str">
        <f>IF(A157&lt;&gt;"",SUM(B157),"")</f>
        <v/>
      </c>
      <c r="D157" s="2" t="str">
        <f>IF(A157&lt;&gt;"",(Recurso!D1*Recurso!C157)/Recurso!C1, "")</f>
        <v/>
      </c>
    </row>
    <row r="158" spans="3:4" x14ac:dyDescent="0.3">
      <c r="C158" s="2" t="str">
        <f>IF(A158&lt;&gt;"",SUM(B158),"")</f>
        <v/>
      </c>
      <c r="D158" s="2" t="str">
        <f>IF(A158&lt;&gt;"",(Recurso!D1*Recurso!C158)/Recurso!C1, "")</f>
        <v/>
      </c>
    </row>
    <row r="159" spans="3:4" x14ac:dyDescent="0.3">
      <c r="C159" s="2" t="str">
        <f>IF(A159&lt;&gt;"",SUM(B159),"")</f>
        <v/>
      </c>
      <c r="D159" s="2" t="str">
        <f>IF(A159&lt;&gt;"",(Recurso!D1*Recurso!C159)/Recurso!C1, "")</f>
        <v/>
      </c>
    </row>
    <row r="160" spans="3:4" x14ac:dyDescent="0.3">
      <c r="C160" s="2" t="str">
        <f>IF(A160&lt;&gt;"",SUM(B160),"")</f>
        <v/>
      </c>
      <c r="D160" s="2" t="str">
        <f>IF(A160&lt;&gt;"",(Recurso!D1*Recurso!C160)/Recurso!C1, "")</f>
        <v/>
      </c>
    </row>
    <row r="161" spans="3:4" x14ac:dyDescent="0.3">
      <c r="C161" s="2" t="str">
        <f>IF(A161&lt;&gt;"",SUM(B161),"")</f>
        <v/>
      </c>
      <c r="D161" s="2" t="str">
        <f>IF(A161&lt;&gt;"",(Recurso!D1*Recurso!C161)/Recurso!C1, "")</f>
        <v/>
      </c>
    </row>
    <row r="162" spans="3:4" x14ac:dyDescent="0.3">
      <c r="C162" s="2" t="str">
        <f>IF(A162&lt;&gt;"",SUM(B162),"")</f>
        <v/>
      </c>
      <c r="D162" s="2" t="str">
        <f>IF(A162&lt;&gt;"",(Recurso!D1*Recurso!C162)/Recurso!C1, "")</f>
        <v/>
      </c>
    </row>
    <row r="163" spans="3:4" x14ac:dyDescent="0.3">
      <c r="C163" s="2" t="str">
        <f>IF(A163&lt;&gt;"",SUM(B163),"")</f>
        <v/>
      </c>
      <c r="D163" s="2" t="str">
        <f>IF(A163&lt;&gt;"",(Recurso!D1*Recurso!C163)/Recurso!C1, "")</f>
        <v/>
      </c>
    </row>
    <row r="164" spans="3:4" x14ac:dyDescent="0.3">
      <c r="C164" s="2" t="str">
        <f>IF(A164&lt;&gt;"",SUM(B164),"")</f>
        <v/>
      </c>
      <c r="D164" s="2" t="str">
        <f>IF(A164&lt;&gt;"",(Recurso!D1*Recurso!C164)/Recurso!C1, "")</f>
        <v/>
      </c>
    </row>
    <row r="165" spans="3:4" x14ac:dyDescent="0.3">
      <c r="C165" s="2" t="str">
        <f>IF(A165&lt;&gt;"",SUM(B165),"")</f>
        <v/>
      </c>
      <c r="D165" s="2" t="str">
        <f>IF(A165&lt;&gt;"",(Recurso!D1*Recurso!C165)/Recurso!C1, "")</f>
        <v/>
      </c>
    </row>
    <row r="166" spans="3:4" x14ac:dyDescent="0.3">
      <c r="C166" s="2" t="str">
        <f>IF(A166&lt;&gt;"",SUM(B166),"")</f>
        <v/>
      </c>
      <c r="D166" s="2" t="str">
        <f>IF(A166&lt;&gt;"",(Recurso!D1*Recurso!C166)/Recurso!C1, "")</f>
        <v/>
      </c>
    </row>
    <row r="167" spans="3:4" x14ac:dyDescent="0.3">
      <c r="C167" s="2" t="str">
        <f>IF(A167&lt;&gt;"",SUM(B167),"")</f>
        <v/>
      </c>
      <c r="D167" s="2" t="str">
        <f>IF(A167&lt;&gt;"",(Recurso!D1*Recurso!C167)/Recurso!C1, "")</f>
        <v/>
      </c>
    </row>
    <row r="168" spans="3:4" x14ac:dyDescent="0.3">
      <c r="C168" s="2" t="str">
        <f>IF(A168&lt;&gt;"",SUM(B168),"")</f>
        <v/>
      </c>
      <c r="D168" s="2" t="str">
        <f>IF(A168&lt;&gt;"",(Recurso!D1*Recurso!C168)/Recurso!C1, "")</f>
        <v/>
      </c>
    </row>
    <row r="169" spans="3:4" x14ac:dyDescent="0.3">
      <c r="C169" s="2" t="str">
        <f>IF(A169&lt;&gt;"",SUM(B169),"")</f>
        <v/>
      </c>
      <c r="D169" s="2" t="str">
        <f>IF(A169&lt;&gt;"",(Recurso!D1*Recurso!C169)/Recurso!C1, "")</f>
        <v/>
      </c>
    </row>
    <row r="170" spans="3:4" x14ac:dyDescent="0.3">
      <c r="C170" s="2" t="str">
        <f>IF(A170&lt;&gt;"",SUM(B170),"")</f>
        <v/>
      </c>
      <c r="D170" s="2" t="str">
        <f>IF(A170&lt;&gt;"",(Recurso!D1*Recurso!C170)/Recurso!C1, "")</f>
        <v/>
      </c>
    </row>
    <row r="171" spans="3:4" x14ac:dyDescent="0.3">
      <c r="C171" s="2" t="str">
        <f>IF(A171&lt;&gt;"",SUM(B171),"")</f>
        <v/>
      </c>
      <c r="D171" s="2" t="str">
        <f>IF(A171&lt;&gt;"",(Recurso!D1*Recurso!C171)/Recurso!C1, "")</f>
        <v/>
      </c>
    </row>
    <row r="172" spans="3:4" x14ac:dyDescent="0.3">
      <c r="C172" s="2" t="str">
        <f>IF(A172&lt;&gt;"",SUM(B172),"")</f>
        <v/>
      </c>
      <c r="D172" s="2" t="str">
        <f>IF(A172&lt;&gt;"",(Recurso!D1*Recurso!C172)/Recurso!C1, "")</f>
        <v/>
      </c>
    </row>
    <row r="173" spans="3:4" x14ac:dyDescent="0.3">
      <c r="C173" s="2" t="str">
        <f>IF(A173&lt;&gt;"",SUM(B173),"")</f>
        <v/>
      </c>
      <c r="D173" s="2" t="str">
        <f>IF(A173&lt;&gt;"",(Recurso!D1*Recurso!C173)/Recurso!C1, "")</f>
        <v/>
      </c>
    </row>
    <row r="174" spans="3:4" x14ac:dyDescent="0.3">
      <c r="C174" s="2" t="str">
        <f>IF(A174&lt;&gt;"",SUM(B174),"")</f>
        <v/>
      </c>
      <c r="D174" s="2" t="str">
        <f>IF(A174&lt;&gt;"",(Recurso!D1*Recurso!C174)/Recurso!C1, "")</f>
        <v/>
      </c>
    </row>
    <row r="175" spans="3:4" x14ac:dyDescent="0.3">
      <c r="C175" s="2" t="str">
        <f>IF(A175&lt;&gt;"",SUM(B175),"")</f>
        <v/>
      </c>
      <c r="D175" s="2" t="str">
        <f>IF(A175&lt;&gt;"",(Recurso!D1*Recurso!C175)/Recurso!C1, "")</f>
        <v/>
      </c>
    </row>
    <row r="176" spans="3:4" x14ac:dyDescent="0.3">
      <c r="C176" s="2" t="str">
        <f>IF(A176&lt;&gt;"",SUM(B176),"")</f>
        <v/>
      </c>
      <c r="D176" s="2" t="str">
        <f>IF(A176&lt;&gt;"",(Recurso!D1*Recurso!C176)/Recurso!C1, "")</f>
        <v/>
      </c>
    </row>
    <row r="177" spans="3:4" x14ac:dyDescent="0.3">
      <c r="C177" s="2" t="str">
        <f>IF(A177&lt;&gt;"",SUM(B177),"")</f>
        <v/>
      </c>
      <c r="D177" s="2" t="str">
        <f>IF(A177&lt;&gt;"",(Recurso!D1*Recurso!C177)/Recurso!C1, "")</f>
        <v/>
      </c>
    </row>
    <row r="178" spans="3:4" x14ac:dyDescent="0.3">
      <c r="C178" s="2" t="str">
        <f>IF(A178&lt;&gt;"",SUM(B178),"")</f>
        <v/>
      </c>
      <c r="D178" s="2" t="str">
        <f>IF(A178&lt;&gt;"",(Recurso!D1*Recurso!C178)/Recurso!C1, "")</f>
        <v/>
      </c>
    </row>
    <row r="179" spans="3:4" x14ac:dyDescent="0.3">
      <c r="C179" s="2" t="str">
        <f>IF(A179&lt;&gt;"",SUM(B179),"")</f>
        <v/>
      </c>
      <c r="D179" s="2" t="str">
        <f>IF(A179&lt;&gt;"",(Recurso!D1*Recurso!C179)/Recurso!C1, "")</f>
        <v/>
      </c>
    </row>
    <row r="180" spans="3:4" x14ac:dyDescent="0.3">
      <c r="C180" s="2" t="str">
        <f>IF(A180&lt;&gt;"",SUM(B180),"")</f>
        <v/>
      </c>
      <c r="D180" s="2" t="str">
        <f>IF(A180&lt;&gt;"",(Recurso!D1*Recurso!C180)/Recurso!C1, "")</f>
        <v/>
      </c>
    </row>
    <row r="181" spans="3:4" x14ac:dyDescent="0.3">
      <c r="C181" s="2" t="str">
        <f>IF(A181&lt;&gt;"",SUM(B181),"")</f>
        <v/>
      </c>
      <c r="D181" s="2" t="str">
        <f>IF(A181&lt;&gt;"",(Recurso!D1*Recurso!C181)/Recurso!C1, "")</f>
        <v/>
      </c>
    </row>
    <row r="182" spans="3:4" x14ac:dyDescent="0.3">
      <c r="C182" s="2" t="str">
        <f>IF(A182&lt;&gt;"",SUM(B182),"")</f>
        <v/>
      </c>
      <c r="D182" s="2" t="str">
        <f>IF(A182&lt;&gt;"",(Recurso!D1*Recurso!C182)/Recurso!C1, "")</f>
        <v/>
      </c>
    </row>
    <row r="183" spans="3:4" x14ac:dyDescent="0.3">
      <c r="C183" s="2" t="str">
        <f>IF(A183&lt;&gt;"",SUM(B183),"")</f>
        <v/>
      </c>
      <c r="D183" s="2" t="str">
        <f>IF(A183&lt;&gt;"",(Recurso!D1*Recurso!C183)/Recurso!C1, "")</f>
        <v/>
      </c>
    </row>
    <row r="184" spans="3:4" x14ac:dyDescent="0.3">
      <c r="C184" s="2" t="str">
        <f>IF(A184&lt;&gt;"",SUM(B184),"")</f>
        <v/>
      </c>
      <c r="D184" s="2" t="str">
        <f>IF(A184&lt;&gt;"",(Recurso!D1*Recurso!C184)/Recurso!C1, "")</f>
        <v/>
      </c>
    </row>
    <row r="185" spans="3:4" x14ac:dyDescent="0.3">
      <c r="C185" s="2" t="str">
        <f>IF(A185&lt;&gt;"",SUM(B185),"")</f>
        <v/>
      </c>
      <c r="D185" s="2" t="str">
        <f>IF(A185&lt;&gt;"",(Recurso!D1*Recurso!C185)/Recurso!C1, "")</f>
        <v/>
      </c>
    </row>
    <row r="186" spans="3:4" x14ac:dyDescent="0.3">
      <c r="C186" s="2" t="str">
        <f>IF(A186&lt;&gt;"",SUM(B186),"")</f>
        <v/>
      </c>
      <c r="D186" s="2" t="str">
        <f>IF(A186&lt;&gt;"",(Recurso!D1*Recurso!C186)/Recurso!C1, "")</f>
        <v/>
      </c>
    </row>
    <row r="187" spans="3:4" x14ac:dyDescent="0.3">
      <c r="C187" s="2" t="str">
        <f>IF(A187&lt;&gt;"",SUM(B187),"")</f>
        <v/>
      </c>
      <c r="D187" s="2" t="str">
        <f>IF(A187&lt;&gt;"",(Recurso!D1*Recurso!C187)/Recurso!C1, "")</f>
        <v/>
      </c>
    </row>
    <row r="188" spans="3:4" x14ac:dyDescent="0.3">
      <c r="C188" s="2" t="str">
        <f>IF(A188&lt;&gt;"",SUM(B188),"")</f>
        <v/>
      </c>
      <c r="D188" s="2" t="str">
        <f>IF(A188&lt;&gt;"",(Recurso!D1*Recurso!C188)/Recurso!C1, "")</f>
        <v/>
      </c>
    </row>
    <row r="189" spans="3:4" x14ac:dyDescent="0.3">
      <c r="C189" s="2" t="str">
        <f>IF(A189&lt;&gt;"",SUM(B189),"")</f>
        <v/>
      </c>
      <c r="D189" s="2" t="str">
        <f>IF(A189&lt;&gt;"",(Recurso!D1*Recurso!C189)/Recurso!C1, "")</f>
        <v/>
      </c>
    </row>
    <row r="190" spans="3:4" x14ac:dyDescent="0.3">
      <c r="C190" s="2" t="str">
        <f>IF(A190&lt;&gt;"",SUM(B190),"")</f>
        <v/>
      </c>
      <c r="D190" s="2" t="str">
        <f>IF(A190&lt;&gt;"",(Recurso!D1*Recurso!C190)/Recurso!C1, "")</f>
        <v/>
      </c>
    </row>
    <row r="191" spans="3:4" x14ac:dyDescent="0.3">
      <c r="C191" s="2" t="str">
        <f>IF(A191&lt;&gt;"",SUM(B191),"")</f>
        <v/>
      </c>
      <c r="D191" s="2" t="str">
        <f>IF(A191&lt;&gt;"",(Recurso!D1*Recurso!C191)/Recurso!C1, "")</f>
        <v/>
      </c>
    </row>
    <row r="192" spans="3:4" x14ac:dyDescent="0.3">
      <c r="C192" s="2" t="str">
        <f>IF(A192&lt;&gt;"",SUM(B192),"")</f>
        <v/>
      </c>
      <c r="D192" s="2" t="str">
        <f>IF(A192&lt;&gt;"",(Recurso!D1*Recurso!C192)/Recurso!C1, "")</f>
        <v/>
      </c>
    </row>
    <row r="193" spans="3:4" x14ac:dyDescent="0.3">
      <c r="C193" s="2" t="str">
        <f>IF(A193&lt;&gt;"",SUM(B193),"")</f>
        <v/>
      </c>
      <c r="D193" s="2" t="str">
        <f>IF(A193&lt;&gt;"",(Recurso!D1*Recurso!C193)/Recurso!C1, "")</f>
        <v/>
      </c>
    </row>
    <row r="194" spans="3:4" x14ac:dyDescent="0.3">
      <c r="C194" s="2" t="str">
        <f>IF(A194&lt;&gt;"",SUM(B194),"")</f>
        <v/>
      </c>
      <c r="D194" s="2" t="str">
        <f>IF(A194&lt;&gt;"",(Recurso!D1*Recurso!C194)/Recurso!C1, "")</f>
        <v/>
      </c>
    </row>
    <row r="195" spans="3:4" x14ac:dyDescent="0.3">
      <c r="C195" s="2" t="str">
        <f>IF(A195&lt;&gt;"",SUM(B195),"")</f>
        <v/>
      </c>
      <c r="D195" s="2" t="str">
        <f>IF(A195&lt;&gt;"",(Recurso!D1*Recurso!C195)/Recurso!C1, "")</f>
        <v/>
      </c>
    </row>
    <row r="196" spans="3:4" x14ac:dyDescent="0.3">
      <c r="C196" s="2" t="str">
        <f>IF(A196&lt;&gt;"",SUM(B196),"")</f>
        <v/>
      </c>
      <c r="D196" s="2" t="str">
        <f>IF(A196&lt;&gt;"",(Recurso!D1*Recurso!C196)/Recurso!C1, "")</f>
        <v/>
      </c>
    </row>
    <row r="197" spans="3:4" x14ac:dyDescent="0.3">
      <c r="C197" s="2" t="str">
        <f>IF(A197&lt;&gt;"",SUM(B197),"")</f>
        <v/>
      </c>
      <c r="D197" s="2" t="str">
        <f>IF(A197&lt;&gt;"",(Recurso!D1*Recurso!C197)/Recurso!C1, "")</f>
        <v/>
      </c>
    </row>
    <row r="198" spans="3:4" x14ac:dyDescent="0.3">
      <c r="C198" s="2" t="str">
        <f>IF(A198&lt;&gt;"",SUM(B198),"")</f>
        <v/>
      </c>
      <c r="D198" s="2" t="str">
        <f>IF(A198&lt;&gt;"",(Recurso!D1*Recurso!C198)/Recurso!C1, "")</f>
        <v/>
      </c>
    </row>
    <row r="199" spans="3:4" x14ac:dyDescent="0.3">
      <c r="C199" s="2" t="str">
        <f>IF(A199&lt;&gt;"",SUM(B199),"")</f>
        <v/>
      </c>
      <c r="D199" s="2" t="str">
        <f>IF(A199&lt;&gt;"",(Recurso!D1*Recurso!C199)/Recurso!C1, "")</f>
        <v/>
      </c>
    </row>
    <row r="200" spans="3:4" x14ac:dyDescent="0.3">
      <c r="C200" s="2" t="str">
        <f>IF(A200&lt;&gt;"",SUM(B200),"")</f>
        <v/>
      </c>
      <c r="D200" s="2" t="str">
        <f>IF(A200&lt;&gt;"",(Recurso!D1*Recurso!C200)/Recurso!C1, "")</f>
        <v/>
      </c>
    </row>
    <row r="201" spans="3:4" x14ac:dyDescent="0.3">
      <c r="C201" s="2" t="str">
        <f>IF(A201&lt;&gt;"",SUM(B201),"")</f>
        <v/>
      </c>
      <c r="D201" s="2" t="str">
        <f>IF(A201&lt;&gt;"",(Recurso!D1*Recurso!C201)/Recurso!C1, "")</f>
        <v/>
      </c>
    </row>
    <row r="202" spans="3:4" x14ac:dyDescent="0.3">
      <c r="C202" s="2" t="str">
        <f>IF(A202&lt;&gt;"",SUM(B202),"")</f>
        <v/>
      </c>
      <c r="D202" s="2" t="str">
        <f>IF(A202&lt;&gt;"",(Recurso!D1*Recurso!C202)/Recurso!C1, "")</f>
        <v/>
      </c>
    </row>
    <row r="203" spans="3:4" x14ac:dyDescent="0.3">
      <c r="C203" s="2" t="str">
        <f>IF(A203&lt;&gt;"",SUM(B203),"")</f>
        <v/>
      </c>
      <c r="D203" s="2" t="str">
        <f>IF(A203&lt;&gt;"",(Recurso!D1*Recurso!C203)/Recurso!C1, "")</f>
        <v/>
      </c>
    </row>
    <row r="204" spans="3:4" x14ac:dyDescent="0.3">
      <c r="C204" s="2" t="str">
        <f>IF(A204&lt;&gt;"",SUM(B204),"")</f>
        <v/>
      </c>
      <c r="D204" s="2" t="str">
        <f>IF(A204&lt;&gt;"",(Recurso!D1*Recurso!C204)/Recurso!C1, "")</f>
        <v/>
      </c>
    </row>
    <row r="205" spans="3:4" x14ac:dyDescent="0.3">
      <c r="C205" s="2" t="str">
        <f>IF(A205&lt;&gt;"",SUM(B205),"")</f>
        <v/>
      </c>
      <c r="D205" s="2" t="str">
        <f>IF(A205&lt;&gt;"",(Recurso!D1*Recurso!C205)/Recurso!C1, "")</f>
        <v/>
      </c>
    </row>
    <row r="206" spans="3:4" x14ac:dyDescent="0.3">
      <c r="C206" s="2" t="str">
        <f>IF(A206&lt;&gt;"",SUM(B206),"")</f>
        <v/>
      </c>
      <c r="D206" s="2" t="str">
        <f>IF(A206&lt;&gt;"",(Recurso!D1*Recurso!C206)/Recurso!C1, "")</f>
        <v/>
      </c>
    </row>
    <row r="207" spans="3:4" x14ac:dyDescent="0.3">
      <c r="C207" s="2" t="str">
        <f>IF(A207&lt;&gt;"",SUM(B207),"")</f>
        <v/>
      </c>
      <c r="D207" s="2" t="str">
        <f>IF(A207&lt;&gt;"",(Recurso!D1*Recurso!C207)/Recurso!C1, "")</f>
        <v/>
      </c>
    </row>
    <row r="208" spans="3:4" x14ac:dyDescent="0.3">
      <c r="C208" s="2" t="str">
        <f>IF(A208&lt;&gt;"",SUM(B208),"")</f>
        <v/>
      </c>
      <c r="D208" s="2" t="str">
        <f>IF(A208&lt;&gt;"",(Recurso!D1*Recurso!C208)/Recurso!C1, "")</f>
        <v/>
      </c>
    </row>
    <row r="209" spans="3:4" x14ac:dyDescent="0.3">
      <c r="C209" s="2" t="str">
        <f>IF(A209&lt;&gt;"",SUM(B209),"")</f>
        <v/>
      </c>
      <c r="D209" s="2" t="str">
        <f>IF(A209&lt;&gt;"",(Recurso!D1*Recurso!C209)/Recurso!C1, "")</f>
        <v/>
      </c>
    </row>
    <row r="210" spans="3:4" x14ac:dyDescent="0.3">
      <c r="C210" s="2" t="str">
        <f>IF(A210&lt;&gt;"",SUM(B210),"")</f>
        <v/>
      </c>
      <c r="D210" s="2" t="str">
        <f>IF(A210&lt;&gt;"",(Recurso!D1*Recurso!C210)/Recurso!C1, "")</f>
        <v/>
      </c>
    </row>
    <row r="211" spans="3:4" x14ac:dyDescent="0.3">
      <c r="C211" s="2" t="str">
        <f>IF(A211&lt;&gt;"",SUM(B211),"")</f>
        <v/>
      </c>
      <c r="D211" s="2" t="str">
        <f>IF(A211&lt;&gt;"",(Recurso!D1*Recurso!C211)/Recurso!C1, "")</f>
        <v/>
      </c>
    </row>
    <row r="212" spans="3:4" x14ac:dyDescent="0.3">
      <c r="C212" s="2" t="str">
        <f>IF(A212&lt;&gt;"",SUM(B212),"")</f>
        <v/>
      </c>
      <c r="D212" s="2" t="str">
        <f>IF(A212&lt;&gt;"",(Recurso!D1*Recurso!C212)/Recurso!C1, "")</f>
        <v/>
      </c>
    </row>
    <row r="213" spans="3:4" x14ac:dyDescent="0.3">
      <c r="C213" s="2" t="str">
        <f>IF(A213&lt;&gt;"",SUM(B213),"")</f>
        <v/>
      </c>
      <c r="D213" s="2" t="str">
        <f>IF(A213&lt;&gt;"",(Recurso!D1*Recurso!C213)/Recurso!C1, "")</f>
        <v/>
      </c>
    </row>
    <row r="214" spans="3:4" x14ac:dyDescent="0.3">
      <c r="C214" s="2" t="str">
        <f>IF(A214&lt;&gt;"",SUM(B214),"")</f>
        <v/>
      </c>
      <c r="D214" s="2" t="str">
        <f>IF(A214&lt;&gt;"",(Recurso!D1*Recurso!C214)/Recurso!C1, "")</f>
        <v/>
      </c>
    </row>
    <row r="215" spans="3:4" x14ac:dyDescent="0.3">
      <c r="C215" s="2" t="str">
        <f>IF(A215&lt;&gt;"",SUM(B215),"")</f>
        <v/>
      </c>
      <c r="D215" s="2" t="str">
        <f>IF(A215&lt;&gt;"",(Recurso!D1*Recurso!C215)/Recurso!C1, "")</f>
        <v/>
      </c>
    </row>
    <row r="216" spans="3:4" x14ac:dyDescent="0.3">
      <c r="C216" s="2" t="str">
        <f>IF(A216&lt;&gt;"",SUM(B216),"")</f>
        <v/>
      </c>
      <c r="D216" s="2" t="str">
        <f>IF(A216&lt;&gt;"",(Recurso!D1*Recurso!C216)/Recurso!C1, "")</f>
        <v/>
      </c>
    </row>
    <row r="217" spans="3:4" x14ac:dyDescent="0.3">
      <c r="C217" s="2" t="str">
        <f>IF(A217&lt;&gt;"",SUM(B217),"")</f>
        <v/>
      </c>
      <c r="D217" s="2" t="str">
        <f>IF(A217&lt;&gt;"",(Recurso!D1*Recurso!C217)/Recurso!C1, "")</f>
        <v/>
      </c>
    </row>
    <row r="218" spans="3:4" x14ac:dyDescent="0.3">
      <c r="C218" s="2" t="str">
        <f>IF(A218&lt;&gt;"",SUM(B218),"")</f>
        <v/>
      </c>
      <c r="D218" s="2" t="str">
        <f>IF(A218&lt;&gt;"",(Recurso!D1*Recurso!C218)/Recurso!C1, "")</f>
        <v/>
      </c>
    </row>
    <row r="219" spans="3:4" x14ac:dyDescent="0.3">
      <c r="C219" s="2" t="str">
        <f>IF(A219&lt;&gt;"",SUM(B219),"")</f>
        <v/>
      </c>
      <c r="D219" s="2" t="str">
        <f>IF(A219&lt;&gt;"",(Recurso!D1*Recurso!C219)/Recurso!C1, "")</f>
        <v/>
      </c>
    </row>
    <row r="220" spans="3:4" x14ac:dyDescent="0.3">
      <c r="C220" s="2" t="str">
        <f>IF(A220&lt;&gt;"",SUM(B220),"")</f>
        <v/>
      </c>
      <c r="D220" s="2" t="str">
        <f>IF(A220&lt;&gt;"",(Recurso!D1*Recurso!C220)/Recurso!C1, "")</f>
        <v/>
      </c>
    </row>
    <row r="221" spans="3:4" x14ac:dyDescent="0.3">
      <c r="C221" s="2" t="str">
        <f>IF(A221&lt;&gt;"",SUM(B221),"")</f>
        <v/>
      </c>
      <c r="D221" s="2" t="str">
        <f>IF(A221&lt;&gt;"",(Recurso!D1*Recurso!C221)/Recurso!C1, "")</f>
        <v/>
      </c>
    </row>
    <row r="222" spans="3:4" x14ac:dyDescent="0.3">
      <c r="C222" s="2" t="str">
        <f>IF(A222&lt;&gt;"",SUM(B222),"")</f>
        <v/>
      </c>
      <c r="D222" s="2" t="str">
        <f>IF(A222&lt;&gt;"",(Recurso!D1*Recurso!C222)/Recurso!C1, "")</f>
        <v/>
      </c>
    </row>
    <row r="223" spans="3:4" x14ac:dyDescent="0.3">
      <c r="C223" s="2" t="str">
        <f>IF(A223&lt;&gt;"",SUM(B223),"")</f>
        <v/>
      </c>
      <c r="D223" s="2" t="str">
        <f>IF(A223&lt;&gt;"",(Recurso!D1*Recurso!C223)/Recurso!C1, "")</f>
        <v/>
      </c>
    </row>
    <row r="224" spans="3:4" x14ac:dyDescent="0.3">
      <c r="C224" s="2" t="str">
        <f>IF(A224&lt;&gt;"",SUM(B224),"")</f>
        <v/>
      </c>
      <c r="D224" s="2" t="str">
        <f>IF(A224&lt;&gt;"",(Recurso!D1*Recurso!C224)/Recurso!C1, "")</f>
        <v/>
      </c>
    </row>
    <row r="225" spans="3:4" x14ac:dyDescent="0.3">
      <c r="C225" s="2" t="str">
        <f>IF(A225&lt;&gt;"",SUM(B225),"")</f>
        <v/>
      </c>
      <c r="D225" s="2" t="str">
        <f>IF(A225&lt;&gt;"",(Recurso!D1*Recurso!C225)/Recurso!C1, "")</f>
        <v/>
      </c>
    </row>
    <row r="226" spans="3:4" x14ac:dyDescent="0.3">
      <c r="C226" s="2" t="str">
        <f>IF(A226&lt;&gt;"",SUM(B226),"")</f>
        <v/>
      </c>
      <c r="D226" s="2" t="str">
        <f>IF(A226&lt;&gt;"",(Recurso!D1*Recurso!C226)/Recurso!C1, "")</f>
        <v/>
      </c>
    </row>
    <row r="227" spans="3:4" x14ac:dyDescent="0.3">
      <c r="C227" s="2" t="str">
        <f>IF(A227&lt;&gt;"",SUM(B227),"")</f>
        <v/>
      </c>
      <c r="D227" s="2" t="str">
        <f>IF(A227&lt;&gt;"",(Recurso!D1*Recurso!C227)/Recurso!C1, "")</f>
        <v/>
      </c>
    </row>
    <row r="228" spans="3:4" x14ac:dyDescent="0.3">
      <c r="C228" s="2" t="str">
        <f>IF(A228&lt;&gt;"",SUM(B228),"")</f>
        <v/>
      </c>
      <c r="D228" s="2" t="str">
        <f>IF(A228&lt;&gt;"",(Recurso!D1*Recurso!C228)/Recurso!C1, "")</f>
        <v/>
      </c>
    </row>
    <row r="229" spans="3:4" x14ac:dyDescent="0.3">
      <c r="C229" s="2" t="str">
        <f>IF(A229&lt;&gt;"",SUM(B229),"")</f>
        <v/>
      </c>
      <c r="D229" s="2" t="str">
        <f>IF(A229&lt;&gt;"",(Recurso!D1*Recurso!C229)/Recurso!C1, "")</f>
        <v/>
      </c>
    </row>
    <row r="230" spans="3:4" x14ac:dyDescent="0.3">
      <c r="C230" s="2" t="str">
        <f>IF(A230&lt;&gt;"",SUM(B230),"")</f>
        <v/>
      </c>
      <c r="D230" s="2" t="str">
        <f>IF(A230&lt;&gt;"",(Recurso!D1*Recurso!C230)/Recurso!C1, "")</f>
        <v/>
      </c>
    </row>
    <row r="231" spans="3:4" x14ac:dyDescent="0.3">
      <c r="C231" s="2" t="str">
        <f>IF(A231&lt;&gt;"",SUM(B231),"")</f>
        <v/>
      </c>
      <c r="D231" s="2" t="str">
        <f>IF(A231&lt;&gt;"",(Recurso!D1*Recurso!C231)/Recurso!C1, "")</f>
        <v/>
      </c>
    </row>
    <row r="232" spans="3:4" x14ac:dyDescent="0.3">
      <c r="C232" s="2" t="str">
        <f>IF(A232&lt;&gt;"",SUM(B232),"")</f>
        <v/>
      </c>
      <c r="D232" s="2" t="str">
        <f>IF(A232&lt;&gt;"",(Recurso!D1*Recurso!C232)/Recurso!C1, "")</f>
        <v/>
      </c>
    </row>
    <row r="233" spans="3:4" x14ac:dyDescent="0.3">
      <c r="C233" s="2" t="str">
        <f>IF(A233&lt;&gt;"",SUM(B233),"")</f>
        <v/>
      </c>
      <c r="D233" s="2" t="str">
        <f>IF(A233&lt;&gt;"",(Recurso!D1*Recurso!C233)/Recurso!C1, "")</f>
        <v/>
      </c>
    </row>
    <row r="234" spans="3:4" x14ac:dyDescent="0.3">
      <c r="C234" s="2" t="str">
        <f>IF(A234&lt;&gt;"",SUM(B234),"")</f>
        <v/>
      </c>
      <c r="D234" s="2" t="str">
        <f>IF(A234&lt;&gt;"",(Recurso!D1*Recurso!C234)/Recurso!C1, "")</f>
        <v/>
      </c>
    </row>
    <row r="235" spans="3:4" x14ac:dyDescent="0.3">
      <c r="C235" s="2" t="str">
        <f>IF(A235&lt;&gt;"",SUM(B235),"")</f>
        <v/>
      </c>
      <c r="D235" s="2" t="str">
        <f>IF(A235&lt;&gt;"",(Recurso!D1*Recurso!C235)/Recurso!C1, "")</f>
        <v/>
      </c>
    </row>
    <row r="236" spans="3:4" x14ac:dyDescent="0.3">
      <c r="C236" s="2" t="str">
        <f>IF(A236&lt;&gt;"",SUM(B236),"")</f>
        <v/>
      </c>
      <c r="D236" s="2" t="str">
        <f>IF(A236&lt;&gt;"",(Recurso!D1*Recurso!C236)/Recurso!C1, "")</f>
        <v/>
      </c>
    </row>
    <row r="237" spans="3:4" x14ac:dyDescent="0.3">
      <c r="C237" s="2" t="str">
        <f>IF(A237&lt;&gt;"",SUM(B237),"")</f>
        <v/>
      </c>
      <c r="D237" s="2" t="str">
        <f>IF(A237&lt;&gt;"",(Recurso!D1*Recurso!C237)/Recurso!C1, "")</f>
        <v/>
      </c>
    </row>
    <row r="238" spans="3:4" x14ac:dyDescent="0.3">
      <c r="C238" s="2" t="str">
        <f>IF(A238&lt;&gt;"",SUM(B238),"")</f>
        <v/>
      </c>
      <c r="D238" s="2" t="str">
        <f>IF(A238&lt;&gt;"",(Recurso!D1*Recurso!C238)/Recurso!C1, "")</f>
        <v/>
      </c>
    </row>
    <row r="239" spans="3:4" x14ac:dyDescent="0.3">
      <c r="C239" s="2" t="str">
        <f>IF(A239&lt;&gt;"",SUM(B239),"")</f>
        <v/>
      </c>
      <c r="D239" s="2" t="str">
        <f>IF(A239&lt;&gt;"",(Recurso!D1*Recurso!C239)/Recurso!C1, "")</f>
        <v/>
      </c>
    </row>
    <row r="240" spans="3:4" x14ac:dyDescent="0.3">
      <c r="C240" s="2" t="str">
        <f>IF(A240&lt;&gt;"",SUM(B240),"")</f>
        <v/>
      </c>
      <c r="D240" s="2" t="str">
        <f>IF(A240&lt;&gt;"",(Recurso!D1*Recurso!C240)/Recurso!C1, "")</f>
        <v/>
      </c>
    </row>
    <row r="241" spans="3:4" x14ac:dyDescent="0.3">
      <c r="C241" s="2" t="str">
        <f>IF(A241&lt;&gt;"",SUM(B241),"")</f>
        <v/>
      </c>
      <c r="D241" s="2" t="str">
        <f>IF(A241&lt;&gt;"",(Recurso!D1*Recurso!C241)/Recurso!C1, "")</f>
        <v/>
      </c>
    </row>
    <row r="242" spans="3:4" x14ac:dyDescent="0.3">
      <c r="C242" s="2" t="str">
        <f>IF(A242&lt;&gt;"",SUM(B242),"")</f>
        <v/>
      </c>
      <c r="D242" s="2" t="str">
        <f>IF(A242&lt;&gt;"",(Recurso!D1*Recurso!C242)/Recurso!C1, "")</f>
        <v/>
      </c>
    </row>
    <row r="243" spans="3:4" x14ac:dyDescent="0.3">
      <c r="C243" s="2" t="str">
        <f>IF(A243&lt;&gt;"",SUM(B243),"")</f>
        <v/>
      </c>
      <c r="D243" s="2" t="str">
        <f>IF(A243&lt;&gt;"",(Recurso!D1*Recurso!C243)/Recurso!C1, "")</f>
        <v/>
      </c>
    </row>
    <row r="244" spans="3:4" x14ac:dyDescent="0.3">
      <c r="C244" s="2" t="str">
        <f>IF(A244&lt;&gt;"",SUM(B244),"")</f>
        <v/>
      </c>
      <c r="D244" s="2" t="str">
        <f>IF(A244&lt;&gt;"",(Recurso!D1*Recurso!C244)/Recurso!C1, "")</f>
        <v/>
      </c>
    </row>
    <row r="245" spans="3:4" x14ac:dyDescent="0.3">
      <c r="C245" s="2" t="str">
        <f>IF(A245&lt;&gt;"",SUM(B245),"")</f>
        <v/>
      </c>
      <c r="D245" s="2" t="str">
        <f>IF(A245&lt;&gt;"",(Recurso!D1*Recurso!C245)/Recurso!C1, "")</f>
        <v/>
      </c>
    </row>
    <row r="246" spans="3:4" x14ac:dyDescent="0.3">
      <c r="C246" s="2" t="str">
        <f>IF(A246&lt;&gt;"",SUM(B246),"")</f>
        <v/>
      </c>
      <c r="D246" s="2" t="str">
        <f>IF(A246&lt;&gt;"",(Recurso!D1*Recurso!C246)/Recurso!C1, "")</f>
        <v/>
      </c>
    </row>
    <row r="247" spans="3:4" x14ac:dyDescent="0.3">
      <c r="C247" s="2" t="str">
        <f>IF(A247&lt;&gt;"",SUM(B247),"")</f>
        <v/>
      </c>
      <c r="D247" s="2" t="str">
        <f>IF(A247&lt;&gt;"",(Recurso!D1*Recurso!C247)/Recurso!C1, "")</f>
        <v/>
      </c>
    </row>
    <row r="248" spans="3:4" x14ac:dyDescent="0.3">
      <c r="C248" s="2" t="str">
        <f>IF(A248&lt;&gt;"",SUM(B248),"")</f>
        <v/>
      </c>
      <c r="D248" s="2" t="str">
        <f>IF(A248&lt;&gt;"",(Recurso!D1*Recurso!C248)/Recurso!C1, "")</f>
        <v/>
      </c>
    </row>
    <row r="249" spans="3:4" x14ac:dyDescent="0.3">
      <c r="C249" s="2" t="str">
        <f>IF(A249&lt;&gt;"",SUM(B249),"")</f>
        <v/>
      </c>
      <c r="D249" s="2" t="str">
        <f>IF(A249&lt;&gt;"",(Recurso!D1*Recurso!C249)/Recurso!C1, "")</f>
        <v/>
      </c>
    </row>
    <row r="250" spans="3:4" x14ac:dyDescent="0.3">
      <c r="C250" s="2" t="str">
        <f>IF(A250&lt;&gt;"",SUM(B250),"")</f>
        <v/>
      </c>
      <c r="D250" s="2" t="str">
        <f>IF(A250&lt;&gt;"",(Recurso!D1*Recurso!C250)/Recurso!C1, "")</f>
        <v/>
      </c>
    </row>
    <row r="251" spans="3:4" x14ac:dyDescent="0.3">
      <c r="C251" s="2" t="str">
        <f>IF(A251&lt;&gt;"",SUM(B251),"")</f>
        <v/>
      </c>
      <c r="D251" s="2" t="str">
        <f>IF(A251&lt;&gt;"",(Recurso!D1*Recurso!C251)/Recurso!C1, "")</f>
        <v/>
      </c>
    </row>
    <row r="252" spans="3:4" x14ac:dyDescent="0.3">
      <c r="C252" s="2" t="str">
        <f>IF(A252&lt;&gt;"",SUM(B252),"")</f>
        <v/>
      </c>
      <c r="D252" s="2" t="str">
        <f>IF(A252&lt;&gt;"",(Recurso!D1*Recurso!C252)/Recurso!C1, "")</f>
        <v/>
      </c>
    </row>
    <row r="253" spans="3:4" x14ac:dyDescent="0.3">
      <c r="C253" s="2" t="str">
        <f>IF(A253&lt;&gt;"",SUM(B253),"")</f>
        <v/>
      </c>
      <c r="D253" s="2" t="str">
        <f>IF(A253&lt;&gt;"",(Recurso!D1*Recurso!C253)/Recurso!C1, "")</f>
        <v/>
      </c>
    </row>
    <row r="254" spans="3:4" x14ac:dyDescent="0.3">
      <c r="C254" s="2" t="str">
        <f>IF(A254&lt;&gt;"",SUM(B254),"")</f>
        <v/>
      </c>
      <c r="D254" s="2" t="str">
        <f>IF(A254&lt;&gt;"",(Recurso!D1*Recurso!C254)/Recurso!C1, "")</f>
        <v/>
      </c>
    </row>
    <row r="255" spans="3:4" x14ac:dyDescent="0.3">
      <c r="C255" s="2" t="str">
        <f>IF(A255&lt;&gt;"",SUM(B255),"")</f>
        <v/>
      </c>
      <c r="D255" s="2" t="str">
        <f>IF(A255&lt;&gt;"",(Recurso!D1*Recurso!C255)/Recurso!C1, "")</f>
        <v/>
      </c>
    </row>
    <row r="256" spans="3:4" x14ac:dyDescent="0.3">
      <c r="C256" s="2" t="str">
        <f>IF(A256&lt;&gt;"",SUM(B256),"")</f>
        <v/>
      </c>
      <c r="D256" s="2" t="str">
        <f>IF(A256&lt;&gt;"",(Recurso!D1*Recurso!C256)/Recurso!C1, "")</f>
        <v/>
      </c>
    </row>
    <row r="257" spans="3:4" x14ac:dyDescent="0.3">
      <c r="C257" s="2" t="str">
        <f>IF(A257&lt;&gt;"",SUM(B257),"")</f>
        <v/>
      </c>
      <c r="D257" s="2" t="str">
        <f>IF(A257&lt;&gt;"",(Recurso!D1*Recurso!C257)/Recurso!C1, "")</f>
        <v/>
      </c>
    </row>
    <row r="258" spans="3:4" x14ac:dyDescent="0.3">
      <c r="C258" s="2" t="str">
        <f>IF(A258&lt;&gt;"",SUM(B258),"")</f>
        <v/>
      </c>
      <c r="D258" s="2" t="str">
        <f>IF(A258&lt;&gt;"",(Recurso!D1*Recurso!C258)/Recurso!C1, "")</f>
        <v/>
      </c>
    </row>
    <row r="259" spans="3:4" x14ac:dyDescent="0.3">
      <c r="C259" s="2" t="str">
        <f>IF(A259&lt;&gt;"",SUM(B259),"")</f>
        <v/>
      </c>
      <c r="D259" s="2" t="str">
        <f>IF(A259&lt;&gt;"",(Recurso!D1*Recurso!C259)/Recurso!C1, "")</f>
        <v/>
      </c>
    </row>
    <row r="260" spans="3:4" x14ac:dyDescent="0.3">
      <c r="C260" s="2" t="str">
        <f>IF(A260&lt;&gt;"",SUM(B260),"")</f>
        <v/>
      </c>
      <c r="D260" s="2" t="str">
        <f>IF(A260&lt;&gt;"",(Recurso!D1*Recurso!C260)/Recurso!C1, "")</f>
        <v/>
      </c>
    </row>
    <row r="261" spans="3:4" x14ac:dyDescent="0.3">
      <c r="C261" s="2" t="str">
        <f>IF(A261&lt;&gt;"",SUM(B261),"")</f>
        <v/>
      </c>
      <c r="D261" s="2" t="str">
        <f>IF(A261&lt;&gt;"",(Recurso!D1*Recurso!C261)/Recurso!C1, "")</f>
        <v/>
      </c>
    </row>
    <row r="262" spans="3:4" x14ac:dyDescent="0.3">
      <c r="C262" s="2" t="str">
        <f>IF(A262&lt;&gt;"",SUM(B262),"")</f>
        <v/>
      </c>
      <c r="D262" s="2" t="str">
        <f>IF(A262&lt;&gt;"",(Recurso!D1*Recurso!C262)/Recurso!C1, "")</f>
        <v/>
      </c>
    </row>
    <row r="263" spans="3:4" x14ac:dyDescent="0.3">
      <c r="C263" s="2" t="str">
        <f>IF(A263&lt;&gt;"",SUM(B263),"")</f>
        <v/>
      </c>
      <c r="D263" s="2" t="str">
        <f>IF(A263&lt;&gt;"",(Recurso!D1*Recurso!C263)/Recurso!C1, "")</f>
        <v/>
      </c>
    </row>
    <row r="264" spans="3:4" x14ac:dyDescent="0.3">
      <c r="C264" s="2" t="str">
        <f>IF(A264&lt;&gt;"",SUM(B264),"")</f>
        <v/>
      </c>
      <c r="D264" s="2" t="str">
        <f>IF(A264&lt;&gt;"",(Recurso!D1*Recurso!C264)/Recurso!C1, "")</f>
        <v/>
      </c>
    </row>
    <row r="265" spans="3:4" x14ac:dyDescent="0.3">
      <c r="C265" s="2" t="str">
        <f>IF(A265&lt;&gt;"",SUM(B265),"")</f>
        <v/>
      </c>
      <c r="D265" s="2" t="str">
        <f>IF(A265&lt;&gt;"",(Recurso!D1*Recurso!C265)/Recurso!C1, "")</f>
        <v/>
      </c>
    </row>
    <row r="266" spans="3:4" x14ac:dyDescent="0.3">
      <c r="C266" s="2" t="str">
        <f>IF(A266&lt;&gt;"",SUM(B266),"")</f>
        <v/>
      </c>
      <c r="D266" s="2" t="str">
        <f>IF(A266&lt;&gt;"",(Recurso!D1*Recurso!C266)/Recurso!C1, "")</f>
        <v/>
      </c>
    </row>
    <row r="267" spans="3:4" x14ac:dyDescent="0.3">
      <c r="C267" s="2" t="str">
        <f>IF(A267&lt;&gt;"",SUM(B267),"")</f>
        <v/>
      </c>
      <c r="D267" s="2" t="str">
        <f>IF(A267&lt;&gt;"",(Recurso!D1*Recurso!C267)/Recurso!C1, "")</f>
        <v/>
      </c>
    </row>
    <row r="268" spans="3:4" x14ac:dyDescent="0.3">
      <c r="C268" s="2" t="str">
        <f>IF(A268&lt;&gt;"",SUM(B268),"")</f>
        <v/>
      </c>
      <c r="D268" s="2" t="str">
        <f>IF(A268&lt;&gt;"",(Recurso!D1*Recurso!C268)/Recurso!C1, "")</f>
        <v/>
      </c>
    </row>
    <row r="269" spans="3:4" x14ac:dyDescent="0.3">
      <c r="C269" s="2" t="str">
        <f>IF(A269&lt;&gt;"",SUM(B269),"")</f>
        <v/>
      </c>
      <c r="D269" s="2" t="str">
        <f>IF(A269&lt;&gt;"",(Recurso!D1*Recurso!C269)/Recurso!C1, "")</f>
        <v/>
      </c>
    </row>
    <row r="270" spans="3:4" x14ac:dyDescent="0.3">
      <c r="C270" s="2" t="str">
        <f>IF(A270&lt;&gt;"",SUM(B270),"")</f>
        <v/>
      </c>
      <c r="D270" s="2" t="str">
        <f>IF(A270&lt;&gt;"",(Recurso!D1*Recurso!C270)/Recurso!C1, "")</f>
        <v/>
      </c>
    </row>
    <row r="271" spans="3:4" x14ac:dyDescent="0.3">
      <c r="C271" s="2" t="str">
        <f>IF(A271&lt;&gt;"",SUM(B271),"")</f>
        <v/>
      </c>
      <c r="D271" s="2" t="str">
        <f>IF(A271&lt;&gt;"",(Recurso!D1*Recurso!C271)/Recurso!C1, "")</f>
        <v/>
      </c>
    </row>
    <row r="272" spans="3:4" x14ac:dyDescent="0.3">
      <c r="C272" s="2" t="str">
        <f>IF(A272&lt;&gt;"",SUM(B272),"")</f>
        <v/>
      </c>
      <c r="D272" s="2" t="str">
        <f>IF(A272&lt;&gt;"",(Recurso!D1*Recurso!C272)/Recurso!C1, "")</f>
        <v/>
      </c>
    </row>
    <row r="273" spans="3:4" x14ac:dyDescent="0.3">
      <c r="C273" s="2" t="str">
        <f>IF(A273&lt;&gt;"",SUM(B273),"")</f>
        <v/>
      </c>
      <c r="D273" s="2" t="str">
        <f>IF(A273&lt;&gt;"",(Recurso!D1*Recurso!C273)/Recurso!C1, "")</f>
        <v/>
      </c>
    </row>
    <row r="274" spans="3:4" x14ac:dyDescent="0.3">
      <c r="C274" s="2" t="str">
        <f>IF(A274&lt;&gt;"",SUM(B274),"")</f>
        <v/>
      </c>
      <c r="D274" s="2" t="str">
        <f>IF(A274&lt;&gt;"",(Recurso!D1*Recurso!C274)/Recurso!C1, "")</f>
        <v/>
      </c>
    </row>
    <row r="275" spans="3:4" x14ac:dyDescent="0.3">
      <c r="C275" s="2" t="str">
        <f>IF(A275&lt;&gt;"",SUM(B275),"")</f>
        <v/>
      </c>
      <c r="D275" s="2" t="str">
        <f>IF(A275&lt;&gt;"",(Recurso!D1*Recurso!C275)/Recurso!C1, "")</f>
        <v/>
      </c>
    </row>
    <row r="276" spans="3:4" x14ac:dyDescent="0.3">
      <c r="C276" s="2" t="str">
        <f>IF(A276&lt;&gt;"",SUM(B276),"")</f>
        <v/>
      </c>
      <c r="D276" s="2" t="str">
        <f>IF(A276&lt;&gt;"",(Recurso!D1*Recurso!C276)/Recurso!C1, "")</f>
        <v/>
      </c>
    </row>
    <row r="277" spans="3:4" x14ac:dyDescent="0.3">
      <c r="C277" s="2" t="str">
        <f>IF(A277&lt;&gt;"",SUM(B277),"")</f>
        <v/>
      </c>
      <c r="D277" s="2" t="str">
        <f>IF(A277&lt;&gt;"",(Recurso!D1*Recurso!C277)/Recurso!C1, "")</f>
        <v/>
      </c>
    </row>
    <row r="278" spans="3:4" x14ac:dyDescent="0.3">
      <c r="C278" s="2" t="str">
        <f>IF(A278&lt;&gt;"",SUM(B278),"")</f>
        <v/>
      </c>
      <c r="D278" s="2" t="str">
        <f>IF(A278&lt;&gt;"",(Recurso!D1*Recurso!C278)/Recurso!C1, "")</f>
        <v/>
      </c>
    </row>
    <row r="279" spans="3:4" x14ac:dyDescent="0.3">
      <c r="C279" s="2" t="str">
        <f>IF(A279&lt;&gt;"",SUM(B279),"")</f>
        <v/>
      </c>
      <c r="D279" s="2" t="str">
        <f>IF(A279&lt;&gt;"",(Recurso!D1*Recurso!C279)/Recurso!C1, "")</f>
        <v/>
      </c>
    </row>
    <row r="280" spans="3:4" x14ac:dyDescent="0.3">
      <c r="C280" s="2" t="str">
        <f>IF(A280&lt;&gt;"",SUM(B280),"")</f>
        <v/>
      </c>
      <c r="D280" s="2" t="str">
        <f>IF(A280&lt;&gt;"",(Recurso!D1*Recurso!C280)/Recurso!C1, "")</f>
        <v/>
      </c>
    </row>
    <row r="281" spans="3:4" x14ac:dyDescent="0.3">
      <c r="C281" s="2" t="str">
        <f>IF(A281&lt;&gt;"",SUM(B281),"")</f>
        <v/>
      </c>
      <c r="D281" s="2" t="str">
        <f>IF(A281&lt;&gt;"",(Recurso!D1*Recurso!C281)/Recurso!C1, "")</f>
        <v/>
      </c>
    </row>
    <row r="282" spans="3:4" x14ac:dyDescent="0.3">
      <c r="C282" s="2" t="str">
        <f>IF(A282&lt;&gt;"",SUM(B282),"")</f>
        <v/>
      </c>
      <c r="D282" s="2" t="str">
        <f>IF(A282&lt;&gt;"",(Recurso!D1*Recurso!C282)/Recurso!C1, "")</f>
        <v/>
      </c>
    </row>
    <row r="283" spans="3:4" x14ac:dyDescent="0.3">
      <c r="C283" s="2" t="str">
        <f>IF(A283&lt;&gt;"",SUM(B283),"")</f>
        <v/>
      </c>
      <c r="D283" s="2" t="str">
        <f>IF(A283&lt;&gt;"",(Recurso!D1*Recurso!C283)/Recurso!C1, "")</f>
        <v/>
      </c>
    </row>
    <row r="284" spans="3:4" x14ac:dyDescent="0.3">
      <c r="C284" s="2" t="str">
        <f>IF(A284&lt;&gt;"",SUM(B284),"")</f>
        <v/>
      </c>
      <c r="D284" s="2" t="str">
        <f>IF(A284&lt;&gt;"",(Recurso!D1*Recurso!C284)/Recurso!C1, "")</f>
        <v/>
      </c>
    </row>
    <row r="285" spans="3:4" x14ac:dyDescent="0.3">
      <c r="C285" s="2" t="str">
        <f>IF(A285&lt;&gt;"",SUM(B285),"")</f>
        <v/>
      </c>
      <c r="D285" s="2" t="str">
        <f>IF(A285&lt;&gt;"",(Recurso!D1*Recurso!C285)/Recurso!C1, "")</f>
        <v/>
      </c>
    </row>
    <row r="286" spans="3:4" x14ac:dyDescent="0.3">
      <c r="C286" s="2" t="str">
        <f>IF(A286&lt;&gt;"",SUM(B286),"")</f>
        <v/>
      </c>
      <c r="D286" s="2" t="str">
        <f>IF(A286&lt;&gt;"",(Recurso!D1*Recurso!C286)/Recurso!C1, "")</f>
        <v/>
      </c>
    </row>
    <row r="287" spans="3:4" x14ac:dyDescent="0.3">
      <c r="C287" s="2" t="str">
        <f>IF(A287&lt;&gt;"",SUM(B287),"")</f>
        <v/>
      </c>
      <c r="D287" s="2" t="str">
        <f>IF(A287&lt;&gt;"",(Recurso!D1*Recurso!C287)/Recurso!C1, "")</f>
        <v/>
      </c>
    </row>
    <row r="288" spans="3:4" x14ac:dyDescent="0.3">
      <c r="C288" s="2" t="str">
        <f>IF(A288&lt;&gt;"",SUM(B288),"")</f>
        <v/>
      </c>
      <c r="D288" s="2" t="str">
        <f>IF(A288&lt;&gt;"",(Recurso!D1*Recurso!C288)/Recurso!C1, "")</f>
        <v/>
      </c>
    </row>
    <row r="289" spans="3:4" x14ac:dyDescent="0.3">
      <c r="C289" s="2" t="str">
        <f>IF(A289&lt;&gt;"",SUM(B289),"")</f>
        <v/>
      </c>
      <c r="D289" s="2" t="str">
        <f>IF(A289&lt;&gt;"",(Recurso!D1*Recurso!C289)/Recurso!C1, "")</f>
        <v/>
      </c>
    </row>
    <row r="290" spans="3:4" x14ac:dyDescent="0.3">
      <c r="C290" s="2" t="str">
        <f>IF(A290&lt;&gt;"",SUM(B290),"")</f>
        <v/>
      </c>
      <c r="D290" s="2" t="str">
        <f>IF(A290&lt;&gt;"",(Recurso!D1*Recurso!C290)/Recurso!C1, "")</f>
        <v/>
      </c>
    </row>
    <row r="291" spans="3:4" x14ac:dyDescent="0.3">
      <c r="C291" s="2" t="str">
        <f>IF(A291&lt;&gt;"",SUM(B291),"")</f>
        <v/>
      </c>
      <c r="D291" s="2" t="str">
        <f>IF(A291&lt;&gt;"",(Recurso!D1*Recurso!C291)/Recurso!C1, "")</f>
        <v/>
      </c>
    </row>
    <row r="292" spans="3:4" x14ac:dyDescent="0.3">
      <c r="C292" s="2" t="str">
        <f>IF(A292&lt;&gt;"",SUM(B292),"")</f>
        <v/>
      </c>
      <c r="D292" s="2" t="str">
        <f>IF(A292&lt;&gt;"",(Recurso!D1*Recurso!C292)/Recurso!C1, "")</f>
        <v/>
      </c>
    </row>
    <row r="293" spans="3:4" x14ac:dyDescent="0.3">
      <c r="C293" s="2" t="str">
        <f>IF(A293&lt;&gt;"",SUM(B293),"")</f>
        <v/>
      </c>
      <c r="D293" s="2" t="str">
        <f>IF(A293&lt;&gt;"",(Recurso!D1*Recurso!C293)/Recurso!C1, "")</f>
        <v/>
      </c>
    </row>
    <row r="294" spans="3:4" x14ac:dyDescent="0.3">
      <c r="C294" s="2" t="str">
        <f>IF(A294&lt;&gt;"",SUM(B294),"")</f>
        <v/>
      </c>
      <c r="D294" s="2" t="str">
        <f>IF(A294&lt;&gt;"",(Recurso!D1*Recurso!C294)/Recurso!C1, "")</f>
        <v/>
      </c>
    </row>
    <row r="295" spans="3:4" x14ac:dyDescent="0.3">
      <c r="C295" s="2" t="str">
        <f>IF(A295&lt;&gt;"",SUM(B295),"")</f>
        <v/>
      </c>
      <c r="D295" s="2" t="str">
        <f>IF(A295&lt;&gt;"",(Recurso!D1*Recurso!C295)/Recurso!C1, "")</f>
        <v/>
      </c>
    </row>
    <row r="296" spans="3:4" x14ac:dyDescent="0.3">
      <c r="C296" s="2" t="str">
        <f>IF(A296&lt;&gt;"",SUM(B296),"")</f>
        <v/>
      </c>
      <c r="D296" s="2" t="str">
        <f>IF(A296&lt;&gt;"",(Recurso!D1*Recurso!C296)/Recurso!C1, "")</f>
        <v/>
      </c>
    </row>
    <row r="297" spans="3:4" x14ac:dyDescent="0.3">
      <c r="C297" s="2" t="str">
        <f>IF(A297&lt;&gt;"",SUM(B297),"")</f>
        <v/>
      </c>
      <c r="D297" s="2" t="str">
        <f>IF(A297&lt;&gt;"",(Recurso!D1*Recurso!C297)/Recurso!C1, "")</f>
        <v/>
      </c>
    </row>
    <row r="298" spans="3:4" x14ac:dyDescent="0.3">
      <c r="C298" s="2" t="str">
        <f>IF(A298&lt;&gt;"",SUM(B298),"")</f>
        <v/>
      </c>
      <c r="D298" s="2" t="str">
        <f>IF(A298&lt;&gt;"",(Recurso!D1*Recurso!C298)/Recurso!C1, "")</f>
        <v/>
      </c>
    </row>
    <row r="299" spans="3:4" x14ac:dyDescent="0.3">
      <c r="C299" s="2" t="str">
        <f>IF(A299&lt;&gt;"",SUM(B299),"")</f>
        <v/>
      </c>
      <c r="D299" s="2" t="str">
        <f>IF(A299&lt;&gt;"",(Recurso!D1*Recurso!C299)/Recurso!C1, "")</f>
        <v/>
      </c>
    </row>
    <row r="300" spans="3:4" x14ac:dyDescent="0.3">
      <c r="C300" s="2" t="str">
        <f>IF(A300&lt;&gt;"",SUM(B300),"")</f>
        <v/>
      </c>
      <c r="D300" s="2" t="str">
        <f>IF(A300&lt;&gt;"",(Recurso!D1*Recurso!C300)/Recurso!C1, "")</f>
        <v/>
      </c>
    </row>
    <row r="301" spans="3:4" x14ac:dyDescent="0.3">
      <c r="C301" s="2" t="str">
        <f>IF(A301&lt;&gt;"",SUM(B301),"")</f>
        <v/>
      </c>
      <c r="D301" s="2" t="str">
        <f>IF(A301&lt;&gt;"",(Recurso!D1*Recurso!C301)/Recurso!C1, "")</f>
        <v/>
      </c>
    </row>
    <row r="302" spans="3:4" x14ac:dyDescent="0.3">
      <c r="C302" s="2" t="str">
        <f>IF(A302&lt;&gt;"",SUM(B302),"")</f>
        <v/>
      </c>
      <c r="D302" s="2" t="str">
        <f>IF(A302&lt;&gt;"",(Recurso!D1*Recurso!C302)/Recurso!C1, "")</f>
        <v/>
      </c>
    </row>
    <row r="303" spans="3:4" x14ac:dyDescent="0.3">
      <c r="C303" s="2" t="str">
        <f>IF(A303&lt;&gt;"",SUM(B303),"")</f>
        <v/>
      </c>
      <c r="D303" s="2" t="str">
        <f>IF(A303&lt;&gt;"",(Recurso!D1*Recurso!C303)/Recurso!C1, "")</f>
        <v/>
      </c>
    </row>
    <row r="304" spans="3:4" x14ac:dyDescent="0.3">
      <c r="C304" s="2" t="str">
        <f>IF(A304&lt;&gt;"",SUM(B304),"")</f>
        <v/>
      </c>
      <c r="D304" s="2" t="str">
        <f>IF(A304&lt;&gt;"",(Recurso!D1*Recurso!C304)/Recurso!C1, "")</f>
        <v/>
      </c>
    </row>
    <row r="305" spans="3:4" x14ac:dyDescent="0.3">
      <c r="C305" s="2" t="str">
        <f>IF(A305&lt;&gt;"",SUM(B305),"")</f>
        <v/>
      </c>
      <c r="D305" s="2" t="str">
        <f>IF(A305&lt;&gt;"",(Recurso!D1*Recurso!C305)/Recurso!C1, "")</f>
        <v/>
      </c>
    </row>
    <row r="306" spans="3:4" x14ac:dyDescent="0.3">
      <c r="C306" s="2" t="str">
        <f>IF(A306&lt;&gt;"",SUM(B306),"")</f>
        <v/>
      </c>
      <c r="D306" s="2" t="str">
        <f>IF(A306&lt;&gt;"",(Recurso!D1*Recurso!C306)/Recurso!C1, "")</f>
        <v/>
      </c>
    </row>
    <row r="307" spans="3:4" x14ac:dyDescent="0.3">
      <c r="C307" s="2" t="str">
        <f>IF(A307&lt;&gt;"",SUM(B307),"")</f>
        <v/>
      </c>
      <c r="D307" s="2" t="str">
        <f>IF(A307&lt;&gt;"",(Recurso!D1*Recurso!C307)/Recurso!C1, "")</f>
        <v/>
      </c>
    </row>
    <row r="308" spans="3:4" x14ac:dyDescent="0.3">
      <c r="C308" s="2" t="str">
        <f>IF(A308&lt;&gt;"",SUM(B308),"")</f>
        <v/>
      </c>
      <c r="D308" s="2" t="str">
        <f>IF(A308&lt;&gt;"",(Recurso!D1*Recurso!C308)/Recurso!C1, "")</f>
        <v/>
      </c>
    </row>
    <row r="309" spans="3:4" x14ac:dyDescent="0.3">
      <c r="C309" s="2" t="str">
        <f>IF(A309&lt;&gt;"",SUM(B309),"")</f>
        <v/>
      </c>
      <c r="D309" s="2" t="str">
        <f>IF(A309&lt;&gt;"",(Recurso!D1*Recurso!C309)/Recurso!C1, "")</f>
        <v/>
      </c>
    </row>
    <row r="310" spans="3:4" x14ac:dyDescent="0.3">
      <c r="C310" s="2" t="str">
        <f>IF(A310&lt;&gt;"",SUM(B310),"")</f>
        <v/>
      </c>
      <c r="D310" s="2" t="str">
        <f>IF(A310&lt;&gt;"",(Recurso!D1*Recurso!C310)/Recurso!C1, "")</f>
        <v/>
      </c>
    </row>
    <row r="311" spans="3:4" x14ac:dyDescent="0.3">
      <c r="C311" s="2" t="str">
        <f>IF(A311&lt;&gt;"",SUM(B311),"")</f>
        <v/>
      </c>
      <c r="D311" s="2" t="str">
        <f>IF(A311&lt;&gt;"",(Recurso!D1*Recurso!C311)/Recurso!C1, "")</f>
        <v/>
      </c>
    </row>
    <row r="312" spans="3:4" x14ac:dyDescent="0.3">
      <c r="C312" s="2" t="str">
        <f>IF(A312&lt;&gt;"",SUM(B312),"")</f>
        <v/>
      </c>
      <c r="D312" s="2" t="str">
        <f>IF(A312&lt;&gt;"",(Recurso!D1*Recurso!C312)/Recurso!C1, "")</f>
        <v/>
      </c>
    </row>
    <row r="313" spans="3:4" x14ac:dyDescent="0.3">
      <c r="C313" s="2" t="str">
        <f>IF(A313&lt;&gt;"",SUM(B313),"")</f>
        <v/>
      </c>
      <c r="D313" s="2" t="str">
        <f>IF(A313&lt;&gt;"",(Recurso!D1*Recurso!C313)/Recurso!C1, "")</f>
        <v/>
      </c>
    </row>
    <row r="314" spans="3:4" x14ac:dyDescent="0.3">
      <c r="C314" s="2" t="str">
        <f>IF(A314&lt;&gt;"",SUM(B314),"")</f>
        <v/>
      </c>
      <c r="D314" s="2" t="str">
        <f>IF(A314&lt;&gt;"",(Recurso!D1*Recurso!C314)/Recurso!C1, "")</f>
        <v/>
      </c>
    </row>
    <row r="315" spans="3:4" x14ac:dyDescent="0.3">
      <c r="C315" s="2" t="str">
        <f>IF(A315&lt;&gt;"",SUM(B315),"")</f>
        <v/>
      </c>
      <c r="D315" s="2" t="str">
        <f>IF(A315&lt;&gt;"",(Recurso!D1*Recurso!C315)/Recurso!C1, "")</f>
        <v/>
      </c>
    </row>
    <row r="316" spans="3:4" x14ac:dyDescent="0.3">
      <c r="C316" s="2" t="str">
        <f>IF(A316&lt;&gt;"",SUM(B316),"")</f>
        <v/>
      </c>
      <c r="D316" s="2" t="str">
        <f>IF(A316&lt;&gt;"",(Recurso!D1*Recurso!C316)/Recurso!C1, "")</f>
        <v/>
      </c>
    </row>
    <row r="317" spans="3:4" x14ac:dyDescent="0.3">
      <c r="C317" s="2" t="str">
        <f>IF(A317&lt;&gt;"",SUM(B317),"")</f>
        <v/>
      </c>
      <c r="D317" s="2" t="str">
        <f>IF(A317&lt;&gt;"",(Recurso!D1*Recurso!C317)/Recurso!C1, "")</f>
        <v/>
      </c>
    </row>
    <row r="318" spans="3:4" x14ac:dyDescent="0.3">
      <c r="C318" s="2" t="str">
        <f>IF(A318&lt;&gt;"",SUM(B318),"")</f>
        <v/>
      </c>
      <c r="D318" s="2" t="str">
        <f>IF(A318&lt;&gt;"",(Recurso!D1*Recurso!C318)/Recurso!C1, "")</f>
        <v/>
      </c>
    </row>
    <row r="319" spans="3:4" x14ac:dyDescent="0.3">
      <c r="C319" s="2" t="str">
        <f>IF(A319&lt;&gt;"",SUM(B319),"")</f>
        <v/>
      </c>
      <c r="D319" s="2" t="str">
        <f>IF(A319&lt;&gt;"",(Recurso!D1*Recurso!C319)/Recurso!C1, "")</f>
        <v/>
      </c>
    </row>
    <row r="320" spans="3:4" x14ac:dyDescent="0.3">
      <c r="C320" s="2" t="str">
        <f>IF(A320&lt;&gt;"",SUM(B320),"")</f>
        <v/>
      </c>
      <c r="D320" s="2" t="str">
        <f>IF(A320&lt;&gt;"",(Recurso!D1*Recurso!C320)/Recurso!C1, "")</f>
        <v/>
      </c>
    </row>
    <row r="321" spans="3:4" x14ac:dyDescent="0.3">
      <c r="C321" s="2" t="str">
        <f>IF(A321&lt;&gt;"",SUM(B321),"")</f>
        <v/>
      </c>
      <c r="D321" s="2" t="str">
        <f>IF(A321&lt;&gt;"",(Recurso!D1*Recurso!C321)/Recurso!C1, "")</f>
        <v/>
      </c>
    </row>
    <row r="322" spans="3:4" x14ac:dyDescent="0.3">
      <c r="C322" s="2" t="str">
        <f>IF(A322&lt;&gt;"",SUM(B322),"")</f>
        <v/>
      </c>
      <c r="D322" s="2" t="str">
        <f>IF(A322&lt;&gt;"",(Recurso!D1*Recurso!C322)/Recurso!C1, "")</f>
        <v/>
      </c>
    </row>
    <row r="323" spans="3:4" x14ac:dyDescent="0.3">
      <c r="C323" s="2" t="str">
        <f>IF(A323&lt;&gt;"",SUM(B323),"")</f>
        <v/>
      </c>
      <c r="D323" s="2" t="str">
        <f>IF(A323&lt;&gt;"",(Recurso!D1*Recurso!C323)/Recurso!C1, "")</f>
        <v/>
      </c>
    </row>
    <row r="324" spans="3:4" x14ac:dyDescent="0.3">
      <c r="C324" s="2" t="str">
        <f>IF(A324&lt;&gt;"",SUM(B324),"")</f>
        <v/>
      </c>
      <c r="D324" s="2" t="str">
        <f>IF(A324&lt;&gt;"",(Recurso!D1*Recurso!C324)/Recurso!C1, "")</f>
        <v/>
      </c>
    </row>
    <row r="325" spans="3:4" x14ac:dyDescent="0.3">
      <c r="C325" s="2" t="str">
        <f>IF(A325&lt;&gt;"",SUM(B325),"")</f>
        <v/>
      </c>
      <c r="D325" s="2" t="str">
        <f>IF(A325&lt;&gt;"",(Recurso!D1*Recurso!C325)/Recurso!C1, "")</f>
        <v/>
      </c>
    </row>
    <row r="326" spans="3:4" x14ac:dyDescent="0.3">
      <c r="C326" s="2" t="str">
        <f>IF(A326&lt;&gt;"",SUM(B326),"")</f>
        <v/>
      </c>
      <c r="D326" s="2" t="str">
        <f>IF(A326&lt;&gt;"",(Recurso!D1*Recurso!C326)/Recurso!C1, "")</f>
        <v/>
      </c>
    </row>
    <row r="327" spans="3:4" x14ac:dyDescent="0.3">
      <c r="C327" s="2" t="str">
        <f>IF(A327&lt;&gt;"",SUM(B327),"")</f>
        <v/>
      </c>
      <c r="D327" s="2" t="str">
        <f>IF(A327&lt;&gt;"",(Recurso!D1*Recurso!C327)/Recurso!C1, "")</f>
        <v/>
      </c>
    </row>
    <row r="328" spans="3:4" x14ac:dyDescent="0.3">
      <c r="C328" s="2" t="str">
        <f>IF(A328&lt;&gt;"",SUM(B328),"")</f>
        <v/>
      </c>
      <c r="D328" s="2" t="str">
        <f>IF(A328&lt;&gt;"",(Recurso!D1*Recurso!C328)/Recurso!C1, "")</f>
        <v/>
      </c>
    </row>
    <row r="329" spans="3:4" x14ac:dyDescent="0.3">
      <c r="C329" s="2" t="str">
        <f>IF(A329&lt;&gt;"",SUM(B329),"")</f>
        <v/>
      </c>
      <c r="D329" s="2" t="str">
        <f>IF(A329&lt;&gt;"",(Recurso!D1*Recurso!C329)/Recurso!C1, "")</f>
        <v/>
      </c>
    </row>
    <row r="330" spans="3:4" x14ac:dyDescent="0.3">
      <c r="C330" s="2" t="str">
        <f>IF(A330&lt;&gt;"",SUM(B330),"")</f>
        <v/>
      </c>
      <c r="D330" s="2" t="str">
        <f>IF(A330&lt;&gt;"",(Recurso!D1*Recurso!C330)/Recurso!C1, "")</f>
        <v/>
      </c>
    </row>
    <row r="331" spans="3:4" x14ac:dyDescent="0.3">
      <c r="C331" s="2" t="str">
        <f>IF(A331&lt;&gt;"",SUM(B331),"")</f>
        <v/>
      </c>
      <c r="D331" s="2" t="str">
        <f>IF(A331&lt;&gt;"",(Recurso!D1*Recurso!C331)/Recurso!C1, "")</f>
        <v/>
      </c>
    </row>
    <row r="332" spans="3:4" x14ac:dyDescent="0.3">
      <c r="C332" s="2" t="str">
        <f>IF(A332&lt;&gt;"",SUM(B332),"")</f>
        <v/>
      </c>
      <c r="D332" s="2" t="str">
        <f>IF(A332&lt;&gt;"",(Recurso!D1*Recurso!C332)/Recurso!C1, "")</f>
        <v/>
      </c>
    </row>
    <row r="333" spans="3:4" x14ac:dyDescent="0.3">
      <c r="C333" s="2" t="str">
        <f>IF(A333&lt;&gt;"",SUM(B333),"")</f>
        <v/>
      </c>
      <c r="D333" s="2" t="str">
        <f>IF(A333&lt;&gt;"",(Recurso!D1*Recurso!C333)/Recurso!C1, "")</f>
        <v/>
      </c>
    </row>
    <row r="334" spans="3:4" x14ac:dyDescent="0.3">
      <c r="C334" s="2" t="str">
        <f>IF(A334&lt;&gt;"",SUM(B334),"")</f>
        <v/>
      </c>
      <c r="D334" s="2" t="str">
        <f>IF(A334&lt;&gt;"",(Recurso!D1*Recurso!C334)/Recurso!C1, "")</f>
        <v/>
      </c>
    </row>
    <row r="335" spans="3:4" x14ac:dyDescent="0.3">
      <c r="C335" s="2" t="str">
        <f>IF(A335&lt;&gt;"",SUM(B335),"")</f>
        <v/>
      </c>
      <c r="D335" s="2" t="str">
        <f>IF(A335&lt;&gt;"",(Recurso!D1*Recurso!C335)/Recurso!C1, "")</f>
        <v/>
      </c>
    </row>
    <row r="336" spans="3:4" x14ac:dyDescent="0.3">
      <c r="C336" s="2" t="str">
        <f>IF(A336&lt;&gt;"",SUM(B336),"")</f>
        <v/>
      </c>
      <c r="D336" s="2" t="str">
        <f>IF(A336&lt;&gt;"",(Recurso!D1*Recurso!C336)/Recurso!C1, "")</f>
        <v/>
      </c>
    </row>
    <row r="337" spans="3:4" x14ac:dyDescent="0.3">
      <c r="C337" s="2" t="str">
        <f>IF(A337&lt;&gt;"",SUM(B337),"")</f>
        <v/>
      </c>
      <c r="D337" s="2" t="str">
        <f>IF(A337&lt;&gt;"",(Recurso!D1*Recurso!C337)/Recurso!C1, "")</f>
        <v/>
      </c>
    </row>
    <row r="338" spans="3:4" x14ac:dyDescent="0.3">
      <c r="C338" s="2" t="str">
        <f>IF(A338&lt;&gt;"",SUM(B338),"")</f>
        <v/>
      </c>
      <c r="D338" s="2" t="str">
        <f>IF(A338&lt;&gt;"",(Recurso!D1*Recurso!C338)/Recurso!C1, "")</f>
        <v/>
      </c>
    </row>
    <row r="339" spans="3:4" x14ac:dyDescent="0.3">
      <c r="C339" s="2" t="str">
        <f>IF(A339&lt;&gt;"",SUM(B339),"")</f>
        <v/>
      </c>
      <c r="D339" s="2" t="str">
        <f>IF(A339&lt;&gt;"",(Recurso!D1*Recurso!C339)/Recurso!C1, "")</f>
        <v/>
      </c>
    </row>
    <row r="340" spans="3:4" x14ac:dyDescent="0.3">
      <c r="C340" s="2" t="str">
        <f>IF(A340&lt;&gt;"",SUM(B340),"")</f>
        <v/>
      </c>
      <c r="D340" s="2" t="str">
        <f>IF(A340&lt;&gt;"",(Recurso!D1*Recurso!C340)/Recurso!C1, "")</f>
        <v/>
      </c>
    </row>
    <row r="341" spans="3:4" x14ac:dyDescent="0.3">
      <c r="C341" s="2" t="str">
        <f>IF(A341&lt;&gt;"",SUM(B341),"")</f>
        <v/>
      </c>
      <c r="D341" s="2" t="str">
        <f>IF(A341&lt;&gt;"",(Recurso!D1*Recurso!C341)/Recurso!C1, "")</f>
        <v/>
      </c>
    </row>
    <row r="342" spans="3:4" x14ac:dyDescent="0.3">
      <c r="C342" s="2" t="str">
        <f>IF(A342&lt;&gt;"",SUM(B342),"")</f>
        <v/>
      </c>
      <c r="D342" s="2" t="str">
        <f>IF(A342&lt;&gt;"",(Recurso!D1*Recurso!C342)/Recurso!C1, "")</f>
        <v/>
      </c>
    </row>
    <row r="343" spans="3:4" x14ac:dyDescent="0.3">
      <c r="C343" s="2" t="str">
        <f>IF(A343&lt;&gt;"",SUM(B343),"")</f>
        <v/>
      </c>
      <c r="D343" s="2" t="str">
        <f>IF(A343&lt;&gt;"",(Recurso!D1*Recurso!C343)/Recurso!C1, "")</f>
        <v/>
      </c>
    </row>
    <row r="344" spans="3:4" x14ac:dyDescent="0.3">
      <c r="C344" s="2" t="str">
        <f>IF(A344&lt;&gt;"",SUM(B344),"")</f>
        <v/>
      </c>
      <c r="D344" s="2" t="str">
        <f>IF(A344&lt;&gt;"",(Recurso!D1*Recurso!C344)/Recurso!C1, "")</f>
        <v/>
      </c>
    </row>
    <row r="345" spans="3:4" x14ac:dyDescent="0.3">
      <c r="C345" s="2" t="str">
        <f>IF(A345&lt;&gt;"",SUM(B345),"")</f>
        <v/>
      </c>
      <c r="D345" s="2" t="str">
        <f>IF(A345&lt;&gt;"",(Recurso!D1*Recurso!C345)/Recurso!C1, "")</f>
        <v/>
      </c>
    </row>
    <row r="346" spans="3:4" x14ac:dyDescent="0.3">
      <c r="C346" s="2" t="str">
        <f>IF(A346&lt;&gt;"",SUM(B346),"")</f>
        <v/>
      </c>
      <c r="D346" s="2" t="str">
        <f>IF(A346&lt;&gt;"",(Recurso!D1*Recurso!C346)/Recurso!C1, "")</f>
        <v/>
      </c>
    </row>
    <row r="347" spans="3:4" x14ac:dyDescent="0.3">
      <c r="C347" s="2" t="str">
        <f>IF(A347&lt;&gt;"",SUM(B347),"")</f>
        <v/>
      </c>
      <c r="D347" s="2" t="str">
        <f>IF(A347&lt;&gt;"",(Recurso!D1*Recurso!C347)/Recurso!C1, "")</f>
        <v/>
      </c>
    </row>
    <row r="348" spans="3:4" x14ac:dyDescent="0.3">
      <c r="C348" s="2" t="str">
        <f>IF(A348&lt;&gt;"",SUM(B348),"")</f>
        <v/>
      </c>
      <c r="D348" s="2" t="str">
        <f>IF(A348&lt;&gt;"",(Recurso!D1*Recurso!C348)/Recurso!C1, "")</f>
        <v/>
      </c>
    </row>
    <row r="349" spans="3:4" x14ac:dyDescent="0.3">
      <c r="C349" s="2" t="str">
        <f>IF(A349&lt;&gt;"",SUM(B349),"")</f>
        <v/>
      </c>
      <c r="D349" s="2" t="str">
        <f>IF(A349&lt;&gt;"",(Recurso!D1*Recurso!C349)/Recurso!C1, "")</f>
        <v/>
      </c>
    </row>
    <row r="350" spans="3:4" x14ac:dyDescent="0.3">
      <c r="C350" s="2" t="str">
        <f>IF(A350&lt;&gt;"",SUM(B350),"")</f>
        <v/>
      </c>
      <c r="D350" s="2" t="str">
        <f>IF(A350&lt;&gt;"",(Recurso!D1*Recurso!C350)/Recurso!C1, "")</f>
        <v/>
      </c>
    </row>
    <row r="351" spans="3:4" x14ac:dyDescent="0.3">
      <c r="C351" s="2" t="str">
        <f>IF(A351&lt;&gt;"",SUM(B351),"")</f>
        <v/>
      </c>
      <c r="D351" s="2" t="str">
        <f>IF(A351&lt;&gt;"",(Recurso!D1*Recurso!C351)/Recurso!C1, "")</f>
        <v/>
      </c>
    </row>
    <row r="352" spans="3:4" x14ac:dyDescent="0.3">
      <c r="C352" s="2" t="str">
        <f>IF(A352&lt;&gt;"",SUM(B352),"")</f>
        <v/>
      </c>
      <c r="D352" s="2" t="str">
        <f>IF(A352&lt;&gt;"",(Recurso!D1*Recurso!C352)/Recurso!C1, "")</f>
        <v/>
      </c>
    </row>
    <row r="353" spans="3:4" x14ac:dyDescent="0.3">
      <c r="C353" s="2" t="str">
        <f>IF(A353&lt;&gt;"",SUM(B353),"")</f>
        <v/>
      </c>
      <c r="D353" s="2" t="str">
        <f>IF(A353&lt;&gt;"",(Recurso!D1*Recurso!C353)/Recurso!C1, "")</f>
        <v/>
      </c>
    </row>
    <row r="354" spans="3:4" x14ac:dyDescent="0.3">
      <c r="C354" s="2" t="str">
        <f>IF(A354&lt;&gt;"",SUM(B354),"")</f>
        <v/>
      </c>
      <c r="D354" s="2" t="str">
        <f>IF(A354&lt;&gt;"",(Recurso!D1*Recurso!C354)/Recurso!C1, "")</f>
        <v/>
      </c>
    </row>
    <row r="355" spans="3:4" x14ac:dyDescent="0.3">
      <c r="C355" s="2" t="str">
        <f>IF(A355&lt;&gt;"",SUM(B355),"")</f>
        <v/>
      </c>
      <c r="D355" s="2" t="str">
        <f>IF(A355&lt;&gt;"",(Recurso!D1*Recurso!C355)/Recurso!C1, "")</f>
        <v/>
      </c>
    </row>
    <row r="356" spans="3:4" x14ac:dyDescent="0.3">
      <c r="C356" s="2" t="str">
        <f>IF(A356&lt;&gt;"",SUM(B356),"")</f>
        <v/>
      </c>
      <c r="D356" s="2" t="str">
        <f>IF(A356&lt;&gt;"",(Recurso!D1*Recurso!C356)/Recurso!C1, "")</f>
        <v/>
      </c>
    </row>
    <row r="357" spans="3:4" x14ac:dyDescent="0.3">
      <c r="C357" s="2" t="str">
        <f>IF(A357&lt;&gt;"",SUM(B357),"")</f>
        <v/>
      </c>
      <c r="D357" s="2" t="str">
        <f>IF(A357&lt;&gt;"",(Recurso!D1*Recurso!C357)/Recurso!C1, "")</f>
        <v/>
      </c>
    </row>
    <row r="358" spans="3:4" x14ac:dyDescent="0.3">
      <c r="C358" s="2" t="str">
        <f>IF(A358&lt;&gt;"",SUM(B358),"")</f>
        <v/>
      </c>
      <c r="D358" s="2" t="str">
        <f>IF(A358&lt;&gt;"",(Recurso!D1*Recurso!C358)/Recurso!C1, "")</f>
        <v/>
      </c>
    </row>
    <row r="359" spans="3:4" x14ac:dyDescent="0.3">
      <c r="C359" s="2" t="str">
        <f>IF(A359&lt;&gt;"",SUM(B359),"")</f>
        <v/>
      </c>
      <c r="D359" s="2" t="str">
        <f>IF(A359&lt;&gt;"",(Recurso!D1*Recurso!C359)/Recurso!C1, "")</f>
        <v/>
      </c>
    </row>
    <row r="360" spans="3:4" x14ac:dyDescent="0.3">
      <c r="C360" s="2" t="str">
        <f>IF(A360&lt;&gt;"",SUM(B360),"")</f>
        <v/>
      </c>
      <c r="D360" s="2" t="str">
        <f>IF(A360&lt;&gt;"",(Recurso!D1*Recurso!C360)/Recurso!C1, "")</f>
        <v/>
      </c>
    </row>
    <row r="361" spans="3:4" x14ac:dyDescent="0.3">
      <c r="C361" s="2" t="str">
        <f>IF(A361&lt;&gt;"",SUM(B361),"")</f>
        <v/>
      </c>
      <c r="D361" s="2" t="str">
        <f>IF(A361&lt;&gt;"",(Recurso!D1*Recurso!C361)/Recurso!C1, "")</f>
        <v/>
      </c>
    </row>
    <row r="362" spans="3:4" x14ac:dyDescent="0.3">
      <c r="C362" s="2" t="str">
        <f>IF(A362&lt;&gt;"",SUM(B362),"")</f>
        <v/>
      </c>
      <c r="D362" s="2" t="str">
        <f>IF(A362&lt;&gt;"",(Recurso!D1*Recurso!C362)/Recurso!C1, "")</f>
        <v/>
      </c>
    </row>
    <row r="363" spans="3:4" x14ac:dyDescent="0.3">
      <c r="C363" s="2" t="str">
        <f>IF(A363&lt;&gt;"",SUM(B363),"")</f>
        <v/>
      </c>
      <c r="D363" s="2" t="str">
        <f>IF(A363&lt;&gt;"",(Recurso!D1*Recurso!C363)/Recurso!C1, "")</f>
        <v/>
      </c>
    </row>
    <row r="364" spans="3:4" x14ac:dyDescent="0.3">
      <c r="C364" s="2" t="str">
        <f>IF(A364&lt;&gt;"",SUM(B364),"")</f>
        <v/>
      </c>
      <c r="D364" s="2" t="str">
        <f>IF(A364&lt;&gt;"",(Recurso!D1*Recurso!C364)/Recurso!C1, "")</f>
        <v/>
      </c>
    </row>
    <row r="365" spans="3:4" x14ac:dyDescent="0.3">
      <c r="C365" s="2" t="str">
        <f>IF(A365&lt;&gt;"",SUM(B365),"")</f>
        <v/>
      </c>
      <c r="D365" s="2" t="str">
        <f>IF(A365&lt;&gt;"",(Recurso!D1*Recurso!C365)/Recurso!C1, "")</f>
        <v/>
      </c>
    </row>
    <row r="366" spans="3:4" x14ac:dyDescent="0.3">
      <c r="C366" s="2" t="str">
        <f>IF(A366&lt;&gt;"",SUM(B366),"")</f>
        <v/>
      </c>
      <c r="D366" s="2" t="str">
        <f>IF(A366&lt;&gt;"",(Recurso!D1*Recurso!C366)/Recurso!C1, "")</f>
        <v/>
      </c>
    </row>
    <row r="367" spans="3:4" x14ac:dyDescent="0.3">
      <c r="C367" s="2" t="str">
        <f>IF(A367&lt;&gt;"",SUM(B367),"")</f>
        <v/>
      </c>
      <c r="D367" s="2" t="str">
        <f>IF(A367&lt;&gt;"",(Recurso!D1*Recurso!C367)/Recurso!C1, "")</f>
        <v/>
      </c>
    </row>
    <row r="368" spans="3:4" x14ac:dyDescent="0.3">
      <c r="C368" s="2" t="str">
        <f>IF(A368&lt;&gt;"",SUM(B368),"")</f>
        <v/>
      </c>
      <c r="D368" s="2" t="str">
        <f>IF(A368&lt;&gt;"",(Recurso!D1*Recurso!C368)/Recurso!C1, "")</f>
        <v/>
      </c>
    </row>
    <row r="369" spans="3:4" x14ac:dyDescent="0.3">
      <c r="C369" s="2" t="str">
        <f>IF(A369&lt;&gt;"",SUM(B369),"")</f>
        <v/>
      </c>
      <c r="D369" s="2" t="str">
        <f>IF(A369&lt;&gt;"",(Recurso!D1*Recurso!C369)/Recurso!C1, "")</f>
        <v/>
      </c>
    </row>
    <row r="370" spans="3:4" x14ac:dyDescent="0.3">
      <c r="C370" s="2" t="str">
        <f>IF(A370&lt;&gt;"",SUM(B370),"")</f>
        <v/>
      </c>
      <c r="D370" s="2" t="str">
        <f>IF(A370&lt;&gt;"",(Recurso!D1*Recurso!C370)/Recurso!C1, "")</f>
        <v/>
      </c>
    </row>
    <row r="371" spans="3:4" x14ac:dyDescent="0.3">
      <c r="C371" s="2" t="str">
        <f>IF(A371&lt;&gt;"",SUM(B371),"")</f>
        <v/>
      </c>
      <c r="D371" s="2" t="str">
        <f>IF(A371&lt;&gt;"",(Recurso!D1*Recurso!C371)/Recurso!C1, "")</f>
        <v/>
      </c>
    </row>
    <row r="372" spans="3:4" x14ac:dyDescent="0.3">
      <c r="C372" s="2" t="str">
        <f>IF(A372&lt;&gt;"",SUM(B372),"")</f>
        <v/>
      </c>
      <c r="D372" s="2" t="str">
        <f>IF(A372&lt;&gt;"",(Recurso!D1*Recurso!C372)/Recurso!C1, "")</f>
        <v/>
      </c>
    </row>
    <row r="373" spans="3:4" x14ac:dyDescent="0.3">
      <c r="C373" s="2" t="str">
        <f>IF(A373&lt;&gt;"",SUM(B373),"")</f>
        <v/>
      </c>
      <c r="D373" s="2" t="str">
        <f>IF(A373&lt;&gt;"",(Recurso!D1*Recurso!C373)/Recurso!C1, "")</f>
        <v/>
      </c>
    </row>
    <row r="374" spans="3:4" x14ac:dyDescent="0.3">
      <c r="C374" s="2" t="str">
        <f>IF(A374&lt;&gt;"",SUM(B374),"")</f>
        <v/>
      </c>
      <c r="D374" s="2" t="str">
        <f>IF(A374&lt;&gt;"",(Recurso!D1*Recurso!C374)/Recurso!C1, "")</f>
        <v/>
      </c>
    </row>
    <row r="375" spans="3:4" x14ac:dyDescent="0.3">
      <c r="C375" s="2" t="str">
        <f>IF(A375&lt;&gt;"",SUM(B375),"")</f>
        <v/>
      </c>
      <c r="D375" s="2" t="str">
        <f>IF(A375&lt;&gt;"",(Recurso!D1*Recurso!C375)/Recurso!C1, "")</f>
        <v/>
      </c>
    </row>
    <row r="376" spans="3:4" x14ac:dyDescent="0.3">
      <c r="C376" s="2" t="str">
        <f>IF(A376&lt;&gt;"",SUM(B376),"")</f>
        <v/>
      </c>
      <c r="D376" s="2" t="str">
        <f>IF(A376&lt;&gt;"",(Recurso!D1*Recurso!C376)/Recurso!C1, "")</f>
        <v/>
      </c>
    </row>
    <row r="377" spans="3:4" x14ac:dyDescent="0.3">
      <c r="C377" s="2" t="str">
        <f>IF(A377&lt;&gt;"",SUM(B377),"")</f>
        <v/>
      </c>
      <c r="D377" s="2" t="str">
        <f>IF(A377&lt;&gt;"",(Recurso!D1*Recurso!C377)/Recurso!C1, "")</f>
        <v/>
      </c>
    </row>
    <row r="378" spans="3:4" x14ac:dyDescent="0.3">
      <c r="C378" s="2" t="str">
        <f>IF(A378&lt;&gt;"",SUM(B378),"")</f>
        <v/>
      </c>
      <c r="D378" s="2" t="str">
        <f>IF(A378&lt;&gt;"",(Recurso!D1*Recurso!C378)/Recurso!C1, "")</f>
        <v/>
      </c>
    </row>
    <row r="379" spans="3:4" x14ac:dyDescent="0.3">
      <c r="C379" s="2" t="str">
        <f>IF(A379&lt;&gt;"",SUM(B379),"")</f>
        <v/>
      </c>
      <c r="D379" s="2" t="str">
        <f>IF(A379&lt;&gt;"",(Recurso!D1*Recurso!C379)/Recurso!C1, "")</f>
        <v/>
      </c>
    </row>
    <row r="380" spans="3:4" x14ac:dyDescent="0.3">
      <c r="C380" s="2" t="str">
        <f>IF(A380&lt;&gt;"",SUM(B380),"")</f>
        <v/>
      </c>
      <c r="D380" s="2" t="str">
        <f>IF(A380&lt;&gt;"",(Recurso!D1*Recurso!C380)/Recurso!C1, "")</f>
        <v/>
      </c>
    </row>
    <row r="381" spans="3:4" x14ac:dyDescent="0.3">
      <c r="C381" s="2" t="str">
        <f>IF(A381&lt;&gt;"",SUM(B381),"")</f>
        <v/>
      </c>
      <c r="D381" s="2" t="str">
        <f>IF(A381&lt;&gt;"",(Recurso!D1*Recurso!C381)/Recurso!C1, "")</f>
        <v/>
      </c>
    </row>
    <row r="382" spans="3:4" x14ac:dyDescent="0.3">
      <c r="C382" s="2" t="str">
        <f>IF(A382&lt;&gt;"",SUM(B382),"")</f>
        <v/>
      </c>
      <c r="D382" s="2" t="str">
        <f>IF(A382&lt;&gt;"",(Recurso!D1*Recurso!C382)/Recurso!C1, "")</f>
        <v/>
      </c>
    </row>
    <row r="383" spans="3:4" x14ac:dyDescent="0.3">
      <c r="C383" s="2" t="str">
        <f>IF(A383&lt;&gt;"",SUM(B383),"")</f>
        <v/>
      </c>
      <c r="D383" s="2" t="str">
        <f>IF(A383&lt;&gt;"",(Recurso!D1*Recurso!C383)/Recurso!C1, "")</f>
        <v/>
      </c>
    </row>
    <row r="384" spans="3:4" x14ac:dyDescent="0.3">
      <c r="C384" s="2" t="str">
        <f>IF(A384&lt;&gt;"",SUM(B384),"")</f>
        <v/>
      </c>
      <c r="D384" s="2" t="str">
        <f>IF(A384&lt;&gt;"",(Recurso!D1*Recurso!C384)/Recurso!C1, "")</f>
        <v/>
      </c>
    </row>
    <row r="385" spans="3:4" x14ac:dyDescent="0.3">
      <c r="C385" s="2" t="str">
        <f>IF(A385&lt;&gt;"",SUM(B385),"")</f>
        <v/>
      </c>
      <c r="D385" s="2" t="str">
        <f>IF(A385&lt;&gt;"",(Recurso!D1*Recurso!C385)/Recurso!C1, "")</f>
        <v/>
      </c>
    </row>
    <row r="386" spans="3:4" x14ac:dyDescent="0.3">
      <c r="C386" s="2" t="str">
        <f>IF(A386&lt;&gt;"",SUM(B386),"")</f>
        <v/>
      </c>
      <c r="D386" s="2" t="str">
        <f>IF(A386&lt;&gt;"",(Recurso!D1*Recurso!C386)/Recurso!C1, "")</f>
        <v/>
      </c>
    </row>
    <row r="387" spans="3:4" x14ac:dyDescent="0.3">
      <c r="C387" s="2" t="str">
        <f>IF(A387&lt;&gt;"",SUM(B387),"")</f>
        <v/>
      </c>
      <c r="D387" s="2" t="str">
        <f>IF(A387&lt;&gt;"",(Recurso!D1*Recurso!C387)/Recurso!C1, "")</f>
        <v/>
      </c>
    </row>
    <row r="388" spans="3:4" x14ac:dyDescent="0.3">
      <c r="C388" s="2" t="str">
        <f>IF(A388&lt;&gt;"",SUM(B388),"")</f>
        <v/>
      </c>
      <c r="D388" s="2" t="str">
        <f>IF(A388&lt;&gt;"",(Recurso!D1*Recurso!C388)/Recurso!C1, "")</f>
        <v/>
      </c>
    </row>
    <row r="389" spans="3:4" x14ac:dyDescent="0.3">
      <c r="C389" s="2" t="str">
        <f>IF(A389&lt;&gt;"",SUM(B389),"")</f>
        <v/>
      </c>
      <c r="D389" s="2" t="str">
        <f>IF(A389&lt;&gt;"",(Recurso!D1*Recurso!C389)/Recurso!C1, "")</f>
        <v/>
      </c>
    </row>
    <row r="390" spans="3:4" x14ac:dyDescent="0.3">
      <c r="C390" s="2" t="str">
        <f>IF(A390&lt;&gt;"",SUM(B390),"")</f>
        <v/>
      </c>
      <c r="D390" s="2" t="str">
        <f>IF(A390&lt;&gt;"",(Recurso!D1*Recurso!C390)/Recurso!C1, "")</f>
        <v/>
      </c>
    </row>
    <row r="391" spans="3:4" x14ac:dyDescent="0.3">
      <c r="C391" s="2" t="str">
        <f>IF(A391&lt;&gt;"",SUM(B391),"")</f>
        <v/>
      </c>
      <c r="D391" s="2" t="str">
        <f>IF(A391&lt;&gt;"",(Recurso!D1*Recurso!C391)/Recurso!C1, "")</f>
        <v/>
      </c>
    </row>
    <row r="392" spans="3:4" x14ac:dyDescent="0.3">
      <c r="C392" s="2" t="str">
        <f>IF(A392&lt;&gt;"",SUM(B392),"")</f>
        <v/>
      </c>
      <c r="D392" s="2" t="str">
        <f>IF(A392&lt;&gt;"",(Recurso!D1*Recurso!C392)/Recurso!C1, "")</f>
        <v/>
      </c>
    </row>
    <row r="393" spans="3:4" x14ac:dyDescent="0.3">
      <c r="C393" s="2" t="str">
        <f>IF(A393&lt;&gt;"",SUM(B393),"")</f>
        <v/>
      </c>
      <c r="D393" s="2" t="str">
        <f>IF(A393&lt;&gt;"",(Recurso!D1*Recurso!C393)/Recurso!C1, "")</f>
        <v/>
      </c>
    </row>
    <row r="394" spans="3:4" x14ac:dyDescent="0.3">
      <c r="C394" s="2" t="str">
        <f>IF(A394&lt;&gt;"",SUM(B394),"")</f>
        <v/>
      </c>
      <c r="D394" s="2" t="str">
        <f>IF(A394&lt;&gt;"",(Recurso!D1*Recurso!C394)/Recurso!C1, "")</f>
        <v/>
      </c>
    </row>
    <row r="395" spans="3:4" x14ac:dyDescent="0.3">
      <c r="C395" s="2" t="str">
        <f>IF(A395&lt;&gt;"",SUM(B395),"")</f>
        <v/>
      </c>
      <c r="D395" s="2" t="str">
        <f>IF(A395&lt;&gt;"",(Recurso!D1*Recurso!C395)/Recurso!C1, "")</f>
        <v/>
      </c>
    </row>
    <row r="396" spans="3:4" x14ac:dyDescent="0.3">
      <c r="C396" s="2" t="str">
        <f>IF(A396&lt;&gt;"",SUM(B396),"")</f>
        <v/>
      </c>
      <c r="D396" s="2" t="str">
        <f>IF(A396&lt;&gt;"",(Recurso!D1*Recurso!C396)/Recurso!C1, "")</f>
        <v/>
      </c>
    </row>
    <row r="397" spans="3:4" x14ac:dyDescent="0.3">
      <c r="C397" s="2" t="str">
        <f>IF(A397&lt;&gt;"",SUM(B397),"")</f>
        <v/>
      </c>
      <c r="D397" s="2" t="str">
        <f>IF(A397&lt;&gt;"",(Recurso!D1*Recurso!C397)/Recurso!C1, "")</f>
        <v/>
      </c>
    </row>
    <row r="398" spans="3:4" x14ac:dyDescent="0.3">
      <c r="C398" s="2" t="str">
        <f>IF(A398&lt;&gt;"",SUM(B398),"")</f>
        <v/>
      </c>
      <c r="D398" s="2" t="str">
        <f>IF(A398&lt;&gt;"",(Recurso!D1*Recurso!C398)/Recurso!C1, "")</f>
        <v/>
      </c>
    </row>
    <row r="399" spans="3:4" x14ac:dyDescent="0.3">
      <c r="C399" s="2" t="str">
        <f>IF(A399&lt;&gt;"",SUM(B399),"")</f>
        <v/>
      </c>
      <c r="D399" s="2" t="str">
        <f>IF(A399&lt;&gt;"",(Recurso!D1*Recurso!C399)/Recurso!C1, "")</f>
        <v/>
      </c>
    </row>
    <row r="400" spans="3:4" x14ac:dyDescent="0.3">
      <c r="C400" s="2" t="str">
        <f>IF(A400&lt;&gt;"",SUM(B400),"")</f>
        <v/>
      </c>
      <c r="D400" s="2" t="str">
        <f>IF(A400&lt;&gt;"",(Recurso!D1*Recurso!C400)/Recurso!C1, "")</f>
        <v/>
      </c>
    </row>
    <row r="401" spans="3:4" x14ac:dyDescent="0.3">
      <c r="C401" s="2" t="str">
        <f>IF(A401&lt;&gt;"",SUM(B401),"")</f>
        <v/>
      </c>
      <c r="D401" s="2" t="str">
        <f>IF(A401&lt;&gt;"",(Recurso!D1*Recurso!C401)/Recurso!C1, "")</f>
        <v/>
      </c>
    </row>
    <row r="402" spans="3:4" x14ac:dyDescent="0.3">
      <c r="C402" s="2" t="str">
        <f>IF(A402&lt;&gt;"",SUM(B402),"")</f>
        <v/>
      </c>
      <c r="D402" s="2" t="str">
        <f>IF(A402&lt;&gt;"",(Recurso!D1*Recurso!C402)/Recurso!C1, "")</f>
        <v/>
      </c>
    </row>
    <row r="403" spans="3:4" x14ac:dyDescent="0.3">
      <c r="C403" s="2" t="str">
        <f>IF(A403&lt;&gt;"",SUM(B403),"")</f>
        <v/>
      </c>
      <c r="D403" s="2" t="str">
        <f>IF(A403&lt;&gt;"",(Recurso!D1*Recurso!C403)/Recurso!C1, "")</f>
        <v/>
      </c>
    </row>
    <row r="404" spans="3:4" x14ac:dyDescent="0.3">
      <c r="C404" s="2" t="str">
        <f>IF(A404&lt;&gt;"",SUM(B404),"")</f>
        <v/>
      </c>
      <c r="D404" s="2" t="str">
        <f>IF(A404&lt;&gt;"",(Recurso!D1*Recurso!C404)/Recurso!C1, "")</f>
        <v/>
      </c>
    </row>
    <row r="405" spans="3:4" x14ac:dyDescent="0.3">
      <c r="C405" s="2" t="str">
        <f>IF(A405&lt;&gt;"",SUM(B405),"")</f>
        <v/>
      </c>
      <c r="D405" s="2" t="str">
        <f>IF(A405&lt;&gt;"",(Recurso!D1*Recurso!C405)/Recurso!C1, "")</f>
        <v/>
      </c>
    </row>
    <row r="406" spans="3:4" x14ac:dyDescent="0.3">
      <c r="C406" s="2" t="str">
        <f>IF(A406&lt;&gt;"",SUM(B406),"")</f>
        <v/>
      </c>
      <c r="D406" s="2" t="str">
        <f>IF(A406&lt;&gt;"",(Recurso!D1*Recurso!C406)/Recurso!C1, "")</f>
        <v/>
      </c>
    </row>
    <row r="407" spans="3:4" x14ac:dyDescent="0.3">
      <c r="C407" s="2" t="str">
        <f>IF(A407&lt;&gt;"",SUM(B407),"")</f>
        <v/>
      </c>
      <c r="D407" s="2" t="str">
        <f>IF(A407&lt;&gt;"",(Recurso!D1*Recurso!C407)/Recurso!C1, "")</f>
        <v/>
      </c>
    </row>
    <row r="408" spans="3:4" x14ac:dyDescent="0.3">
      <c r="C408" s="2" t="str">
        <f>IF(A408&lt;&gt;"",SUM(B408),"")</f>
        <v/>
      </c>
      <c r="D408" s="2" t="str">
        <f>IF(A408&lt;&gt;"",(Recurso!D1*Recurso!C408)/Recurso!C1, "")</f>
        <v/>
      </c>
    </row>
    <row r="409" spans="3:4" x14ac:dyDescent="0.3">
      <c r="C409" s="2" t="str">
        <f>IF(A409&lt;&gt;"",SUM(B409),"")</f>
        <v/>
      </c>
      <c r="D409" s="2" t="str">
        <f>IF(A409&lt;&gt;"",(Recurso!D1*Recurso!C409)/Recurso!C1, "")</f>
        <v/>
      </c>
    </row>
    <row r="410" spans="3:4" x14ac:dyDescent="0.3">
      <c r="C410" s="2" t="str">
        <f>IF(A410&lt;&gt;"",SUM(B410),"")</f>
        <v/>
      </c>
      <c r="D410" s="2" t="str">
        <f>IF(A410&lt;&gt;"",(Recurso!D1*Recurso!C410)/Recurso!C1, "")</f>
        <v/>
      </c>
    </row>
    <row r="411" spans="3:4" x14ac:dyDescent="0.3">
      <c r="C411" s="2" t="str">
        <f>IF(A411&lt;&gt;"",SUM(B411),"")</f>
        <v/>
      </c>
      <c r="D411" s="2" t="str">
        <f>IF(A411&lt;&gt;"",(Recurso!D1*Recurso!C411)/Recurso!C1, "")</f>
        <v/>
      </c>
    </row>
    <row r="412" spans="3:4" x14ac:dyDescent="0.3">
      <c r="C412" s="2" t="str">
        <f>IF(A412&lt;&gt;"",SUM(B412),"")</f>
        <v/>
      </c>
      <c r="D412" s="2" t="str">
        <f>IF(A412&lt;&gt;"",(Recurso!D1*Recurso!C412)/Recurso!C1, "")</f>
        <v/>
      </c>
    </row>
    <row r="413" spans="3:4" x14ac:dyDescent="0.3">
      <c r="C413" s="2" t="str">
        <f>IF(A413&lt;&gt;"",SUM(B413),"")</f>
        <v/>
      </c>
      <c r="D413" s="2" t="str">
        <f>IF(A413&lt;&gt;"",(Recurso!D1*Recurso!C413)/Recurso!C1, "")</f>
        <v/>
      </c>
    </row>
    <row r="414" spans="3:4" x14ac:dyDescent="0.3">
      <c r="C414" s="2" t="str">
        <f>IF(A414&lt;&gt;"",SUM(B414),"")</f>
        <v/>
      </c>
      <c r="D414" s="2" t="str">
        <f>IF(A414&lt;&gt;"",(Recurso!D1*Recurso!C414)/Recurso!C1, "")</f>
        <v/>
      </c>
    </row>
    <row r="415" spans="3:4" x14ac:dyDescent="0.3">
      <c r="C415" s="2" t="str">
        <f>IF(A415&lt;&gt;"",SUM(B415),"")</f>
        <v/>
      </c>
      <c r="D415" s="2" t="str">
        <f>IF(A415&lt;&gt;"",(Recurso!D1*Recurso!C415)/Recurso!C1, "")</f>
        <v/>
      </c>
    </row>
    <row r="416" spans="3:4" x14ac:dyDescent="0.3">
      <c r="C416" s="2" t="str">
        <f>IF(A416&lt;&gt;"",SUM(B416),"")</f>
        <v/>
      </c>
      <c r="D416" s="2" t="str">
        <f>IF(A416&lt;&gt;"",(Recurso!D1*Recurso!C416)/Recurso!C1, "")</f>
        <v/>
      </c>
    </row>
    <row r="417" spans="3:4" x14ac:dyDescent="0.3">
      <c r="C417" s="2" t="str">
        <f>IF(A417&lt;&gt;"",SUM(B417),"")</f>
        <v/>
      </c>
      <c r="D417" s="2" t="str">
        <f>IF(A417&lt;&gt;"",(Recurso!D1*Recurso!C417)/Recurso!C1, "")</f>
        <v/>
      </c>
    </row>
    <row r="418" spans="3:4" x14ac:dyDescent="0.3">
      <c r="C418" s="2" t="str">
        <f>IF(A418&lt;&gt;"",SUM(B418),"")</f>
        <v/>
      </c>
      <c r="D418" s="2" t="str">
        <f>IF(A418&lt;&gt;"",(Recurso!D1*Recurso!C418)/Recurso!C1, "")</f>
        <v/>
      </c>
    </row>
    <row r="419" spans="3:4" x14ac:dyDescent="0.3">
      <c r="C419" s="2" t="str">
        <f>IF(A419&lt;&gt;"",SUM(B419),"")</f>
        <v/>
      </c>
      <c r="D419" s="2" t="str">
        <f>IF(A419&lt;&gt;"",(Recurso!D1*Recurso!C419)/Recurso!C1, "")</f>
        <v/>
      </c>
    </row>
    <row r="420" spans="3:4" x14ac:dyDescent="0.3">
      <c r="C420" s="2" t="str">
        <f>IF(A420&lt;&gt;"",SUM(B420),"")</f>
        <v/>
      </c>
      <c r="D420" s="2" t="str">
        <f>IF(A420&lt;&gt;"",(Recurso!D1*Recurso!C420)/Recurso!C1, "")</f>
        <v/>
      </c>
    </row>
    <row r="421" spans="3:4" x14ac:dyDescent="0.3">
      <c r="C421" s="2" t="str">
        <f>IF(A421&lt;&gt;"",SUM(B421),"")</f>
        <v/>
      </c>
      <c r="D421" s="2" t="str">
        <f>IF(A421&lt;&gt;"",(Recurso!D1*Recurso!C421)/Recurso!C1, "")</f>
        <v/>
      </c>
    </row>
    <row r="422" spans="3:4" x14ac:dyDescent="0.3">
      <c r="C422" s="2" t="str">
        <f>IF(A422&lt;&gt;"",SUM(B422),"")</f>
        <v/>
      </c>
      <c r="D422" s="2" t="str">
        <f>IF(A422&lt;&gt;"",(Recurso!D1*Recurso!C422)/Recurso!C1, "")</f>
        <v/>
      </c>
    </row>
    <row r="423" spans="3:4" x14ac:dyDescent="0.3">
      <c r="C423" s="2" t="str">
        <f>IF(A423&lt;&gt;"",SUM(B423),"")</f>
        <v/>
      </c>
      <c r="D423" s="2" t="str">
        <f>IF(A423&lt;&gt;"",(Recurso!D1*Recurso!C423)/Recurso!C1, "")</f>
        <v/>
      </c>
    </row>
    <row r="424" spans="3:4" x14ac:dyDescent="0.3">
      <c r="C424" s="2" t="str">
        <f>IF(A424&lt;&gt;"",SUM(B424),"")</f>
        <v/>
      </c>
      <c r="D424" s="2" t="str">
        <f>IF(A424&lt;&gt;"",(Recurso!D1*Recurso!C424)/Recurso!C1, "")</f>
        <v/>
      </c>
    </row>
    <row r="425" spans="3:4" x14ac:dyDescent="0.3">
      <c r="C425" s="2" t="str">
        <f>IF(A425&lt;&gt;"",SUM(B425),"")</f>
        <v/>
      </c>
      <c r="D425" s="2" t="str">
        <f>IF(A425&lt;&gt;"",(Recurso!D1*Recurso!C425)/Recurso!C1, "")</f>
        <v/>
      </c>
    </row>
    <row r="426" spans="3:4" x14ac:dyDescent="0.3">
      <c r="C426" s="2" t="str">
        <f>IF(A426&lt;&gt;"",SUM(B426),"")</f>
        <v/>
      </c>
      <c r="D426" s="2" t="str">
        <f>IF(A426&lt;&gt;"",(Recurso!D1*Recurso!C426)/Recurso!C1, "")</f>
        <v/>
      </c>
    </row>
    <row r="427" spans="3:4" x14ac:dyDescent="0.3">
      <c r="C427" s="2" t="str">
        <f>IF(A427&lt;&gt;"",SUM(B427),"")</f>
        <v/>
      </c>
      <c r="D427" s="2" t="str">
        <f>IF(A427&lt;&gt;"",(Recurso!D1*Recurso!C427)/Recurso!C1, "")</f>
        <v/>
      </c>
    </row>
    <row r="428" spans="3:4" x14ac:dyDescent="0.3">
      <c r="C428" s="2" t="str">
        <f>IF(A428&lt;&gt;"",SUM(B428),"")</f>
        <v/>
      </c>
      <c r="D428" s="2" t="str">
        <f>IF(A428&lt;&gt;"",(Recurso!D1*Recurso!C428)/Recurso!C1, "")</f>
        <v/>
      </c>
    </row>
    <row r="429" spans="3:4" x14ac:dyDescent="0.3">
      <c r="C429" s="2" t="str">
        <f>IF(A429&lt;&gt;"",SUM(B429),"")</f>
        <v/>
      </c>
      <c r="D429" s="2" t="str">
        <f>IF(A429&lt;&gt;"",(Recurso!D1*Recurso!C429)/Recurso!C1, "")</f>
        <v/>
      </c>
    </row>
    <row r="430" spans="3:4" x14ac:dyDescent="0.3">
      <c r="C430" s="2" t="str">
        <f>IF(A430&lt;&gt;"",SUM(B430),"")</f>
        <v/>
      </c>
      <c r="D430" s="2" t="str">
        <f>IF(A430&lt;&gt;"",(Recurso!D1*Recurso!C430)/Recurso!C1, "")</f>
        <v/>
      </c>
    </row>
    <row r="431" spans="3:4" x14ac:dyDescent="0.3">
      <c r="C431" s="2" t="str">
        <f>IF(A431&lt;&gt;"",SUM(B431),"")</f>
        <v/>
      </c>
      <c r="D431" s="2" t="str">
        <f>IF(A431&lt;&gt;"",(Recurso!D1*Recurso!C431)/Recurso!C1, "")</f>
        <v/>
      </c>
    </row>
    <row r="432" spans="3:4" x14ac:dyDescent="0.3">
      <c r="C432" s="2" t="str">
        <f>IF(A432&lt;&gt;"",SUM(B432),"")</f>
        <v/>
      </c>
      <c r="D432" s="2" t="str">
        <f>IF(A432&lt;&gt;"",(Recurso!D1*Recurso!C432)/Recurso!C1, "")</f>
        <v/>
      </c>
    </row>
    <row r="433" spans="3:4" x14ac:dyDescent="0.3">
      <c r="C433" s="2" t="str">
        <f>IF(A433&lt;&gt;"",SUM(B433),"")</f>
        <v/>
      </c>
      <c r="D433" s="2" t="str">
        <f>IF(A433&lt;&gt;"",(Recurso!D1*Recurso!C433)/Recurso!C1, "")</f>
        <v/>
      </c>
    </row>
    <row r="434" spans="3:4" x14ac:dyDescent="0.3">
      <c r="C434" s="2" t="str">
        <f>IF(A434&lt;&gt;"",SUM(B434),"")</f>
        <v/>
      </c>
      <c r="D434" s="2" t="str">
        <f>IF(A434&lt;&gt;"",(Recurso!D1*Recurso!C434)/Recurso!C1, "")</f>
        <v/>
      </c>
    </row>
    <row r="435" spans="3:4" x14ac:dyDescent="0.3">
      <c r="C435" s="2" t="str">
        <f>IF(A435&lt;&gt;"",SUM(B435),"")</f>
        <v/>
      </c>
      <c r="D435" s="2" t="str">
        <f>IF(A435&lt;&gt;"",(Recurso!D1*Recurso!C435)/Recurso!C1, "")</f>
        <v/>
      </c>
    </row>
    <row r="436" spans="3:4" x14ac:dyDescent="0.3">
      <c r="C436" s="2" t="str">
        <f>IF(A436&lt;&gt;"",SUM(B436),"")</f>
        <v/>
      </c>
      <c r="D436" s="2" t="str">
        <f>IF(A436&lt;&gt;"",(Recurso!D1*Recurso!C436)/Recurso!C1, "")</f>
        <v/>
      </c>
    </row>
    <row r="437" spans="3:4" x14ac:dyDescent="0.3">
      <c r="C437" s="2" t="str">
        <f>IF(A437&lt;&gt;"",SUM(B437),"")</f>
        <v/>
      </c>
      <c r="D437" s="2" t="str">
        <f>IF(A437&lt;&gt;"",(Recurso!D1*Recurso!C437)/Recurso!C1, "")</f>
        <v/>
      </c>
    </row>
    <row r="438" spans="3:4" x14ac:dyDescent="0.3">
      <c r="C438" s="2" t="str">
        <f>IF(A438&lt;&gt;"",SUM(B438),"")</f>
        <v/>
      </c>
      <c r="D438" s="2" t="str">
        <f>IF(A438&lt;&gt;"",(Recurso!D1*Recurso!C438)/Recurso!C1, "")</f>
        <v/>
      </c>
    </row>
    <row r="439" spans="3:4" x14ac:dyDescent="0.3">
      <c r="C439" s="2" t="str">
        <f>IF(A439&lt;&gt;"",SUM(B439),"")</f>
        <v/>
      </c>
      <c r="D439" s="2" t="str">
        <f>IF(A439&lt;&gt;"",(Recurso!D1*Recurso!C439)/Recurso!C1, "")</f>
        <v/>
      </c>
    </row>
    <row r="440" spans="3:4" x14ac:dyDescent="0.3">
      <c r="C440" s="2" t="str">
        <f>IF(A440&lt;&gt;"",SUM(B440),"")</f>
        <v/>
      </c>
      <c r="D440" s="2" t="str">
        <f>IF(A440&lt;&gt;"",(Recurso!D1*Recurso!C440)/Recurso!C1, "")</f>
        <v/>
      </c>
    </row>
    <row r="441" spans="3:4" x14ac:dyDescent="0.3">
      <c r="C441" s="2" t="str">
        <f>IF(A441&lt;&gt;"",SUM(B441),"")</f>
        <v/>
      </c>
      <c r="D441" s="2" t="str">
        <f>IF(A441&lt;&gt;"",(Recurso!D1*Recurso!C441)/Recurso!C1, "")</f>
        <v/>
      </c>
    </row>
    <row r="442" spans="3:4" x14ac:dyDescent="0.3">
      <c r="C442" s="2" t="str">
        <f>IF(A442&lt;&gt;"",SUM(B442),"")</f>
        <v/>
      </c>
      <c r="D442" s="2" t="str">
        <f>IF(A442&lt;&gt;"",(Recurso!D1*Recurso!C442)/Recurso!C1, "")</f>
        <v/>
      </c>
    </row>
    <row r="443" spans="3:4" x14ac:dyDescent="0.3">
      <c r="C443" s="2" t="str">
        <f>IF(A443&lt;&gt;"",SUM(B443),"")</f>
        <v/>
      </c>
      <c r="D443" s="2" t="str">
        <f>IF(A443&lt;&gt;"",(Recurso!D1*Recurso!C443)/Recurso!C1, "")</f>
        <v/>
      </c>
    </row>
    <row r="444" spans="3:4" x14ac:dyDescent="0.3">
      <c r="C444" s="2" t="str">
        <f>IF(A444&lt;&gt;"",SUM(B444),"")</f>
        <v/>
      </c>
      <c r="D444" s="2" t="str">
        <f>IF(A444&lt;&gt;"",(Recurso!D1*Recurso!C444)/Recurso!C1, "")</f>
        <v/>
      </c>
    </row>
    <row r="445" spans="3:4" x14ac:dyDescent="0.3">
      <c r="C445" s="2" t="str">
        <f>IF(A445&lt;&gt;"",SUM(B445),"")</f>
        <v/>
      </c>
      <c r="D445" s="2" t="str">
        <f>IF(A445&lt;&gt;"",(Recurso!D1*Recurso!C445)/Recurso!C1, "")</f>
        <v/>
      </c>
    </row>
    <row r="446" spans="3:4" x14ac:dyDescent="0.3">
      <c r="C446" s="2" t="str">
        <f>IF(A446&lt;&gt;"",SUM(B446),"")</f>
        <v/>
      </c>
      <c r="D446" s="2" t="str">
        <f>IF(A446&lt;&gt;"",(Recurso!D1*Recurso!C446)/Recurso!C1, "")</f>
        <v/>
      </c>
    </row>
    <row r="447" spans="3:4" x14ac:dyDescent="0.3">
      <c r="C447" s="2" t="str">
        <f>IF(A447&lt;&gt;"",SUM(B447),"")</f>
        <v/>
      </c>
      <c r="D447" s="2" t="str">
        <f>IF(A447&lt;&gt;"",(Recurso!D1*Recurso!C447)/Recurso!C1, "")</f>
        <v/>
      </c>
    </row>
    <row r="448" spans="3:4" x14ac:dyDescent="0.3">
      <c r="C448" s="2" t="str">
        <f>IF(A448&lt;&gt;"",SUM(B448),"")</f>
        <v/>
      </c>
      <c r="D448" s="2" t="str">
        <f>IF(A448&lt;&gt;"",(Recurso!D1*Recurso!C448)/Recurso!C1, "")</f>
        <v/>
      </c>
    </row>
    <row r="449" spans="3:4" x14ac:dyDescent="0.3">
      <c r="C449" s="2" t="str">
        <f>IF(A449&lt;&gt;"",SUM(B449),"")</f>
        <v/>
      </c>
      <c r="D449" s="2" t="str">
        <f>IF(A449&lt;&gt;"",(Recurso!D1*Recurso!C449)/Recurso!C1, "")</f>
        <v/>
      </c>
    </row>
    <row r="450" spans="3:4" x14ac:dyDescent="0.3">
      <c r="C450" s="2" t="str">
        <f>IF(A450&lt;&gt;"",SUM(B450),"")</f>
        <v/>
      </c>
      <c r="D450" s="2" t="str">
        <f>IF(A450&lt;&gt;"",(Recurso!D1*Recurso!C450)/Recurso!C1, "")</f>
        <v/>
      </c>
    </row>
    <row r="451" spans="3:4" x14ac:dyDescent="0.3">
      <c r="C451" s="2" t="str">
        <f>IF(A451&lt;&gt;"",SUM(B451),"")</f>
        <v/>
      </c>
      <c r="D451" s="2" t="str">
        <f>IF(A451&lt;&gt;"",(Recurso!D1*Recurso!C451)/Recurso!C1, "")</f>
        <v/>
      </c>
    </row>
    <row r="452" spans="3:4" x14ac:dyDescent="0.3">
      <c r="C452" s="2" t="str">
        <f>IF(A452&lt;&gt;"",SUM(B452),"")</f>
        <v/>
      </c>
      <c r="D452" s="2" t="str">
        <f>IF(A452&lt;&gt;"",(Recurso!D1*Recurso!C452)/Recurso!C1, "")</f>
        <v/>
      </c>
    </row>
    <row r="453" spans="3:4" x14ac:dyDescent="0.3">
      <c r="C453" s="2" t="str">
        <f>IF(A453&lt;&gt;"",SUM(B453),"")</f>
        <v/>
      </c>
      <c r="D453" s="2" t="str">
        <f>IF(A453&lt;&gt;"",(Recurso!D1*Recurso!C453)/Recurso!C1, "")</f>
        <v/>
      </c>
    </row>
    <row r="454" spans="3:4" x14ac:dyDescent="0.3">
      <c r="C454" s="2" t="str">
        <f>IF(A454&lt;&gt;"",SUM(B454),"")</f>
        <v/>
      </c>
      <c r="D454" s="2" t="str">
        <f>IF(A454&lt;&gt;"",(Recurso!D1*Recurso!C454)/Recurso!C1, "")</f>
        <v/>
      </c>
    </row>
    <row r="455" spans="3:4" x14ac:dyDescent="0.3">
      <c r="C455" s="2" t="str">
        <f>IF(A455&lt;&gt;"",SUM(B455),"")</f>
        <v/>
      </c>
      <c r="D455" s="2" t="str">
        <f>IF(A455&lt;&gt;"",(Recurso!D1*Recurso!C455)/Recurso!C1, "")</f>
        <v/>
      </c>
    </row>
    <row r="456" spans="3:4" x14ac:dyDescent="0.3">
      <c r="C456" s="2" t="str">
        <f>IF(A456&lt;&gt;"",SUM(B456),"")</f>
        <v/>
      </c>
      <c r="D456" s="2" t="str">
        <f>IF(A456&lt;&gt;"",(Recurso!D1*Recurso!C456)/Recurso!C1, "")</f>
        <v/>
      </c>
    </row>
    <row r="457" spans="3:4" x14ac:dyDescent="0.3">
      <c r="C457" s="2" t="str">
        <f>IF(A457&lt;&gt;"",SUM(B457),"")</f>
        <v/>
      </c>
      <c r="D457" s="2" t="str">
        <f>IF(A457&lt;&gt;"",(Recurso!D1*Recurso!C457)/Recurso!C1, "")</f>
        <v/>
      </c>
    </row>
    <row r="458" spans="3:4" x14ac:dyDescent="0.3">
      <c r="C458" s="2" t="str">
        <f>IF(A458&lt;&gt;"",SUM(B458),"")</f>
        <v/>
      </c>
      <c r="D458" s="2" t="str">
        <f>IF(A458&lt;&gt;"",(Recurso!D1*Recurso!C458)/Recurso!C1, "")</f>
        <v/>
      </c>
    </row>
    <row r="459" spans="3:4" x14ac:dyDescent="0.3">
      <c r="C459" s="2" t="str">
        <f>IF(A459&lt;&gt;"",SUM(B459),"")</f>
        <v/>
      </c>
      <c r="D459" s="2" t="str">
        <f>IF(A459&lt;&gt;"",(Recurso!D1*Recurso!C459)/Recurso!C1, "")</f>
        <v/>
      </c>
    </row>
    <row r="460" spans="3:4" x14ac:dyDescent="0.3">
      <c r="C460" s="2" t="str">
        <f>IF(A460&lt;&gt;"",SUM(B460),"")</f>
        <v/>
      </c>
      <c r="D460" s="2" t="str">
        <f>IF(A460&lt;&gt;"",(Recurso!D1*Recurso!C460)/Recurso!C1, "")</f>
        <v/>
      </c>
    </row>
    <row r="461" spans="3:4" x14ac:dyDescent="0.3">
      <c r="C461" s="2" t="str">
        <f>IF(A461&lt;&gt;"",SUM(B461),"")</f>
        <v/>
      </c>
      <c r="D461" s="2" t="str">
        <f>IF(A461&lt;&gt;"",(Recurso!D1*Recurso!C461)/Recurso!C1, "")</f>
        <v/>
      </c>
    </row>
    <row r="462" spans="3:4" x14ac:dyDescent="0.3">
      <c r="C462" s="2" t="str">
        <f>IF(A462&lt;&gt;"",SUM(B462),"")</f>
        <v/>
      </c>
      <c r="D462" s="2" t="str">
        <f>IF(A462&lt;&gt;"",(Recurso!D1*Recurso!C462)/Recurso!C1, "")</f>
        <v/>
      </c>
    </row>
    <row r="463" spans="3:4" x14ac:dyDescent="0.3">
      <c r="C463" s="2" t="str">
        <f>IF(A463&lt;&gt;"",SUM(B463),"")</f>
        <v/>
      </c>
      <c r="D463" s="2" t="str">
        <f>IF(A463&lt;&gt;"",(Recurso!D1*Recurso!C463)/Recurso!C1, "")</f>
        <v/>
      </c>
    </row>
    <row r="464" spans="3:4" x14ac:dyDescent="0.3">
      <c r="C464" s="2" t="str">
        <f>IF(A464&lt;&gt;"",SUM(B464),"")</f>
        <v/>
      </c>
      <c r="D464" s="2" t="str">
        <f>IF(A464&lt;&gt;"",(Recurso!D1*Recurso!C464)/Recurso!C1, "")</f>
        <v/>
      </c>
    </row>
    <row r="465" spans="3:4" x14ac:dyDescent="0.3">
      <c r="C465" s="2" t="str">
        <f>IF(A465&lt;&gt;"",SUM(B465),"")</f>
        <v/>
      </c>
      <c r="D465" s="2" t="str">
        <f>IF(A465&lt;&gt;"",(Recurso!D1*Recurso!C465)/Recurso!C1, "")</f>
        <v/>
      </c>
    </row>
    <row r="466" spans="3:4" x14ac:dyDescent="0.3">
      <c r="C466" s="2" t="str">
        <f>IF(A466&lt;&gt;"",SUM(B466),"")</f>
        <v/>
      </c>
      <c r="D466" s="2" t="str">
        <f>IF(A466&lt;&gt;"",(Recurso!D1*Recurso!C466)/Recurso!C1, "")</f>
        <v/>
      </c>
    </row>
    <row r="467" spans="3:4" x14ac:dyDescent="0.3">
      <c r="C467" s="2" t="str">
        <f>IF(A467&lt;&gt;"",SUM(B467),"")</f>
        <v/>
      </c>
      <c r="D467" s="2" t="str">
        <f>IF(A467&lt;&gt;"",(Recurso!D1*Recurso!C467)/Recurso!C1, "")</f>
        <v/>
      </c>
    </row>
    <row r="468" spans="3:4" x14ac:dyDescent="0.3">
      <c r="C468" s="2" t="str">
        <f>IF(A468&lt;&gt;"",SUM(B468),"")</f>
        <v/>
      </c>
      <c r="D468" s="2" t="str">
        <f>IF(A468&lt;&gt;"",(Recurso!D1*Recurso!C468)/Recurso!C1, "")</f>
        <v/>
      </c>
    </row>
    <row r="469" spans="3:4" x14ac:dyDescent="0.3">
      <c r="C469" s="2" t="str">
        <f>IF(A469&lt;&gt;"",SUM(B469),"")</f>
        <v/>
      </c>
      <c r="D469" s="2" t="str">
        <f>IF(A469&lt;&gt;"",(Recurso!D1*Recurso!C469)/Recurso!C1, "")</f>
        <v/>
      </c>
    </row>
    <row r="470" spans="3:4" x14ac:dyDescent="0.3">
      <c r="C470" s="2" t="str">
        <f>IF(A470&lt;&gt;"",SUM(B470),"")</f>
        <v/>
      </c>
      <c r="D470" s="2" t="str">
        <f>IF(A470&lt;&gt;"",(Recurso!D1*Recurso!C470)/Recurso!C1, "")</f>
        <v/>
      </c>
    </row>
    <row r="471" spans="3:4" x14ac:dyDescent="0.3">
      <c r="C471" s="2" t="str">
        <f>IF(A471&lt;&gt;"",SUM(B471),"")</f>
        <v/>
      </c>
      <c r="D471" s="2" t="str">
        <f>IF(A471&lt;&gt;"",(Recurso!D1*Recurso!C471)/Recurso!C1, "")</f>
        <v/>
      </c>
    </row>
    <row r="472" spans="3:4" x14ac:dyDescent="0.3">
      <c r="C472" s="2" t="str">
        <f>IF(A472&lt;&gt;"",SUM(B472),"")</f>
        <v/>
      </c>
      <c r="D472" s="2" t="str">
        <f>IF(A472&lt;&gt;"",(Recurso!D1*Recurso!C472)/Recurso!C1, "")</f>
        <v/>
      </c>
    </row>
    <row r="473" spans="3:4" x14ac:dyDescent="0.3">
      <c r="C473" s="2" t="str">
        <f>IF(A473&lt;&gt;"",SUM(B473),"")</f>
        <v/>
      </c>
      <c r="D473" s="2" t="str">
        <f>IF(A473&lt;&gt;"",(Recurso!D1*Recurso!C473)/Recurso!C1, "")</f>
        <v/>
      </c>
    </row>
    <row r="474" spans="3:4" x14ac:dyDescent="0.3">
      <c r="C474" s="2" t="str">
        <f>IF(A474&lt;&gt;"",SUM(B474),"")</f>
        <v/>
      </c>
      <c r="D474" s="2" t="str">
        <f>IF(A474&lt;&gt;"",(Recurso!D1*Recurso!C474)/Recurso!C1, "")</f>
        <v/>
      </c>
    </row>
    <row r="475" spans="3:4" x14ac:dyDescent="0.3">
      <c r="C475" s="2" t="str">
        <f>IF(A475&lt;&gt;"",SUM(B475),"")</f>
        <v/>
      </c>
      <c r="D475" s="2" t="str">
        <f>IF(A475&lt;&gt;"",(Recurso!D1*Recurso!C475)/Recurso!C1, "")</f>
        <v/>
      </c>
    </row>
    <row r="476" spans="3:4" x14ac:dyDescent="0.3">
      <c r="C476" s="2" t="str">
        <f>IF(A476&lt;&gt;"",SUM(B476),"")</f>
        <v/>
      </c>
      <c r="D476" s="2" t="str">
        <f>IF(A476&lt;&gt;"",(Recurso!D1*Recurso!C476)/Recurso!C1, "")</f>
        <v/>
      </c>
    </row>
    <row r="477" spans="3:4" x14ac:dyDescent="0.3">
      <c r="C477" s="2" t="str">
        <f>IF(A477&lt;&gt;"",SUM(B477),"")</f>
        <v/>
      </c>
      <c r="D477" s="2" t="str">
        <f>IF(A477&lt;&gt;"",(Recurso!D1*Recurso!C477)/Recurso!C1, "")</f>
        <v/>
      </c>
    </row>
    <row r="478" spans="3:4" x14ac:dyDescent="0.3">
      <c r="C478" s="2" t="str">
        <f>IF(A478&lt;&gt;"",SUM(B478),"")</f>
        <v/>
      </c>
      <c r="D478" s="2" t="str">
        <f>IF(A478&lt;&gt;"",(Recurso!D1*Recurso!C478)/Recurso!C1, "")</f>
        <v/>
      </c>
    </row>
    <row r="479" spans="3:4" x14ac:dyDescent="0.3">
      <c r="C479" s="2" t="str">
        <f>IF(A479&lt;&gt;"",SUM(B479),"")</f>
        <v/>
      </c>
      <c r="D479" s="2" t="str">
        <f>IF(A479&lt;&gt;"",(Recurso!D1*Recurso!C479)/Recurso!C1, "")</f>
        <v/>
      </c>
    </row>
    <row r="480" spans="3:4" x14ac:dyDescent="0.3">
      <c r="C480" s="2" t="str">
        <f>IF(A480&lt;&gt;"",SUM(B480),"")</f>
        <v/>
      </c>
      <c r="D480" s="2" t="str">
        <f>IF(A480&lt;&gt;"",(Recurso!D1*Recurso!C480)/Recurso!C1, "")</f>
        <v/>
      </c>
    </row>
    <row r="481" spans="3:4" x14ac:dyDescent="0.3">
      <c r="C481" s="2" t="str">
        <f>IF(A481&lt;&gt;"",SUM(B481),"")</f>
        <v/>
      </c>
      <c r="D481" s="2" t="str">
        <f>IF(A481&lt;&gt;"",(Recurso!D1*Recurso!C481)/Recurso!C1, "")</f>
        <v/>
      </c>
    </row>
    <row r="482" spans="3:4" x14ac:dyDescent="0.3">
      <c r="C482" s="2" t="str">
        <f>IF(A482&lt;&gt;"",SUM(B482),"")</f>
        <v/>
      </c>
      <c r="D482" s="2" t="str">
        <f>IF(A482&lt;&gt;"",(Recurso!D1*Recurso!C482)/Recurso!C1, "")</f>
        <v/>
      </c>
    </row>
    <row r="483" spans="3:4" x14ac:dyDescent="0.3">
      <c r="C483" s="2" t="str">
        <f>IF(A483&lt;&gt;"",SUM(B483),"")</f>
        <v/>
      </c>
      <c r="D483" s="2" t="str">
        <f>IF(A483&lt;&gt;"",(Recurso!D1*Recurso!C483)/Recurso!C1, "")</f>
        <v/>
      </c>
    </row>
    <row r="484" spans="3:4" x14ac:dyDescent="0.3">
      <c r="C484" s="2" t="str">
        <f>IF(A484&lt;&gt;"",SUM(B484),"")</f>
        <v/>
      </c>
      <c r="D484" s="2" t="str">
        <f>IF(A484&lt;&gt;"",(Recurso!D1*Recurso!C484)/Recurso!C1, "")</f>
        <v/>
      </c>
    </row>
    <row r="485" spans="3:4" x14ac:dyDescent="0.3">
      <c r="C485" s="2" t="str">
        <f>IF(A485&lt;&gt;"",SUM(B485),"")</f>
        <v/>
      </c>
      <c r="D485" s="2" t="str">
        <f>IF(A485&lt;&gt;"",(Recurso!D1*Recurso!C485)/Recurso!C1, "")</f>
        <v/>
      </c>
    </row>
    <row r="486" spans="3:4" x14ac:dyDescent="0.3">
      <c r="C486" s="2" t="str">
        <f>IF(A486&lt;&gt;"",SUM(B486),"")</f>
        <v/>
      </c>
      <c r="D486" s="2" t="str">
        <f>IF(A486&lt;&gt;"",(Recurso!D1*Recurso!C486)/Recurso!C1, "")</f>
        <v/>
      </c>
    </row>
    <row r="487" spans="3:4" x14ac:dyDescent="0.3">
      <c r="C487" s="2" t="str">
        <f>IF(A487&lt;&gt;"",SUM(B487),"")</f>
        <v/>
      </c>
      <c r="D487" s="2" t="str">
        <f>IF(A487&lt;&gt;"",(Recurso!D1*Recurso!C487)/Recurso!C1, "")</f>
        <v/>
      </c>
    </row>
    <row r="488" spans="3:4" x14ac:dyDescent="0.3">
      <c r="C488" s="2" t="str">
        <f>IF(A488&lt;&gt;"",SUM(B488),"")</f>
        <v/>
      </c>
      <c r="D488" s="2" t="str">
        <f>IF(A488&lt;&gt;"",(Recurso!D1*Recurso!C488)/Recurso!C1, "")</f>
        <v/>
      </c>
    </row>
    <row r="489" spans="3:4" x14ac:dyDescent="0.3">
      <c r="C489" s="2" t="str">
        <f>IF(A489&lt;&gt;"",SUM(B489),"")</f>
        <v/>
      </c>
      <c r="D489" s="2" t="str">
        <f>IF(A489&lt;&gt;"",(Recurso!D1*Recurso!C489)/Recurso!C1, "")</f>
        <v/>
      </c>
    </row>
    <row r="490" spans="3:4" x14ac:dyDescent="0.3">
      <c r="C490" s="2" t="str">
        <f>IF(A490&lt;&gt;"",SUM(B490),"")</f>
        <v/>
      </c>
      <c r="D490" s="2" t="str">
        <f>IF(A490&lt;&gt;"",(Recurso!D1*Recurso!C490)/Recurso!C1, "")</f>
        <v/>
      </c>
    </row>
    <row r="491" spans="3:4" x14ac:dyDescent="0.3">
      <c r="C491" s="2" t="str">
        <f>IF(A491&lt;&gt;"",SUM(B491),"")</f>
        <v/>
      </c>
      <c r="D491" s="2" t="str">
        <f>IF(A491&lt;&gt;"",(Recurso!D1*Recurso!C491)/Recurso!C1, "")</f>
        <v/>
      </c>
    </row>
    <row r="492" spans="3:4" x14ac:dyDescent="0.3">
      <c r="C492" s="2" t="str">
        <f>IF(A492&lt;&gt;"",SUM(B492),"")</f>
        <v/>
      </c>
      <c r="D492" s="2" t="str">
        <f>IF(A492&lt;&gt;"",(Recurso!D1*Recurso!C492)/Recurso!C1, "")</f>
        <v/>
      </c>
    </row>
    <row r="493" spans="3:4" x14ac:dyDescent="0.3">
      <c r="C493" s="2" t="str">
        <f>IF(A493&lt;&gt;"",SUM(B493),"")</f>
        <v/>
      </c>
      <c r="D493" s="2" t="str">
        <f>IF(A493&lt;&gt;"",(Recurso!D1*Recurso!C493)/Recurso!C1, "")</f>
        <v/>
      </c>
    </row>
    <row r="494" spans="3:4" x14ac:dyDescent="0.3">
      <c r="C494" s="2" t="str">
        <f>IF(A494&lt;&gt;"",SUM(B494),"")</f>
        <v/>
      </c>
      <c r="D494" s="2" t="str">
        <f>IF(A494&lt;&gt;"",(Recurso!D1*Recurso!C494)/Recurso!C1, "")</f>
        <v/>
      </c>
    </row>
    <row r="495" spans="3:4" x14ac:dyDescent="0.3">
      <c r="C495" s="2" t="str">
        <f>IF(A495&lt;&gt;"",SUM(B495),"")</f>
        <v/>
      </c>
      <c r="D495" s="2" t="str">
        <f>IF(A495&lt;&gt;"",(Recurso!D1*Recurso!C495)/Recurso!C1, "")</f>
        <v/>
      </c>
    </row>
    <row r="496" spans="3:4" x14ac:dyDescent="0.3">
      <c r="C496" s="2" t="str">
        <f>IF(A496&lt;&gt;"",SUM(B496),"")</f>
        <v/>
      </c>
      <c r="D496" s="2" t="str">
        <f>IF(A496&lt;&gt;"",(Recurso!D1*Recurso!C496)/Recurso!C1, "")</f>
        <v/>
      </c>
    </row>
    <row r="497" spans="3:4" x14ac:dyDescent="0.3">
      <c r="C497" s="2" t="str">
        <f>IF(A497&lt;&gt;"",SUM(B497),"")</f>
        <v/>
      </c>
      <c r="D497" s="2" t="str">
        <f>IF(A497&lt;&gt;"",(Recurso!D1*Recurso!C497)/Recurso!C1, "")</f>
        <v/>
      </c>
    </row>
    <row r="498" spans="3:4" x14ac:dyDescent="0.3">
      <c r="C498" s="2" t="str">
        <f>IF(A498&lt;&gt;"",SUM(B498),"")</f>
        <v/>
      </c>
      <c r="D498" s="2" t="str">
        <f>IF(A498&lt;&gt;"",(Recurso!D1*Recurso!C498)/Recurso!C1, "")</f>
        <v/>
      </c>
    </row>
    <row r="499" spans="3:4" x14ac:dyDescent="0.3">
      <c r="C499" s="2" t="str">
        <f>IF(A499&lt;&gt;"",SUM(B499),"")</f>
        <v/>
      </c>
      <c r="D499" s="2" t="str">
        <f>IF(A499&lt;&gt;"",(Recurso!D1*Recurso!C499)/Recurso!C1, "")</f>
        <v/>
      </c>
    </row>
    <row r="500" spans="3:4" x14ac:dyDescent="0.3">
      <c r="C500" s="2" t="str">
        <f>IF(A500&lt;&gt;"",SUM(B500),"")</f>
        <v/>
      </c>
      <c r="D500" s="2" t="str">
        <f>IF(A500&lt;&gt;"",(Recurso!D1*Recurso!C500)/Recurso!C1, "")</f>
        <v/>
      </c>
    </row>
    <row r="501" spans="3:4" x14ac:dyDescent="0.3">
      <c r="C501" s="2" t="str">
        <f>IF(A501&lt;&gt;"",SUM(B501),"")</f>
        <v/>
      </c>
      <c r="D501" s="2" t="str">
        <f>IF(A501&lt;&gt;"",(Recurso!D1*Recurso!C501)/Recurso!C1, "")</f>
        <v/>
      </c>
    </row>
    <row r="502" spans="3:4" x14ac:dyDescent="0.3">
      <c r="C502" s="2" t="str">
        <f>IF(A502&lt;&gt;"",SUM(B502),"")</f>
        <v/>
      </c>
      <c r="D502" s="2" t="str">
        <f>IF(A502&lt;&gt;"",(Recurso!D1*Recurso!C502)/Recurso!C1, "")</f>
        <v/>
      </c>
    </row>
    <row r="503" spans="3:4" x14ac:dyDescent="0.3">
      <c r="C503" s="2" t="str">
        <f>IF(A503&lt;&gt;"",SUM(B503),"")</f>
        <v/>
      </c>
      <c r="D503" s="2" t="str">
        <f>IF(A503&lt;&gt;"",(Recurso!D1*Recurso!C503)/Recurso!C1, "")</f>
        <v/>
      </c>
    </row>
    <row r="504" spans="3:4" x14ac:dyDescent="0.3">
      <c r="C504" s="2" t="str">
        <f>IF(A504&lt;&gt;"",SUM(B504),"")</f>
        <v/>
      </c>
      <c r="D504" s="2" t="str">
        <f>IF(A504&lt;&gt;"",(Recurso!D1*Recurso!C504)/Recurso!C1, "")</f>
        <v/>
      </c>
    </row>
    <row r="505" spans="3:4" x14ac:dyDescent="0.3">
      <c r="C505" s="2" t="str">
        <f>IF(A505&lt;&gt;"",SUM(B505),"")</f>
        <v/>
      </c>
      <c r="D505" s="2" t="str">
        <f>IF(A505&lt;&gt;"",(Recurso!D1*Recurso!C505)/Recurso!C1, "")</f>
        <v/>
      </c>
    </row>
    <row r="506" spans="3:4" x14ac:dyDescent="0.3">
      <c r="C506" s="2" t="str">
        <f>IF(A506&lt;&gt;"",SUM(B506),"")</f>
        <v/>
      </c>
      <c r="D506" s="2" t="str">
        <f>IF(A506&lt;&gt;"",(Recurso!D1*Recurso!C506)/Recurso!C1, "")</f>
        <v/>
      </c>
    </row>
    <row r="507" spans="3:4" x14ac:dyDescent="0.3">
      <c r="C507" s="2" t="str">
        <f>IF(A507&lt;&gt;"",SUM(B507),"")</f>
        <v/>
      </c>
      <c r="D507" s="2" t="str">
        <f>IF(A507&lt;&gt;"",(Recurso!D1*Recurso!C507)/Recurso!C1, "")</f>
        <v/>
      </c>
    </row>
    <row r="508" spans="3:4" x14ac:dyDescent="0.3">
      <c r="C508" s="2" t="str">
        <f>IF(A508&lt;&gt;"",SUM(B508),"")</f>
        <v/>
      </c>
      <c r="D508" s="2" t="str">
        <f>IF(A508&lt;&gt;"",(Recurso!D1*Recurso!C508)/Recurso!C1, "")</f>
        <v/>
      </c>
    </row>
    <row r="509" spans="3:4" x14ac:dyDescent="0.3">
      <c r="C509" s="2" t="str">
        <f>IF(A509&lt;&gt;"",SUM(B509),"")</f>
        <v/>
      </c>
      <c r="D509" s="2" t="str">
        <f>IF(A509&lt;&gt;"",(Recurso!D1*Recurso!C509)/Recurso!C1, "")</f>
        <v/>
      </c>
    </row>
    <row r="510" spans="3:4" x14ac:dyDescent="0.3">
      <c r="C510" s="2" t="str">
        <f>IF(A510&lt;&gt;"",SUM(B510),"")</f>
        <v/>
      </c>
      <c r="D510" s="2" t="str">
        <f>IF(A510&lt;&gt;"",(Recurso!D1*Recurso!C510)/Recurso!C1, "")</f>
        <v/>
      </c>
    </row>
    <row r="511" spans="3:4" x14ac:dyDescent="0.3">
      <c r="C511" s="2" t="str">
        <f>IF(A511&lt;&gt;"",SUM(B511),"")</f>
        <v/>
      </c>
      <c r="D511" s="2" t="str">
        <f>IF(A511&lt;&gt;"",(Recurso!D1*Recurso!C511)/Recurso!C1, "")</f>
        <v/>
      </c>
    </row>
    <row r="512" spans="3:4" x14ac:dyDescent="0.3">
      <c r="C512" s="2" t="str">
        <f>IF(A512&lt;&gt;"",SUM(B512),"")</f>
        <v/>
      </c>
      <c r="D512" s="2" t="str">
        <f>IF(A512&lt;&gt;"",(Recurso!D1*Recurso!C512)/Recurso!C1, "")</f>
        <v/>
      </c>
    </row>
    <row r="513" spans="3:4" x14ac:dyDescent="0.3">
      <c r="C513" s="2" t="str">
        <f>IF(A513&lt;&gt;"",SUM(B513),"")</f>
        <v/>
      </c>
      <c r="D513" s="2" t="str">
        <f>IF(A513&lt;&gt;"",(Recurso!D1*Recurso!C513)/Recurso!C1, "")</f>
        <v/>
      </c>
    </row>
    <row r="514" spans="3:4" x14ac:dyDescent="0.3">
      <c r="C514" s="2" t="str">
        <f>IF(A514&lt;&gt;"",SUM(B514),"")</f>
        <v/>
      </c>
      <c r="D514" s="2" t="str">
        <f>IF(A514&lt;&gt;"",(Recurso!D1*Recurso!C514)/Recurso!C1, "")</f>
        <v/>
      </c>
    </row>
    <row r="515" spans="3:4" x14ac:dyDescent="0.3">
      <c r="C515" s="2" t="str">
        <f>IF(A515&lt;&gt;"",SUM(B515),"")</f>
        <v/>
      </c>
      <c r="D515" s="2" t="str">
        <f>IF(A515&lt;&gt;"",(Recurso!D1*Recurso!C515)/Recurso!C1, "")</f>
        <v/>
      </c>
    </row>
    <row r="516" spans="3:4" x14ac:dyDescent="0.3">
      <c r="C516" s="2" t="str">
        <f>IF(A516&lt;&gt;"",SUM(B516),"")</f>
        <v/>
      </c>
      <c r="D516" s="2" t="str">
        <f>IF(A516&lt;&gt;"",(Recurso!D1*Recurso!C516)/Recurso!C1, "")</f>
        <v/>
      </c>
    </row>
    <row r="517" spans="3:4" x14ac:dyDescent="0.3">
      <c r="C517" s="2" t="str">
        <f>IF(A517&lt;&gt;"",SUM(B517),"")</f>
        <v/>
      </c>
      <c r="D517" s="2" t="str">
        <f>IF(A517&lt;&gt;"",(Recurso!D1*Recurso!C517)/Recurso!C1, "")</f>
        <v/>
      </c>
    </row>
    <row r="518" spans="3:4" x14ac:dyDescent="0.3">
      <c r="C518" s="2" t="str">
        <f>IF(A518&lt;&gt;"",SUM(B518),"")</f>
        <v/>
      </c>
      <c r="D518" s="2" t="str">
        <f>IF(A518&lt;&gt;"",(Recurso!D1*Recurso!C518)/Recurso!C1, "")</f>
        <v/>
      </c>
    </row>
    <row r="519" spans="3:4" x14ac:dyDescent="0.3">
      <c r="C519" s="2" t="str">
        <f>IF(A519&lt;&gt;"",SUM(B519),"")</f>
        <v/>
      </c>
      <c r="D519" s="2" t="str">
        <f>IF(A519&lt;&gt;"",(Recurso!D1*Recurso!C519)/Recurso!C1, "")</f>
        <v/>
      </c>
    </row>
    <row r="520" spans="3:4" x14ac:dyDescent="0.3">
      <c r="C520" s="2" t="str">
        <f>IF(A520&lt;&gt;"",SUM(B520),"")</f>
        <v/>
      </c>
      <c r="D520" s="2" t="str">
        <f>IF(A520&lt;&gt;"",(Recurso!D1*Recurso!C520)/Recurso!C1, "")</f>
        <v/>
      </c>
    </row>
    <row r="521" spans="3:4" x14ac:dyDescent="0.3">
      <c r="C521" s="2" t="str">
        <f>IF(A521&lt;&gt;"",SUM(B521),"")</f>
        <v/>
      </c>
      <c r="D521" s="2" t="str">
        <f>IF(A521&lt;&gt;"",(Recurso!D1*Recurso!C521)/Recurso!C1, "")</f>
        <v/>
      </c>
    </row>
    <row r="522" spans="3:4" x14ac:dyDescent="0.3">
      <c r="C522" s="2" t="str">
        <f>IF(A522&lt;&gt;"",SUM(B522),"")</f>
        <v/>
      </c>
      <c r="D522" s="2" t="str">
        <f>IF(A522&lt;&gt;"",(Recurso!D1*Recurso!C522)/Recurso!C1, "")</f>
        <v/>
      </c>
    </row>
    <row r="523" spans="3:4" x14ac:dyDescent="0.3">
      <c r="C523" s="2" t="str">
        <f>IF(A523&lt;&gt;"",SUM(B523),"")</f>
        <v/>
      </c>
      <c r="D523" s="2" t="str">
        <f>IF(A523&lt;&gt;"",(Recurso!D1*Recurso!C523)/Recurso!C1, "")</f>
        <v/>
      </c>
    </row>
    <row r="524" spans="3:4" x14ac:dyDescent="0.3">
      <c r="C524" s="2" t="str">
        <f>IF(A524&lt;&gt;"",SUM(B524),"")</f>
        <v/>
      </c>
      <c r="D524" s="2" t="str">
        <f>IF(A524&lt;&gt;"",(Recurso!D1*Recurso!C524)/Recurso!C1, "")</f>
        <v/>
      </c>
    </row>
    <row r="525" spans="3:4" x14ac:dyDescent="0.3">
      <c r="C525" s="2" t="str">
        <f>IF(A525&lt;&gt;"",SUM(B525),"")</f>
        <v/>
      </c>
      <c r="D525" s="2" t="str">
        <f>IF(A525&lt;&gt;"",(Recurso!D1*Recurso!C525)/Recurso!C1, "")</f>
        <v/>
      </c>
    </row>
    <row r="526" spans="3:4" x14ac:dyDescent="0.3">
      <c r="C526" s="2" t="str">
        <f>IF(A526&lt;&gt;"",SUM(B526),"")</f>
        <v/>
      </c>
      <c r="D526" s="2" t="str">
        <f>IF(A526&lt;&gt;"",(Recurso!D1*Recurso!C526)/Recurso!C1, "")</f>
        <v/>
      </c>
    </row>
    <row r="527" spans="3:4" x14ac:dyDescent="0.3">
      <c r="C527" s="2" t="str">
        <f>IF(A527&lt;&gt;"",SUM(B527),"")</f>
        <v/>
      </c>
      <c r="D527" s="2" t="str">
        <f>IF(A527&lt;&gt;"",(Recurso!D1*Recurso!C527)/Recurso!C1, "")</f>
        <v/>
      </c>
    </row>
    <row r="528" spans="3:4" x14ac:dyDescent="0.3">
      <c r="C528" s="2" t="str">
        <f>IF(A528&lt;&gt;"",SUM(B528),"")</f>
        <v/>
      </c>
      <c r="D528" s="2" t="str">
        <f>IF(A528&lt;&gt;"",(Recurso!D1*Recurso!C528)/Recurso!C1, "")</f>
        <v/>
      </c>
    </row>
    <row r="529" spans="3:4" x14ac:dyDescent="0.3">
      <c r="C529" s="2" t="str">
        <f>IF(A529&lt;&gt;"",SUM(B529),"")</f>
        <v/>
      </c>
      <c r="D529" s="2" t="str">
        <f>IF(A529&lt;&gt;"",(Recurso!D1*Recurso!C529)/Recurso!C1, "")</f>
        <v/>
      </c>
    </row>
    <row r="530" spans="3:4" x14ac:dyDescent="0.3">
      <c r="C530" s="2" t="str">
        <f>IF(A530&lt;&gt;"",SUM(B530),"")</f>
        <v/>
      </c>
      <c r="D530" s="2" t="str">
        <f>IF(A530&lt;&gt;"",(Recurso!D1*Recurso!C530)/Recurso!C1, "")</f>
        <v/>
      </c>
    </row>
    <row r="531" spans="3:4" x14ac:dyDescent="0.3">
      <c r="C531" s="2" t="str">
        <f>IF(A531&lt;&gt;"",SUM(B531),"")</f>
        <v/>
      </c>
      <c r="D531" s="2" t="str">
        <f>IF(A531&lt;&gt;"",(Recurso!D1*Recurso!C531)/Recurso!C1, "")</f>
        <v/>
      </c>
    </row>
    <row r="532" spans="3:4" x14ac:dyDescent="0.3">
      <c r="C532" s="2" t="str">
        <f>IF(A532&lt;&gt;"",SUM(B532),"")</f>
        <v/>
      </c>
      <c r="D532" s="2" t="str">
        <f>IF(A532&lt;&gt;"",(Recurso!D1*Recurso!C532)/Recurso!C1, "")</f>
        <v/>
      </c>
    </row>
    <row r="533" spans="3:4" x14ac:dyDescent="0.3">
      <c r="C533" s="2" t="str">
        <f>IF(A533&lt;&gt;"",SUM(B533),"")</f>
        <v/>
      </c>
      <c r="D533" s="2" t="str">
        <f>IF(A533&lt;&gt;"",(Recurso!D1*Recurso!C533)/Recurso!C1, "")</f>
        <v/>
      </c>
    </row>
    <row r="534" spans="3:4" x14ac:dyDescent="0.3">
      <c r="C534" s="2" t="str">
        <f>IF(A534&lt;&gt;"",SUM(B534),"")</f>
        <v/>
      </c>
      <c r="D534" s="2" t="str">
        <f>IF(A534&lt;&gt;"",(Recurso!D1*Recurso!C534)/Recurso!C1, "")</f>
        <v/>
      </c>
    </row>
    <row r="535" spans="3:4" x14ac:dyDescent="0.3">
      <c r="C535" s="2" t="str">
        <f>IF(A535&lt;&gt;"",SUM(B535),"")</f>
        <v/>
      </c>
      <c r="D535" s="2" t="str">
        <f>IF(A535&lt;&gt;"",(Recurso!D1*Recurso!C535)/Recurso!C1, "")</f>
        <v/>
      </c>
    </row>
    <row r="536" spans="3:4" x14ac:dyDescent="0.3">
      <c r="C536" s="2" t="str">
        <f>IF(A536&lt;&gt;"",SUM(B536),"")</f>
        <v/>
      </c>
      <c r="D536" s="2" t="str">
        <f>IF(A536&lt;&gt;"",(Recurso!D1*Recurso!C536)/Recurso!C1, "")</f>
        <v/>
      </c>
    </row>
    <row r="537" spans="3:4" x14ac:dyDescent="0.3">
      <c r="C537" s="2" t="str">
        <f>IF(A537&lt;&gt;"",SUM(B537),"")</f>
        <v/>
      </c>
      <c r="D537" s="2" t="str">
        <f>IF(A537&lt;&gt;"",(Recurso!D1*Recurso!C537)/Recurso!C1, "")</f>
        <v/>
      </c>
    </row>
    <row r="538" spans="3:4" x14ac:dyDescent="0.3">
      <c r="C538" s="2" t="str">
        <f>IF(A538&lt;&gt;"",SUM(B538),"")</f>
        <v/>
      </c>
      <c r="D538" s="2" t="str">
        <f>IF(A538&lt;&gt;"",(Recurso!D1*Recurso!C538)/Recurso!C1, "")</f>
        <v/>
      </c>
    </row>
    <row r="539" spans="3:4" x14ac:dyDescent="0.3">
      <c r="C539" s="2" t="str">
        <f>IF(A539&lt;&gt;"",SUM(B539),"")</f>
        <v/>
      </c>
      <c r="D539" s="2" t="str">
        <f>IF(A539&lt;&gt;"",(Recurso!D1*Recurso!C539)/Recurso!C1, "")</f>
        <v/>
      </c>
    </row>
    <row r="540" spans="3:4" x14ac:dyDescent="0.3">
      <c r="C540" s="2" t="str">
        <f>IF(A540&lt;&gt;"",SUM(B540),"")</f>
        <v/>
      </c>
      <c r="D540" s="2" t="str">
        <f>IF(A540&lt;&gt;"",(Recurso!D1*Recurso!C540)/Recurso!C1, "")</f>
        <v/>
      </c>
    </row>
    <row r="541" spans="3:4" x14ac:dyDescent="0.3">
      <c r="C541" s="2" t="str">
        <f>IF(A541&lt;&gt;"",SUM(B541),"")</f>
        <v/>
      </c>
      <c r="D541" s="2" t="str">
        <f>IF(A541&lt;&gt;"",(Recurso!D1*Recurso!C541)/Recurso!C1, "")</f>
        <v/>
      </c>
    </row>
    <row r="542" spans="3:4" x14ac:dyDescent="0.3">
      <c r="C542" s="2" t="str">
        <f>IF(A542&lt;&gt;"",SUM(B542),"")</f>
        <v/>
      </c>
      <c r="D542" s="2" t="str">
        <f>IF(A542&lt;&gt;"",(Recurso!D1*Recurso!C542)/Recurso!C1, "")</f>
        <v/>
      </c>
    </row>
    <row r="543" spans="3:4" x14ac:dyDescent="0.3">
      <c r="C543" s="2" t="str">
        <f>IF(A543&lt;&gt;"",SUM(B543),"")</f>
        <v/>
      </c>
      <c r="D543" s="2" t="str">
        <f>IF(A543&lt;&gt;"",(Recurso!D1*Recurso!C543)/Recurso!C1, "")</f>
        <v/>
      </c>
    </row>
    <row r="544" spans="3:4" x14ac:dyDescent="0.3">
      <c r="C544" s="2" t="str">
        <f>IF(A544&lt;&gt;"",SUM(B544),"")</f>
        <v/>
      </c>
      <c r="D544" s="2" t="str">
        <f>IF(A544&lt;&gt;"",(Recurso!D1*Recurso!C544)/Recurso!C1, "")</f>
        <v/>
      </c>
    </row>
    <row r="545" spans="3:4" x14ac:dyDescent="0.3">
      <c r="C545" s="2" t="str">
        <f>IF(A545&lt;&gt;"",SUM(B545),"")</f>
        <v/>
      </c>
      <c r="D545" s="2" t="str">
        <f>IF(A545&lt;&gt;"",(Recurso!D1*Recurso!C545)/Recurso!C1, "")</f>
        <v/>
      </c>
    </row>
    <row r="546" spans="3:4" x14ac:dyDescent="0.3">
      <c r="C546" s="2" t="str">
        <f>IF(A546&lt;&gt;"",SUM(B546),"")</f>
        <v/>
      </c>
      <c r="D546" s="2" t="str">
        <f>IF(A546&lt;&gt;"",(Recurso!D1*Recurso!C546)/Recurso!C1, "")</f>
        <v/>
      </c>
    </row>
    <row r="547" spans="3:4" x14ac:dyDescent="0.3">
      <c r="C547" s="2" t="str">
        <f>IF(A547&lt;&gt;"",SUM(B547),"")</f>
        <v/>
      </c>
      <c r="D547" s="2" t="str">
        <f>IF(A547&lt;&gt;"",(Recurso!D1*Recurso!C547)/Recurso!C1, "")</f>
        <v/>
      </c>
    </row>
    <row r="548" spans="3:4" x14ac:dyDescent="0.3">
      <c r="C548" s="2" t="str">
        <f>IF(A548&lt;&gt;"",SUM(B548),"")</f>
        <v/>
      </c>
      <c r="D548" s="2" t="str">
        <f>IF(A548&lt;&gt;"",(Recurso!D1*Recurso!C548)/Recurso!C1, "")</f>
        <v/>
      </c>
    </row>
    <row r="549" spans="3:4" x14ac:dyDescent="0.3">
      <c r="C549" s="2" t="str">
        <f>IF(A549&lt;&gt;"",SUM(B549),"")</f>
        <v/>
      </c>
      <c r="D549" s="2" t="str">
        <f>IF(A549&lt;&gt;"",(Recurso!D1*Recurso!C549)/Recurso!C1, "")</f>
        <v/>
      </c>
    </row>
    <row r="550" spans="3:4" x14ac:dyDescent="0.3">
      <c r="C550" s="2" t="str">
        <f>IF(A550&lt;&gt;"",SUM(B550),"")</f>
        <v/>
      </c>
      <c r="D550" s="2" t="str">
        <f>IF(A550&lt;&gt;"",(Recurso!D1*Recurso!C550)/Recurso!C1, "")</f>
        <v/>
      </c>
    </row>
    <row r="551" spans="3:4" x14ac:dyDescent="0.3">
      <c r="C551" s="2" t="str">
        <f>IF(A551&lt;&gt;"",SUM(B551),"")</f>
        <v/>
      </c>
      <c r="D551" s="2" t="str">
        <f>IF(A551&lt;&gt;"",(Recurso!D1*Recurso!C551)/Recurso!C1, "")</f>
        <v/>
      </c>
    </row>
    <row r="552" spans="3:4" x14ac:dyDescent="0.3">
      <c r="C552" s="2" t="str">
        <f>IF(A552&lt;&gt;"",SUM(B552),"")</f>
        <v/>
      </c>
      <c r="D552" s="2" t="str">
        <f>IF(A552&lt;&gt;"",(Recurso!D1*Recurso!C552)/Recurso!C1, "")</f>
        <v/>
      </c>
    </row>
    <row r="553" spans="3:4" x14ac:dyDescent="0.3">
      <c r="C553" s="2" t="str">
        <f>IF(A553&lt;&gt;"",SUM(B553),"")</f>
        <v/>
      </c>
      <c r="D553" s="2" t="str">
        <f>IF(A553&lt;&gt;"",(Recurso!D1*Recurso!C553)/Recurso!C1, "")</f>
        <v/>
      </c>
    </row>
    <row r="554" spans="3:4" x14ac:dyDescent="0.3">
      <c r="C554" s="2" t="str">
        <f>IF(A554&lt;&gt;"",SUM(B554),"")</f>
        <v/>
      </c>
      <c r="D554" s="2" t="str">
        <f>IF(A554&lt;&gt;"",(Recurso!D1*Recurso!C554)/Recurso!C1, "")</f>
        <v/>
      </c>
    </row>
    <row r="555" spans="3:4" x14ac:dyDescent="0.3">
      <c r="C555" s="2" t="str">
        <f>IF(A555&lt;&gt;"",SUM(B555),"")</f>
        <v/>
      </c>
      <c r="D555" s="2" t="str">
        <f>IF(A555&lt;&gt;"",(Recurso!D1*Recurso!C555)/Recurso!C1, "")</f>
        <v/>
      </c>
    </row>
    <row r="556" spans="3:4" x14ac:dyDescent="0.3">
      <c r="C556" s="2" t="str">
        <f>IF(A556&lt;&gt;"",SUM(B556),"")</f>
        <v/>
      </c>
      <c r="D556" s="2" t="str">
        <f>IF(A556&lt;&gt;"",(Recurso!D1*Recurso!C556)/Recurso!C1, "")</f>
        <v/>
      </c>
    </row>
    <row r="557" spans="3:4" x14ac:dyDescent="0.3">
      <c r="C557" s="2" t="str">
        <f>IF(A557&lt;&gt;"",SUM(B557),"")</f>
        <v/>
      </c>
      <c r="D557" s="2" t="str">
        <f>IF(A557&lt;&gt;"",(Recurso!D1*Recurso!C557)/Recurso!C1, "")</f>
        <v/>
      </c>
    </row>
    <row r="558" spans="3:4" x14ac:dyDescent="0.3">
      <c r="C558" s="2" t="str">
        <f>IF(A558&lt;&gt;"",SUM(B558),"")</f>
        <v/>
      </c>
      <c r="D558" s="2" t="str">
        <f>IF(A558&lt;&gt;"",(Recurso!D1*Recurso!C558)/Recurso!C1, "")</f>
        <v/>
      </c>
    </row>
    <row r="559" spans="3:4" x14ac:dyDescent="0.3">
      <c r="C559" s="2" t="str">
        <f>IF(A559&lt;&gt;"",SUM(B559),"")</f>
        <v/>
      </c>
      <c r="D559" s="2" t="str">
        <f>IF(A559&lt;&gt;"",(Recurso!D1*Recurso!C559)/Recurso!C1, "")</f>
        <v/>
      </c>
    </row>
    <row r="560" spans="3:4" x14ac:dyDescent="0.3">
      <c r="C560" s="2" t="str">
        <f>IF(A560&lt;&gt;"",SUM(B560),"")</f>
        <v/>
      </c>
      <c r="D560" s="2" t="str">
        <f>IF(A560&lt;&gt;"",(Recurso!D1*Recurso!C560)/Recurso!C1, "")</f>
        <v/>
      </c>
    </row>
    <row r="561" spans="3:4" x14ac:dyDescent="0.3">
      <c r="C561" s="2" t="str">
        <f>IF(A561&lt;&gt;"",SUM(B561),"")</f>
        <v/>
      </c>
      <c r="D561" s="2" t="str">
        <f>IF(A561&lt;&gt;"",(Recurso!D1*Recurso!C561)/Recurso!C1, "")</f>
        <v/>
      </c>
    </row>
    <row r="562" spans="3:4" x14ac:dyDescent="0.3">
      <c r="C562" s="2" t="str">
        <f>IF(A562&lt;&gt;"",SUM(B562),"")</f>
        <v/>
      </c>
      <c r="D562" s="2" t="str">
        <f>IF(A562&lt;&gt;"",(Recurso!D1*Recurso!C562)/Recurso!C1, "")</f>
        <v/>
      </c>
    </row>
    <row r="563" spans="3:4" x14ac:dyDescent="0.3">
      <c r="C563" s="2" t="str">
        <f>IF(A563&lt;&gt;"",SUM(B563),"")</f>
        <v/>
      </c>
      <c r="D563" s="2" t="str">
        <f>IF(A563&lt;&gt;"",(Recurso!D1*Recurso!C563)/Recurso!C1, "")</f>
        <v/>
      </c>
    </row>
    <row r="564" spans="3:4" x14ac:dyDescent="0.3">
      <c r="C564" s="2" t="str">
        <f>IF(A564&lt;&gt;"",SUM(B564),"")</f>
        <v/>
      </c>
      <c r="D564" s="2" t="str">
        <f>IF(A564&lt;&gt;"",(Recurso!D1*Recurso!C564)/Recurso!C1, "")</f>
        <v/>
      </c>
    </row>
    <row r="565" spans="3:4" x14ac:dyDescent="0.3">
      <c r="C565" s="2" t="str">
        <f>IF(A565&lt;&gt;"",SUM(B565),"")</f>
        <v/>
      </c>
      <c r="D565" s="2" t="str">
        <f>IF(A565&lt;&gt;"",(Recurso!D1*Recurso!C565)/Recurso!C1, "")</f>
        <v/>
      </c>
    </row>
    <row r="566" spans="3:4" x14ac:dyDescent="0.3">
      <c r="C566" s="2" t="str">
        <f>IF(A566&lt;&gt;"",SUM(B566),"")</f>
        <v/>
      </c>
      <c r="D566" s="2" t="str">
        <f>IF(A566&lt;&gt;"",(Recurso!D1*Recurso!C566)/Recurso!C1, "")</f>
        <v/>
      </c>
    </row>
    <row r="567" spans="3:4" x14ac:dyDescent="0.3">
      <c r="C567" s="2" t="str">
        <f>IF(A567&lt;&gt;"",SUM(B567),"")</f>
        <v/>
      </c>
      <c r="D567" s="2" t="str">
        <f>IF(A567&lt;&gt;"",(Recurso!D1*Recurso!C567)/Recurso!C1, "")</f>
        <v/>
      </c>
    </row>
    <row r="568" spans="3:4" x14ac:dyDescent="0.3">
      <c r="C568" s="2" t="str">
        <f>IF(A568&lt;&gt;"",SUM(B568),"")</f>
        <v/>
      </c>
      <c r="D568" s="2" t="str">
        <f>IF(A568&lt;&gt;"",(Recurso!D1*Recurso!C568)/Recurso!C1, "")</f>
        <v/>
      </c>
    </row>
    <row r="569" spans="3:4" x14ac:dyDescent="0.3">
      <c r="C569" s="2" t="str">
        <f>IF(A569&lt;&gt;"",SUM(B569),"")</f>
        <v/>
      </c>
      <c r="D569" s="2" t="str">
        <f>IF(A569&lt;&gt;"",(Recurso!D1*Recurso!C569)/Recurso!C1, "")</f>
        <v/>
      </c>
    </row>
    <row r="570" spans="3:4" x14ac:dyDescent="0.3">
      <c r="C570" s="2" t="str">
        <f>IF(A570&lt;&gt;"",SUM(B570),"")</f>
        <v/>
      </c>
      <c r="D570" s="2" t="str">
        <f>IF(A570&lt;&gt;"",(Recurso!D1*Recurso!C570)/Recurso!C1, "")</f>
        <v/>
      </c>
    </row>
    <row r="571" spans="3:4" x14ac:dyDescent="0.3">
      <c r="C571" s="2" t="str">
        <f>IF(A571&lt;&gt;"",SUM(B571),"")</f>
        <v/>
      </c>
      <c r="D571" s="2" t="str">
        <f>IF(A571&lt;&gt;"",(Recurso!D1*Recurso!C571)/Recurso!C1, "")</f>
        <v/>
      </c>
    </row>
    <row r="572" spans="3:4" x14ac:dyDescent="0.3">
      <c r="C572" s="2" t="str">
        <f>IF(A572&lt;&gt;"",SUM(B572),"")</f>
        <v/>
      </c>
      <c r="D572" s="2" t="str">
        <f>IF(A572&lt;&gt;"",(Recurso!D1*Recurso!C572)/Recurso!C1, "")</f>
        <v/>
      </c>
    </row>
    <row r="573" spans="3:4" x14ac:dyDescent="0.3">
      <c r="C573" s="2" t="str">
        <f>IF(A573&lt;&gt;"",SUM(B573),"")</f>
        <v/>
      </c>
      <c r="D573" s="2" t="str">
        <f>IF(A573&lt;&gt;"",(Recurso!D1*Recurso!C573)/Recurso!C1, "")</f>
        <v/>
      </c>
    </row>
    <row r="574" spans="3:4" x14ac:dyDescent="0.3">
      <c r="C574" s="2" t="str">
        <f>IF(A574&lt;&gt;"",SUM(B574),"")</f>
        <v/>
      </c>
      <c r="D574" s="2" t="str">
        <f>IF(A574&lt;&gt;"",(Recurso!D1*Recurso!C574)/Recurso!C1, "")</f>
        <v/>
      </c>
    </row>
    <row r="575" spans="3:4" x14ac:dyDescent="0.3">
      <c r="C575" s="2" t="str">
        <f>IF(A575&lt;&gt;"",SUM(B575),"")</f>
        <v/>
      </c>
      <c r="D575" s="2" t="str">
        <f>IF(A575&lt;&gt;"",(Recurso!D1*Recurso!C575)/Recurso!C1, "")</f>
        <v/>
      </c>
    </row>
    <row r="576" spans="3:4" x14ac:dyDescent="0.3">
      <c r="C576" s="2" t="str">
        <f>IF(A576&lt;&gt;"",SUM(B576),"")</f>
        <v/>
      </c>
      <c r="D576" s="2" t="str">
        <f>IF(A576&lt;&gt;"",(Recurso!D1*Recurso!C576)/Recurso!C1, "")</f>
        <v/>
      </c>
    </row>
    <row r="577" spans="3:4" x14ac:dyDescent="0.3">
      <c r="C577" s="2" t="str">
        <f>IF(A577&lt;&gt;"",SUM(B577),"")</f>
        <v/>
      </c>
      <c r="D577" s="2" t="str">
        <f>IF(A577&lt;&gt;"",(Recurso!D1*Recurso!C577)/Recurso!C1, "")</f>
        <v/>
      </c>
    </row>
    <row r="578" spans="3:4" x14ac:dyDescent="0.3">
      <c r="C578" s="2" t="str">
        <f>IF(A578&lt;&gt;"",SUM(B578),"")</f>
        <v/>
      </c>
      <c r="D578" s="2" t="str">
        <f>IF(A578&lt;&gt;"",(Recurso!D1*Recurso!C578)/Recurso!C1, "")</f>
        <v/>
      </c>
    </row>
    <row r="579" spans="3:4" x14ac:dyDescent="0.3">
      <c r="C579" s="2" t="str">
        <f>IF(A579&lt;&gt;"",SUM(B579),"")</f>
        <v/>
      </c>
      <c r="D579" s="2" t="str">
        <f>IF(A579&lt;&gt;"",(Recurso!D1*Recurso!C579)/Recurso!C1, "")</f>
        <v/>
      </c>
    </row>
    <row r="580" spans="3:4" x14ac:dyDescent="0.3">
      <c r="C580" s="2" t="str">
        <f>IF(A580&lt;&gt;"",SUM(B580),"")</f>
        <v/>
      </c>
      <c r="D580" s="2" t="str">
        <f>IF(A580&lt;&gt;"",(Recurso!D1*Recurso!C580)/Recurso!C1, "")</f>
        <v/>
      </c>
    </row>
    <row r="581" spans="3:4" x14ac:dyDescent="0.3">
      <c r="C581" s="2" t="str">
        <f>IF(A581&lt;&gt;"",SUM(B581),"")</f>
        <v/>
      </c>
      <c r="D581" s="2" t="str">
        <f>IF(A581&lt;&gt;"",(Recurso!D1*Recurso!C581)/Recurso!C1, "")</f>
        <v/>
      </c>
    </row>
    <row r="582" spans="3:4" x14ac:dyDescent="0.3">
      <c r="C582" s="2" t="str">
        <f>IF(A582&lt;&gt;"",SUM(B582),"")</f>
        <v/>
      </c>
      <c r="D582" s="2" t="str">
        <f>IF(A582&lt;&gt;"",(Recurso!D1*Recurso!C582)/Recurso!C1, "")</f>
        <v/>
      </c>
    </row>
    <row r="583" spans="3:4" x14ac:dyDescent="0.3">
      <c r="C583" s="2" t="str">
        <f>IF(A583&lt;&gt;"",SUM(B583),"")</f>
        <v/>
      </c>
      <c r="D583" s="2" t="str">
        <f>IF(A583&lt;&gt;"",(Recurso!D1*Recurso!C583)/Recurso!C1, "")</f>
        <v/>
      </c>
    </row>
    <row r="584" spans="3:4" x14ac:dyDescent="0.3">
      <c r="C584" s="2" t="str">
        <f>IF(A584&lt;&gt;"",SUM(B584),"")</f>
        <v/>
      </c>
      <c r="D584" s="2" t="str">
        <f>IF(A584&lt;&gt;"",(Recurso!D1*Recurso!C584)/Recurso!C1, "")</f>
        <v/>
      </c>
    </row>
    <row r="585" spans="3:4" x14ac:dyDescent="0.3">
      <c r="C585" s="2" t="str">
        <f>IF(A585&lt;&gt;"",SUM(B585),"")</f>
        <v/>
      </c>
      <c r="D585" s="2" t="str">
        <f>IF(A585&lt;&gt;"",(Recurso!D1*Recurso!C585)/Recurso!C1, "")</f>
        <v/>
      </c>
    </row>
    <row r="586" spans="3:4" x14ac:dyDescent="0.3">
      <c r="C586" s="2" t="str">
        <f>IF(A586&lt;&gt;"",SUM(B586),"")</f>
        <v/>
      </c>
      <c r="D586" s="2" t="str">
        <f>IF(A586&lt;&gt;"",(Recurso!D1*Recurso!C586)/Recurso!C1, "")</f>
        <v/>
      </c>
    </row>
    <row r="587" spans="3:4" x14ac:dyDescent="0.3">
      <c r="C587" s="2" t="str">
        <f>IF(A587&lt;&gt;"",SUM(B587),"")</f>
        <v/>
      </c>
      <c r="D587" s="2" t="str">
        <f>IF(A587&lt;&gt;"",(Recurso!D1*Recurso!C587)/Recurso!C1, "")</f>
        <v/>
      </c>
    </row>
    <row r="588" spans="3:4" x14ac:dyDescent="0.3">
      <c r="C588" s="2" t="str">
        <f>IF(A588&lt;&gt;"",SUM(B588),"")</f>
        <v/>
      </c>
      <c r="D588" s="2" t="str">
        <f>IF(A588&lt;&gt;"",(Recurso!D1*Recurso!C588)/Recurso!C1, "")</f>
        <v/>
      </c>
    </row>
    <row r="589" spans="3:4" x14ac:dyDescent="0.3">
      <c r="C589" s="2" t="str">
        <f>IF(A589&lt;&gt;"",SUM(B589),"")</f>
        <v/>
      </c>
      <c r="D589" s="2" t="str">
        <f>IF(A589&lt;&gt;"",(Recurso!D1*Recurso!C589)/Recurso!C1, "")</f>
        <v/>
      </c>
    </row>
    <row r="590" spans="3:4" x14ac:dyDescent="0.3">
      <c r="C590" s="2" t="str">
        <f>IF(A590&lt;&gt;"",SUM(B590),"")</f>
        <v/>
      </c>
      <c r="D590" s="2" t="str">
        <f>IF(A590&lt;&gt;"",(Recurso!D1*Recurso!C590)/Recurso!C1, "")</f>
        <v/>
      </c>
    </row>
    <row r="591" spans="3:4" x14ac:dyDescent="0.3">
      <c r="C591" s="2" t="str">
        <f>IF(A591&lt;&gt;"",SUM(B591),"")</f>
        <v/>
      </c>
      <c r="D591" s="2" t="str">
        <f>IF(A591&lt;&gt;"",(Recurso!D1*Recurso!C591)/Recurso!C1, "")</f>
        <v/>
      </c>
    </row>
    <row r="592" spans="3:4" x14ac:dyDescent="0.3">
      <c r="C592" s="2" t="str">
        <f>IF(A592&lt;&gt;"",SUM(B592),"")</f>
        <v/>
      </c>
      <c r="D592" s="2" t="str">
        <f>IF(A592&lt;&gt;"",(Recurso!D1*Recurso!C592)/Recurso!C1, "")</f>
        <v/>
      </c>
    </row>
    <row r="593" spans="3:4" x14ac:dyDescent="0.3">
      <c r="C593" s="2" t="str">
        <f>IF(A593&lt;&gt;"",SUM(B593),"")</f>
        <v/>
      </c>
      <c r="D593" s="2" t="str">
        <f>IF(A593&lt;&gt;"",(Recurso!D1*Recurso!C593)/Recurso!C1, "")</f>
        <v/>
      </c>
    </row>
    <row r="594" spans="3:4" x14ac:dyDescent="0.3">
      <c r="C594" s="2" t="str">
        <f>IF(A594&lt;&gt;"",SUM(B594),"")</f>
        <v/>
      </c>
      <c r="D594" s="2" t="str">
        <f>IF(A594&lt;&gt;"",(Recurso!D1*Recurso!C594)/Recurso!C1, "")</f>
        <v/>
      </c>
    </row>
    <row r="595" spans="3:4" x14ac:dyDescent="0.3">
      <c r="C595" s="2" t="str">
        <f>IF(A595&lt;&gt;"",SUM(B595),"")</f>
        <v/>
      </c>
      <c r="D595" s="2" t="str">
        <f>IF(A595&lt;&gt;"",(Recurso!D1*Recurso!C595)/Recurso!C1, "")</f>
        <v/>
      </c>
    </row>
    <row r="596" spans="3:4" x14ac:dyDescent="0.3">
      <c r="C596" s="2" t="str">
        <f>IF(A596&lt;&gt;"",SUM(B596),"")</f>
        <v/>
      </c>
      <c r="D596" s="2" t="str">
        <f>IF(A596&lt;&gt;"",(Recurso!D1*Recurso!C596)/Recurso!C1, "")</f>
        <v/>
      </c>
    </row>
    <row r="597" spans="3:4" x14ac:dyDescent="0.3">
      <c r="C597" s="2" t="str">
        <f>IF(A597&lt;&gt;"",SUM(B597),"")</f>
        <v/>
      </c>
      <c r="D597" s="2" t="str">
        <f>IF(A597&lt;&gt;"",(Recurso!D1*Recurso!C597)/Recurso!C1, "")</f>
        <v/>
      </c>
    </row>
    <row r="598" spans="3:4" x14ac:dyDescent="0.3">
      <c r="C598" s="2" t="str">
        <f>IF(A598&lt;&gt;"",SUM(B598),"")</f>
        <v/>
      </c>
      <c r="D598" s="2" t="str">
        <f>IF(A598&lt;&gt;"",(Recurso!D1*Recurso!C598)/Recurso!C1, "")</f>
        <v/>
      </c>
    </row>
    <row r="599" spans="3:4" x14ac:dyDescent="0.3">
      <c r="C599" s="2" t="str">
        <f>IF(A599&lt;&gt;"",SUM(B599),"")</f>
        <v/>
      </c>
      <c r="D599" s="2" t="str">
        <f>IF(A599&lt;&gt;"",(Recurso!D1*Recurso!C599)/Recurso!C1, "")</f>
        <v/>
      </c>
    </row>
    <row r="600" spans="3:4" x14ac:dyDescent="0.3">
      <c r="C600" s="2" t="str">
        <f>IF(A600&lt;&gt;"",SUM(B600),"")</f>
        <v/>
      </c>
      <c r="D600" s="2" t="str">
        <f>IF(A600&lt;&gt;"",(Recurso!D1*Recurso!C600)/Recurso!C1, "")</f>
        <v/>
      </c>
    </row>
    <row r="601" spans="3:4" x14ac:dyDescent="0.3">
      <c r="C601" s="2" t="str">
        <f>IF(A601&lt;&gt;"",SUM(B601),"")</f>
        <v/>
      </c>
      <c r="D601" s="2" t="str">
        <f>IF(A601&lt;&gt;"",(Recurso!D1*Recurso!C601)/Recurso!C1, "")</f>
        <v/>
      </c>
    </row>
    <row r="602" spans="3:4" x14ac:dyDescent="0.3">
      <c r="C602" s="2" t="str">
        <f>IF(A602&lt;&gt;"",SUM(B602),"")</f>
        <v/>
      </c>
      <c r="D602" s="2" t="str">
        <f>IF(A602&lt;&gt;"",(Recurso!D1*Recurso!C602)/Recurso!C1, "")</f>
        <v/>
      </c>
    </row>
    <row r="603" spans="3:4" x14ac:dyDescent="0.3">
      <c r="C603" s="2" t="str">
        <f>IF(A603&lt;&gt;"",SUM(B603),"")</f>
        <v/>
      </c>
      <c r="D603" s="2" t="str">
        <f>IF(A603&lt;&gt;"",(Recurso!D1*Recurso!C603)/Recurso!C1, "")</f>
        <v/>
      </c>
    </row>
    <row r="604" spans="3:4" x14ac:dyDescent="0.3">
      <c r="C604" s="2" t="str">
        <f>IF(A604&lt;&gt;"",SUM(B604),"")</f>
        <v/>
      </c>
      <c r="D604" s="2" t="str">
        <f>IF(A604&lt;&gt;"",(Recurso!D1*Recurso!C604)/Recurso!C1, "")</f>
        <v/>
      </c>
    </row>
    <row r="605" spans="3:4" x14ac:dyDescent="0.3">
      <c r="C605" s="2" t="str">
        <f>IF(A605&lt;&gt;"",SUM(B605),"")</f>
        <v/>
      </c>
      <c r="D605" s="2" t="str">
        <f>IF(A605&lt;&gt;"",(Recurso!D1*Recurso!C605)/Recurso!C1, "")</f>
        <v/>
      </c>
    </row>
    <row r="606" spans="3:4" x14ac:dyDescent="0.3">
      <c r="C606" s="2" t="str">
        <f>IF(A606&lt;&gt;"",SUM(B606),"")</f>
        <v/>
      </c>
      <c r="D606" s="2" t="str">
        <f>IF(A606&lt;&gt;"",(Recurso!D1*Recurso!C606)/Recurso!C1, "")</f>
        <v/>
      </c>
    </row>
    <row r="607" spans="3:4" x14ac:dyDescent="0.3">
      <c r="C607" s="2" t="str">
        <f>IF(A607&lt;&gt;"",SUM(B607),"")</f>
        <v/>
      </c>
      <c r="D607" s="2" t="str">
        <f>IF(A607&lt;&gt;"",(Recurso!D1*Recurso!C607)/Recurso!C1, "")</f>
        <v/>
      </c>
    </row>
    <row r="608" spans="3:4" x14ac:dyDescent="0.3">
      <c r="C608" s="2" t="str">
        <f>IF(A608&lt;&gt;"",SUM(B608),"")</f>
        <v/>
      </c>
      <c r="D608" s="2" t="str">
        <f>IF(A608&lt;&gt;"",(Recurso!D1*Recurso!C608)/Recurso!C1, "")</f>
        <v/>
      </c>
    </row>
    <row r="609" spans="3:4" x14ac:dyDescent="0.3">
      <c r="C609" s="2" t="str">
        <f>IF(A609&lt;&gt;"",SUM(B609),"")</f>
        <v/>
      </c>
      <c r="D609" s="2" t="str">
        <f>IF(A609&lt;&gt;"",(Recurso!D1*Recurso!C609)/Recurso!C1, "")</f>
        <v/>
      </c>
    </row>
    <row r="610" spans="3:4" x14ac:dyDescent="0.3">
      <c r="C610" s="2" t="str">
        <f>IF(A610&lt;&gt;"",SUM(B610),"")</f>
        <v/>
      </c>
      <c r="D610" s="2" t="str">
        <f>IF(A610&lt;&gt;"",(Recurso!D1*Recurso!C610)/Recurso!C1, "")</f>
        <v/>
      </c>
    </row>
    <row r="611" spans="3:4" x14ac:dyDescent="0.3">
      <c r="C611" s="2" t="str">
        <f>IF(A611&lt;&gt;"",SUM(B611),"")</f>
        <v/>
      </c>
      <c r="D611" s="2" t="str">
        <f>IF(A611&lt;&gt;"",(Recurso!D1*Recurso!C611)/Recurso!C1, "")</f>
        <v/>
      </c>
    </row>
    <row r="612" spans="3:4" x14ac:dyDescent="0.3">
      <c r="C612" s="2" t="str">
        <f>IF(A612&lt;&gt;"",SUM(B612),"")</f>
        <v/>
      </c>
      <c r="D612" s="2" t="str">
        <f>IF(A612&lt;&gt;"",(Recurso!D1*Recurso!C612)/Recurso!C1, "")</f>
        <v/>
      </c>
    </row>
    <row r="613" spans="3:4" x14ac:dyDescent="0.3">
      <c r="C613" s="2" t="str">
        <f>IF(A613&lt;&gt;"",SUM(B613),"")</f>
        <v/>
      </c>
      <c r="D613" s="2" t="str">
        <f>IF(A613&lt;&gt;"",(Recurso!D1*Recurso!C613)/Recurso!C1, "")</f>
        <v/>
      </c>
    </row>
    <row r="614" spans="3:4" x14ac:dyDescent="0.3">
      <c r="C614" s="2" t="str">
        <f>IF(A614&lt;&gt;"",SUM(B614),"")</f>
        <v/>
      </c>
      <c r="D614" s="2" t="str">
        <f>IF(A614&lt;&gt;"",(Recurso!D1*Recurso!C614)/Recurso!C1, "")</f>
        <v/>
      </c>
    </row>
    <row r="615" spans="3:4" x14ac:dyDescent="0.3">
      <c r="C615" s="2" t="str">
        <f>IF(A615&lt;&gt;"",SUM(B615),"")</f>
        <v/>
      </c>
      <c r="D615" s="2" t="str">
        <f>IF(A615&lt;&gt;"",(Recurso!D1*Recurso!C615)/Recurso!C1, "")</f>
        <v/>
      </c>
    </row>
    <row r="616" spans="3:4" x14ac:dyDescent="0.3">
      <c r="C616" s="2" t="str">
        <f>IF(A616&lt;&gt;"",SUM(B616),"")</f>
        <v/>
      </c>
      <c r="D616" s="2" t="str">
        <f>IF(A616&lt;&gt;"",(Recurso!D1*Recurso!C616)/Recurso!C1, "")</f>
        <v/>
      </c>
    </row>
    <row r="617" spans="3:4" x14ac:dyDescent="0.3">
      <c r="C617" s="2" t="str">
        <f>IF(A617&lt;&gt;"",SUM(B617),"")</f>
        <v/>
      </c>
      <c r="D617" s="2" t="str">
        <f>IF(A617&lt;&gt;"",(Recurso!D1*Recurso!C617)/Recurso!C1, "")</f>
        <v/>
      </c>
    </row>
    <row r="618" spans="3:4" x14ac:dyDescent="0.3">
      <c r="C618" s="2" t="str">
        <f>IF(A618&lt;&gt;"",SUM(B618),"")</f>
        <v/>
      </c>
      <c r="D618" s="2" t="str">
        <f>IF(A618&lt;&gt;"",(Recurso!D1*Recurso!C618)/Recurso!C1, "")</f>
        <v/>
      </c>
    </row>
    <row r="619" spans="3:4" x14ac:dyDescent="0.3">
      <c r="C619" s="2" t="str">
        <f>IF(A619&lt;&gt;"",SUM(B619),"")</f>
        <v/>
      </c>
      <c r="D619" s="2" t="str">
        <f>IF(A619&lt;&gt;"",(Recurso!D1*Recurso!C619)/Recurso!C1, "")</f>
        <v/>
      </c>
    </row>
    <row r="620" spans="3:4" x14ac:dyDescent="0.3">
      <c r="C620" s="2" t="str">
        <f>IF(A620&lt;&gt;"",SUM(B620),"")</f>
        <v/>
      </c>
      <c r="D620" s="2" t="str">
        <f>IF(A620&lt;&gt;"",(Recurso!D1*Recurso!C620)/Recurso!C1, "")</f>
        <v/>
      </c>
    </row>
    <row r="621" spans="3:4" x14ac:dyDescent="0.3">
      <c r="C621" s="2" t="str">
        <f>IF(A621&lt;&gt;"",SUM(B621),"")</f>
        <v/>
      </c>
      <c r="D621" s="2" t="str">
        <f>IF(A621&lt;&gt;"",(Recurso!D1*Recurso!C621)/Recurso!C1, "")</f>
        <v/>
      </c>
    </row>
    <row r="622" spans="3:4" x14ac:dyDescent="0.3">
      <c r="C622" s="2" t="str">
        <f>IF(A622&lt;&gt;"",SUM(B622),"")</f>
        <v/>
      </c>
      <c r="D622" s="2" t="str">
        <f>IF(A622&lt;&gt;"",(Recurso!D1*Recurso!C622)/Recurso!C1, "")</f>
        <v/>
      </c>
    </row>
    <row r="623" spans="3:4" x14ac:dyDescent="0.3">
      <c r="C623" s="2" t="str">
        <f>IF(A623&lt;&gt;"",SUM(B623),"")</f>
        <v/>
      </c>
      <c r="D623" s="2" t="str">
        <f>IF(A623&lt;&gt;"",(Recurso!D1*Recurso!C623)/Recurso!C1, "")</f>
        <v/>
      </c>
    </row>
    <row r="624" spans="3:4" x14ac:dyDescent="0.3">
      <c r="C624" s="2" t="str">
        <f>IF(A624&lt;&gt;"",SUM(B624),"")</f>
        <v/>
      </c>
      <c r="D624" s="2" t="str">
        <f>IF(A624&lt;&gt;"",(Recurso!D1*Recurso!C624)/Recurso!C1, "")</f>
        <v/>
      </c>
    </row>
    <row r="625" spans="3:4" x14ac:dyDescent="0.3">
      <c r="C625" s="2" t="str">
        <f>IF(A625&lt;&gt;"",SUM(B625),"")</f>
        <v/>
      </c>
      <c r="D625" s="2" t="str">
        <f>IF(A625&lt;&gt;"",(Recurso!D1*Recurso!C625)/Recurso!C1, "")</f>
        <v/>
      </c>
    </row>
    <row r="626" spans="3:4" x14ac:dyDescent="0.3">
      <c r="C626" s="2" t="str">
        <f>IF(A626&lt;&gt;"",SUM(B626),"")</f>
        <v/>
      </c>
      <c r="D626" s="2" t="str">
        <f>IF(A626&lt;&gt;"",(Recurso!D1*Recurso!C626)/Recurso!C1, "")</f>
        <v/>
      </c>
    </row>
    <row r="627" spans="3:4" x14ac:dyDescent="0.3">
      <c r="C627" s="2" t="str">
        <f>IF(A627&lt;&gt;"",SUM(B627),"")</f>
        <v/>
      </c>
      <c r="D627" s="2" t="str">
        <f>IF(A627&lt;&gt;"",(Recurso!D1*Recurso!C627)/Recurso!C1, "")</f>
        <v/>
      </c>
    </row>
    <row r="628" spans="3:4" x14ac:dyDescent="0.3">
      <c r="C628" s="2" t="str">
        <f>IF(A628&lt;&gt;"",SUM(B628),"")</f>
        <v/>
      </c>
      <c r="D628" s="2" t="str">
        <f>IF(A628&lt;&gt;"",(Recurso!D1*Recurso!C628)/Recurso!C1, "")</f>
        <v/>
      </c>
    </row>
    <row r="629" spans="3:4" x14ac:dyDescent="0.3">
      <c r="C629" s="2" t="str">
        <f>IF(A629&lt;&gt;"",SUM(B629),"")</f>
        <v/>
      </c>
      <c r="D629" s="2" t="str">
        <f>IF(A629&lt;&gt;"",(Recurso!D1*Recurso!C629)/Recurso!C1, "")</f>
        <v/>
      </c>
    </row>
    <row r="630" spans="3:4" x14ac:dyDescent="0.3">
      <c r="C630" s="2" t="str">
        <f>IF(A630&lt;&gt;"",SUM(B630),"")</f>
        <v/>
      </c>
      <c r="D630" s="2" t="str">
        <f>IF(A630&lt;&gt;"",(Recurso!D1*Recurso!C630)/Recurso!C1, "")</f>
        <v/>
      </c>
    </row>
    <row r="631" spans="3:4" x14ac:dyDescent="0.3">
      <c r="C631" s="2" t="str">
        <f>IF(A631&lt;&gt;"",SUM(B631),"")</f>
        <v/>
      </c>
      <c r="D631" s="2" t="str">
        <f>IF(A631&lt;&gt;"",(Recurso!D1*Recurso!C631)/Recurso!C1, "")</f>
        <v/>
      </c>
    </row>
    <row r="632" spans="3:4" x14ac:dyDescent="0.3">
      <c r="C632" s="2" t="str">
        <f>IF(A632&lt;&gt;"",SUM(B632),"")</f>
        <v/>
      </c>
      <c r="D632" s="2" t="str">
        <f>IF(A632&lt;&gt;"",(Recurso!D1*Recurso!C632)/Recurso!C1, "")</f>
        <v/>
      </c>
    </row>
    <row r="633" spans="3:4" x14ac:dyDescent="0.3">
      <c r="C633" s="2" t="str">
        <f>IF(A633&lt;&gt;"",SUM(B633),"")</f>
        <v/>
      </c>
      <c r="D633" s="2" t="str">
        <f>IF(A633&lt;&gt;"",(Recurso!D1*Recurso!C633)/Recurso!C1, "")</f>
        <v/>
      </c>
    </row>
    <row r="634" spans="3:4" x14ac:dyDescent="0.3">
      <c r="C634" s="2" t="str">
        <f>IF(A634&lt;&gt;"",SUM(B634),"")</f>
        <v/>
      </c>
      <c r="D634" s="2" t="str">
        <f>IF(A634&lt;&gt;"",(Recurso!D1*Recurso!C634)/Recurso!C1, "")</f>
        <v/>
      </c>
    </row>
    <row r="635" spans="3:4" x14ac:dyDescent="0.3">
      <c r="C635" s="2" t="str">
        <f>IF(A635&lt;&gt;"",SUM(B635),"")</f>
        <v/>
      </c>
      <c r="D635" s="2" t="str">
        <f>IF(A635&lt;&gt;"",(Recurso!D1*Recurso!C635)/Recurso!C1, "")</f>
        <v/>
      </c>
    </row>
    <row r="636" spans="3:4" x14ac:dyDescent="0.3">
      <c r="C636" s="2" t="str">
        <f>IF(A636&lt;&gt;"",SUM(B636),"")</f>
        <v/>
      </c>
      <c r="D636" s="2" t="str">
        <f>IF(A636&lt;&gt;"",(Recurso!D1*Recurso!C636)/Recurso!C1, "")</f>
        <v/>
      </c>
    </row>
    <row r="637" spans="3:4" x14ac:dyDescent="0.3">
      <c r="C637" s="2" t="str">
        <f>IF(A637&lt;&gt;"",SUM(B637),"")</f>
        <v/>
      </c>
      <c r="D637" s="2" t="str">
        <f>IF(A637&lt;&gt;"",(Recurso!D1*Recurso!C637)/Recurso!C1, "")</f>
        <v/>
      </c>
    </row>
    <row r="638" spans="3:4" x14ac:dyDescent="0.3">
      <c r="C638" s="2" t="str">
        <f>IF(A638&lt;&gt;"",SUM(B638),"")</f>
        <v/>
      </c>
      <c r="D638" s="2" t="str">
        <f>IF(A638&lt;&gt;"",(Recurso!D1*Recurso!C638)/Recurso!C1, "")</f>
        <v/>
      </c>
    </row>
    <row r="639" spans="3:4" x14ac:dyDescent="0.3">
      <c r="C639" s="2" t="str">
        <f>IF(A639&lt;&gt;"",SUM(B639),"")</f>
        <v/>
      </c>
      <c r="D639" s="2" t="str">
        <f>IF(A639&lt;&gt;"",(Recurso!D1*Recurso!C639)/Recurso!C1, "")</f>
        <v/>
      </c>
    </row>
    <row r="640" spans="3:4" x14ac:dyDescent="0.3">
      <c r="C640" s="2" t="str">
        <f>IF(A640&lt;&gt;"",SUM(B640),"")</f>
        <v/>
      </c>
      <c r="D640" s="2" t="str">
        <f>IF(A640&lt;&gt;"",(Recurso!D1*Recurso!C640)/Recurso!C1, "")</f>
        <v/>
      </c>
    </row>
    <row r="641" spans="3:4" x14ac:dyDescent="0.3">
      <c r="C641" s="2" t="str">
        <f>IF(A641&lt;&gt;"",SUM(B641),"")</f>
        <v/>
      </c>
      <c r="D641" s="2" t="str">
        <f>IF(A641&lt;&gt;"",(Recurso!D1*Recurso!C641)/Recurso!C1, "")</f>
        <v/>
      </c>
    </row>
    <row r="642" spans="3:4" x14ac:dyDescent="0.3">
      <c r="C642" s="2" t="str">
        <f>IF(A642&lt;&gt;"",SUM(B642),"")</f>
        <v/>
      </c>
      <c r="D642" s="2" t="str">
        <f>IF(A642&lt;&gt;"",(Recurso!D1*Recurso!C642)/Recurso!C1, "")</f>
        <v/>
      </c>
    </row>
    <row r="643" spans="3:4" x14ac:dyDescent="0.3">
      <c r="C643" s="2" t="str">
        <f>IF(A643&lt;&gt;"",SUM(B643),"")</f>
        <v/>
      </c>
      <c r="D643" s="2" t="str">
        <f>IF(A643&lt;&gt;"",(Recurso!D1*Recurso!C643)/Recurso!C1, "")</f>
        <v/>
      </c>
    </row>
    <row r="644" spans="3:4" x14ac:dyDescent="0.3">
      <c r="C644" s="2" t="str">
        <f>IF(A644&lt;&gt;"",SUM(B644),"")</f>
        <v/>
      </c>
      <c r="D644" s="2" t="str">
        <f>IF(A644&lt;&gt;"",(Recurso!D1*Recurso!C644)/Recurso!C1, "")</f>
        <v/>
      </c>
    </row>
    <row r="645" spans="3:4" x14ac:dyDescent="0.3">
      <c r="C645" s="2" t="str">
        <f>IF(A645&lt;&gt;"",SUM(B645),"")</f>
        <v/>
      </c>
      <c r="D645" s="2" t="str">
        <f>IF(A645&lt;&gt;"",(Recurso!D1*Recurso!C645)/Recurso!C1, "")</f>
        <v/>
      </c>
    </row>
    <row r="646" spans="3:4" x14ac:dyDescent="0.3">
      <c r="C646" s="2" t="str">
        <f>IF(A646&lt;&gt;"",SUM(B646),"")</f>
        <v/>
      </c>
      <c r="D646" s="2" t="str">
        <f>IF(A646&lt;&gt;"",(Recurso!D1*Recurso!C646)/Recurso!C1, "")</f>
        <v/>
      </c>
    </row>
    <row r="647" spans="3:4" x14ac:dyDescent="0.3">
      <c r="C647" s="2" t="str">
        <f>IF(A647&lt;&gt;"",SUM(B647),"")</f>
        <v/>
      </c>
      <c r="D647" s="2" t="str">
        <f>IF(A647&lt;&gt;"",(Recurso!D1*Recurso!C647)/Recurso!C1, "")</f>
        <v/>
      </c>
    </row>
    <row r="648" spans="3:4" x14ac:dyDescent="0.3">
      <c r="C648" s="2" t="str">
        <f>IF(A648&lt;&gt;"",SUM(B648),"")</f>
        <v/>
      </c>
      <c r="D648" s="2" t="str">
        <f>IF(A648&lt;&gt;"",(Recurso!D1*Recurso!C648)/Recurso!C1, "")</f>
        <v/>
      </c>
    </row>
    <row r="649" spans="3:4" x14ac:dyDescent="0.3">
      <c r="C649" s="2" t="str">
        <f>IF(A649&lt;&gt;"",SUM(B649),"")</f>
        <v/>
      </c>
      <c r="D649" s="2" t="str">
        <f>IF(A649&lt;&gt;"",(Recurso!D1*Recurso!C649)/Recurso!C1, "")</f>
        <v/>
      </c>
    </row>
    <row r="650" spans="3:4" x14ac:dyDescent="0.3">
      <c r="C650" s="2" t="str">
        <f>IF(A650&lt;&gt;"",SUM(B650),"")</f>
        <v/>
      </c>
      <c r="D650" s="2" t="str">
        <f>IF(A650&lt;&gt;"",(Recurso!D1*Recurso!C650)/Recurso!C1, "")</f>
        <v/>
      </c>
    </row>
    <row r="651" spans="3:4" x14ac:dyDescent="0.3">
      <c r="C651" s="2" t="str">
        <f>IF(A651&lt;&gt;"",SUM(B651),"")</f>
        <v/>
      </c>
      <c r="D651" s="2" t="str">
        <f>IF(A651&lt;&gt;"",(Recurso!D1*Recurso!C651)/Recurso!C1, "")</f>
        <v/>
      </c>
    </row>
    <row r="652" spans="3:4" x14ac:dyDescent="0.3">
      <c r="C652" s="2" t="str">
        <f>IF(A652&lt;&gt;"",SUM(B652),"")</f>
        <v/>
      </c>
      <c r="D652" s="2" t="str">
        <f>IF(A652&lt;&gt;"",(Recurso!D1*Recurso!C652)/Recurso!C1, "")</f>
        <v/>
      </c>
    </row>
    <row r="653" spans="3:4" x14ac:dyDescent="0.3">
      <c r="C653" s="2" t="str">
        <f>IF(A653&lt;&gt;"",SUM(B653),"")</f>
        <v/>
      </c>
      <c r="D653" s="2" t="str">
        <f>IF(A653&lt;&gt;"",(Recurso!D1*Recurso!C653)/Recurso!C1, "")</f>
        <v/>
      </c>
    </row>
    <row r="654" spans="3:4" x14ac:dyDescent="0.3">
      <c r="C654" s="2" t="str">
        <f>IF(A654&lt;&gt;"",SUM(B654),"")</f>
        <v/>
      </c>
      <c r="D654" s="2" t="str">
        <f>IF(A654&lt;&gt;"",(Recurso!D1*Recurso!C654)/Recurso!C1, "")</f>
        <v/>
      </c>
    </row>
    <row r="655" spans="3:4" x14ac:dyDescent="0.3">
      <c r="C655" s="2" t="str">
        <f>IF(A655&lt;&gt;"",SUM(B655),"")</f>
        <v/>
      </c>
      <c r="D655" s="2" t="str">
        <f>IF(A655&lt;&gt;"",(Recurso!D1*Recurso!C655)/Recurso!C1, "")</f>
        <v/>
      </c>
    </row>
    <row r="656" spans="3:4" x14ac:dyDescent="0.3">
      <c r="C656" s="2" t="str">
        <f>IF(A656&lt;&gt;"",SUM(B656),"")</f>
        <v/>
      </c>
      <c r="D656" s="2" t="str">
        <f>IF(A656&lt;&gt;"",(Recurso!D1*Recurso!C656)/Recurso!C1, "")</f>
        <v/>
      </c>
    </row>
    <row r="657" spans="3:4" x14ac:dyDescent="0.3">
      <c r="C657" s="2" t="str">
        <f>IF(A657&lt;&gt;"",SUM(B657),"")</f>
        <v/>
      </c>
      <c r="D657" s="2" t="str">
        <f>IF(A657&lt;&gt;"",(Recurso!D1*Recurso!C657)/Recurso!C1, "")</f>
        <v/>
      </c>
    </row>
    <row r="658" spans="3:4" x14ac:dyDescent="0.3">
      <c r="C658" s="2" t="str">
        <f>IF(A658&lt;&gt;"",SUM(B658),"")</f>
        <v/>
      </c>
      <c r="D658" s="2" t="str">
        <f>IF(A658&lt;&gt;"",(Recurso!D1*Recurso!C658)/Recurso!C1, "")</f>
        <v/>
      </c>
    </row>
    <row r="659" spans="3:4" x14ac:dyDescent="0.3">
      <c r="C659" s="2" t="str">
        <f>IF(A659&lt;&gt;"",SUM(B659),"")</f>
        <v/>
      </c>
      <c r="D659" s="2" t="str">
        <f>IF(A659&lt;&gt;"",(Recurso!D1*Recurso!C659)/Recurso!C1, "")</f>
        <v/>
      </c>
    </row>
    <row r="660" spans="3:4" x14ac:dyDescent="0.3">
      <c r="C660" s="2" t="str">
        <f>IF(A660&lt;&gt;"",SUM(B660),"")</f>
        <v/>
      </c>
      <c r="D660" s="2" t="str">
        <f>IF(A660&lt;&gt;"",(Recurso!D1*Recurso!C660)/Recurso!C1, "")</f>
        <v/>
      </c>
    </row>
    <row r="661" spans="3:4" x14ac:dyDescent="0.3">
      <c r="C661" s="2" t="str">
        <f>IF(A661&lt;&gt;"",SUM(B661),"")</f>
        <v/>
      </c>
      <c r="D661" s="2" t="str">
        <f>IF(A661&lt;&gt;"",(Recurso!D1*Recurso!C661)/Recurso!C1, "")</f>
        <v/>
      </c>
    </row>
    <row r="662" spans="3:4" x14ac:dyDescent="0.3">
      <c r="C662" s="2" t="str">
        <f>IF(A662&lt;&gt;"",SUM(B662),"")</f>
        <v/>
      </c>
      <c r="D662" s="2" t="str">
        <f>IF(A662&lt;&gt;"",(Recurso!D1*Recurso!C662)/Recurso!C1, "")</f>
        <v/>
      </c>
    </row>
    <row r="663" spans="3:4" x14ac:dyDescent="0.3">
      <c r="C663" s="2" t="str">
        <f>IF(A663&lt;&gt;"",SUM(B663),"")</f>
        <v/>
      </c>
      <c r="D663" s="2" t="str">
        <f>IF(A663&lt;&gt;"",(Recurso!D1*Recurso!C663)/Recurso!C1, "")</f>
        <v/>
      </c>
    </row>
    <row r="664" spans="3:4" x14ac:dyDescent="0.3">
      <c r="C664" s="2" t="str">
        <f>IF(A664&lt;&gt;"",SUM(B664),"")</f>
        <v/>
      </c>
      <c r="D664" s="2" t="str">
        <f>IF(A664&lt;&gt;"",(Recurso!D1*Recurso!C664)/Recurso!C1, "")</f>
        <v/>
      </c>
    </row>
    <row r="665" spans="3:4" x14ac:dyDescent="0.3">
      <c r="C665" s="2" t="str">
        <f>IF(A665&lt;&gt;"",SUM(B665),"")</f>
        <v/>
      </c>
      <c r="D665" s="2" t="str">
        <f>IF(A665&lt;&gt;"",(Recurso!D1*Recurso!C665)/Recurso!C1, "")</f>
        <v/>
      </c>
    </row>
    <row r="666" spans="3:4" x14ac:dyDescent="0.3">
      <c r="C666" s="2" t="str">
        <f>IF(A666&lt;&gt;"",SUM(B666),"")</f>
        <v/>
      </c>
      <c r="D666" s="2" t="str">
        <f>IF(A666&lt;&gt;"",(Recurso!D1*Recurso!C666)/Recurso!C1, "")</f>
        <v/>
      </c>
    </row>
    <row r="667" spans="3:4" x14ac:dyDescent="0.3">
      <c r="C667" s="2" t="str">
        <f>IF(A667&lt;&gt;"",SUM(B667),"")</f>
        <v/>
      </c>
      <c r="D667" s="2" t="str">
        <f>IF(A667&lt;&gt;"",(Recurso!D1*Recurso!C667)/Recurso!C1, "")</f>
        <v/>
      </c>
    </row>
    <row r="668" spans="3:4" x14ac:dyDescent="0.3">
      <c r="C668" s="2" t="str">
        <f>IF(A668&lt;&gt;"",SUM(B668),"")</f>
        <v/>
      </c>
      <c r="D668" s="2" t="str">
        <f>IF(A668&lt;&gt;"",(Recurso!D1*Recurso!C668)/Recurso!C1, "")</f>
        <v/>
      </c>
    </row>
    <row r="669" spans="3:4" x14ac:dyDescent="0.3">
      <c r="C669" s="2" t="str">
        <f>IF(A669&lt;&gt;"",SUM(B669),"")</f>
        <v/>
      </c>
      <c r="D669" s="2" t="str">
        <f>IF(A669&lt;&gt;"",(Recurso!D1*Recurso!C669)/Recurso!C1, "")</f>
        <v/>
      </c>
    </row>
    <row r="670" spans="3:4" x14ac:dyDescent="0.3">
      <c r="C670" s="2" t="str">
        <f>IF(A670&lt;&gt;"",SUM(B670),"")</f>
        <v/>
      </c>
      <c r="D670" s="2" t="str">
        <f>IF(A670&lt;&gt;"",(Recurso!D1*Recurso!C670)/Recurso!C1, "")</f>
        <v/>
      </c>
    </row>
    <row r="671" spans="3:4" x14ac:dyDescent="0.3">
      <c r="C671" s="2" t="str">
        <f>IF(A671&lt;&gt;"",SUM(B671),"")</f>
        <v/>
      </c>
      <c r="D671" s="2" t="str">
        <f>IF(A671&lt;&gt;"",(Recurso!D1*Recurso!C671)/Recurso!C1, "")</f>
        <v/>
      </c>
    </row>
    <row r="672" spans="3:4" x14ac:dyDescent="0.3">
      <c r="C672" s="2" t="str">
        <f>IF(A672&lt;&gt;"",SUM(B672),"")</f>
        <v/>
      </c>
      <c r="D672" s="2" t="str">
        <f>IF(A672&lt;&gt;"",(Recurso!D1*Recurso!C672)/Recurso!C1, "")</f>
        <v/>
      </c>
    </row>
    <row r="673" spans="3:4" x14ac:dyDescent="0.3">
      <c r="C673" s="2" t="str">
        <f>IF(A673&lt;&gt;"",SUM(B673),"")</f>
        <v/>
      </c>
      <c r="D673" s="2" t="str">
        <f>IF(A673&lt;&gt;"",(Recurso!D1*Recurso!C673)/Recurso!C1, "")</f>
        <v/>
      </c>
    </row>
    <row r="674" spans="3:4" x14ac:dyDescent="0.3">
      <c r="C674" s="2" t="str">
        <f>IF(A674&lt;&gt;"",SUM(B674),"")</f>
        <v/>
      </c>
      <c r="D674" s="2" t="str">
        <f>IF(A674&lt;&gt;"",(Recurso!D1*Recurso!C674)/Recurso!C1, "")</f>
        <v/>
      </c>
    </row>
    <row r="675" spans="3:4" x14ac:dyDescent="0.3">
      <c r="C675" s="2" t="str">
        <f>IF(A675&lt;&gt;"",SUM(B675),"")</f>
        <v/>
      </c>
      <c r="D675" s="2" t="str">
        <f>IF(A675&lt;&gt;"",(Recurso!D1*Recurso!C675)/Recurso!C1, "")</f>
        <v/>
      </c>
    </row>
    <row r="676" spans="3:4" x14ac:dyDescent="0.3">
      <c r="C676" s="2" t="str">
        <f>IF(A676&lt;&gt;"",SUM(B676),"")</f>
        <v/>
      </c>
      <c r="D676" s="2" t="str">
        <f>IF(A676&lt;&gt;"",(Recurso!D1*Recurso!C676)/Recurso!C1, "")</f>
        <v/>
      </c>
    </row>
    <row r="677" spans="3:4" x14ac:dyDescent="0.3">
      <c r="C677" s="2" t="str">
        <f>IF(A677&lt;&gt;"",SUM(B677),"")</f>
        <v/>
      </c>
      <c r="D677" s="2" t="str">
        <f>IF(A677&lt;&gt;"",(Recurso!D1*Recurso!C677)/Recurso!C1, "")</f>
        <v/>
      </c>
    </row>
    <row r="678" spans="3:4" x14ac:dyDescent="0.3">
      <c r="C678" s="2" t="str">
        <f>IF(A678&lt;&gt;"",SUM(B678),"")</f>
        <v/>
      </c>
      <c r="D678" s="2" t="str">
        <f>IF(A678&lt;&gt;"",(Recurso!D1*Recurso!C678)/Recurso!C1, "")</f>
        <v/>
      </c>
    </row>
    <row r="679" spans="3:4" x14ac:dyDescent="0.3">
      <c r="C679" s="2" t="str">
        <f>IF(A679&lt;&gt;"",SUM(B679),"")</f>
        <v/>
      </c>
      <c r="D679" s="2" t="str">
        <f>IF(A679&lt;&gt;"",(Recurso!D1*Recurso!C679)/Recurso!C1, "")</f>
        <v/>
      </c>
    </row>
    <row r="680" spans="3:4" x14ac:dyDescent="0.3">
      <c r="C680" s="2" t="str">
        <f>IF(A680&lt;&gt;"",SUM(B680),"")</f>
        <v/>
      </c>
      <c r="D680" s="2" t="str">
        <f>IF(A680&lt;&gt;"",(Recurso!D1*Recurso!C680)/Recurso!C1, "")</f>
        <v/>
      </c>
    </row>
    <row r="681" spans="3:4" x14ac:dyDescent="0.3">
      <c r="C681" s="2" t="str">
        <f>IF(A681&lt;&gt;"",SUM(B681),"")</f>
        <v/>
      </c>
      <c r="D681" s="2" t="str">
        <f>IF(A681&lt;&gt;"",(Recurso!D1*Recurso!C681)/Recurso!C1, "")</f>
        <v/>
      </c>
    </row>
    <row r="682" spans="3:4" x14ac:dyDescent="0.3">
      <c r="C682" s="2" t="str">
        <f>IF(A682&lt;&gt;"",SUM(B682),"")</f>
        <v/>
      </c>
      <c r="D682" s="2" t="str">
        <f>IF(A682&lt;&gt;"",(Recurso!D1*Recurso!C682)/Recurso!C1, "")</f>
        <v/>
      </c>
    </row>
    <row r="683" spans="3:4" x14ac:dyDescent="0.3">
      <c r="C683" s="2" t="str">
        <f>IF(A683&lt;&gt;"",SUM(B683),"")</f>
        <v/>
      </c>
      <c r="D683" s="2" t="str">
        <f>IF(A683&lt;&gt;"",(Recurso!D1*Recurso!C683)/Recurso!C1, "")</f>
        <v/>
      </c>
    </row>
    <row r="684" spans="3:4" x14ac:dyDescent="0.3">
      <c r="C684" s="2" t="str">
        <f>IF(A684&lt;&gt;"",SUM(B684),"")</f>
        <v/>
      </c>
      <c r="D684" s="2" t="str">
        <f>IF(A684&lt;&gt;"",(Recurso!D1*Recurso!C684)/Recurso!C1, "")</f>
        <v/>
      </c>
    </row>
    <row r="685" spans="3:4" x14ac:dyDescent="0.3">
      <c r="C685" s="2" t="str">
        <f>IF(A685&lt;&gt;"",SUM(B685),"")</f>
        <v/>
      </c>
      <c r="D685" s="2" t="str">
        <f>IF(A685&lt;&gt;"",(Recurso!D1*Recurso!C685)/Recurso!C1, "")</f>
        <v/>
      </c>
    </row>
    <row r="686" spans="3:4" x14ac:dyDescent="0.3">
      <c r="C686" s="2" t="str">
        <f>IF(A686&lt;&gt;"",SUM(B686),"")</f>
        <v/>
      </c>
      <c r="D686" s="2" t="str">
        <f>IF(A686&lt;&gt;"",(Recurso!D1*Recurso!C686)/Recurso!C1, "")</f>
        <v/>
      </c>
    </row>
    <row r="687" spans="3:4" x14ac:dyDescent="0.3">
      <c r="C687" s="2" t="str">
        <f>IF(A687&lt;&gt;"",SUM(B687),"")</f>
        <v/>
      </c>
      <c r="D687" s="2" t="str">
        <f>IF(A687&lt;&gt;"",(Recurso!D1*Recurso!C687)/Recurso!C1, "")</f>
        <v/>
      </c>
    </row>
    <row r="688" spans="3:4" x14ac:dyDescent="0.3">
      <c r="C688" s="2" t="str">
        <f>IF(A688&lt;&gt;"",SUM(B688),"")</f>
        <v/>
      </c>
      <c r="D688" s="2" t="str">
        <f>IF(A688&lt;&gt;"",(Recurso!D1*Recurso!C688)/Recurso!C1, "")</f>
        <v/>
      </c>
    </row>
    <row r="689" spans="3:4" x14ac:dyDescent="0.3">
      <c r="C689" s="2" t="str">
        <f>IF(A689&lt;&gt;"",SUM(B689),"")</f>
        <v/>
      </c>
      <c r="D689" s="2" t="str">
        <f>IF(A689&lt;&gt;"",(Recurso!D1*Recurso!C689)/Recurso!C1, "")</f>
        <v/>
      </c>
    </row>
    <row r="690" spans="3:4" x14ac:dyDescent="0.3">
      <c r="C690" s="2" t="str">
        <f>IF(A690&lt;&gt;"",SUM(B690),"")</f>
        <v/>
      </c>
      <c r="D690" s="2" t="str">
        <f>IF(A690&lt;&gt;"",(Recurso!D1*Recurso!C690)/Recurso!C1, "")</f>
        <v/>
      </c>
    </row>
    <row r="691" spans="3:4" x14ac:dyDescent="0.3">
      <c r="C691" s="2" t="str">
        <f>IF(A691&lt;&gt;"",SUM(B691),"")</f>
        <v/>
      </c>
      <c r="D691" s="2" t="str">
        <f>IF(A691&lt;&gt;"",(Recurso!D1*Recurso!C691)/Recurso!C1, "")</f>
        <v/>
      </c>
    </row>
    <row r="692" spans="3:4" x14ac:dyDescent="0.3">
      <c r="C692" s="2" t="str">
        <f>IF(A692&lt;&gt;"",SUM(B692),"")</f>
        <v/>
      </c>
      <c r="D692" s="2" t="str">
        <f>IF(A692&lt;&gt;"",(Recurso!D1*Recurso!C692)/Recurso!C1, "")</f>
        <v/>
      </c>
    </row>
    <row r="693" spans="3:4" x14ac:dyDescent="0.3">
      <c r="C693" s="2" t="str">
        <f>IF(A693&lt;&gt;"",SUM(B693),"")</f>
        <v/>
      </c>
      <c r="D693" s="2" t="str">
        <f>IF(A693&lt;&gt;"",(Recurso!D1*Recurso!C693)/Recurso!C1, "")</f>
        <v/>
      </c>
    </row>
    <row r="694" spans="3:4" x14ac:dyDescent="0.3">
      <c r="C694" s="2" t="str">
        <f>IF(A694&lt;&gt;"",SUM(B694),"")</f>
        <v/>
      </c>
      <c r="D694" s="2" t="str">
        <f>IF(A694&lt;&gt;"",(Recurso!D1*Recurso!C694)/Recurso!C1, "")</f>
        <v/>
      </c>
    </row>
    <row r="695" spans="3:4" x14ac:dyDescent="0.3">
      <c r="C695" s="2" t="str">
        <f>IF(A695&lt;&gt;"",SUM(B695),"")</f>
        <v/>
      </c>
      <c r="D695" s="2" t="str">
        <f>IF(A695&lt;&gt;"",(Recurso!D1*Recurso!C695)/Recurso!C1, "")</f>
        <v/>
      </c>
    </row>
    <row r="696" spans="3:4" x14ac:dyDescent="0.3">
      <c r="C696" s="2" t="str">
        <f>IF(A696&lt;&gt;"",SUM(B696),"")</f>
        <v/>
      </c>
      <c r="D696" s="2" t="str">
        <f>IF(A696&lt;&gt;"",(Recurso!D1*Recurso!C696)/Recurso!C1, "")</f>
        <v/>
      </c>
    </row>
    <row r="697" spans="3:4" x14ac:dyDescent="0.3">
      <c r="C697" s="2" t="str">
        <f>IF(A697&lt;&gt;"",SUM(B697),"")</f>
        <v/>
      </c>
      <c r="D697" s="2" t="str">
        <f>IF(A697&lt;&gt;"",(Recurso!D1*Recurso!C697)/Recurso!C1, "")</f>
        <v/>
      </c>
    </row>
    <row r="698" spans="3:4" x14ac:dyDescent="0.3">
      <c r="C698" s="2" t="str">
        <f>IF(A698&lt;&gt;"",SUM(B698),"")</f>
        <v/>
      </c>
      <c r="D698" s="2" t="str">
        <f>IF(A698&lt;&gt;"",(Recurso!D1*Recurso!C698)/Recurso!C1, "")</f>
        <v/>
      </c>
    </row>
    <row r="699" spans="3:4" x14ac:dyDescent="0.3">
      <c r="C699" s="2" t="str">
        <f>IF(A699&lt;&gt;"",SUM(B699),"")</f>
        <v/>
      </c>
      <c r="D699" s="2" t="str">
        <f>IF(A699&lt;&gt;"",(Recurso!D1*Recurso!C699)/Recurso!C1, "")</f>
        <v/>
      </c>
    </row>
    <row r="700" spans="3:4" x14ac:dyDescent="0.3">
      <c r="C700" s="2" t="str">
        <f>IF(A700&lt;&gt;"",SUM(B700),"")</f>
        <v/>
      </c>
      <c r="D700" s="2" t="str">
        <f>IF(A700&lt;&gt;"",(Recurso!D1*Recurso!C700)/Recurso!C1, "")</f>
        <v/>
      </c>
    </row>
    <row r="701" spans="3:4" x14ac:dyDescent="0.3">
      <c r="C701" s="2" t="str">
        <f>IF(A701&lt;&gt;"",SUM(B701),"")</f>
        <v/>
      </c>
      <c r="D701" s="2" t="str">
        <f>IF(A701&lt;&gt;"",(Recurso!D1*Recurso!C701)/Recurso!C1, "")</f>
        <v/>
      </c>
    </row>
    <row r="702" spans="3:4" x14ac:dyDescent="0.3">
      <c r="C702" s="2" t="str">
        <f>IF(A702&lt;&gt;"",SUM(B702),"")</f>
        <v/>
      </c>
      <c r="D702" s="2" t="str">
        <f>IF(A702&lt;&gt;"",(Recurso!D1*Recurso!C702)/Recurso!C1, "")</f>
        <v/>
      </c>
    </row>
    <row r="703" spans="3:4" x14ac:dyDescent="0.3">
      <c r="C703" s="2" t="str">
        <f>IF(A703&lt;&gt;"",SUM(B703),"")</f>
        <v/>
      </c>
      <c r="D703" s="2" t="str">
        <f>IF(A703&lt;&gt;"",(Recurso!D1*Recurso!C703)/Recurso!C1, "")</f>
        <v/>
      </c>
    </row>
    <row r="704" spans="3:4" x14ac:dyDescent="0.3">
      <c r="C704" s="2" t="str">
        <f>IF(A704&lt;&gt;"",SUM(B704),"")</f>
        <v/>
      </c>
      <c r="D704" s="2" t="str">
        <f>IF(A704&lt;&gt;"",(Recurso!D1*Recurso!C704)/Recurso!C1, "")</f>
        <v/>
      </c>
    </row>
    <row r="705" spans="3:4" x14ac:dyDescent="0.3">
      <c r="C705" s="2" t="str">
        <f>IF(A705&lt;&gt;"",SUM(B705),"")</f>
        <v/>
      </c>
      <c r="D705" s="2" t="str">
        <f>IF(A705&lt;&gt;"",(Recurso!D1*Recurso!C705)/Recurso!C1, "")</f>
        <v/>
      </c>
    </row>
    <row r="706" spans="3:4" x14ac:dyDescent="0.3">
      <c r="C706" s="2" t="str">
        <f>IF(A706&lt;&gt;"",SUM(B706),"")</f>
        <v/>
      </c>
      <c r="D706" s="2" t="str">
        <f>IF(A706&lt;&gt;"",(Recurso!D1*Recurso!C706)/Recurso!C1, "")</f>
        <v/>
      </c>
    </row>
    <row r="707" spans="3:4" x14ac:dyDescent="0.3">
      <c r="C707" s="2" t="str">
        <f>IF(A707&lt;&gt;"",SUM(B707),"")</f>
        <v/>
      </c>
      <c r="D707" s="2" t="str">
        <f>IF(A707&lt;&gt;"",(Recurso!D1*Recurso!C707)/Recurso!C1, "")</f>
        <v/>
      </c>
    </row>
    <row r="708" spans="3:4" x14ac:dyDescent="0.3">
      <c r="C708" s="2" t="str">
        <f>IF(A708&lt;&gt;"",SUM(B708),"")</f>
        <v/>
      </c>
      <c r="D708" s="2" t="str">
        <f>IF(A708&lt;&gt;"",(Recurso!D1*Recurso!C708)/Recurso!C1, "")</f>
        <v/>
      </c>
    </row>
    <row r="709" spans="3:4" x14ac:dyDescent="0.3">
      <c r="C709" s="2" t="str">
        <f>IF(A709&lt;&gt;"",SUM(B709),"")</f>
        <v/>
      </c>
      <c r="D709" s="2" t="str">
        <f>IF(A709&lt;&gt;"",(Recurso!D1*Recurso!C709)/Recurso!C1, "")</f>
        <v/>
      </c>
    </row>
    <row r="710" spans="3:4" x14ac:dyDescent="0.3">
      <c r="C710" s="2" t="str">
        <f>IF(A710&lt;&gt;"",SUM(B710),"")</f>
        <v/>
      </c>
      <c r="D710" s="2" t="str">
        <f>IF(A710&lt;&gt;"",(Recurso!D1*Recurso!C710)/Recurso!C1, "")</f>
        <v/>
      </c>
    </row>
    <row r="711" spans="3:4" x14ac:dyDescent="0.3">
      <c r="C711" s="2" t="str">
        <f>IF(A711&lt;&gt;"",SUM(B711),"")</f>
        <v/>
      </c>
      <c r="D711" s="2" t="str">
        <f>IF(A711&lt;&gt;"",(Recurso!D1*Recurso!C711)/Recurso!C1, "")</f>
        <v/>
      </c>
    </row>
    <row r="712" spans="3:4" x14ac:dyDescent="0.3">
      <c r="C712" s="2" t="str">
        <f>IF(A712&lt;&gt;"",SUM(B712),"")</f>
        <v/>
      </c>
      <c r="D712" s="2" t="str">
        <f>IF(A712&lt;&gt;"",(Recurso!D1*Recurso!C712)/Recurso!C1, "")</f>
        <v/>
      </c>
    </row>
    <row r="713" spans="3:4" x14ac:dyDescent="0.3">
      <c r="C713" s="2" t="str">
        <f>IF(A713&lt;&gt;"",SUM(B713),"")</f>
        <v/>
      </c>
      <c r="D713" s="2" t="str">
        <f>IF(A713&lt;&gt;"",(Recurso!D1*Recurso!C713)/Recurso!C1, "")</f>
        <v/>
      </c>
    </row>
    <row r="714" spans="3:4" x14ac:dyDescent="0.3">
      <c r="C714" s="2" t="str">
        <f>IF(A714&lt;&gt;"",SUM(B714),"")</f>
        <v/>
      </c>
      <c r="D714" s="2" t="str">
        <f>IF(A714&lt;&gt;"",(Recurso!D1*Recurso!C714)/Recurso!C1, "")</f>
        <v/>
      </c>
    </row>
    <row r="715" spans="3:4" x14ac:dyDescent="0.3">
      <c r="C715" s="2" t="str">
        <f>IF(A715&lt;&gt;"",SUM(B715),"")</f>
        <v/>
      </c>
      <c r="D715" s="2" t="str">
        <f>IF(A715&lt;&gt;"",(Recurso!D1*Recurso!C715)/Recurso!C1, "")</f>
        <v/>
      </c>
    </row>
    <row r="716" spans="3:4" x14ac:dyDescent="0.3">
      <c r="C716" s="2" t="str">
        <f>IF(A716&lt;&gt;"",SUM(B716),"")</f>
        <v/>
      </c>
      <c r="D716" s="2" t="str">
        <f>IF(A716&lt;&gt;"",(Recurso!D1*Recurso!C716)/Recurso!C1, "")</f>
        <v/>
      </c>
    </row>
    <row r="717" spans="3:4" x14ac:dyDescent="0.3">
      <c r="C717" s="2" t="str">
        <f>IF(A717&lt;&gt;"",SUM(B717),"")</f>
        <v/>
      </c>
      <c r="D717" s="2" t="str">
        <f>IF(A717&lt;&gt;"",(Recurso!D1*Recurso!C717)/Recurso!C1, "")</f>
        <v/>
      </c>
    </row>
    <row r="718" spans="3:4" x14ac:dyDescent="0.3">
      <c r="C718" s="2" t="str">
        <f>IF(A718&lt;&gt;"",SUM(B718),"")</f>
        <v/>
      </c>
      <c r="D718" s="2" t="str">
        <f>IF(A718&lt;&gt;"",(Recurso!D1*Recurso!C718)/Recurso!C1, "")</f>
        <v/>
      </c>
    </row>
    <row r="719" spans="3:4" x14ac:dyDescent="0.3">
      <c r="C719" s="2" t="str">
        <f>IF(A719&lt;&gt;"",SUM(B719),"")</f>
        <v/>
      </c>
      <c r="D719" s="2" t="str">
        <f>IF(A719&lt;&gt;"",(Recurso!D1*Recurso!C719)/Recurso!C1, "")</f>
        <v/>
      </c>
    </row>
    <row r="720" spans="3:4" x14ac:dyDescent="0.3">
      <c r="C720" s="2" t="str">
        <f>IF(A720&lt;&gt;"",SUM(B720),"")</f>
        <v/>
      </c>
      <c r="D720" s="2" t="str">
        <f>IF(A720&lt;&gt;"",(Recurso!D1*Recurso!C720)/Recurso!C1, "")</f>
        <v/>
      </c>
    </row>
    <row r="721" spans="3:4" x14ac:dyDescent="0.3">
      <c r="C721" s="2" t="str">
        <f>IF(A721&lt;&gt;"",SUM(B721),"")</f>
        <v/>
      </c>
      <c r="D721" s="2" t="str">
        <f>IF(A721&lt;&gt;"",(Recurso!D1*Recurso!C721)/Recurso!C1, "")</f>
        <v/>
      </c>
    </row>
    <row r="722" spans="3:4" x14ac:dyDescent="0.3">
      <c r="C722" s="2" t="str">
        <f>IF(A722&lt;&gt;"",SUM(B722),"")</f>
        <v/>
      </c>
      <c r="D722" s="2" t="str">
        <f>IF(A722&lt;&gt;"",(Recurso!D1*Recurso!C722)/Recurso!C1, "")</f>
        <v/>
      </c>
    </row>
    <row r="723" spans="3:4" x14ac:dyDescent="0.3">
      <c r="C723" s="2" t="str">
        <f>IF(A723&lt;&gt;"",SUM(B723),"")</f>
        <v/>
      </c>
      <c r="D723" s="2" t="str">
        <f>IF(A723&lt;&gt;"",(Recurso!D1*Recurso!C723)/Recurso!C1, "")</f>
        <v/>
      </c>
    </row>
    <row r="724" spans="3:4" x14ac:dyDescent="0.3">
      <c r="C724" s="2" t="str">
        <f>IF(A724&lt;&gt;"",SUM(B724),"")</f>
        <v/>
      </c>
      <c r="D724" s="2" t="str">
        <f>IF(A724&lt;&gt;"",(Recurso!D1*Recurso!C724)/Recurso!C1, "")</f>
        <v/>
      </c>
    </row>
    <row r="725" spans="3:4" x14ac:dyDescent="0.3">
      <c r="C725" s="2" t="str">
        <f>IF(A725&lt;&gt;"",SUM(B725),"")</f>
        <v/>
      </c>
      <c r="D725" s="2" t="str">
        <f>IF(A725&lt;&gt;"",(Recurso!D1*Recurso!C725)/Recurso!C1, "")</f>
        <v/>
      </c>
    </row>
    <row r="726" spans="3:4" x14ac:dyDescent="0.3">
      <c r="C726" s="2" t="str">
        <f>IF(A726&lt;&gt;"",SUM(B726),"")</f>
        <v/>
      </c>
      <c r="D726" s="2" t="str">
        <f>IF(A726&lt;&gt;"",(Recurso!D1*Recurso!C726)/Recurso!C1, "")</f>
        <v/>
      </c>
    </row>
    <row r="727" spans="3:4" x14ac:dyDescent="0.3">
      <c r="C727" s="2" t="str">
        <f>IF(A727&lt;&gt;"",SUM(B727),"")</f>
        <v/>
      </c>
      <c r="D727" s="2" t="str">
        <f>IF(A727&lt;&gt;"",(Recurso!D1*Recurso!C727)/Recurso!C1, "")</f>
        <v/>
      </c>
    </row>
    <row r="728" spans="3:4" x14ac:dyDescent="0.3">
      <c r="C728" s="2" t="str">
        <f>IF(A728&lt;&gt;"",SUM(B728),"")</f>
        <v/>
      </c>
      <c r="D728" s="2" t="str">
        <f>IF(A728&lt;&gt;"",(Recurso!D1*Recurso!C728)/Recurso!C1, "")</f>
        <v/>
      </c>
    </row>
    <row r="729" spans="3:4" x14ac:dyDescent="0.3">
      <c r="C729" s="2" t="str">
        <f>IF(A729&lt;&gt;"",SUM(B729),"")</f>
        <v/>
      </c>
      <c r="D729" s="2" t="str">
        <f>IF(A729&lt;&gt;"",(Recurso!D1*Recurso!C729)/Recurso!C1, "")</f>
        <v/>
      </c>
    </row>
    <row r="730" spans="3:4" x14ac:dyDescent="0.3">
      <c r="C730" s="2" t="str">
        <f>IF(A730&lt;&gt;"",SUM(B730),"")</f>
        <v/>
      </c>
      <c r="D730" s="2" t="str">
        <f>IF(A730&lt;&gt;"",(Recurso!D1*Recurso!C730)/Recurso!C1, "")</f>
        <v/>
      </c>
    </row>
    <row r="731" spans="3:4" x14ac:dyDescent="0.3">
      <c r="C731" s="2" t="str">
        <f>IF(A731&lt;&gt;"",SUM(B731),"")</f>
        <v/>
      </c>
      <c r="D731" s="2" t="str">
        <f>IF(A731&lt;&gt;"",(Recurso!D1*Recurso!C731)/Recurso!C1, "")</f>
        <v/>
      </c>
    </row>
    <row r="732" spans="3:4" x14ac:dyDescent="0.3">
      <c r="C732" s="2" t="str">
        <f>IF(A732&lt;&gt;"",SUM(B732),"")</f>
        <v/>
      </c>
      <c r="D732" s="2" t="str">
        <f>IF(A732&lt;&gt;"",(Recurso!D1*Recurso!C732)/Recurso!C1, "")</f>
        <v/>
      </c>
    </row>
    <row r="733" spans="3:4" x14ac:dyDescent="0.3">
      <c r="C733" s="2" t="str">
        <f>IF(A733&lt;&gt;"",SUM(B733),"")</f>
        <v/>
      </c>
      <c r="D733" s="2" t="str">
        <f>IF(A733&lt;&gt;"",(Recurso!D1*Recurso!C733)/Recurso!C1, "")</f>
        <v/>
      </c>
    </row>
    <row r="734" spans="3:4" x14ac:dyDescent="0.3">
      <c r="C734" s="2" t="str">
        <f>IF(A734&lt;&gt;"",SUM(B734),"")</f>
        <v/>
      </c>
      <c r="D734" s="2" t="str">
        <f>IF(A734&lt;&gt;"",(Recurso!D1*Recurso!C734)/Recurso!C1, "")</f>
        <v/>
      </c>
    </row>
    <row r="735" spans="3:4" x14ac:dyDescent="0.3">
      <c r="C735" s="2" t="str">
        <f>IF(A735&lt;&gt;"",SUM(B735),"")</f>
        <v/>
      </c>
      <c r="D735" s="2" t="str">
        <f>IF(A735&lt;&gt;"",(Recurso!D1*Recurso!C735)/Recurso!C1, "")</f>
        <v/>
      </c>
    </row>
    <row r="736" spans="3:4" x14ac:dyDescent="0.3">
      <c r="C736" s="2" t="str">
        <f>IF(A736&lt;&gt;"",SUM(B736),"")</f>
        <v/>
      </c>
      <c r="D736" s="2" t="str">
        <f>IF(A736&lt;&gt;"",(Recurso!D1*Recurso!C736)/Recurso!C1, "")</f>
        <v/>
      </c>
    </row>
    <row r="737" spans="3:4" x14ac:dyDescent="0.3">
      <c r="C737" s="2" t="str">
        <f>IF(A737&lt;&gt;"",SUM(B737),"")</f>
        <v/>
      </c>
      <c r="D737" s="2" t="str">
        <f>IF(A737&lt;&gt;"",(Recurso!D1*Recurso!C737)/Recurso!C1, "")</f>
        <v/>
      </c>
    </row>
    <row r="738" spans="3:4" x14ac:dyDescent="0.3">
      <c r="C738" s="2" t="str">
        <f>IF(A738&lt;&gt;"",SUM(B738),"")</f>
        <v/>
      </c>
      <c r="D738" s="2" t="str">
        <f>IF(A738&lt;&gt;"",(Recurso!D1*Recurso!C738)/Recurso!C1, "")</f>
        <v/>
      </c>
    </row>
    <row r="739" spans="3:4" x14ac:dyDescent="0.3">
      <c r="C739" s="2" t="str">
        <f>IF(A739&lt;&gt;"",SUM(B739),"")</f>
        <v/>
      </c>
      <c r="D739" s="2" t="str">
        <f>IF(A739&lt;&gt;"",(Recurso!D1*Recurso!C739)/Recurso!C1, "")</f>
        <v/>
      </c>
    </row>
    <row r="740" spans="3:4" x14ac:dyDescent="0.3">
      <c r="C740" s="2" t="str">
        <f>IF(A740&lt;&gt;"",SUM(B740),"")</f>
        <v/>
      </c>
      <c r="D740" s="2" t="str">
        <f>IF(A740&lt;&gt;"",(Recurso!D1*Recurso!C740)/Recurso!C1, "")</f>
        <v/>
      </c>
    </row>
    <row r="741" spans="3:4" x14ac:dyDescent="0.3">
      <c r="C741" s="2" t="str">
        <f>IF(A741&lt;&gt;"",SUM(B741),"")</f>
        <v/>
      </c>
      <c r="D741" s="2" t="str">
        <f>IF(A741&lt;&gt;"",(Recurso!D1*Recurso!C741)/Recurso!C1, "")</f>
        <v/>
      </c>
    </row>
    <row r="742" spans="3:4" x14ac:dyDescent="0.3">
      <c r="C742" s="2" t="str">
        <f>IF(A742&lt;&gt;"",SUM(B742),"")</f>
        <v/>
      </c>
      <c r="D742" s="2" t="str">
        <f>IF(A742&lt;&gt;"",(Recurso!D1*Recurso!C742)/Recurso!C1, "")</f>
        <v/>
      </c>
    </row>
    <row r="743" spans="3:4" x14ac:dyDescent="0.3">
      <c r="C743" s="2" t="str">
        <f>IF(A743&lt;&gt;"",SUM(B743),"")</f>
        <v/>
      </c>
      <c r="D743" s="2" t="str">
        <f>IF(A743&lt;&gt;"",(Recurso!D1*Recurso!C743)/Recurso!C1, "")</f>
        <v/>
      </c>
    </row>
    <row r="744" spans="3:4" x14ac:dyDescent="0.3">
      <c r="C744" s="2" t="str">
        <f>IF(A744&lt;&gt;"",SUM(B744),"")</f>
        <v/>
      </c>
      <c r="D744" s="2" t="str">
        <f>IF(A744&lt;&gt;"",(Recurso!D1*Recurso!C744)/Recurso!C1, "")</f>
        <v/>
      </c>
    </row>
    <row r="745" spans="3:4" x14ac:dyDescent="0.3">
      <c r="C745" s="2" t="str">
        <f>IF(A745&lt;&gt;"",SUM(B745),"")</f>
        <v/>
      </c>
      <c r="D745" s="2" t="str">
        <f>IF(A745&lt;&gt;"",(Recurso!D1*Recurso!C745)/Recurso!C1, "")</f>
        <v/>
      </c>
    </row>
    <row r="746" spans="3:4" x14ac:dyDescent="0.3">
      <c r="C746" s="2" t="str">
        <f>IF(A746&lt;&gt;"",SUM(B746),"")</f>
        <v/>
      </c>
      <c r="D746" s="2" t="str">
        <f>IF(A746&lt;&gt;"",(Recurso!D1*Recurso!C746)/Recurso!C1, "")</f>
        <v/>
      </c>
    </row>
    <row r="747" spans="3:4" x14ac:dyDescent="0.3">
      <c r="C747" s="2" t="str">
        <f>IF(A747&lt;&gt;"",SUM(B747),"")</f>
        <v/>
      </c>
      <c r="D747" s="2" t="str">
        <f>IF(A747&lt;&gt;"",(Recurso!D1*Recurso!C747)/Recurso!C1, "")</f>
        <v/>
      </c>
    </row>
    <row r="748" spans="3:4" x14ac:dyDescent="0.3">
      <c r="C748" s="2" t="str">
        <f>IF(A748&lt;&gt;"",SUM(B748),"")</f>
        <v/>
      </c>
      <c r="D748" s="2" t="str">
        <f>IF(A748&lt;&gt;"",(Recurso!D1*Recurso!C748)/Recurso!C1, "")</f>
        <v/>
      </c>
    </row>
    <row r="749" spans="3:4" x14ac:dyDescent="0.3">
      <c r="C749" s="2" t="str">
        <f>IF(A749&lt;&gt;"",SUM(B749),"")</f>
        <v/>
      </c>
      <c r="D749" s="2" t="str">
        <f>IF(A749&lt;&gt;"",(Recurso!D1*Recurso!C749)/Recurso!C1, "")</f>
        <v/>
      </c>
    </row>
    <row r="750" spans="3:4" x14ac:dyDescent="0.3">
      <c r="C750" s="2" t="str">
        <f>IF(A750&lt;&gt;"",SUM(B750),"")</f>
        <v/>
      </c>
      <c r="D750" s="2" t="str">
        <f>IF(A750&lt;&gt;"",(Recurso!D1*Recurso!C750)/Recurso!C1, "")</f>
        <v/>
      </c>
    </row>
    <row r="751" spans="3:4" x14ac:dyDescent="0.3">
      <c r="C751" s="2" t="str">
        <f>IF(A751&lt;&gt;"",SUM(B751),"")</f>
        <v/>
      </c>
      <c r="D751" s="2" t="str">
        <f>IF(A751&lt;&gt;"",(Recurso!D1*Recurso!C751)/Recurso!C1, "")</f>
        <v/>
      </c>
    </row>
    <row r="752" spans="3:4" x14ac:dyDescent="0.3">
      <c r="C752" s="2" t="str">
        <f>IF(A752&lt;&gt;"",SUM(B752),"")</f>
        <v/>
      </c>
      <c r="D752" s="2" t="str">
        <f>IF(A752&lt;&gt;"",(Recurso!D1*Recurso!C752)/Recurso!C1, "")</f>
        <v/>
      </c>
    </row>
    <row r="753" spans="3:4" x14ac:dyDescent="0.3">
      <c r="C753" s="2" t="str">
        <f>IF(A753&lt;&gt;"",SUM(B753),"")</f>
        <v/>
      </c>
      <c r="D753" s="2" t="str">
        <f>IF(A753&lt;&gt;"",(Recurso!D1*Recurso!C753)/Recurso!C1, "")</f>
        <v/>
      </c>
    </row>
    <row r="754" spans="3:4" x14ac:dyDescent="0.3">
      <c r="C754" s="2" t="str">
        <f>IF(A754&lt;&gt;"",SUM(B754),"")</f>
        <v/>
      </c>
      <c r="D754" s="2" t="str">
        <f>IF(A754&lt;&gt;"",(Recurso!D1*Recurso!C754)/Recurso!C1, "")</f>
        <v/>
      </c>
    </row>
    <row r="755" spans="3:4" x14ac:dyDescent="0.3">
      <c r="C755" s="2" t="str">
        <f>IF(A755&lt;&gt;"",SUM(B755),"")</f>
        <v/>
      </c>
      <c r="D755" s="2" t="str">
        <f>IF(A755&lt;&gt;"",(Recurso!D1*Recurso!C755)/Recurso!C1, "")</f>
        <v/>
      </c>
    </row>
    <row r="756" spans="3:4" x14ac:dyDescent="0.3">
      <c r="C756" s="2" t="str">
        <f>IF(A756&lt;&gt;"",SUM(B756),"")</f>
        <v/>
      </c>
      <c r="D756" s="2" t="str">
        <f>IF(A756&lt;&gt;"",(Recurso!D1*Recurso!C756)/Recurso!C1, "")</f>
        <v/>
      </c>
    </row>
    <row r="757" spans="3:4" x14ac:dyDescent="0.3">
      <c r="C757" s="2" t="str">
        <f>IF(A757&lt;&gt;"",SUM(B757),"")</f>
        <v/>
      </c>
      <c r="D757" s="2" t="str">
        <f>IF(A757&lt;&gt;"",(Recurso!D1*Recurso!C757)/Recurso!C1, "")</f>
        <v/>
      </c>
    </row>
    <row r="758" spans="3:4" x14ac:dyDescent="0.3">
      <c r="C758" s="2" t="str">
        <f>IF(A758&lt;&gt;"",SUM(B758),"")</f>
        <v/>
      </c>
      <c r="D758" s="2" t="str">
        <f>IF(A758&lt;&gt;"",(Recurso!D1*Recurso!C758)/Recurso!C1, "")</f>
        <v/>
      </c>
    </row>
    <row r="759" spans="3:4" x14ac:dyDescent="0.3">
      <c r="C759" s="2" t="str">
        <f>IF(A759&lt;&gt;"",SUM(B759),"")</f>
        <v/>
      </c>
      <c r="D759" s="2" t="str">
        <f>IF(A759&lt;&gt;"",(Recurso!D1*Recurso!C759)/Recurso!C1, "")</f>
        <v/>
      </c>
    </row>
    <row r="760" spans="3:4" x14ac:dyDescent="0.3">
      <c r="C760" s="2" t="str">
        <f>IF(A760&lt;&gt;"",SUM(B760),"")</f>
        <v/>
      </c>
      <c r="D760" s="2" t="str">
        <f>IF(A760&lt;&gt;"",(Recurso!D1*Recurso!C760)/Recurso!C1, "")</f>
        <v/>
      </c>
    </row>
    <row r="761" spans="3:4" x14ac:dyDescent="0.3">
      <c r="C761" s="2" t="str">
        <f>IF(A761&lt;&gt;"",SUM(B761),"")</f>
        <v/>
      </c>
      <c r="D761" s="2" t="str">
        <f>IF(A761&lt;&gt;"",(Recurso!D1*Recurso!C761)/Recurso!C1, "")</f>
        <v/>
      </c>
    </row>
    <row r="762" spans="3:4" x14ac:dyDescent="0.3">
      <c r="C762" s="2" t="str">
        <f>IF(A762&lt;&gt;"",SUM(B762),"")</f>
        <v/>
      </c>
      <c r="D762" s="2" t="str">
        <f>IF(A762&lt;&gt;"",(Recurso!D1*Recurso!C762)/Recurso!C1, "")</f>
        <v/>
      </c>
    </row>
    <row r="763" spans="3:4" x14ac:dyDescent="0.3">
      <c r="C763" s="2" t="str">
        <f>IF(A763&lt;&gt;"",SUM(B763),"")</f>
        <v/>
      </c>
      <c r="D763" s="2" t="str">
        <f>IF(A763&lt;&gt;"",(Recurso!D1*Recurso!C763)/Recurso!C1, "")</f>
        <v/>
      </c>
    </row>
    <row r="764" spans="3:4" x14ac:dyDescent="0.3">
      <c r="C764" s="2" t="str">
        <f>IF(A764&lt;&gt;"",SUM(B764),"")</f>
        <v/>
      </c>
      <c r="D764" s="2" t="str">
        <f>IF(A764&lt;&gt;"",(Recurso!D1*Recurso!C764)/Recurso!C1, "")</f>
        <v/>
      </c>
    </row>
    <row r="765" spans="3:4" x14ac:dyDescent="0.3">
      <c r="C765" s="2" t="str">
        <f>IF(A765&lt;&gt;"",SUM(B765),"")</f>
        <v/>
      </c>
      <c r="D765" s="2" t="str">
        <f>IF(A765&lt;&gt;"",(Recurso!D1*Recurso!C765)/Recurso!C1, "")</f>
        <v/>
      </c>
    </row>
    <row r="766" spans="3:4" x14ac:dyDescent="0.3">
      <c r="C766" s="2" t="str">
        <f>IF(A766&lt;&gt;"",SUM(B766),"")</f>
        <v/>
      </c>
      <c r="D766" s="2" t="str">
        <f>IF(A766&lt;&gt;"",(Recurso!D1*Recurso!C766)/Recurso!C1, "")</f>
        <v/>
      </c>
    </row>
    <row r="767" spans="3:4" x14ac:dyDescent="0.3">
      <c r="C767" s="2" t="str">
        <f>IF(A767&lt;&gt;"",SUM(B767),"")</f>
        <v/>
      </c>
      <c r="D767" s="2" t="str">
        <f>IF(A767&lt;&gt;"",(Recurso!D1*Recurso!C767)/Recurso!C1, "")</f>
        <v/>
      </c>
    </row>
    <row r="768" spans="3:4" x14ac:dyDescent="0.3">
      <c r="C768" s="2" t="str">
        <f>IF(A768&lt;&gt;"",SUM(B768),"")</f>
        <v/>
      </c>
      <c r="D768" s="2" t="str">
        <f>IF(A768&lt;&gt;"",(Recurso!D1*Recurso!C768)/Recurso!C1, "")</f>
        <v/>
      </c>
    </row>
    <row r="769" spans="3:4" x14ac:dyDescent="0.3">
      <c r="C769" s="2" t="str">
        <f>IF(A769&lt;&gt;"",SUM(B769),"")</f>
        <v/>
      </c>
      <c r="D769" s="2" t="str">
        <f>IF(A769&lt;&gt;"",(Recurso!D1*Recurso!C769)/Recurso!C1, "")</f>
        <v/>
      </c>
    </row>
    <row r="770" spans="3:4" x14ac:dyDescent="0.3">
      <c r="C770" s="2" t="str">
        <f>IF(A770&lt;&gt;"",SUM(B770),"")</f>
        <v/>
      </c>
      <c r="D770" s="2" t="str">
        <f>IF(A770&lt;&gt;"",(Recurso!D1*Recurso!C770)/Recurso!C1, "")</f>
        <v/>
      </c>
    </row>
    <row r="771" spans="3:4" x14ac:dyDescent="0.3">
      <c r="C771" s="2" t="str">
        <f>IF(A771&lt;&gt;"",SUM(B771),"")</f>
        <v/>
      </c>
      <c r="D771" s="2" t="str">
        <f>IF(A771&lt;&gt;"",(Recurso!D1*Recurso!C771)/Recurso!C1, "")</f>
        <v/>
      </c>
    </row>
    <row r="772" spans="3:4" x14ac:dyDescent="0.3">
      <c r="C772" s="2" t="str">
        <f>IF(A772&lt;&gt;"",SUM(B772),"")</f>
        <v/>
      </c>
      <c r="D772" s="2" t="str">
        <f>IF(A772&lt;&gt;"",(Recurso!D1*Recurso!C772)/Recurso!C1, "")</f>
        <v/>
      </c>
    </row>
    <row r="773" spans="3:4" x14ac:dyDescent="0.3">
      <c r="C773" s="2" t="str">
        <f>IF(A773&lt;&gt;"",SUM(B773),"")</f>
        <v/>
      </c>
      <c r="D773" s="2" t="str">
        <f>IF(A773&lt;&gt;"",(Recurso!D1*Recurso!C773)/Recurso!C1, "")</f>
        <v/>
      </c>
    </row>
    <row r="774" spans="3:4" x14ac:dyDescent="0.3">
      <c r="C774" s="2" t="str">
        <f>IF(A774&lt;&gt;"",SUM(B774),"")</f>
        <v/>
      </c>
      <c r="D774" s="2" t="str">
        <f>IF(A774&lt;&gt;"",(Recurso!D1*Recurso!C774)/Recurso!C1, "")</f>
        <v/>
      </c>
    </row>
    <row r="775" spans="3:4" x14ac:dyDescent="0.3">
      <c r="C775" s="2" t="str">
        <f>IF(A775&lt;&gt;"",SUM(B775),"")</f>
        <v/>
      </c>
      <c r="D775" s="2" t="str">
        <f>IF(A775&lt;&gt;"",(Recurso!D1*Recurso!C775)/Recurso!C1, "")</f>
        <v/>
      </c>
    </row>
    <row r="776" spans="3:4" x14ac:dyDescent="0.3">
      <c r="C776" s="2" t="str">
        <f>IF(A776&lt;&gt;"",SUM(B776),"")</f>
        <v/>
      </c>
      <c r="D776" s="2" t="str">
        <f>IF(A776&lt;&gt;"",(Recurso!D1*Recurso!C776)/Recurso!C1, "")</f>
        <v/>
      </c>
    </row>
    <row r="777" spans="3:4" x14ac:dyDescent="0.3">
      <c r="C777" s="2" t="str">
        <f>IF(A777&lt;&gt;"",SUM(B777),"")</f>
        <v/>
      </c>
      <c r="D777" s="2" t="str">
        <f>IF(A777&lt;&gt;"",(Recurso!D1*Recurso!C777)/Recurso!C1, "")</f>
        <v/>
      </c>
    </row>
    <row r="778" spans="3:4" x14ac:dyDescent="0.3">
      <c r="C778" s="2" t="str">
        <f>IF(A778&lt;&gt;"",SUM(B778),"")</f>
        <v/>
      </c>
      <c r="D778" s="2" t="str">
        <f>IF(A778&lt;&gt;"",(Recurso!D1*Recurso!C778)/Recurso!C1, "")</f>
        <v/>
      </c>
    </row>
    <row r="779" spans="3:4" x14ac:dyDescent="0.3">
      <c r="C779" s="2" t="str">
        <f>IF(A779&lt;&gt;"",SUM(B779),"")</f>
        <v/>
      </c>
      <c r="D779" s="2" t="str">
        <f>IF(A779&lt;&gt;"",(Recurso!D1*Recurso!C779)/Recurso!C1, "")</f>
        <v/>
      </c>
    </row>
    <row r="780" spans="3:4" x14ac:dyDescent="0.3">
      <c r="C780" s="2" t="str">
        <f>IF(A780&lt;&gt;"",SUM(B780),"")</f>
        <v/>
      </c>
      <c r="D780" s="2" t="str">
        <f>IF(A780&lt;&gt;"",(Recurso!D1*Recurso!C780)/Recurso!C1, "")</f>
        <v/>
      </c>
    </row>
    <row r="781" spans="3:4" x14ac:dyDescent="0.3">
      <c r="C781" s="2" t="str">
        <f>IF(A781&lt;&gt;"",SUM(B781),"")</f>
        <v/>
      </c>
      <c r="D781" s="2" t="str">
        <f>IF(A781&lt;&gt;"",(Recurso!D1*Recurso!C781)/Recurso!C1, "")</f>
        <v/>
      </c>
    </row>
    <row r="782" spans="3:4" x14ac:dyDescent="0.3">
      <c r="C782" s="2" t="str">
        <f>IF(A782&lt;&gt;"",SUM(B782),"")</f>
        <v/>
      </c>
      <c r="D782" s="2" t="str">
        <f>IF(A782&lt;&gt;"",(Recurso!D1*Recurso!C782)/Recurso!C1, "")</f>
        <v/>
      </c>
    </row>
    <row r="783" spans="3:4" x14ac:dyDescent="0.3">
      <c r="C783" s="2" t="str">
        <f>IF(A783&lt;&gt;"",SUM(B783),"")</f>
        <v/>
      </c>
      <c r="D783" s="2" t="str">
        <f>IF(A783&lt;&gt;"",(Recurso!D1*Recurso!C783)/Recurso!C1, "")</f>
        <v/>
      </c>
    </row>
    <row r="784" spans="3:4" x14ac:dyDescent="0.3">
      <c r="C784" s="2" t="str">
        <f>IF(A784&lt;&gt;"",SUM(B784),"")</f>
        <v/>
      </c>
      <c r="D784" s="2" t="str">
        <f>IF(A784&lt;&gt;"",(Recurso!D1*Recurso!C784)/Recurso!C1, "")</f>
        <v/>
      </c>
    </row>
    <row r="785" spans="3:4" x14ac:dyDescent="0.3">
      <c r="C785" s="2" t="str">
        <f>IF(A785&lt;&gt;"",SUM(B785),"")</f>
        <v/>
      </c>
      <c r="D785" s="2" t="str">
        <f>IF(A785&lt;&gt;"",(Recurso!D1*Recurso!C785)/Recurso!C1, "")</f>
        <v/>
      </c>
    </row>
    <row r="786" spans="3:4" x14ac:dyDescent="0.3">
      <c r="C786" s="2" t="str">
        <f>IF(A786&lt;&gt;"",SUM(B786),"")</f>
        <v/>
      </c>
      <c r="D786" s="2" t="str">
        <f>IF(A786&lt;&gt;"",(Recurso!D1*Recurso!C786)/Recurso!C1, "")</f>
        <v/>
      </c>
    </row>
    <row r="787" spans="3:4" x14ac:dyDescent="0.3">
      <c r="C787" s="2" t="str">
        <f>IF(A787&lt;&gt;"",SUM(B787),"")</f>
        <v/>
      </c>
      <c r="D787" s="2" t="str">
        <f>IF(A787&lt;&gt;"",(Recurso!D1*Recurso!C787)/Recurso!C1, "")</f>
        <v/>
      </c>
    </row>
    <row r="788" spans="3:4" x14ac:dyDescent="0.3">
      <c r="C788" s="2" t="str">
        <f>IF(A788&lt;&gt;"",SUM(B788),"")</f>
        <v/>
      </c>
      <c r="D788" s="2" t="str">
        <f>IF(A788&lt;&gt;"",(Recurso!D1*Recurso!C788)/Recurso!C1, "")</f>
        <v/>
      </c>
    </row>
    <row r="789" spans="3:4" x14ac:dyDescent="0.3">
      <c r="C789" s="2" t="str">
        <f>IF(A789&lt;&gt;"",SUM(B789),"")</f>
        <v/>
      </c>
      <c r="D789" s="2" t="str">
        <f>IF(A789&lt;&gt;"",(Recurso!D1*Recurso!C789)/Recurso!C1, "")</f>
        <v/>
      </c>
    </row>
    <row r="790" spans="3:4" x14ac:dyDescent="0.3">
      <c r="C790" s="2" t="str">
        <f>IF(A790&lt;&gt;"",SUM(B790),"")</f>
        <v/>
      </c>
      <c r="D790" s="2" t="str">
        <f>IF(A790&lt;&gt;"",(Recurso!D1*Recurso!C790)/Recurso!C1, "")</f>
        <v/>
      </c>
    </row>
    <row r="791" spans="3:4" x14ac:dyDescent="0.3">
      <c r="C791" s="2" t="str">
        <f>IF(A791&lt;&gt;"",SUM(B791),"")</f>
        <v/>
      </c>
      <c r="D791" s="2" t="str">
        <f>IF(A791&lt;&gt;"",(Recurso!D1*Recurso!C791)/Recurso!C1, "")</f>
        <v/>
      </c>
    </row>
    <row r="792" spans="3:4" x14ac:dyDescent="0.3">
      <c r="C792" s="2" t="str">
        <f>IF(A792&lt;&gt;"",SUM(B792),"")</f>
        <v/>
      </c>
      <c r="D792" s="2" t="str">
        <f>IF(A792&lt;&gt;"",(Recurso!D1*Recurso!C792)/Recurso!C1, "")</f>
        <v/>
      </c>
    </row>
    <row r="793" spans="3:4" x14ac:dyDescent="0.3">
      <c r="C793" s="2" t="str">
        <f>IF(A793&lt;&gt;"",SUM(B793),"")</f>
        <v/>
      </c>
      <c r="D793" s="2" t="str">
        <f>IF(A793&lt;&gt;"",(Recurso!D1*Recurso!C793)/Recurso!C1, "")</f>
        <v/>
      </c>
    </row>
    <row r="794" spans="3:4" x14ac:dyDescent="0.3">
      <c r="C794" s="2" t="str">
        <f>IF(A794&lt;&gt;"",SUM(B794),"")</f>
        <v/>
      </c>
      <c r="D794" s="2" t="str">
        <f>IF(A794&lt;&gt;"",(Recurso!D1*Recurso!C794)/Recurso!C1, "")</f>
        <v/>
      </c>
    </row>
    <row r="795" spans="3:4" x14ac:dyDescent="0.3">
      <c r="C795" s="2" t="str">
        <f>IF(A795&lt;&gt;"",SUM(B795),"")</f>
        <v/>
      </c>
      <c r="D795" s="2" t="str">
        <f>IF(A795&lt;&gt;"",(Recurso!D1*Recurso!C795)/Recurso!C1, "")</f>
        <v/>
      </c>
    </row>
    <row r="796" spans="3:4" x14ac:dyDescent="0.3">
      <c r="C796" s="2" t="str">
        <f>IF(A796&lt;&gt;"",SUM(B796),"")</f>
        <v/>
      </c>
      <c r="D796" s="2" t="str">
        <f>IF(A796&lt;&gt;"",(Recurso!D1*Recurso!C796)/Recurso!C1, "")</f>
        <v/>
      </c>
    </row>
    <row r="797" spans="3:4" x14ac:dyDescent="0.3">
      <c r="C797" s="2" t="str">
        <f>IF(A797&lt;&gt;"",SUM(B797),"")</f>
        <v/>
      </c>
      <c r="D797" s="2" t="str">
        <f>IF(A797&lt;&gt;"",(Recurso!D1*Recurso!C797)/Recurso!C1, "")</f>
        <v/>
      </c>
    </row>
    <row r="798" spans="3:4" x14ac:dyDescent="0.3">
      <c r="C798" s="2" t="str">
        <f>IF(A798&lt;&gt;"",SUM(B798),"")</f>
        <v/>
      </c>
      <c r="D798" s="2" t="str">
        <f>IF(A798&lt;&gt;"",(Recurso!D1*Recurso!C798)/Recurso!C1, "")</f>
        <v/>
      </c>
    </row>
    <row r="799" spans="3:4" x14ac:dyDescent="0.3">
      <c r="C799" s="2" t="str">
        <f>IF(A799&lt;&gt;"",SUM(B799),"")</f>
        <v/>
      </c>
      <c r="D799" s="2" t="str">
        <f>IF(A799&lt;&gt;"",(Recurso!D1*Recurso!C799)/Recurso!C1, "")</f>
        <v/>
      </c>
    </row>
    <row r="800" spans="3:4" x14ac:dyDescent="0.3">
      <c r="C800" s="2" t="str">
        <f>IF(A800&lt;&gt;"",SUM(B800),"")</f>
        <v/>
      </c>
      <c r="D800" s="2" t="str">
        <f>IF(A800&lt;&gt;"",(Recurso!D1*Recurso!C800)/Recurso!C1, "")</f>
        <v/>
      </c>
    </row>
    <row r="801" spans="3:4" x14ac:dyDescent="0.3">
      <c r="C801" s="2" t="str">
        <f>IF(A801&lt;&gt;"",SUM(B801),"")</f>
        <v/>
      </c>
      <c r="D801" s="2" t="str">
        <f>IF(A801&lt;&gt;"",(Recurso!D1*Recurso!C801)/Recurso!C1, "")</f>
        <v/>
      </c>
    </row>
    <row r="802" spans="3:4" x14ac:dyDescent="0.3">
      <c r="C802" s="2" t="str">
        <f>IF(A802&lt;&gt;"",SUM(B802),"")</f>
        <v/>
      </c>
      <c r="D802" s="2" t="str">
        <f>IF(A802&lt;&gt;"",(Recurso!D1*Recurso!C802)/Recurso!C1, "")</f>
        <v/>
      </c>
    </row>
    <row r="803" spans="3:4" x14ac:dyDescent="0.3">
      <c r="C803" s="2" t="str">
        <f>IF(A803&lt;&gt;"",SUM(B803),"")</f>
        <v/>
      </c>
      <c r="D803" s="2" t="str">
        <f>IF(A803&lt;&gt;"",(Recurso!D1*Recurso!C803)/Recurso!C1, "")</f>
        <v/>
      </c>
    </row>
    <row r="804" spans="3:4" x14ac:dyDescent="0.3">
      <c r="C804" s="2" t="str">
        <f>IF(A804&lt;&gt;"",SUM(B804),"")</f>
        <v/>
      </c>
      <c r="D804" s="2" t="str">
        <f>IF(A804&lt;&gt;"",(Recurso!D1*Recurso!C804)/Recurso!C1, "")</f>
        <v/>
      </c>
    </row>
    <row r="805" spans="3:4" x14ac:dyDescent="0.3">
      <c r="C805" s="2" t="str">
        <f>IF(A805&lt;&gt;"",SUM(B805),"")</f>
        <v/>
      </c>
      <c r="D805" s="2" t="str">
        <f>IF(A805&lt;&gt;"",(Recurso!D1*Recurso!C805)/Recurso!C1, "")</f>
        <v/>
      </c>
    </row>
    <row r="806" spans="3:4" x14ac:dyDescent="0.3">
      <c r="C806" s="2" t="str">
        <f>IF(A806&lt;&gt;"",SUM(B806),"")</f>
        <v/>
      </c>
      <c r="D806" s="2" t="str">
        <f>IF(A806&lt;&gt;"",(Recurso!D1*Recurso!C806)/Recurso!C1, "")</f>
        <v/>
      </c>
    </row>
    <row r="807" spans="3:4" x14ac:dyDescent="0.3">
      <c r="C807" s="2" t="str">
        <f>IF(A807&lt;&gt;"",SUM(B807),"")</f>
        <v/>
      </c>
      <c r="D807" s="2" t="str">
        <f>IF(A807&lt;&gt;"",(Recurso!D1*Recurso!C807)/Recurso!C1, "")</f>
        <v/>
      </c>
    </row>
    <row r="808" spans="3:4" x14ac:dyDescent="0.3">
      <c r="C808" s="2" t="str">
        <f>IF(A808&lt;&gt;"",SUM(B808),"")</f>
        <v/>
      </c>
      <c r="D808" s="2" t="str">
        <f>IF(A808&lt;&gt;"",(Recurso!D1*Recurso!C808)/Recurso!C1, "")</f>
        <v/>
      </c>
    </row>
    <row r="809" spans="3:4" x14ac:dyDescent="0.3">
      <c r="C809" s="2" t="str">
        <f>IF(A809&lt;&gt;"",SUM(B809),"")</f>
        <v/>
      </c>
      <c r="D809" s="2" t="str">
        <f>IF(A809&lt;&gt;"",(Recurso!D1*Recurso!C809)/Recurso!C1, "")</f>
        <v/>
      </c>
    </row>
    <row r="810" spans="3:4" x14ac:dyDescent="0.3">
      <c r="C810" s="2" t="str">
        <f>IF(A810&lt;&gt;"",SUM(B810),"")</f>
        <v/>
      </c>
      <c r="D810" s="2" t="str">
        <f>IF(A810&lt;&gt;"",(Recurso!D1*Recurso!C810)/Recurso!C1, "")</f>
        <v/>
      </c>
    </row>
    <row r="811" spans="3:4" x14ac:dyDescent="0.3">
      <c r="C811" s="2" t="str">
        <f>IF(A811&lt;&gt;"",SUM(B811),"")</f>
        <v/>
      </c>
      <c r="D811" s="2" t="str">
        <f>IF(A811&lt;&gt;"",(Recurso!D1*Recurso!C811)/Recurso!C1, "")</f>
        <v/>
      </c>
    </row>
    <row r="812" spans="3:4" x14ac:dyDescent="0.3">
      <c r="C812" s="2" t="str">
        <f>IF(A812&lt;&gt;"",SUM(B812),"")</f>
        <v/>
      </c>
      <c r="D812" s="2" t="str">
        <f>IF(A812&lt;&gt;"",(Recurso!D1*Recurso!C812)/Recurso!C1, "")</f>
        <v/>
      </c>
    </row>
    <row r="813" spans="3:4" x14ac:dyDescent="0.3">
      <c r="C813" s="2" t="str">
        <f>IF(A813&lt;&gt;"",SUM(B813),"")</f>
        <v/>
      </c>
      <c r="D813" s="2" t="str">
        <f>IF(A813&lt;&gt;"",(Recurso!D1*Recurso!C813)/Recurso!C1, "")</f>
        <v/>
      </c>
    </row>
    <row r="814" spans="3:4" x14ac:dyDescent="0.3">
      <c r="C814" s="2" t="str">
        <f>IF(A814&lt;&gt;"",SUM(B814),"")</f>
        <v/>
      </c>
      <c r="D814" s="2" t="str">
        <f>IF(A814&lt;&gt;"",(Recurso!D1*Recurso!C814)/Recurso!C1, "")</f>
        <v/>
      </c>
    </row>
    <row r="815" spans="3:4" x14ac:dyDescent="0.3">
      <c r="C815" s="2" t="str">
        <f>IF(A815&lt;&gt;"",SUM(B815),"")</f>
        <v/>
      </c>
      <c r="D815" s="2" t="str">
        <f>IF(A815&lt;&gt;"",(Recurso!D1*Recurso!C815)/Recurso!C1, "")</f>
        <v/>
      </c>
    </row>
    <row r="816" spans="3:4" x14ac:dyDescent="0.3">
      <c r="C816" s="2" t="str">
        <f>IF(A816&lt;&gt;"",SUM(B816),"")</f>
        <v/>
      </c>
      <c r="D816" s="2" t="str">
        <f>IF(A816&lt;&gt;"",(Recurso!D1*Recurso!C816)/Recurso!C1, "")</f>
        <v/>
      </c>
    </row>
    <row r="817" spans="3:4" x14ac:dyDescent="0.3">
      <c r="C817" s="2" t="str">
        <f>IF(A817&lt;&gt;"",SUM(B817),"")</f>
        <v/>
      </c>
      <c r="D817" s="2" t="str">
        <f>IF(A817&lt;&gt;"",(Recurso!D1*Recurso!C817)/Recurso!C1, "")</f>
        <v/>
      </c>
    </row>
    <row r="818" spans="3:4" x14ac:dyDescent="0.3">
      <c r="C818" s="2" t="str">
        <f>IF(A818&lt;&gt;"",SUM(B818),"")</f>
        <v/>
      </c>
      <c r="D818" s="2" t="str">
        <f>IF(A818&lt;&gt;"",(Recurso!D1*Recurso!C818)/Recurso!C1, "")</f>
        <v/>
      </c>
    </row>
    <row r="819" spans="3:4" x14ac:dyDescent="0.3">
      <c r="C819" s="2" t="str">
        <f>IF(A819&lt;&gt;"",SUM(B819),"")</f>
        <v/>
      </c>
      <c r="D819" s="2" t="str">
        <f>IF(A819&lt;&gt;"",(Recurso!D1*Recurso!C819)/Recurso!C1, "")</f>
        <v/>
      </c>
    </row>
    <row r="820" spans="3:4" x14ac:dyDescent="0.3">
      <c r="C820" s="2" t="str">
        <f>IF(A820&lt;&gt;"",SUM(B820),"")</f>
        <v/>
      </c>
      <c r="D820" s="2" t="str">
        <f>IF(A820&lt;&gt;"",(Recurso!D1*Recurso!C820)/Recurso!C1, "")</f>
        <v/>
      </c>
    </row>
    <row r="821" spans="3:4" x14ac:dyDescent="0.3">
      <c r="C821" s="2" t="str">
        <f>IF(A821&lt;&gt;"",SUM(B821),"")</f>
        <v/>
      </c>
      <c r="D821" s="2" t="str">
        <f>IF(A821&lt;&gt;"",(Recurso!D1*Recurso!C821)/Recurso!C1, "")</f>
        <v/>
      </c>
    </row>
    <row r="822" spans="3:4" x14ac:dyDescent="0.3">
      <c r="C822" s="2" t="str">
        <f>IF(A822&lt;&gt;"",SUM(B822),"")</f>
        <v/>
      </c>
      <c r="D822" s="2" t="str">
        <f>IF(A822&lt;&gt;"",(Recurso!D1*Recurso!C822)/Recurso!C1, "")</f>
        <v/>
      </c>
    </row>
    <row r="823" spans="3:4" x14ac:dyDescent="0.3">
      <c r="C823" s="2" t="str">
        <f>IF(A823&lt;&gt;"",SUM(B823),"")</f>
        <v/>
      </c>
      <c r="D823" s="2" t="str">
        <f>IF(A823&lt;&gt;"",(Recurso!D1*Recurso!C823)/Recurso!C1, "")</f>
        <v/>
      </c>
    </row>
    <row r="824" spans="3:4" x14ac:dyDescent="0.3">
      <c r="C824" s="2" t="str">
        <f>IF(A824&lt;&gt;"",SUM(B824),"")</f>
        <v/>
      </c>
      <c r="D824" s="2" t="str">
        <f>IF(A824&lt;&gt;"",(Recurso!D1*Recurso!C824)/Recurso!C1, "")</f>
        <v/>
      </c>
    </row>
    <row r="825" spans="3:4" x14ac:dyDescent="0.3">
      <c r="C825" s="2" t="str">
        <f>IF(A825&lt;&gt;"",SUM(B825),"")</f>
        <v/>
      </c>
      <c r="D825" s="2" t="str">
        <f>IF(A825&lt;&gt;"",(Recurso!D1*Recurso!C825)/Recurso!C1, "")</f>
        <v/>
      </c>
    </row>
    <row r="826" spans="3:4" x14ac:dyDescent="0.3">
      <c r="C826" s="2" t="str">
        <f>IF(A826&lt;&gt;"",SUM(B826),"")</f>
        <v/>
      </c>
      <c r="D826" s="2" t="str">
        <f>IF(A826&lt;&gt;"",(Recurso!D1*Recurso!C826)/Recurso!C1, "")</f>
        <v/>
      </c>
    </row>
    <row r="827" spans="3:4" x14ac:dyDescent="0.3">
      <c r="C827" s="2" t="str">
        <f>IF(A827&lt;&gt;"",SUM(B827),"")</f>
        <v/>
      </c>
      <c r="D827" s="2" t="str">
        <f>IF(A827&lt;&gt;"",(Recurso!D1*Recurso!C827)/Recurso!C1, "")</f>
        <v/>
      </c>
    </row>
    <row r="828" spans="3:4" x14ac:dyDescent="0.3">
      <c r="C828" s="2" t="str">
        <f>IF(A828&lt;&gt;"",SUM(B828),"")</f>
        <v/>
      </c>
      <c r="D828" s="2" t="str">
        <f>IF(A828&lt;&gt;"",(Recurso!D1*Recurso!C828)/Recurso!C1, "")</f>
        <v/>
      </c>
    </row>
    <row r="829" spans="3:4" x14ac:dyDescent="0.3">
      <c r="C829" s="2" t="str">
        <f>IF(A829&lt;&gt;"",SUM(B829),"")</f>
        <v/>
      </c>
      <c r="D829" s="2" t="str">
        <f>IF(A829&lt;&gt;"",(Recurso!D1*Recurso!C829)/Recurso!C1, "")</f>
        <v/>
      </c>
    </row>
    <row r="830" spans="3:4" x14ac:dyDescent="0.3">
      <c r="C830" s="2" t="str">
        <f>IF(A830&lt;&gt;"",SUM(B830),"")</f>
        <v/>
      </c>
      <c r="D830" s="2" t="str">
        <f>IF(A830&lt;&gt;"",(Recurso!D1*Recurso!C830)/Recurso!C1, "")</f>
        <v/>
      </c>
    </row>
    <row r="831" spans="3:4" x14ac:dyDescent="0.3">
      <c r="C831" s="2" t="str">
        <f>IF(A831&lt;&gt;"",SUM(B831),"")</f>
        <v/>
      </c>
      <c r="D831" s="2" t="str">
        <f>IF(A831&lt;&gt;"",(Recurso!D1*Recurso!C831)/Recurso!C1, "")</f>
        <v/>
      </c>
    </row>
    <row r="832" spans="3:4" x14ac:dyDescent="0.3">
      <c r="C832" s="2" t="str">
        <f>IF(A832&lt;&gt;"",SUM(B832),"")</f>
        <v/>
      </c>
      <c r="D832" s="2" t="str">
        <f>IF(A832&lt;&gt;"",(Recurso!D1*Recurso!C832)/Recurso!C1, "")</f>
        <v/>
      </c>
    </row>
    <row r="833" spans="3:4" x14ac:dyDescent="0.3">
      <c r="C833" s="2" t="str">
        <f>IF(A833&lt;&gt;"",SUM(B833),"")</f>
        <v/>
      </c>
      <c r="D833" s="2" t="str">
        <f>IF(A833&lt;&gt;"",(Recurso!D1*Recurso!C833)/Recurso!C1, "")</f>
        <v/>
      </c>
    </row>
    <row r="834" spans="3:4" x14ac:dyDescent="0.3">
      <c r="C834" s="2" t="str">
        <f>IF(A834&lt;&gt;"",SUM(B834),"")</f>
        <v/>
      </c>
      <c r="D834" s="2" t="str">
        <f>IF(A834&lt;&gt;"",(Recurso!D1*Recurso!C834)/Recurso!C1, "")</f>
        <v/>
      </c>
    </row>
    <row r="835" spans="3:4" x14ac:dyDescent="0.3">
      <c r="C835" s="2" t="str">
        <f>IF(A835&lt;&gt;"",SUM(B835),"")</f>
        <v/>
      </c>
      <c r="D835" s="2" t="str">
        <f>IF(A835&lt;&gt;"",(Recurso!D1*Recurso!C835)/Recurso!C1, "")</f>
        <v/>
      </c>
    </row>
    <row r="836" spans="3:4" x14ac:dyDescent="0.3">
      <c r="C836" s="2" t="str">
        <f>IF(A836&lt;&gt;"",SUM(B836),"")</f>
        <v/>
      </c>
      <c r="D836" s="2" t="str">
        <f>IF(A836&lt;&gt;"",(Recurso!D1*Recurso!C836)/Recurso!C1, "")</f>
        <v/>
      </c>
    </row>
    <row r="837" spans="3:4" x14ac:dyDescent="0.3">
      <c r="C837" s="2" t="str">
        <f>IF(A837&lt;&gt;"",SUM(B837),"")</f>
        <v/>
      </c>
      <c r="D837" s="2" t="str">
        <f>IF(A837&lt;&gt;"",(Recurso!D1*Recurso!C837)/Recurso!C1, "")</f>
        <v/>
      </c>
    </row>
    <row r="838" spans="3:4" x14ac:dyDescent="0.3">
      <c r="C838" s="2" t="str">
        <f>IF(A838&lt;&gt;"",SUM(B838),"")</f>
        <v/>
      </c>
      <c r="D838" s="2" t="str">
        <f>IF(A838&lt;&gt;"",(Recurso!D1*Recurso!C838)/Recurso!C1, "")</f>
        <v/>
      </c>
    </row>
    <row r="839" spans="3:4" x14ac:dyDescent="0.3">
      <c r="C839" s="2" t="str">
        <f>IF(A839&lt;&gt;"",SUM(B839),"")</f>
        <v/>
      </c>
      <c r="D839" s="2" t="str">
        <f>IF(A839&lt;&gt;"",(Recurso!D1*Recurso!C839)/Recurso!C1, "")</f>
        <v/>
      </c>
    </row>
    <row r="840" spans="3:4" x14ac:dyDescent="0.3">
      <c r="C840" s="2" t="str">
        <f>IF(A840&lt;&gt;"",SUM(B840),"")</f>
        <v/>
      </c>
      <c r="D840" s="2" t="str">
        <f>IF(A840&lt;&gt;"",(Recurso!D1*Recurso!C840)/Recurso!C1, "")</f>
        <v/>
      </c>
    </row>
    <row r="841" spans="3:4" x14ac:dyDescent="0.3">
      <c r="C841" s="2" t="str">
        <f>IF(A841&lt;&gt;"",SUM(B841),"")</f>
        <v/>
      </c>
      <c r="D841" s="2" t="str">
        <f>IF(A841&lt;&gt;"",(Recurso!D1*Recurso!C841)/Recurso!C1, "")</f>
        <v/>
      </c>
    </row>
    <row r="842" spans="3:4" x14ac:dyDescent="0.3">
      <c r="C842" s="2" t="str">
        <f>IF(A842&lt;&gt;"",SUM(B842),"")</f>
        <v/>
      </c>
      <c r="D842" s="2" t="str">
        <f>IF(A842&lt;&gt;"",(Recurso!D1*Recurso!C842)/Recurso!C1, "")</f>
        <v/>
      </c>
    </row>
    <row r="843" spans="3:4" x14ac:dyDescent="0.3">
      <c r="C843" s="2" t="str">
        <f>IF(A843&lt;&gt;"",SUM(B843),"")</f>
        <v/>
      </c>
      <c r="D843" s="2" t="str">
        <f>IF(A843&lt;&gt;"",(Recurso!D1*Recurso!C843)/Recurso!C1, "")</f>
        <v/>
      </c>
    </row>
    <row r="844" spans="3:4" x14ac:dyDescent="0.3">
      <c r="C844" s="2" t="str">
        <f>IF(A844&lt;&gt;"",SUM(B844),"")</f>
        <v/>
      </c>
      <c r="D844" s="2" t="str">
        <f>IF(A844&lt;&gt;"",(Recurso!D1*Recurso!C844)/Recurso!C1, "")</f>
        <v/>
      </c>
    </row>
    <row r="845" spans="3:4" x14ac:dyDescent="0.3">
      <c r="C845" s="2" t="str">
        <f>IF(A845&lt;&gt;"",SUM(B845),"")</f>
        <v/>
      </c>
      <c r="D845" s="2" t="str">
        <f>IF(A845&lt;&gt;"",(Recurso!D1*Recurso!C845)/Recurso!C1, "")</f>
        <v/>
      </c>
    </row>
    <row r="846" spans="3:4" x14ac:dyDescent="0.3">
      <c r="C846" s="2" t="str">
        <f>IF(A846&lt;&gt;"",SUM(B846),"")</f>
        <v/>
      </c>
      <c r="D846" s="2" t="str">
        <f>IF(A846&lt;&gt;"",(Recurso!D1*Recurso!C846)/Recurso!C1, "")</f>
        <v/>
      </c>
    </row>
    <row r="847" spans="3:4" x14ac:dyDescent="0.3">
      <c r="C847" s="2" t="str">
        <f>IF(A847&lt;&gt;"",SUM(B847),"")</f>
        <v/>
      </c>
      <c r="D847" s="2" t="str">
        <f>IF(A847&lt;&gt;"",(Recurso!D1*Recurso!C847)/Recurso!C1, "")</f>
        <v/>
      </c>
    </row>
    <row r="848" spans="3:4" x14ac:dyDescent="0.3">
      <c r="C848" s="2" t="str">
        <f>IF(A848&lt;&gt;"",SUM(B848),"")</f>
        <v/>
      </c>
      <c r="D848" s="2" t="str">
        <f>IF(A848&lt;&gt;"",(Recurso!D1*Recurso!C848)/Recurso!C1, "")</f>
        <v/>
      </c>
    </row>
    <row r="849" spans="3:4" x14ac:dyDescent="0.3">
      <c r="C849" s="2" t="str">
        <f>IF(A849&lt;&gt;"",SUM(B849),"")</f>
        <v/>
      </c>
      <c r="D849" s="2" t="str">
        <f>IF(A849&lt;&gt;"",(Recurso!D1*Recurso!C849)/Recurso!C1, "")</f>
        <v/>
      </c>
    </row>
    <row r="850" spans="3:4" x14ac:dyDescent="0.3">
      <c r="C850" s="2" t="str">
        <f>IF(A850&lt;&gt;"",SUM(B850),"")</f>
        <v/>
      </c>
      <c r="D850" s="2" t="str">
        <f>IF(A850&lt;&gt;"",(Recurso!D1*Recurso!C850)/Recurso!C1, "")</f>
        <v/>
      </c>
    </row>
    <row r="851" spans="3:4" x14ac:dyDescent="0.3">
      <c r="C851" s="2" t="str">
        <f>IF(A851&lt;&gt;"",SUM(B851),"")</f>
        <v/>
      </c>
      <c r="D851" s="2" t="str">
        <f>IF(A851&lt;&gt;"",(Recurso!D1*Recurso!C851)/Recurso!C1, "")</f>
        <v/>
      </c>
    </row>
    <row r="852" spans="3:4" x14ac:dyDescent="0.3">
      <c r="C852" s="2" t="str">
        <f>IF(A852&lt;&gt;"",SUM(B852),"")</f>
        <v/>
      </c>
      <c r="D852" s="2" t="str">
        <f>IF(A852&lt;&gt;"",(Recurso!D1*Recurso!C852)/Recurso!C1, "")</f>
        <v/>
      </c>
    </row>
    <row r="853" spans="3:4" x14ac:dyDescent="0.3">
      <c r="C853" s="2" t="str">
        <f>IF(A853&lt;&gt;"",SUM(B853),"")</f>
        <v/>
      </c>
      <c r="D853" s="2" t="str">
        <f>IF(A853&lt;&gt;"",(Recurso!D1*Recurso!C853)/Recurso!C1, "")</f>
        <v/>
      </c>
    </row>
    <row r="854" spans="3:4" x14ac:dyDescent="0.3">
      <c r="C854" s="2" t="str">
        <f>IF(A854&lt;&gt;"",SUM(B854),"")</f>
        <v/>
      </c>
      <c r="D854" s="2" t="str">
        <f>IF(A854&lt;&gt;"",(Recurso!D1*Recurso!C854)/Recurso!C1, "")</f>
        <v/>
      </c>
    </row>
    <row r="855" spans="3:4" x14ac:dyDescent="0.3">
      <c r="C855" s="2" t="str">
        <f>IF(A855&lt;&gt;"",SUM(B855),"")</f>
        <v/>
      </c>
      <c r="D855" s="2" t="str">
        <f>IF(A855&lt;&gt;"",(Recurso!D1*Recurso!C855)/Recurso!C1, "")</f>
        <v/>
      </c>
    </row>
    <row r="856" spans="3:4" x14ac:dyDescent="0.3">
      <c r="C856" s="2" t="str">
        <f>IF(A856&lt;&gt;"",SUM(B856),"")</f>
        <v/>
      </c>
      <c r="D856" s="2" t="str">
        <f>IF(A856&lt;&gt;"",(Recurso!D1*Recurso!C856)/Recurso!C1, "")</f>
        <v/>
      </c>
    </row>
    <row r="857" spans="3:4" x14ac:dyDescent="0.3">
      <c r="C857" s="2" t="str">
        <f>IF(A857&lt;&gt;"",SUM(B857),"")</f>
        <v/>
      </c>
      <c r="D857" s="2" t="str">
        <f>IF(A857&lt;&gt;"",(Recurso!D1*Recurso!C857)/Recurso!C1, "")</f>
        <v/>
      </c>
    </row>
    <row r="858" spans="3:4" x14ac:dyDescent="0.3">
      <c r="C858" s="2" t="str">
        <f>IF(A858&lt;&gt;"",SUM(B858),"")</f>
        <v/>
      </c>
      <c r="D858" s="2" t="str">
        <f>IF(A858&lt;&gt;"",(Recurso!D1*Recurso!C858)/Recurso!C1, "")</f>
        <v/>
      </c>
    </row>
    <row r="859" spans="3:4" x14ac:dyDescent="0.3">
      <c r="C859" s="2" t="str">
        <f>IF(A859&lt;&gt;"",SUM(B859),"")</f>
        <v/>
      </c>
      <c r="D859" s="2" t="str">
        <f>IF(A859&lt;&gt;"",(Recurso!D1*Recurso!C859)/Recurso!C1, "")</f>
        <v/>
      </c>
    </row>
    <row r="860" spans="3:4" x14ac:dyDescent="0.3">
      <c r="C860" s="2" t="str">
        <f>IF(A860&lt;&gt;"",SUM(B860),"")</f>
        <v/>
      </c>
      <c r="D860" s="2" t="str">
        <f>IF(A860&lt;&gt;"",(Recurso!D1*Recurso!C860)/Recurso!C1, "")</f>
        <v/>
      </c>
    </row>
    <row r="861" spans="3:4" x14ac:dyDescent="0.3">
      <c r="C861" s="2" t="str">
        <f>IF(A861&lt;&gt;"",SUM(B861),"")</f>
        <v/>
      </c>
      <c r="D861" s="2" t="str">
        <f>IF(A861&lt;&gt;"",(Recurso!D1*Recurso!C861)/Recurso!C1, "")</f>
        <v/>
      </c>
    </row>
    <row r="862" spans="3:4" x14ac:dyDescent="0.3">
      <c r="C862" s="2" t="str">
        <f>IF(A862&lt;&gt;"",SUM(B862),"")</f>
        <v/>
      </c>
      <c r="D862" s="2" t="str">
        <f>IF(A862&lt;&gt;"",(Recurso!D1*Recurso!C862)/Recurso!C1, "")</f>
        <v/>
      </c>
    </row>
    <row r="863" spans="3:4" x14ac:dyDescent="0.3">
      <c r="C863" s="2" t="str">
        <f>IF(A863&lt;&gt;"",SUM(B863),"")</f>
        <v/>
      </c>
      <c r="D863" s="2" t="str">
        <f>IF(A863&lt;&gt;"",(Recurso!D1*Recurso!C863)/Recurso!C1, "")</f>
        <v/>
      </c>
    </row>
    <row r="864" spans="3:4" x14ac:dyDescent="0.3">
      <c r="C864" s="2" t="str">
        <f>IF(A864&lt;&gt;"",SUM(B864),"")</f>
        <v/>
      </c>
      <c r="D864" s="2" t="str">
        <f>IF(A864&lt;&gt;"",(Recurso!D1*Recurso!C864)/Recurso!C1, "")</f>
        <v/>
      </c>
    </row>
    <row r="865" spans="3:4" x14ac:dyDescent="0.3">
      <c r="C865" s="2" t="str">
        <f>IF(A865&lt;&gt;"",SUM(B865),"")</f>
        <v/>
      </c>
      <c r="D865" s="2" t="str">
        <f>IF(A865&lt;&gt;"",(Recurso!D1*Recurso!C865)/Recurso!C1, "")</f>
        <v/>
      </c>
    </row>
    <row r="866" spans="3:4" x14ac:dyDescent="0.3">
      <c r="C866" s="2" t="str">
        <f>IF(A866&lt;&gt;"",SUM(B866),"")</f>
        <v/>
      </c>
      <c r="D866" s="2" t="str">
        <f>IF(A866&lt;&gt;"",(Recurso!D1*Recurso!C866)/Recurso!C1, "")</f>
        <v/>
      </c>
    </row>
    <row r="867" spans="3:4" x14ac:dyDescent="0.3">
      <c r="C867" s="2" t="str">
        <f>IF(A867&lt;&gt;"",SUM(B867),"")</f>
        <v/>
      </c>
      <c r="D867" s="2" t="str">
        <f>IF(A867&lt;&gt;"",(Recurso!D1*Recurso!C867)/Recurso!C1, "")</f>
        <v/>
      </c>
    </row>
    <row r="868" spans="3:4" x14ac:dyDescent="0.3">
      <c r="C868" s="2" t="str">
        <f>IF(A868&lt;&gt;"",SUM(B868),"")</f>
        <v/>
      </c>
      <c r="D868" s="2" t="str">
        <f>IF(A868&lt;&gt;"",(Recurso!D1*Recurso!C868)/Recurso!C1, "")</f>
        <v/>
      </c>
    </row>
    <row r="869" spans="3:4" x14ac:dyDescent="0.3">
      <c r="C869" s="2" t="str">
        <f>IF(A869&lt;&gt;"",SUM(B869),"")</f>
        <v/>
      </c>
      <c r="D869" s="2" t="str">
        <f>IF(A869&lt;&gt;"",(Recurso!D1*Recurso!C869)/Recurso!C1, "")</f>
        <v/>
      </c>
    </row>
    <row r="870" spans="3:4" x14ac:dyDescent="0.3">
      <c r="C870" s="2" t="str">
        <f>IF(A870&lt;&gt;"",SUM(B870),"")</f>
        <v/>
      </c>
      <c r="D870" s="2" t="str">
        <f>IF(A870&lt;&gt;"",(Recurso!D1*Recurso!C870)/Recurso!C1, "")</f>
        <v/>
      </c>
    </row>
    <row r="871" spans="3:4" x14ac:dyDescent="0.3">
      <c r="C871" s="2" t="str">
        <f>IF(A871&lt;&gt;"",SUM(B871),"")</f>
        <v/>
      </c>
      <c r="D871" s="2" t="str">
        <f>IF(A871&lt;&gt;"",(Recurso!D1*Recurso!C871)/Recurso!C1, "")</f>
        <v/>
      </c>
    </row>
    <row r="872" spans="3:4" x14ac:dyDescent="0.3">
      <c r="C872" s="2" t="str">
        <f>IF(A872&lt;&gt;"",SUM(B872),"")</f>
        <v/>
      </c>
      <c r="D872" s="2" t="str">
        <f>IF(A872&lt;&gt;"",(Recurso!D1*Recurso!C872)/Recurso!C1, "")</f>
        <v/>
      </c>
    </row>
    <row r="873" spans="3:4" x14ac:dyDescent="0.3">
      <c r="C873" s="2" t="str">
        <f>IF(A873&lt;&gt;"",SUM(B873),"")</f>
        <v/>
      </c>
      <c r="D873" s="2" t="str">
        <f>IF(A873&lt;&gt;"",(Recurso!D1*Recurso!C873)/Recurso!C1, "")</f>
        <v/>
      </c>
    </row>
    <row r="874" spans="3:4" x14ac:dyDescent="0.3">
      <c r="C874" s="2" t="str">
        <f>IF(A874&lt;&gt;"",SUM(B874),"")</f>
        <v/>
      </c>
      <c r="D874" s="2" t="str">
        <f>IF(A874&lt;&gt;"",(Recurso!D1*Recurso!C874)/Recurso!C1, "")</f>
        <v/>
      </c>
    </row>
    <row r="875" spans="3:4" x14ac:dyDescent="0.3">
      <c r="C875" s="2" t="str">
        <f>IF(A875&lt;&gt;"",SUM(B875),"")</f>
        <v/>
      </c>
      <c r="D875" s="2" t="str">
        <f>IF(A875&lt;&gt;"",(Recurso!D1*Recurso!C875)/Recurso!C1, "")</f>
        <v/>
      </c>
    </row>
    <row r="876" spans="3:4" x14ac:dyDescent="0.3">
      <c r="C876" s="2" t="str">
        <f>IF(A876&lt;&gt;"",SUM(B876),"")</f>
        <v/>
      </c>
      <c r="D876" s="2" t="str">
        <f>IF(A876&lt;&gt;"",(Recurso!D1*Recurso!C876)/Recurso!C1, "")</f>
        <v/>
      </c>
    </row>
    <row r="877" spans="3:4" x14ac:dyDescent="0.3">
      <c r="C877" s="2" t="str">
        <f>IF(A877&lt;&gt;"",SUM(B877),"")</f>
        <v/>
      </c>
      <c r="D877" s="2" t="str">
        <f>IF(A877&lt;&gt;"",(Recurso!D1*Recurso!C877)/Recurso!C1, "")</f>
        <v/>
      </c>
    </row>
    <row r="878" spans="3:4" x14ac:dyDescent="0.3">
      <c r="C878" s="2" t="str">
        <f>IF(A878&lt;&gt;"",SUM(B878),"")</f>
        <v/>
      </c>
      <c r="D878" s="2" t="str">
        <f>IF(A878&lt;&gt;"",(Recurso!D1*Recurso!C878)/Recurso!C1, "")</f>
        <v/>
      </c>
    </row>
    <row r="879" spans="3:4" x14ac:dyDescent="0.3">
      <c r="C879" s="2" t="str">
        <f>IF(A879&lt;&gt;"",SUM(B879),"")</f>
        <v/>
      </c>
      <c r="D879" s="2" t="str">
        <f>IF(A879&lt;&gt;"",(Recurso!D1*Recurso!C879)/Recurso!C1, "")</f>
        <v/>
      </c>
    </row>
    <row r="880" spans="3:4" x14ac:dyDescent="0.3">
      <c r="C880" s="2" t="str">
        <f>IF(A880&lt;&gt;"",SUM(B880),"")</f>
        <v/>
      </c>
      <c r="D880" s="2" t="str">
        <f>IF(A880&lt;&gt;"",(Recurso!D1*Recurso!C880)/Recurso!C1, "")</f>
        <v/>
      </c>
    </row>
    <row r="881" spans="3:4" x14ac:dyDescent="0.3">
      <c r="C881" s="2" t="str">
        <f>IF(A881&lt;&gt;"",SUM(B881),"")</f>
        <v/>
      </c>
      <c r="D881" s="2" t="str">
        <f>IF(A881&lt;&gt;"",(Recurso!D1*Recurso!C881)/Recurso!C1, "")</f>
        <v/>
      </c>
    </row>
    <row r="882" spans="3:4" x14ac:dyDescent="0.3">
      <c r="C882" s="2" t="str">
        <f>IF(A882&lt;&gt;"",SUM(B882),"")</f>
        <v/>
      </c>
      <c r="D882" s="2" t="str">
        <f>IF(A882&lt;&gt;"",(Recurso!D1*Recurso!C882)/Recurso!C1, "")</f>
        <v/>
      </c>
    </row>
    <row r="883" spans="3:4" x14ac:dyDescent="0.3">
      <c r="C883" s="2" t="str">
        <f>IF(A883&lt;&gt;"",SUM(B883),"")</f>
        <v/>
      </c>
      <c r="D883" s="2" t="str">
        <f>IF(A883&lt;&gt;"",(Recurso!D1*Recurso!C883)/Recurso!C1, "")</f>
        <v/>
      </c>
    </row>
    <row r="884" spans="3:4" x14ac:dyDescent="0.3">
      <c r="C884" s="2" t="str">
        <f>IF(A884&lt;&gt;"",SUM(B884),"")</f>
        <v/>
      </c>
      <c r="D884" s="2" t="str">
        <f>IF(A884&lt;&gt;"",(Recurso!D1*Recurso!C884)/Recurso!C1, "")</f>
        <v/>
      </c>
    </row>
    <row r="885" spans="3:4" x14ac:dyDescent="0.3">
      <c r="C885" s="2" t="str">
        <f>IF(A885&lt;&gt;"",SUM(B885),"")</f>
        <v/>
      </c>
      <c r="D885" s="2" t="str">
        <f>IF(A885&lt;&gt;"",(Recurso!D1*Recurso!C885)/Recurso!C1, "")</f>
        <v/>
      </c>
    </row>
    <row r="886" spans="3:4" x14ac:dyDescent="0.3">
      <c r="C886" s="2" t="str">
        <f>IF(A886&lt;&gt;"",SUM(B886),"")</f>
        <v/>
      </c>
      <c r="D886" s="2" t="str">
        <f>IF(A886&lt;&gt;"",(Recurso!D1*Recurso!C886)/Recurso!C1, "")</f>
        <v/>
      </c>
    </row>
    <row r="887" spans="3:4" x14ac:dyDescent="0.3">
      <c r="C887" s="2" t="str">
        <f>IF(A887&lt;&gt;"",SUM(B887),"")</f>
        <v/>
      </c>
      <c r="D887" s="2" t="str">
        <f>IF(A887&lt;&gt;"",(Recurso!D1*Recurso!C887)/Recurso!C1, "")</f>
        <v/>
      </c>
    </row>
    <row r="888" spans="3:4" x14ac:dyDescent="0.3">
      <c r="C888" s="2" t="str">
        <f>IF(A888&lt;&gt;"",SUM(B888),"")</f>
        <v/>
      </c>
      <c r="D888" s="2" t="str">
        <f>IF(A888&lt;&gt;"",(Recurso!D1*Recurso!C888)/Recurso!C1, "")</f>
        <v/>
      </c>
    </row>
    <row r="889" spans="3:4" x14ac:dyDescent="0.3">
      <c r="C889" s="2" t="str">
        <f>IF(A889&lt;&gt;"",SUM(B889),"")</f>
        <v/>
      </c>
      <c r="D889" s="2" t="str">
        <f>IF(A889&lt;&gt;"",(Recurso!D1*Recurso!C889)/Recurso!C1, "")</f>
        <v/>
      </c>
    </row>
    <row r="890" spans="3:4" x14ac:dyDescent="0.3">
      <c r="C890" s="2" t="str">
        <f>IF(A890&lt;&gt;"",SUM(B890),"")</f>
        <v/>
      </c>
      <c r="D890" s="2" t="str">
        <f>IF(A890&lt;&gt;"",(Recurso!D1*Recurso!C890)/Recurso!C1, "")</f>
        <v/>
      </c>
    </row>
    <row r="891" spans="3:4" x14ac:dyDescent="0.3">
      <c r="C891" s="2" t="str">
        <f>IF(A891&lt;&gt;"",SUM(B891),"")</f>
        <v/>
      </c>
      <c r="D891" s="2" t="str">
        <f>IF(A891&lt;&gt;"",(Recurso!D1*Recurso!C891)/Recurso!C1, "")</f>
        <v/>
      </c>
    </row>
    <row r="892" spans="3:4" x14ac:dyDescent="0.3">
      <c r="C892" s="2" t="str">
        <f>IF(A892&lt;&gt;"",SUM(B892),"")</f>
        <v/>
      </c>
      <c r="D892" s="2" t="str">
        <f>IF(A892&lt;&gt;"",(Recurso!D1*Recurso!C892)/Recurso!C1, "")</f>
        <v/>
      </c>
    </row>
    <row r="893" spans="3:4" x14ac:dyDescent="0.3">
      <c r="C893" s="2" t="str">
        <f>IF(A893&lt;&gt;"",SUM(B893),"")</f>
        <v/>
      </c>
      <c r="D893" s="2" t="str">
        <f>IF(A893&lt;&gt;"",(Recurso!D1*Recurso!C893)/Recurso!C1, "")</f>
        <v/>
      </c>
    </row>
    <row r="894" spans="3:4" x14ac:dyDescent="0.3">
      <c r="C894" s="2" t="str">
        <f>IF(A894&lt;&gt;"",SUM(B894),"")</f>
        <v/>
      </c>
      <c r="D894" s="2" t="str">
        <f>IF(A894&lt;&gt;"",(Recurso!D1*Recurso!C894)/Recurso!C1, "")</f>
        <v/>
      </c>
    </row>
    <row r="895" spans="3:4" x14ac:dyDescent="0.3">
      <c r="C895" s="2" t="str">
        <f>IF(A895&lt;&gt;"",SUM(B895),"")</f>
        <v/>
      </c>
      <c r="D895" s="2" t="str">
        <f>IF(A895&lt;&gt;"",(Recurso!D1*Recurso!C895)/Recurso!C1, "")</f>
        <v/>
      </c>
    </row>
    <row r="896" spans="3:4" x14ac:dyDescent="0.3">
      <c r="C896" s="2" t="str">
        <f>IF(A896&lt;&gt;"",SUM(B896),"")</f>
        <v/>
      </c>
      <c r="D896" s="2" t="str">
        <f>IF(A896&lt;&gt;"",(Recurso!D1*Recurso!C896)/Recurso!C1, "")</f>
        <v/>
      </c>
    </row>
    <row r="897" spans="3:4" x14ac:dyDescent="0.3">
      <c r="C897" s="2" t="str">
        <f>IF(A897&lt;&gt;"",SUM(B897),"")</f>
        <v/>
      </c>
      <c r="D897" s="2" t="str">
        <f>IF(A897&lt;&gt;"",(Recurso!D1*Recurso!C897)/Recurso!C1, "")</f>
        <v/>
      </c>
    </row>
    <row r="898" spans="3:4" x14ac:dyDescent="0.3">
      <c r="C898" s="2" t="str">
        <f>IF(A898&lt;&gt;"",SUM(B898),"")</f>
        <v/>
      </c>
      <c r="D898" s="2" t="str">
        <f>IF(A898&lt;&gt;"",(Recurso!D1*Recurso!C898)/Recurso!C1, "")</f>
        <v/>
      </c>
    </row>
    <row r="899" spans="3:4" x14ac:dyDescent="0.3">
      <c r="C899" s="2" t="str">
        <f>IF(A899&lt;&gt;"",SUM(B899),"")</f>
        <v/>
      </c>
      <c r="D899" s="2" t="str">
        <f>IF(A899&lt;&gt;"",(Recurso!D1*Recurso!C899)/Recurso!C1, "")</f>
        <v/>
      </c>
    </row>
    <row r="900" spans="3:4" x14ac:dyDescent="0.3">
      <c r="C900" s="2" t="str">
        <f>IF(A900&lt;&gt;"",SUM(B900),"")</f>
        <v/>
      </c>
      <c r="D900" s="2" t="str">
        <f>IF(A900&lt;&gt;"",(Recurso!D1*Recurso!C900)/Recurso!C1, "")</f>
        <v/>
      </c>
    </row>
    <row r="901" spans="3:4" x14ac:dyDescent="0.3">
      <c r="C901" s="2" t="str">
        <f>IF(A901&lt;&gt;"",SUM(B901),"")</f>
        <v/>
      </c>
      <c r="D901" s="2" t="str">
        <f>IF(A901&lt;&gt;"",(Recurso!D1*Recurso!C901)/Recurso!C1, "")</f>
        <v/>
      </c>
    </row>
    <row r="902" spans="3:4" x14ac:dyDescent="0.3">
      <c r="C902" s="2" t="str">
        <f>IF(A902&lt;&gt;"",SUM(B902),"")</f>
        <v/>
      </c>
      <c r="D902" s="2" t="str">
        <f>IF(A902&lt;&gt;"",(Recurso!D1*Recurso!C902)/Recurso!C1, "")</f>
        <v/>
      </c>
    </row>
    <row r="903" spans="3:4" x14ac:dyDescent="0.3">
      <c r="C903" s="2" t="str">
        <f>IF(A903&lt;&gt;"",SUM(B903),"")</f>
        <v/>
      </c>
      <c r="D903" s="2" t="str">
        <f>IF(A903&lt;&gt;"",(Recurso!D1*Recurso!C903)/Recurso!C1, "")</f>
        <v/>
      </c>
    </row>
    <row r="904" spans="3:4" x14ac:dyDescent="0.3">
      <c r="C904" s="2" t="str">
        <f>IF(A904&lt;&gt;"",SUM(B904),"")</f>
        <v/>
      </c>
      <c r="D904" s="2" t="str">
        <f>IF(A904&lt;&gt;"",(Recurso!D1*Recurso!C904)/Recurso!C1, "")</f>
        <v/>
      </c>
    </row>
    <row r="905" spans="3:4" x14ac:dyDescent="0.3">
      <c r="C905" s="2" t="str">
        <f>IF(A905&lt;&gt;"",SUM(B905),"")</f>
        <v/>
      </c>
      <c r="D905" s="2" t="str">
        <f>IF(A905&lt;&gt;"",(Recurso!D1*Recurso!C905)/Recurso!C1, "")</f>
        <v/>
      </c>
    </row>
    <row r="906" spans="3:4" x14ac:dyDescent="0.3">
      <c r="C906" s="2" t="str">
        <f>IF(A906&lt;&gt;"",SUM(B906),"")</f>
        <v/>
      </c>
      <c r="D906" s="2" t="str">
        <f>IF(A906&lt;&gt;"",(Recurso!D1*Recurso!C906)/Recurso!C1, "")</f>
        <v/>
      </c>
    </row>
    <row r="907" spans="3:4" x14ac:dyDescent="0.3">
      <c r="C907" s="2" t="str">
        <f>IF(A907&lt;&gt;"",SUM(B907),"")</f>
        <v/>
      </c>
      <c r="D907" s="2" t="str">
        <f>IF(A907&lt;&gt;"",(Recurso!D1*Recurso!C907)/Recurso!C1, "")</f>
        <v/>
      </c>
    </row>
    <row r="908" spans="3:4" x14ac:dyDescent="0.3">
      <c r="C908" s="2" t="str">
        <f>IF(A908&lt;&gt;"",SUM(B908),"")</f>
        <v/>
      </c>
      <c r="D908" s="2" t="str">
        <f>IF(A908&lt;&gt;"",(Recurso!D1*Recurso!C908)/Recurso!C1, "")</f>
        <v/>
      </c>
    </row>
    <row r="909" spans="3:4" x14ac:dyDescent="0.3">
      <c r="C909" s="2" t="str">
        <f>IF(A909&lt;&gt;"",SUM(B909),"")</f>
        <v/>
      </c>
      <c r="D909" s="2" t="str">
        <f>IF(A909&lt;&gt;"",(Recurso!D1*Recurso!C909)/Recurso!C1, "")</f>
        <v/>
      </c>
    </row>
    <row r="910" spans="3:4" x14ac:dyDescent="0.3">
      <c r="C910" s="2" t="str">
        <f>IF(A910&lt;&gt;"",SUM(B910),"")</f>
        <v/>
      </c>
      <c r="D910" s="2" t="str">
        <f>IF(A910&lt;&gt;"",(Recurso!D1*Recurso!C910)/Recurso!C1, "")</f>
        <v/>
      </c>
    </row>
    <row r="911" spans="3:4" x14ac:dyDescent="0.3">
      <c r="C911" s="2" t="str">
        <f>IF(A911&lt;&gt;"",SUM(B911),"")</f>
        <v/>
      </c>
      <c r="D911" s="2" t="str">
        <f>IF(A911&lt;&gt;"",(Recurso!D1*Recurso!C911)/Recurso!C1, "")</f>
        <v/>
      </c>
    </row>
    <row r="912" spans="3:4" x14ac:dyDescent="0.3">
      <c r="C912" s="2" t="str">
        <f>IF(A912&lt;&gt;"",SUM(B912),"")</f>
        <v/>
      </c>
      <c r="D912" s="2" t="str">
        <f>IF(A912&lt;&gt;"",(Recurso!D1*Recurso!C912)/Recurso!C1, "")</f>
        <v/>
      </c>
    </row>
    <row r="913" spans="3:4" x14ac:dyDescent="0.3">
      <c r="C913" s="2" t="str">
        <f>IF(A913&lt;&gt;"",SUM(B913),"")</f>
        <v/>
      </c>
      <c r="D913" s="2" t="str">
        <f>IF(A913&lt;&gt;"",(Recurso!D1*Recurso!C913)/Recurso!C1, "")</f>
        <v/>
      </c>
    </row>
    <row r="914" spans="3:4" x14ac:dyDescent="0.3">
      <c r="C914" s="2" t="str">
        <f>IF(A914&lt;&gt;"",SUM(B914),"")</f>
        <v/>
      </c>
      <c r="D914" s="2" t="str">
        <f>IF(A914&lt;&gt;"",(Recurso!D1*Recurso!C914)/Recurso!C1, "")</f>
        <v/>
      </c>
    </row>
    <row r="915" spans="3:4" x14ac:dyDescent="0.3">
      <c r="C915" s="2" t="str">
        <f>IF(A915&lt;&gt;"",SUM(B915),"")</f>
        <v/>
      </c>
      <c r="D915" s="2" t="str">
        <f>IF(A915&lt;&gt;"",(Recurso!D1*Recurso!C915)/Recurso!C1, "")</f>
        <v/>
      </c>
    </row>
    <row r="916" spans="3:4" x14ac:dyDescent="0.3">
      <c r="C916" s="2" t="str">
        <f>IF(A916&lt;&gt;"",SUM(B916),"")</f>
        <v/>
      </c>
      <c r="D916" s="2" t="str">
        <f>IF(A916&lt;&gt;"",(Recurso!D1*Recurso!C916)/Recurso!C1, "")</f>
        <v/>
      </c>
    </row>
    <row r="917" spans="3:4" x14ac:dyDescent="0.3">
      <c r="C917" s="2" t="str">
        <f>IF(A917&lt;&gt;"",SUM(B917),"")</f>
        <v/>
      </c>
      <c r="D917" s="2" t="str">
        <f>IF(A917&lt;&gt;"",(Recurso!D1*Recurso!C917)/Recurso!C1, "")</f>
        <v/>
      </c>
    </row>
    <row r="918" spans="3:4" x14ac:dyDescent="0.3">
      <c r="C918" s="2" t="str">
        <f>IF(A918&lt;&gt;"",SUM(B918),"")</f>
        <v/>
      </c>
      <c r="D918" s="2" t="str">
        <f>IF(A918&lt;&gt;"",(Recurso!D1*Recurso!C918)/Recurso!C1, "")</f>
        <v/>
      </c>
    </row>
    <row r="919" spans="3:4" x14ac:dyDescent="0.3">
      <c r="C919" s="2" t="str">
        <f>IF(A919&lt;&gt;"",SUM(B919),"")</f>
        <v/>
      </c>
      <c r="D919" s="2" t="str">
        <f>IF(A919&lt;&gt;"",(Recurso!D1*Recurso!C919)/Recurso!C1, "")</f>
        <v/>
      </c>
    </row>
    <row r="920" spans="3:4" x14ac:dyDescent="0.3">
      <c r="C920" s="2" t="str">
        <f>IF(A920&lt;&gt;"",SUM(B920),"")</f>
        <v/>
      </c>
      <c r="D920" s="2" t="str">
        <f>IF(A920&lt;&gt;"",(Recurso!D1*Recurso!C920)/Recurso!C1, "")</f>
        <v/>
      </c>
    </row>
    <row r="921" spans="3:4" x14ac:dyDescent="0.3">
      <c r="C921" s="2" t="str">
        <f>IF(A921&lt;&gt;"",SUM(B921),"")</f>
        <v/>
      </c>
      <c r="D921" s="2" t="str">
        <f>IF(A921&lt;&gt;"",(Recurso!D1*Recurso!C921)/Recurso!C1, "")</f>
        <v/>
      </c>
    </row>
    <row r="922" spans="3:4" x14ac:dyDescent="0.3">
      <c r="C922" s="2" t="str">
        <f>IF(A922&lt;&gt;"",SUM(B922),"")</f>
        <v/>
      </c>
      <c r="D922" s="2" t="str">
        <f>IF(A922&lt;&gt;"",(Recurso!D1*Recurso!C922)/Recurso!C1, "")</f>
        <v/>
      </c>
    </row>
    <row r="923" spans="3:4" x14ac:dyDescent="0.3">
      <c r="C923" s="2" t="str">
        <f>IF(A923&lt;&gt;"",SUM(B923),"")</f>
        <v/>
      </c>
      <c r="D923" s="2" t="str">
        <f>IF(A923&lt;&gt;"",(Recurso!D1*Recurso!C923)/Recurso!C1, "")</f>
        <v/>
      </c>
    </row>
    <row r="924" spans="3:4" x14ac:dyDescent="0.3">
      <c r="C924" s="2" t="str">
        <f>IF(A924&lt;&gt;"",SUM(B924),"")</f>
        <v/>
      </c>
      <c r="D924" s="2" t="str">
        <f>IF(A924&lt;&gt;"",(Recurso!D1*Recurso!C924)/Recurso!C1, "")</f>
        <v/>
      </c>
    </row>
    <row r="925" spans="3:4" x14ac:dyDescent="0.3">
      <c r="C925" s="2" t="str">
        <f>IF(A925&lt;&gt;"",SUM(B925),"")</f>
        <v/>
      </c>
      <c r="D925" s="2" t="str">
        <f>IF(A925&lt;&gt;"",(Recurso!D1*Recurso!C925)/Recurso!C1, "")</f>
        <v/>
      </c>
    </row>
    <row r="926" spans="3:4" x14ac:dyDescent="0.3">
      <c r="C926" s="2" t="str">
        <f>IF(A926&lt;&gt;"",SUM(B926),"")</f>
        <v/>
      </c>
      <c r="D926" s="2" t="str">
        <f>IF(A926&lt;&gt;"",(Recurso!D1*Recurso!C926)/Recurso!C1, "")</f>
        <v/>
      </c>
    </row>
    <row r="927" spans="3:4" x14ac:dyDescent="0.3">
      <c r="C927" s="2" t="str">
        <f>IF(A927&lt;&gt;"",SUM(B927),"")</f>
        <v/>
      </c>
      <c r="D927" s="2" t="str">
        <f>IF(A927&lt;&gt;"",(Recurso!D1*Recurso!C927)/Recurso!C1, "")</f>
        <v/>
      </c>
    </row>
    <row r="928" spans="3:4" x14ac:dyDescent="0.3">
      <c r="C928" s="2" t="str">
        <f>IF(A928&lt;&gt;"",SUM(B928),"")</f>
        <v/>
      </c>
      <c r="D928" s="2" t="str">
        <f>IF(A928&lt;&gt;"",(Recurso!D1*Recurso!C928)/Recurso!C1, "")</f>
        <v/>
      </c>
    </row>
    <row r="929" spans="3:4" x14ac:dyDescent="0.3">
      <c r="C929" s="2" t="str">
        <f>IF(A929&lt;&gt;"",SUM(B929),"")</f>
        <v/>
      </c>
      <c r="D929" s="2" t="str">
        <f>IF(A929&lt;&gt;"",(Recurso!D1*Recurso!C929)/Recurso!C1, "")</f>
        <v/>
      </c>
    </row>
    <row r="930" spans="3:4" x14ac:dyDescent="0.3">
      <c r="C930" s="2" t="str">
        <f>IF(A930&lt;&gt;"",SUM(B930),"")</f>
        <v/>
      </c>
      <c r="D930" s="2" t="str">
        <f>IF(A930&lt;&gt;"",(Recurso!D1*Recurso!C930)/Recurso!C1, "")</f>
        <v/>
      </c>
    </row>
    <row r="931" spans="3:4" x14ac:dyDescent="0.3">
      <c r="C931" s="2" t="str">
        <f>IF(A931&lt;&gt;"",SUM(B931),"")</f>
        <v/>
      </c>
      <c r="D931" s="2" t="str">
        <f>IF(A931&lt;&gt;"",(Recurso!D1*Recurso!C931)/Recurso!C1, "")</f>
        <v/>
      </c>
    </row>
    <row r="932" spans="3:4" x14ac:dyDescent="0.3">
      <c r="C932" s="2" t="str">
        <f>IF(A932&lt;&gt;"",SUM(B932),"")</f>
        <v/>
      </c>
      <c r="D932" s="2" t="str">
        <f>IF(A932&lt;&gt;"",(Recurso!D1*Recurso!C932)/Recurso!C1, "")</f>
        <v/>
      </c>
    </row>
    <row r="933" spans="3:4" x14ac:dyDescent="0.3">
      <c r="C933" s="2" t="str">
        <f>IF(A933&lt;&gt;"",SUM(B933),"")</f>
        <v/>
      </c>
      <c r="D933" s="2" t="str">
        <f>IF(A933&lt;&gt;"",(Recurso!D1*Recurso!C933)/Recurso!C1, "")</f>
        <v/>
      </c>
    </row>
    <row r="934" spans="3:4" x14ac:dyDescent="0.3">
      <c r="C934" s="2" t="str">
        <f>IF(A934&lt;&gt;"",SUM(B934),"")</f>
        <v/>
      </c>
      <c r="D934" s="2" t="str">
        <f>IF(A934&lt;&gt;"",(Recurso!D1*Recurso!C934)/Recurso!C1, "")</f>
        <v/>
      </c>
    </row>
    <row r="935" spans="3:4" x14ac:dyDescent="0.3">
      <c r="C935" s="2" t="str">
        <f>IF(A935&lt;&gt;"",SUM(B935),"")</f>
        <v/>
      </c>
      <c r="D935" s="2" t="str">
        <f>IF(A935&lt;&gt;"",(Recurso!D1*Recurso!C935)/Recurso!C1, "")</f>
        <v/>
      </c>
    </row>
    <row r="936" spans="3:4" x14ac:dyDescent="0.3">
      <c r="C936" s="2" t="str">
        <f>IF(A936&lt;&gt;"",SUM(B936),"")</f>
        <v/>
      </c>
      <c r="D936" s="2" t="str">
        <f>IF(A936&lt;&gt;"",(Recurso!D1*Recurso!C936)/Recurso!C1, "")</f>
        <v/>
      </c>
    </row>
    <row r="937" spans="3:4" x14ac:dyDescent="0.3">
      <c r="C937" s="2" t="str">
        <f>IF(A937&lt;&gt;"",SUM(B937),"")</f>
        <v/>
      </c>
      <c r="D937" s="2" t="str">
        <f>IF(A937&lt;&gt;"",(Recurso!D1*Recurso!C937)/Recurso!C1, "")</f>
        <v/>
      </c>
    </row>
    <row r="938" spans="3:4" x14ac:dyDescent="0.3">
      <c r="C938" s="2" t="str">
        <f>IF(A938&lt;&gt;"",SUM(B938),"")</f>
        <v/>
      </c>
      <c r="D938" s="2" t="str">
        <f>IF(A938&lt;&gt;"",(Recurso!D1*Recurso!C938)/Recurso!C1, "")</f>
        <v/>
      </c>
    </row>
    <row r="939" spans="3:4" x14ac:dyDescent="0.3">
      <c r="C939" s="2" t="str">
        <f>IF(A939&lt;&gt;"",SUM(B939),"")</f>
        <v/>
      </c>
      <c r="D939" s="2" t="str">
        <f>IF(A939&lt;&gt;"",(Recurso!D1*Recurso!C939)/Recurso!C1, "")</f>
        <v/>
      </c>
    </row>
    <row r="940" spans="3:4" x14ac:dyDescent="0.3">
      <c r="C940" s="2" t="str">
        <f>IF(A940&lt;&gt;"",SUM(B940),"")</f>
        <v/>
      </c>
      <c r="D940" s="2" t="str">
        <f>IF(A940&lt;&gt;"",(Recurso!D1*Recurso!C940)/Recurso!C1, "")</f>
        <v/>
      </c>
    </row>
    <row r="941" spans="3:4" x14ac:dyDescent="0.3">
      <c r="C941" s="2" t="str">
        <f>IF(A941&lt;&gt;"",SUM(B941),"")</f>
        <v/>
      </c>
      <c r="D941" s="2" t="str">
        <f>IF(A941&lt;&gt;"",(Recurso!D1*Recurso!C941)/Recurso!C1, "")</f>
        <v/>
      </c>
    </row>
    <row r="942" spans="3:4" x14ac:dyDescent="0.3">
      <c r="C942" s="2" t="str">
        <f>IF(A942&lt;&gt;"",SUM(B942),"")</f>
        <v/>
      </c>
      <c r="D942" s="2" t="str">
        <f>IF(A942&lt;&gt;"",(Recurso!D1*Recurso!C942)/Recurso!C1, "")</f>
        <v/>
      </c>
    </row>
    <row r="943" spans="3:4" x14ac:dyDescent="0.3">
      <c r="C943" s="2" t="str">
        <f>IF(A943&lt;&gt;"",SUM(B943),"")</f>
        <v/>
      </c>
      <c r="D943" s="2" t="str">
        <f>IF(A943&lt;&gt;"",(Recurso!D1*Recurso!C943)/Recurso!C1, "")</f>
        <v/>
      </c>
    </row>
    <row r="944" spans="3:4" x14ac:dyDescent="0.3">
      <c r="C944" s="2" t="str">
        <f>IF(A944&lt;&gt;"",SUM(B944),"")</f>
        <v/>
      </c>
      <c r="D944" s="2" t="str">
        <f>IF(A944&lt;&gt;"",(Recurso!D1*Recurso!C944)/Recurso!C1, "")</f>
        <v/>
      </c>
    </row>
    <row r="945" spans="3:4" x14ac:dyDescent="0.3">
      <c r="C945" s="2" t="str">
        <f>IF(A945&lt;&gt;"",SUM(B945),"")</f>
        <v/>
      </c>
      <c r="D945" s="2" t="str">
        <f>IF(A945&lt;&gt;"",(Recurso!D1*Recurso!C945)/Recurso!C1, "")</f>
        <v/>
      </c>
    </row>
    <row r="946" spans="3:4" x14ac:dyDescent="0.3">
      <c r="C946" s="2" t="str">
        <f>IF(A946&lt;&gt;"",SUM(B946),"")</f>
        <v/>
      </c>
      <c r="D946" s="2" t="str">
        <f>IF(A946&lt;&gt;"",(Recurso!D1*Recurso!C946)/Recurso!C1, "")</f>
        <v/>
      </c>
    </row>
    <row r="947" spans="3:4" x14ac:dyDescent="0.3">
      <c r="C947" s="2" t="str">
        <f>IF(A947&lt;&gt;"",SUM(B947),"")</f>
        <v/>
      </c>
      <c r="D947" s="2" t="str">
        <f>IF(A947&lt;&gt;"",(Recurso!D1*Recurso!C947)/Recurso!C1, "")</f>
        <v/>
      </c>
    </row>
    <row r="948" spans="3:4" x14ac:dyDescent="0.3">
      <c r="C948" s="2" t="str">
        <f>IF(A948&lt;&gt;"",SUM(B948),"")</f>
        <v/>
      </c>
      <c r="D948" s="2" t="str">
        <f>IF(A948&lt;&gt;"",(Recurso!D1*Recurso!C948)/Recurso!C1, "")</f>
        <v/>
      </c>
    </row>
    <row r="949" spans="3:4" x14ac:dyDescent="0.3">
      <c r="C949" s="2" t="str">
        <f>IF(A949&lt;&gt;"",SUM(B949),"")</f>
        <v/>
      </c>
      <c r="D949" s="2" t="str">
        <f>IF(A949&lt;&gt;"",(Recurso!D1*Recurso!C949)/Recurso!C1, "")</f>
        <v/>
      </c>
    </row>
    <row r="950" spans="3:4" x14ac:dyDescent="0.3">
      <c r="C950" s="2" t="str">
        <f>IF(A950&lt;&gt;"",SUM(B950),"")</f>
        <v/>
      </c>
      <c r="D950" s="2" t="str">
        <f>IF(A950&lt;&gt;"",(Recurso!D1*Recurso!C950)/Recurso!C1, "")</f>
        <v/>
      </c>
    </row>
    <row r="951" spans="3:4" x14ac:dyDescent="0.3">
      <c r="C951" s="2" t="str">
        <f>IF(A951&lt;&gt;"",SUM(B951),"")</f>
        <v/>
      </c>
      <c r="D951" s="2" t="str">
        <f>IF(A951&lt;&gt;"",(Recurso!D1*Recurso!C951)/Recurso!C1, "")</f>
        <v/>
      </c>
    </row>
    <row r="952" spans="3:4" x14ac:dyDescent="0.3">
      <c r="C952" s="2" t="str">
        <f>IF(A952&lt;&gt;"",SUM(B952),"")</f>
        <v/>
      </c>
      <c r="D952" s="2" t="str">
        <f>IF(A952&lt;&gt;"",(Recurso!D1*Recurso!C952)/Recurso!C1, "")</f>
        <v/>
      </c>
    </row>
    <row r="953" spans="3:4" x14ac:dyDescent="0.3">
      <c r="C953" s="2" t="str">
        <f>IF(A953&lt;&gt;"",SUM(B953),"")</f>
        <v/>
      </c>
      <c r="D953" s="2" t="str">
        <f>IF(A953&lt;&gt;"",(Recurso!D1*Recurso!C953)/Recurso!C1, "")</f>
        <v/>
      </c>
    </row>
    <row r="954" spans="3:4" x14ac:dyDescent="0.3">
      <c r="C954" s="2" t="str">
        <f>IF(A954&lt;&gt;"",SUM(B954),"")</f>
        <v/>
      </c>
      <c r="D954" s="2" t="str">
        <f>IF(A954&lt;&gt;"",(Recurso!D1*Recurso!C954)/Recurso!C1, "")</f>
        <v/>
      </c>
    </row>
    <row r="955" spans="3:4" x14ac:dyDescent="0.3">
      <c r="C955" s="2" t="str">
        <f>IF(A955&lt;&gt;"",SUM(B955),"")</f>
        <v/>
      </c>
      <c r="D955" s="2" t="str">
        <f>IF(A955&lt;&gt;"",(Recurso!D1*Recurso!C955)/Recurso!C1, "")</f>
        <v/>
      </c>
    </row>
    <row r="956" spans="3:4" x14ac:dyDescent="0.3">
      <c r="C956" s="2" t="str">
        <f>IF(A956&lt;&gt;"",SUM(B956),"")</f>
        <v/>
      </c>
      <c r="D956" s="2" t="str">
        <f>IF(A956&lt;&gt;"",(Recurso!D1*Recurso!C956)/Recurso!C1, "")</f>
        <v/>
      </c>
    </row>
    <row r="957" spans="3:4" x14ac:dyDescent="0.3">
      <c r="C957" s="2" t="str">
        <f>IF(A957&lt;&gt;"",SUM(B957),"")</f>
        <v/>
      </c>
      <c r="D957" s="2" t="str">
        <f>IF(A957&lt;&gt;"",(Recurso!D1*Recurso!C957)/Recurso!C1, "")</f>
        <v/>
      </c>
    </row>
    <row r="958" spans="3:4" x14ac:dyDescent="0.3">
      <c r="C958" s="2" t="str">
        <f>IF(A958&lt;&gt;"",SUM(B958),"")</f>
        <v/>
      </c>
      <c r="D958" s="2" t="str">
        <f>IF(A958&lt;&gt;"",(Recurso!D1*Recurso!C958)/Recurso!C1, "")</f>
        <v/>
      </c>
    </row>
    <row r="959" spans="3:4" x14ac:dyDescent="0.3">
      <c r="C959" s="2" t="str">
        <f>IF(A959&lt;&gt;"",SUM(B959),"")</f>
        <v/>
      </c>
      <c r="D959" s="2" t="str">
        <f>IF(A959&lt;&gt;"",(Recurso!D1*Recurso!C959)/Recurso!C1, "")</f>
        <v/>
      </c>
    </row>
    <row r="960" spans="3:4" x14ac:dyDescent="0.3">
      <c r="C960" s="2" t="str">
        <f>IF(A960&lt;&gt;"",SUM(B960),"")</f>
        <v/>
      </c>
      <c r="D960" s="2" t="str">
        <f>IF(A960&lt;&gt;"",(Recurso!D1*Recurso!C960)/Recurso!C1, "")</f>
        <v/>
      </c>
    </row>
    <row r="961" spans="3:4" x14ac:dyDescent="0.3">
      <c r="C961" s="2" t="str">
        <f>IF(A961&lt;&gt;"",SUM(B961),"")</f>
        <v/>
      </c>
      <c r="D961" s="2" t="str">
        <f>IF(A961&lt;&gt;"",(Recurso!D1*Recurso!C961)/Recurso!C1, "")</f>
        <v/>
      </c>
    </row>
    <row r="962" spans="3:4" x14ac:dyDescent="0.3">
      <c r="C962" s="2" t="str">
        <f>IF(A962&lt;&gt;"",SUM(B962),"")</f>
        <v/>
      </c>
      <c r="D962" s="2" t="str">
        <f>IF(A962&lt;&gt;"",(Recurso!D1*Recurso!C962)/Recurso!C1, "")</f>
        <v/>
      </c>
    </row>
    <row r="963" spans="3:4" x14ac:dyDescent="0.3">
      <c r="C963" s="2" t="str">
        <f>IF(A963&lt;&gt;"",SUM(B963),"")</f>
        <v/>
      </c>
      <c r="D963" s="2" t="str">
        <f>IF(A963&lt;&gt;"",(Recurso!D1*Recurso!C963)/Recurso!C1, "")</f>
        <v/>
      </c>
    </row>
    <row r="964" spans="3:4" x14ac:dyDescent="0.3">
      <c r="C964" s="2" t="str">
        <f>IF(A964&lt;&gt;"",SUM(B964),"")</f>
        <v/>
      </c>
      <c r="D964" s="2" t="str">
        <f>IF(A964&lt;&gt;"",(Recurso!D1*Recurso!C964)/Recurso!C1, "")</f>
        <v/>
      </c>
    </row>
    <row r="965" spans="3:4" x14ac:dyDescent="0.3">
      <c r="C965" s="2" t="str">
        <f>IF(A965&lt;&gt;"",SUM(B965),"")</f>
        <v/>
      </c>
      <c r="D965" s="2" t="str">
        <f>IF(A965&lt;&gt;"",(Recurso!D1*Recurso!C965)/Recurso!C1, "")</f>
        <v/>
      </c>
    </row>
    <row r="966" spans="3:4" x14ac:dyDescent="0.3">
      <c r="C966" s="2" t="str">
        <f>IF(A966&lt;&gt;"",SUM(B966),"")</f>
        <v/>
      </c>
      <c r="D966" s="2" t="str">
        <f>IF(A966&lt;&gt;"",(Recurso!D1*Recurso!C966)/Recurso!C1, "")</f>
        <v/>
      </c>
    </row>
    <row r="967" spans="3:4" x14ac:dyDescent="0.3">
      <c r="C967" s="2" t="str">
        <f>IF(A967&lt;&gt;"",SUM(B967),"")</f>
        <v/>
      </c>
      <c r="D967" s="2" t="str">
        <f>IF(A967&lt;&gt;"",(Recurso!D1*Recurso!C967)/Recurso!C1, "")</f>
        <v/>
      </c>
    </row>
    <row r="968" spans="3:4" x14ac:dyDescent="0.3">
      <c r="C968" s="2" t="str">
        <f>IF(A968&lt;&gt;"",SUM(B968),"")</f>
        <v/>
      </c>
      <c r="D968" s="2" t="str">
        <f>IF(A968&lt;&gt;"",(Recurso!D1*Recurso!C968)/Recurso!C1, "")</f>
        <v/>
      </c>
    </row>
    <row r="969" spans="3:4" x14ac:dyDescent="0.3">
      <c r="C969" s="2" t="str">
        <f>IF(A969&lt;&gt;"",SUM(B969),"")</f>
        <v/>
      </c>
      <c r="D969" s="2" t="str">
        <f>IF(A969&lt;&gt;"",(Recurso!D1*Recurso!C969)/Recurso!C1, "")</f>
        <v/>
      </c>
    </row>
    <row r="970" spans="3:4" x14ac:dyDescent="0.3">
      <c r="C970" s="2" t="str">
        <f>IF(A970&lt;&gt;"",SUM(B970),"")</f>
        <v/>
      </c>
      <c r="D970" s="2" t="str">
        <f>IF(A970&lt;&gt;"",(Recurso!D1*Recurso!C970)/Recurso!C1, "")</f>
        <v/>
      </c>
    </row>
    <row r="971" spans="3:4" x14ac:dyDescent="0.3">
      <c r="C971" s="2" t="str">
        <f>IF(A971&lt;&gt;"",SUM(B971),"")</f>
        <v/>
      </c>
      <c r="D971" s="2" t="str">
        <f>IF(A971&lt;&gt;"",(Recurso!D1*Recurso!C971)/Recurso!C1, "")</f>
        <v/>
      </c>
    </row>
    <row r="972" spans="3:4" x14ac:dyDescent="0.3">
      <c r="C972" s="2" t="str">
        <f>IF(A972&lt;&gt;"",SUM(B972),"")</f>
        <v/>
      </c>
      <c r="D972" s="2" t="str">
        <f>IF(A972&lt;&gt;"",(Recurso!D1*Recurso!C972)/Recurso!C1, "")</f>
        <v/>
      </c>
    </row>
    <row r="973" spans="3:4" x14ac:dyDescent="0.3">
      <c r="C973" s="2" t="str">
        <f>IF(A973&lt;&gt;"",SUM(B973),"")</f>
        <v/>
      </c>
      <c r="D973" s="2" t="str">
        <f>IF(A973&lt;&gt;"",(Recurso!D1*Recurso!C973)/Recurso!C1, "")</f>
        <v/>
      </c>
    </row>
    <row r="974" spans="3:4" x14ac:dyDescent="0.3">
      <c r="C974" s="2" t="str">
        <f>IF(A974&lt;&gt;"",SUM(B974),"")</f>
        <v/>
      </c>
      <c r="D974" s="2" t="str">
        <f>IF(A974&lt;&gt;"",(Recurso!D1*Recurso!C974)/Recurso!C1, "")</f>
        <v/>
      </c>
    </row>
    <row r="975" spans="3:4" x14ac:dyDescent="0.3">
      <c r="C975" s="2" t="str">
        <f>IF(A975&lt;&gt;"",SUM(B975),"")</f>
        <v/>
      </c>
      <c r="D975" s="2" t="str">
        <f>IF(A975&lt;&gt;"",(Recurso!D1*Recurso!C975)/Recurso!C1, "")</f>
        <v/>
      </c>
    </row>
    <row r="976" spans="3:4" x14ac:dyDescent="0.3">
      <c r="C976" s="2" t="str">
        <f>IF(A976&lt;&gt;"",SUM(B976),"")</f>
        <v/>
      </c>
      <c r="D976" s="2" t="str">
        <f>IF(A976&lt;&gt;"",(Recurso!D1*Recurso!C976)/Recurso!C1, "")</f>
        <v/>
      </c>
    </row>
    <row r="977" spans="3:4" x14ac:dyDescent="0.3">
      <c r="C977" s="2" t="str">
        <f>IF(A977&lt;&gt;"",SUM(B977),"")</f>
        <v/>
      </c>
      <c r="D977" s="2" t="str">
        <f>IF(A977&lt;&gt;"",(Recurso!D1*Recurso!C977)/Recurso!C1, "")</f>
        <v/>
      </c>
    </row>
    <row r="978" spans="3:4" x14ac:dyDescent="0.3">
      <c r="C978" s="2" t="str">
        <f>IF(A978&lt;&gt;"",SUM(B978),"")</f>
        <v/>
      </c>
      <c r="D978" s="2" t="str">
        <f>IF(A978&lt;&gt;"",(Recurso!D1*Recurso!C978)/Recurso!C1, "")</f>
        <v/>
      </c>
    </row>
    <row r="979" spans="3:4" x14ac:dyDescent="0.3">
      <c r="C979" s="2" t="str">
        <f>IF(A979&lt;&gt;"",SUM(B979),"")</f>
        <v/>
      </c>
      <c r="D979" s="2" t="str">
        <f>IF(A979&lt;&gt;"",(Recurso!D1*Recurso!C979)/Recurso!C1, "")</f>
        <v/>
      </c>
    </row>
    <row r="980" spans="3:4" x14ac:dyDescent="0.3">
      <c r="C980" s="2" t="str">
        <f>IF(A980&lt;&gt;"",SUM(B980),"")</f>
        <v/>
      </c>
      <c r="D980" s="2" t="str">
        <f>IF(A980&lt;&gt;"",(Recurso!D1*Recurso!C980)/Recurso!C1, "")</f>
        <v/>
      </c>
    </row>
    <row r="981" spans="3:4" x14ac:dyDescent="0.3">
      <c r="C981" s="2" t="str">
        <f>IF(A981&lt;&gt;"",SUM(B981),"")</f>
        <v/>
      </c>
      <c r="D981" s="2" t="str">
        <f>IF(A981&lt;&gt;"",(Recurso!D1*Recurso!C981)/Recurso!C1, "")</f>
        <v/>
      </c>
    </row>
    <row r="982" spans="3:4" x14ac:dyDescent="0.3">
      <c r="C982" s="2" t="str">
        <f>IF(A982&lt;&gt;"",SUM(B982),"")</f>
        <v/>
      </c>
      <c r="D982" s="2" t="str">
        <f>IF(A982&lt;&gt;"",(Recurso!D1*Recurso!C982)/Recurso!C1, "")</f>
        <v/>
      </c>
    </row>
    <row r="983" spans="3:4" x14ac:dyDescent="0.3">
      <c r="C983" s="2" t="str">
        <f>IF(A983&lt;&gt;"",SUM(B983),"")</f>
        <v/>
      </c>
      <c r="D983" s="2" t="str">
        <f>IF(A983&lt;&gt;"",(Recurso!D1*Recurso!C983)/Recurso!C1, "")</f>
        <v/>
      </c>
    </row>
    <row r="984" spans="3:4" x14ac:dyDescent="0.3">
      <c r="C984" s="2" t="str">
        <f>IF(A984&lt;&gt;"",SUM(B984),"")</f>
        <v/>
      </c>
      <c r="D984" s="2" t="str">
        <f>IF(A984&lt;&gt;"",(Recurso!D1*Recurso!C984)/Recurso!C1, "")</f>
        <v/>
      </c>
    </row>
    <row r="985" spans="3:4" x14ac:dyDescent="0.3">
      <c r="C985" s="2" t="str">
        <f>IF(A985&lt;&gt;"",SUM(B985),"")</f>
        <v/>
      </c>
      <c r="D985" s="2" t="str">
        <f>IF(A985&lt;&gt;"",(Recurso!D1*Recurso!C985)/Recurso!C1, "")</f>
        <v/>
      </c>
    </row>
    <row r="986" spans="3:4" x14ac:dyDescent="0.3">
      <c r="C986" s="2" t="str">
        <f>IF(A986&lt;&gt;"",SUM(B986),"")</f>
        <v/>
      </c>
      <c r="D986" s="2" t="str">
        <f>IF(A986&lt;&gt;"",(Recurso!D1*Recurso!C986)/Recurso!C1, "")</f>
        <v/>
      </c>
    </row>
    <row r="987" spans="3:4" x14ac:dyDescent="0.3">
      <c r="C987" s="2" t="str">
        <f>IF(A987&lt;&gt;"",SUM(B987),"")</f>
        <v/>
      </c>
      <c r="D987" s="2" t="str">
        <f>IF(A987&lt;&gt;"",(Recurso!D1*Recurso!C987)/Recurso!C1, "")</f>
        <v/>
      </c>
    </row>
    <row r="988" spans="3:4" x14ac:dyDescent="0.3">
      <c r="C988" s="2" t="str">
        <f>IF(A988&lt;&gt;"",SUM(B988),"")</f>
        <v/>
      </c>
      <c r="D988" s="2" t="str">
        <f>IF(A988&lt;&gt;"",(Recurso!D1*Recurso!C988)/Recurso!C1, "")</f>
        <v/>
      </c>
    </row>
    <row r="989" spans="3:4" x14ac:dyDescent="0.3">
      <c r="C989" s="2" t="str">
        <f>IF(A989&lt;&gt;"",SUM(B989),"")</f>
        <v/>
      </c>
      <c r="D989" s="2" t="str">
        <f>IF(A989&lt;&gt;"",(Recurso!D1*Recurso!C989)/Recurso!C1, "")</f>
        <v/>
      </c>
    </row>
    <row r="990" spans="3:4" x14ac:dyDescent="0.3">
      <c r="C990" s="2" t="str">
        <f>IF(A990&lt;&gt;"",SUM(B990),"")</f>
        <v/>
      </c>
      <c r="D990" s="2" t="str">
        <f>IF(A990&lt;&gt;"",(Recurso!D1*Recurso!C990)/Recurso!C1, "")</f>
        <v/>
      </c>
    </row>
    <row r="991" spans="3:4" x14ac:dyDescent="0.3">
      <c r="C991" s="2" t="str">
        <f>IF(A991&lt;&gt;"",SUM(B991),"")</f>
        <v/>
      </c>
      <c r="D991" s="2" t="str">
        <f>IF(A991&lt;&gt;"",(Recurso!D1*Recurso!C991)/Recurso!C1, "")</f>
        <v/>
      </c>
    </row>
    <row r="992" spans="3:4" x14ac:dyDescent="0.3">
      <c r="C992" s="2" t="str">
        <f>IF(A992&lt;&gt;"",SUM(B992),"")</f>
        <v/>
      </c>
      <c r="D992" s="2" t="str">
        <f>IF(A992&lt;&gt;"",(Recurso!D1*Recurso!C992)/Recurso!C1, "")</f>
        <v/>
      </c>
    </row>
    <row r="993" spans="3:4" x14ac:dyDescent="0.3">
      <c r="C993" s="2" t="str">
        <f>IF(A993&lt;&gt;"",SUM(B993),"")</f>
        <v/>
      </c>
      <c r="D993" s="2" t="str">
        <f>IF(A993&lt;&gt;"",(Recurso!D1*Recurso!C993)/Recurso!C1, "")</f>
        <v/>
      </c>
    </row>
    <row r="994" spans="3:4" x14ac:dyDescent="0.3">
      <c r="C994" s="2" t="str">
        <f>IF(A994&lt;&gt;"",SUM(B994),"")</f>
        <v/>
      </c>
      <c r="D994" s="2" t="str">
        <f>IF(A994&lt;&gt;"",(Recurso!D1*Recurso!C994)/Recurso!C1, "")</f>
        <v/>
      </c>
    </row>
    <row r="995" spans="3:4" x14ac:dyDescent="0.3">
      <c r="C995" s="2" t="str">
        <f>IF(A995&lt;&gt;"",SUM(B995),"")</f>
        <v/>
      </c>
      <c r="D995" s="2" t="str">
        <f>IF(A995&lt;&gt;"",(Recurso!D1*Recurso!C995)/Recurso!C1, "")</f>
        <v/>
      </c>
    </row>
    <row r="996" spans="3:4" x14ac:dyDescent="0.3">
      <c r="C996" s="2" t="str">
        <f>IF(A996&lt;&gt;"",SUM(B996),"")</f>
        <v/>
      </c>
      <c r="D996" s="2" t="str">
        <f>IF(A996&lt;&gt;"",(Recurso!D1*Recurso!C996)/Recurso!C1, "")</f>
        <v/>
      </c>
    </row>
    <row r="997" spans="3:4" x14ac:dyDescent="0.3">
      <c r="C997" s="2" t="str">
        <f>IF(A997&lt;&gt;"",SUM(B997),"")</f>
        <v/>
      </c>
      <c r="D997" s="2" t="str">
        <f>IF(A997&lt;&gt;"",(Recurso!D1*Recurso!C997)/Recurso!C1, "")</f>
        <v/>
      </c>
    </row>
    <row r="998" spans="3:4" x14ac:dyDescent="0.3">
      <c r="C998" s="2" t="str">
        <f>IF(A998&lt;&gt;"",SUM(B998),"")</f>
        <v/>
      </c>
      <c r="D998" s="2" t="str">
        <f>IF(A998&lt;&gt;"",(Recurso!D1*Recurso!C998)/Recurso!C1, "")</f>
        <v/>
      </c>
    </row>
    <row r="999" spans="3:4" x14ac:dyDescent="0.3">
      <c r="C999" s="2" t="str">
        <f>IF(A999&lt;&gt;"",SUM(B999),"")</f>
        <v/>
      </c>
      <c r="D999" s="2" t="str">
        <f>IF(A999&lt;&gt;"",(Recurso!D1*Recurso!C999)/Recurso!C1, "")</f>
        <v/>
      </c>
    </row>
    <row r="1000" spans="3:4" x14ac:dyDescent="0.3">
      <c r="C1000" s="2" t="str">
        <f>IF(A1000&lt;&gt;"",SUM(B1000),"")</f>
        <v/>
      </c>
      <c r="D1000" s="2" t="str">
        <f>IF(A1000&lt;&gt;"",(Recurso!D1*Recurso!C1000)/Recurso!C1, 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0F0D-4E64-4F34-82E1-47A1DA05C8D0}">
  <sheetPr codeName="Folha151"/>
  <dimension ref="A1:ZZ1000"/>
  <sheetViews>
    <sheetView workbookViewId="0">
      <selection activeCell="C6" sqref="C6"/>
    </sheetView>
  </sheetViews>
  <sheetFormatPr defaultRowHeight="14.4" x14ac:dyDescent="0.3"/>
  <cols>
    <col min="1" max="1" width="35.77734375" style="2" customWidth="1"/>
    <col min="2" max="2" width="3.33203125" style="2" bestFit="1" customWidth="1"/>
    <col min="3" max="3" width="4.33203125" style="2" bestFit="1" customWidth="1"/>
    <col min="4" max="4" width="5.109375" style="2" bestFit="1" customWidth="1"/>
    <col min="5" max="5" width="14.88671875" style="2" bestFit="1" customWidth="1"/>
    <col min="6" max="702" width="8.88671875" style="2"/>
  </cols>
  <sheetData>
    <row r="1" spans="1:5" x14ac:dyDescent="0.3">
      <c r="B1" s="8">
        <v>25</v>
      </c>
      <c r="C1" s="8">
        <v>75</v>
      </c>
      <c r="D1" s="8">
        <v>100</v>
      </c>
      <c r="E1" s="8">
        <v>4</v>
      </c>
    </row>
    <row r="2" spans="1:5" x14ac:dyDescent="0.3">
      <c r="A2" s="7" t="s">
        <v>16</v>
      </c>
      <c r="B2" s="7" t="s">
        <v>24</v>
      </c>
      <c r="C2" s="7" t="s">
        <v>25</v>
      </c>
      <c r="D2" s="7" t="s">
        <v>13</v>
      </c>
      <c r="E2" s="7" t="s">
        <v>23</v>
      </c>
    </row>
    <row r="3" spans="1:5" x14ac:dyDescent="0.3">
      <c r="A3" s="2" t="s">
        <v>18</v>
      </c>
      <c r="B3" s="2">
        <v>22</v>
      </c>
      <c r="C3" s="2">
        <v>75</v>
      </c>
      <c r="D3" s="2">
        <f>IF(A3&lt;&gt;"",SUM(B3:C3),"")</f>
        <v>97</v>
      </c>
      <c r="E3" s="2">
        <f>IF(A3&lt;&gt;"",('TP1'!E1*'TP1'!D3)/'TP1'!D1, "")</f>
        <v>3.88</v>
      </c>
    </row>
    <row r="4" spans="1:5" x14ac:dyDescent="0.3">
      <c r="A4" s="2" t="s">
        <v>20</v>
      </c>
      <c r="B4" s="2">
        <v>23</v>
      </c>
      <c r="C4" s="2">
        <v>33</v>
      </c>
      <c r="D4" s="2">
        <f>IF(A4&lt;&gt;"",SUM(B4:C4),"")</f>
        <v>56</v>
      </c>
      <c r="E4" s="2">
        <f>IF(A4&lt;&gt;"",('TP1'!E1*'TP1'!D4)/'TP1'!D1, "")</f>
        <v>2.2400000000000002</v>
      </c>
    </row>
    <row r="5" spans="1:5" x14ac:dyDescent="0.3">
      <c r="D5" s="2" t="str">
        <f>IF(A5&lt;&gt;"",SUM(B5:C5),"")</f>
        <v/>
      </c>
      <c r="E5" s="2" t="str">
        <f>IF(A5&lt;&gt;"",('TP1'!E1*'TP1'!D5)/'TP1'!D1, "")</f>
        <v/>
      </c>
    </row>
    <row r="6" spans="1:5" x14ac:dyDescent="0.3">
      <c r="D6" s="2" t="str">
        <f>IF(A6&lt;&gt;"",SUM(B6:C6),"")</f>
        <v/>
      </c>
      <c r="E6" s="2" t="str">
        <f>IF(A6&lt;&gt;"",('TP1'!E1*'TP1'!D6)/'TP1'!D1, "")</f>
        <v/>
      </c>
    </row>
    <row r="7" spans="1:5" x14ac:dyDescent="0.3">
      <c r="D7" s="2" t="str">
        <f>IF(A7&lt;&gt;"",SUM(B7:C7),"")</f>
        <v/>
      </c>
      <c r="E7" s="2" t="str">
        <f>IF(A7&lt;&gt;"",('TP1'!E1*'TP1'!D7)/'TP1'!D1, "")</f>
        <v/>
      </c>
    </row>
    <row r="8" spans="1:5" x14ac:dyDescent="0.3">
      <c r="D8" s="2" t="str">
        <f>IF(A8&lt;&gt;"",SUM(B8:C8),"")</f>
        <v/>
      </c>
      <c r="E8" s="2" t="str">
        <f>IF(A8&lt;&gt;"",('TP1'!E1*'TP1'!D8)/'TP1'!D1, "")</f>
        <v/>
      </c>
    </row>
    <row r="9" spans="1:5" x14ac:dyDescent="0.3">
      <c r="D9" s="2" t="str">
        <f>IF(A9&lt;&gt;"",SUM(B9:C9),"")</f>
        <v/>
      </c>
      <c r="E9" s="2" t="str">
        <f>IF(A9&lt;&gt;"",('TP1'!E1*'TP1'!D9)/'TP1'!D1, "")</f>
        <v/>
      </c>
    </row>
    <row r="10" spans="1:5" x14ac:dyDescent="0.3">
      <c r="D10" s="2" t="str">
        <f>IF(A10&lt;&gt;"",SUM(B10:C10),"")</f>
        <v/>
      </c>
      <c r="E10" s="2" t="str">
        <f>IF(A10&lt;&gt;"",('TP1'!E1*'TP1'!D10)/'TP1'!D1, "")</f>
        <v/>
      </c>
    </row>
    <row r="11" spans="1:5" x14ac:dyDescent="0.3">
      <c r="D11" s="2" t="str">
        <f>IF(A11&lt;&gt;"",SUM(B11:C11),"")</f>
        <v/>
      </c>
      <c r="E11" s="2" t="str">
        <f>IF(A11&lt;&gt;"",('TP1'!E1*'TP1'!D11)/'TP1'!D1, "")</f>
        <v/>
      </c>
    </row>
    <row r="12" spans="1:5" x14ac:dyDescent="0.3">
      <c r="D12" s="2" t="str">
        <f>IF(A12&lt;&gt;"",SUM(B12:C12),"")</f>
        <v/>
      </c>
      <c r="E12" s="2" t="str">
        <f>IF(A12&lt;&gt;"",('TP1'!E1*'TP1'!D12)/'TP1'!D1, "")</f>
        <v/>
      </c>
    </row>
    <row r="13" spans="1:5" x14ac:dyDescent="0.3">
      <c r="D13" s="2" t="str">
        <f>IF(A13&lt;&gt;"",SUM(B13:C13),"")</f>
        <v/>
      </c>
      <c r="E13" s="2" t="str">
        <f>IF(A13&lt;&gt;"",('TP1'!E1*'TP1'!D13)/'TP1'!D1, "")</f>
        <v/>
      </c>
    </row>
    <row r="14" spans="1:5" x14ac:dyDescent="0.3">
      <c r="D14" s="2" t="str">
        <f>IF(A14&lt;&gt;"",SUM(B14:C14),"")</f>
        <v/>
      </c>
      <c r="E14" s="2" t="str">
        <f>IF(A14&lt;&gt;"",('TP1'!E1*'TP1'!D14)/'TP1'!D1, "")</f>
        <v/>
      </c>
    </row>
    <row r="15" spans="1:5" x14ac:dyDescent="0.3">
      <c r="D15" s="2" t="str">
        <f>IF(A15&lt;&gt;"",SUM(B15:C15),"")</f>
        <v/>
      </c>
      <c r="E15" s="2" t="str">
        <f>IF(A15&lt;&gt;"",('TP1'!E1*'TP1'!D15)/'TP1'!D1, "")</f>
        <v/>
      </c>
    </row>
    <row r="16" spans="1:5" x14ac:dyDescent="0.3">
      <c r="D16" s="2" t="str">
        <f>IF(A16&lt;&gt;"",SUM(B16:C16),"")</f>
        <v/>
      </c>
      <c r="E16" s="2" t="str">
        <f>IF(A16&lt;&gt;"",('TP1'!E1*'TP1'!D16)/'TP1'!D1, "")</f>
        <v/>
      </c>
    </row>
    <row r="17" spans="4:5" x14ac:dyDescent="0.3">
      <c r="D17" s="2" t="str">
        <f>IF(A17&lt;&gt;"",SUM(B17:C17),"")</f>
        <v/>
      </c>
      <c r="E17" s="2" t="str">
        <f>IF(A17&lt;&gt;"",('TP1'!E1*'TP1'!D17)/'TP1'!D1, "")</f>
        <v/>
      </c>
    </row>
    <row r="18" spans="4:5" x14ac:dyDescent="0.3">
      <c r="D18" s="2" t="str">
        <f>IF(A18&lt;&gt;"",SUM(B18:C18),"")</f>
        <v/>
      </c>
      <c r="E18" s="2" t="str">
        <f>IF(A18&lt;&gt;"",('TP1'!E1*'TP1'!D18)/'TP1'!D1, "")</f>
        <v/>
      </c>
    </row>
    <row r="19" spans="4:5" x14ac:dyDescent="0.3">
      <c r="D19" s="2" t="str">
        <f>IF(A19&lt;&gt;"",SUM(B19:C19),"")</f>
        <v/>
      </c>
      <c r="E19" s="2" t="str">
        <f>IF(A19&lt;&gt;"",('TP1'!E1*'TP1'!D19)/'TP1'!D1, "")</f>
        <v/>
      </c>
    </row>
    <row r="20" spans="4:5" x14ac:dyDescent="0.3">
      <c r="D20" s="2" t="str">
        <f>IF(A20&lt;&gt;"",SUM(B20:C20),"")</f>
        <v/>
      </c>
      <c r="E20" s="2" t="str">
        <f>IF(A20&lt;&gt;"",('TP1'!E1*'TP1'!D20)/'TP1'!D1, "")</f>
        <v/>
      </c>
    </row>
    <row r="21" spans="4:5" x14ac:dyDescent="0.3">
      <c r="D21" s="2" t="str">
        <f>IF(A21&lt;&gt;"",SUM(B21:C21),"")</f>
        <v/>
      </c>
      <c r="E21" s="2" t="str">
        <f>IF(A21&lt;&gt;"",('TP1'!E1*'TP1'!D21)/'TP1'!D1, "")</f>
        <v/>
      </c>
    </row>
    <row r="22" spans="4:5" x14ac:dyDescent="0.3">
      <c r="D22" s="2" t="str">
        <f>IF(A22&lt;&gt;"",SUM(B22:C22),"")</f>
        <v/>
      </c>
      <c r="E22" s="2" t="str">
        <f>IF(A22&lt;&gt;"",('TP1'!E1*'TP1'!D22)/'TP1'!D1, "")</f>
        <v/>
      </c>
    </row>
    <row r="23" spans="4:5" x14ac:dyDescent="0.3">
      <c r="D23" s="2" t="str">
        <f>IF(A23&lt;&gt;"",SUM(B23:C23),"")</f>
        <v/>
      </c>
      <c r="E23" s="2" t="str">
        <f>IF(A23&lt;&gt;"",('TP1'!E1*'TP1'!D23)/'TP1'!D1, "")</f>
        <v/>
      </c>
    </row>
    <row r="24" spans="4:5" x14ac:dyDescent="0.3">
      <c r="D24" s="2" t="str">
        <f>IF(A24&lt;&gt;"",SUM(B24:C24),"")</f>
        <v/>
      </c>
      <c r="E24" s="2" t="str">
        <f>IF(A24&lt;&gt;"",('TP1'!E1*'TP1'!D24)/'TP1'!D1, "")</f>
        <v/>
      </c>
    </row>
    <row r="25" spans="4:5" x14ac:dyDescent="0.3">
      <c r="D25" s="2" t="str">
        <f>IF(A25&lt;&gt;"",SUM(B25:C25),"")</f>
        <v/>
      </c>
      <c r="E25" s="2" t="str">
        <f>IF(A25&lt;&gt;"",('TP1'!E1*'TP1'!D25)/'TP1'!D1, "")</f>
        <v/>
      </c>
    </row>
    <row r="26" spans="4:5" x14ac:dyDescent="0.3">
      <c r="D26" s="2" t="str">
        <f>IF(A26&lt;&gt;"",SUM(B26:C26),"")</f>
        <v/>
      </c>
      <c r="E26" s="2" t="str">
        <f>IF(A26&lt;&gt;"",('TP1'!E1*'TP1'!D26)/'TP1'!D1, "")</f>
        <v/>
      </c>
    </row>
    <row r="27" spans="4:5" x14ac:dyDescent="0.3">
      <c r="D27" s="2" t="str">
        <f>IF(A27&lt;&gt;"",SUM(B27:C27),"")</f>
        <v/>
      </c>
      <c r="E27" s="2" t="str">
        <f>IF(A27&lt;&gt;"",('TP1'!E1*'TP1'!D27)/'TP1'!D1, "")</f>
        <v/>
      </c>
    </row>
    <row r="28" spans="4:5" x14ac:dyDescent="0.3">
      <c r="D28" s="2" t="str">
        <f>IF(A28&lt;&gt;"",SUM(B28:C28),"")</f>
        <v/>
      </c>
      <c r="E28" s="2" t="str">
        <f>IF(A28&lt;&gt;"",('TP1'!E1*'TP1'!D28)/'TP1'!D1, "")</f>
        <v/>
      </c>
    </row>
    <row r="29" spans="4:5" x14ac:dyDescent="0.3">
      <c r="D29" s="2" t="str">
        <f>IF(A29&lt;&gt;"",SUM(B29:C29),"")</f>
        <v/>
      </c>
      <c r="E29" s="2" t="str">
        <f>IF(A29&lt;&gt;"",('TP1'!E1*'TP1'!D29)/'TP1'!D1, "")</f>
        <v/>
      </c>
    </row>
    <row r="30" spans="4:5" x14ac:dyDescent="0.3">
      <c r="D30" s="2" t="str">
        <f>IF(A30&lt;&gt;"",SUM(B30:C30),"")</f>
        <v/>
      </c>
      <c r="E30" s="2" t="str">
        <f>IF(A30&lt;&gt;"",('TP1'!E1*'TP1'!D30)/'TP1'!D1, "")</f>
        <v/>
      </c>
    </row>
    <row r="31" spans="4:5" x14ac:dyDescent="0.3">
      <c r="D31" s="2" t="str">
        <f>IF(A31&lt;&gt;"",SUM(B31:C31),"")</f>
        <v/>
      </c>
      <c r="E31" s="2" t="str">
        <f>IF(A31&lt;&gt;"",('TP1'!E1*'TP1'!D31)/'TP1'!D1, "")</f>
        <v/>
      </c>
    </row>
    <row r="32" spans="4:5" x14ac:dyDescent="0.3">
      <c r="D32" s="2" t="str">
        <f>IF(A32&lt;&gt;"",SUM(B32:C32),"")</f>
        <v/>
      </c>
      <c r="E32" s="2" t="str">
        <f>IF(A32&lt;&gt;"",('TP1'!E1*'TP1'!D32)/'TP1'!D1, "")</f>
        <v/>
      </c>
    </row>
    <row r="33" spans="4:5" x14ac:dyDescent="0.3">
      <c r="D33" s="2" t="str">
        <f>IF(A33&lt;&gt;"",SUM(B33:C33),"")</f>
        <v/>
      </c>
      <c r="E33" s="2" t="str">
        <f>IF(A33&lt;&gt;"",('TP1'!E1*'TP1'!D33)/'TP1'!D1, "")</f>
        <v/>
      </c>
    </row>
    <row r="34" spans="4:5" x14ac:dyDescent="0.3">
      <c r="D34" s="2" t="str">
        <f>IF(A34&lt;&gt;"",SUM(B34:C34),"")</f>
        <v/>
      </c>
      <c r="E34" s="2" t="str">
        <f>IF(A34&lt;&gt;"",('TP1'!E1*'TP1'!D34)/'TP1'!D1, "")</f>
        <v/>
      </c>
    </row>
    <row r="35" spans="4:5" x14ac:dyDescent="0.3">
      <c r="D35" s="2" t="str">
        <f>IF(A35&lt;&gt;"",SUM(B35:C35),"")</f>
        <v/>
      </c>
      <c r="E35" s="2" t="str">
        <f>IF(A35&lt;&gt;"",('TP1'!E1*'TP1'!D35)/'TP1'!D1, "")</f>
        <v/>
      </c>
    </row>
    <row r="36" spans="4:5" x14ac:dyDescent="0.3">
      <c r="D36" s="2" t="str">
        <f>IF(A36&lt;&gt;"",SUM(B36:C36),"")</f>
        <v/>
      </c>
      <c r="E36" s="2" t="str">
        <f>IF(A36&lt;&gt;"",('TP1'!E1*'TP1'!D36)/'TP1'!D1, "")</f>
        <v/>
      </c>
    </row>
    <row r="37" spans="4:5" x14ac:dyDescent="0.3">
      <c r="D37" s="2" t="str">
        <f>IF(A37&lt;&gt;"",SUM(B37:C37),"")</f>
        <v/>
      </c>
      <c r="E37" s="2" t="str">
        <f>IF(A37&lt;&gt;"",('TP1'!E1*'TP1'!D37)/'TP1'!D1, "")</f>
        <v/>
      </c>
    </row>
    <row r="38" spans="4:5" x14ac:dyDescent="0.3">
      <c r="D38" s="2" t="str">
        <f>IF(A38&lt;&gt;"",SUM(B38:C38),"")</f>
        <v/>
      </c>
      <c r="E38" s="2" t="str">
        <f>IF(A38&lt;&gt;"",('TP1'!E1*'TP1'!D38)/'TP1'!D1, "")</f>
        <v/>
      </c>
    </row>
    <row r="39" spans="4:5" x14ac:dyDescent="0.3">
      <c r="D39" s="2" t="str">
        <f>IF(A39&lt;&gt;"",SUM(B39:C39),"")</f>
        <v/>
      </c>
      <c r="E39" s="2" t="str">
        <f>IF(A39&lt;&gt;"",('TP1'!E1*'TP1'!D39)/'TP1'!D1, "")</f>
        <v/>
      </c>
    </row>
    <row r="40" spans="4:5" x14ac:dyDescent="0.3">
      <c r="D40" s="2" t="str">
        <f>IF(A40&lt;&gt;"",SUM(B40:C40),"")</f>
        <v/>
      </c>
      <c r="E40" s="2" t="str">
        <f>IF(A40&lt;&gt;"",('TP1'!E1*'TP1'!D40)/'TP1'!D1, "")</f>
        <v/>
      </c>
    </row>
    <row r="41" spans="4:5" x14ac:dyDescent="0.3">
      <c r="D41" s="2" t="str">
        <f>IF(A41&lt;&gt;"",SUM(B41:C41),"")</f>
        <v/>
      </c>
      <c r="E41" s="2" t="str">
        <f>IF(A41&lt;&gt;"",('TP1'!E1*'TP1'!D41)/'TP1'!D1, "")</f>
        <v/>
      </c>
    </row>
    <row r="42" spans="4:5" x14ac:dyDescent="0.3">
      <c r="D42" s="2" t="str">
        <f>IF(A42&lt;&gt;"",SUM(B42:C42),"")</f>
        <v/>
      </c>
      <c r="E42" s="2" t="str">
        <f>IF(A42&lt;&gt;"",('TP1'!E1*'TP1'!D42)/'TP1'!D1, "")</f>
        <v/>
      </c>
    </row>
    <row r="43" spans="4:5" x14ac:dyDescent="0.3">
      <c r="D43" s="2" t="str">
        <f>IF(A43&lt;&gt;"",SUM(B43:C43),"")</f>
        <v/>
      </c>
      <c r="E43" s="2" t="str">
        <f>IF(A43&lt;&gt;"",('TP1'!E1*'TP1'!D43)/'TP1'!D1, "")</f>
        <v/>
      </c>
    </row>
    <row r="44" spans="4:5" x14ac:dyDescent="0.3">
      <c r="D44" s="2" t="str">
        <f>IF(A44&lt;&gt;"",SUM(B44:C44),"")</f>
        <v/>
      </c>
      <c r="E44" s="2" t="str">
        <f>IF(A44&lt;&gt;"",('TP1'!E1*'TP1'!D44)/'TP1'!D1, "")</f>
        <v/>
      </c>
    </row>
    <row r="45" spans="4:5" x14ac:dyDescent="0.3">
      <c r="D45" s="2" t="str">
        <f>IF(A45&lt;&gt;"",SUM(B45:C45),"")</f>
        <v/>
      </c>
      <c r="E45" s="2" t="str">
        <f>IF(A45&lt;&gt;"",('TP1'!E1*'TP1'!D45)/'TP1'!D1, "")</f>
        <v/>
      </c>
    </row>
    <row r="46" spans="4:5" x14ac:dyDescent="0.3">
      <c r="D46" s="2" t="str">
        <f>IF(A46&lt;&gt;"",SUM(B46:C46),"")</f>
        <v/>
      </c>
      <c r="E46" s="2" t="str">
        <f>IF(A46&lt;&gt;"",('TP1'!E1*'TP1'!D46)/'TP1'!D1, "")</f>
        <v/>
      </c>
    </row>
    <row r="47" spans="4:5" x14ac:dyDescent="0.3">
      <c r="D47" s="2" t="str">
        <f>IF(A47&lt;&gt;"",SUM(B47:C47),"")</f>
        <v/>
      </c>
      <c r="E47" s="2" t="str">
        <f>IF(A47&lt;&gt;"",('TP1'!E1*'TP1'!D47)/'TP1'!D1, "")</f>
        <v/>
      </c>
    </row>
    <row r="48" spans="4:5" x14ac:dyDescent="0.3">
      <c r="D48" s="2" t="str">
        <f>IF(A48&lt;&gt;"",SUM(B48:C48),"")</f>
        <v/>
      </c>
      <c r="E48" s="2" t="str">
        <f>IF(A48&lt;&gt;"",('TP1'!E1*'TP1'!D48)/'TP1'!D1, "")</f>
        <v/>
      </c>
    </row>
    <row r="49" spans="4:5" x14ac:dyDescent="0.3">
      <c r="D49" s="2" t="str">
        <f>IF(A49&lt;&gt;"",SUM(B49:C49),"")</f>
        <v/>
      </c>
      <c r="E49" s="2" t="str">
        <f>IF(A49&lt;&gt;"",('TP1'!E1*'TP1'!D49)/'TP1'!D1, "")</f>
        <v/>
      </c>
    </row>
    <row r="50" spans="4:5" x14ac:dyDescent="0.3">
      <c r="D50" s="2" t="str">
        <f>IF(A50&lt;&gt;"",SUM(B50:C50),"")</f>
        <v/>
      </c>
      <c r="E50" s="2" t="str">
        <f>IF(A50&lt;&gt;"",('TP1'!E1*'TP1'!D50)/'TP1'!D1, "")</f>
        <v/>
      </c>
    </row>
    <row r="51" spans="4:5" x14ac:dyDescent="0.3">
      <c r="D51" s="2" t="str">
        <f>IF(A51&lt;&gt;"",SUM(B51:C51),"")</f>
        <v/>
      </c>
      <c r="E51" s="2" t="str">
        <f>IF(A51&lt;&gt;"",('TP1'!E1*'TP1'!D51)/'TP1'!D1, "")</f>
        <v/>
      </c>
    </row>
    <row r="52" spans="4:5" x14ac:dyDescent="0.3">
      <c r="D52" s="2" t="str">
        <f>IF(A52&lt;&gt;"",SUM(B52:C52),"")</f>
        <v/>
      </c>
      <c r="E52" s="2" t="str">
        <f>IF(A52&lt;&gt;"",('TP1'!E1*'TP1'!D52)/'TP1'!D1, "")</f>
        <v/>
      </c>
    </row>
    <row r="53" spans="4:5" x14ac:dyDescent="0.3">
      <c r="D53" s="2" t="str">
        <f>IF(A53&lt;&gt;"",SUM(B53:C53),"")</f>
        <v/>
      </c>
      <c r="E53" s="2" t="str">
        <f>IF(A53&lt;&gt;"",('TP1'!E1*'TP1'!D53)/'TP1'!D1, "")</f>
        <v/>
      </c>
    </row>
    <row r="54" spans="4:5" x14ac:dyDescent="0.3">
      <c r="D54" s="2" t="str">
        <f>IF(A54&lt;&gt;"",SUM(B54:C54),"")</f>
        <v/>
      </c>
      <c r="E54" s="2" t="str">
        <f>IF(A54&lt;&gt;"",('TP1'!E1*'TP1'!D54)/'TP1'!D1, "")</f>
        <v/>
      </c>
    </row>
    <row r="55" spans="4:5" x14ac:dyDescent="0.3">
      <c r="D55" s="2" t="str">
        <f>IF(A55&lt;&gt;"",SUM(B55:C55),"")</f>
        <v/>
      </c>
      <c r="E55" s="2" t="str">
        <f>IF(A55&lt;&gt;"",('TP1'!E1*'TP1'!D55)/'TP1'!D1, "")</f>
        <v/>
      </c>
    </row>
    <row r="56" spans="4:5" x14ac:dyDescent="0.3">
      <c r="D56" s="2" t="str">
        <f>IF(A56&lt;&gt;"",SUM(B56:C56),"")</f>
        <v/>
      </c>
      <c r="E56" s="2" t="str">
        <f>IF(A56&lt;&gt;"",('TP1'!E1*'TP1'!D56)/'TP1'!D1, "")</f>
        <v/>
      </c>
    </row>
    <row r="57" spans="4:5" x14ac:dyDescent="0.3">
      <c r="D57" s="2" t="str">
        <f>IF(A57&lt;&gt;"",SUM(B57:C57),"")</f>
        <v/>
      </c>
      <c r="E57" s="2" t="str">
        <f>IF(A57&lt;&gt;"",('TP1'!E1*'TP1'!D57)/'TP1'!D1, "")</f>
        <v/>
      </c>
    </row>
    <row r="58" spans="4:5" x14ac:dyDescent="0.3">
      <c r="D58" s="2" t="str">
        <f>IF(A58&lt;&gt;"",SUM(B58:C58),"")</f>
        <v/>
      </c>
      <c r="E58" s="2" t="str">
        <f>IF(A58&lt;&gt;"",('TP1'!E1*'TP1'!D58)/'TP1'!D1, "")</f>
        <v/>
      </c>
    </row>
    <row r="59" spans="4:5" x14ac:dyDescent="0.3">
      <c r="D59" s="2" t="str">
        <f>IF(A59&lt;&gt;"",SUM(B59:C59),"")</f>
        <v/>
      </c>
      <c r="E59" s="2" t="str">
        <f>IF(A59&lt;&gt;"",('TP1'!E1*'TP1'!D59)/'TP1'!D1, "")</f>
        <v/>
      </c>
    </row>
    <row r="60" spans="4:5" x14ac:dyDescent="0.3">
      <c r="D60" s="2" t="str">
        <f>IF(A60&lt;&gt;"",SUM(B60:C60),"")</f>
        <v/>
      </c>
      <c r="E60" s="2" t="str">
        <f>IF(A60&lt;&gt;"",('TP1'!E1*'TP1'!D60)/'TP1'!D1, "")</f>
        <v/>
      </c>
    </row>
    <row r="61" spans="4:5" x14ac:dyDescent="0.3">
      <c r="D61" s="2" t="str">
        <f>IF(A61&lt;&gt;"",SUM(B61:C61),"")</f>
        <v/>
      </c>
      <c r="E61" s="2" t="str">
        <f>IF(A61&lt;&gt;"",('TP1'!E1*'TP1'!D61)/'TP1'!D1, "")</f>
        <v/>
      </c>
    </row>
    <row r="62" spans="4:5" x14ac:dyDescent="0.3">
      <c r="D62" s="2" t="str">
        <f>IF(A62&lt;&gt;"",SUM(B62:C62),"")</f>
        <v/>
      </c>
      <c r="E62" s="2" t="str">
        <f>IF(A62&lt;&gt;"",('TP1'!E1*'TP1'!D62)/'TP1'!D1, "")</f>
        <v/>
      </c>
    </row>
    <row r="63" spans="4:5" x14ac:dyDescent="0.3">
      <c r="D63" s="2" t="str">
        <f>IF(A63&lt;&gt;"",SUM(B63:C63),"")</f>
        <v/>
      </c>
      <c r="E63" s="2" t="str">
        <f>IF(A63&lt;&gt;"",('TP1'!E1*'TP1'!D63)/'TP1'!D1, "")</f>
        <v/>
      </c>
    </row>
    <row r="64" spans="4:5" x14ac:dyDescent="0.3">
      <c r="D64" s="2" t="str">
        <f>IF(A64&lt;&gt;"",SUM(B64:C64),"")</f>
        <v/>
      </c>
      <c r="E64" s="2" t="str">
        <f>IF(A64&lt;&gt;"",('TP1'!E1*'TP1'!D64)/'TP1'!D1, "")</f>
        <v/>
      </c>
    </row>
    <row r="65" spans="4:5" x14ac:dyDescent="0.3">
      <c r="D65" s="2" t="str">
        <f>IF(A65&lt;&gt;"",SUM(B65:C65),"")</f>
        <v/>
      </c>
      <c r="E65" s="2" t="str">
        <f>IF(A65&lt;&gt;"",('TP1'!E1*'TP1'!D65)/'TP1'!D1, "")</f>
        <v/>
      </c>
    </row>
    <row r="66" spans="4:5" x14ac:dyDescent="0.3">
      <c r="D66" s="2" t="str">
        <f>IF(A66&lt;&gt;"",SUM(B66:C66),"")</f>
        <v/>
      </c>
      <c r="E66" s="2" t="str">
        <f>IF(A66&lt;&gt;"",('TP1'!E1*'TP1'!D66)/'TP1'!D1, "")</f>
        <v/>
      </c>
    </row>
    <row r="67" spans="4:5" x14ac:dyDescent="0.3">
      <c r="D67" s="2" t="str">
        <f>IF(A67&lt;&gt;"",SUM(B67:C67),"")</f>
        <v/>
      </c>
      <c r="E67" s="2" t="str">
        <f>IF(A67&lt;&gt;"",('TP1'!E1*'TP1'!D67)/'TP1'!D1, "")</f>
        <v/>
      </c>
    </row>
    <row r="68" spans="4:5" x14ac:dyDescent="0.3">
      <c r="D68" s="2" t="str">
        <f>IF(A68&lt;&gt;"",SUM(B68:C68),"")</f>
        <v/>
      </c>
      <c r="E68" s="2" t="str">
        <f>IF(A68&lt;&gt;"",('TP1'!E1*'TP1'!D68)/'TP1'!D1, "")</f>
        <v/>
      </c>
    </row>
    <row r="69" spans="4:5" x14ac:dyDescent="0.3">
      <c r="D69" s="2" t="str">
        <f>IF(A69&lt;&gt;"",SUM(B69:C69),"")</f>
        <v/>
      </c>
      <c r="E69" s="2" t="str">
        <f>IF(A69&lt;&gt;"",('TP1'!E1*'TP1'!D69)/'TP1'!D1, "")</f>
        <v/>
      </c>
    </row>
    <row r="70" spans="4:5" x14ac:dyDescent="0.3">
      <c r="D70" s="2" t="str">
        <f>IF(A70&lt;&gt;"",SUM(B70:C70),"")</f>
        <v/>
      </c>
      <c r="E70" s="2" t="str">
        <f>IF(A70&lt;&gt;"",('TP1'!E1*'TP1'!D70)/'TP1'!D1, "")</f>
        <v/>
      </c>
    </row>
    <row r="71" spans="4:5" x14ac:dyDescent="0.3">
      <c r="D71" s="2" t="str">
        <f>IF(A71&lt;&gt;"",SUM(B71:C71),"")</f>
        <v/>
      </c>
      <c r="E71" s="2" t="str">
        <f>IF(A71&lt;&gt;"",('TP1'!E1*'TP1'!D71)/'TP1'!D1, "")</f>
        <v/>
      </c>
    </row>
    <row r="72" spans="4:5" x14ac:dyDescent="0.3">
      <c r="D72" s="2" t="str">
        <f>IF(A72&lt;&gt;"",SUM(B72:C72),"")</f>
        <v/>
      </c>
      <c r="E72" s="2" t="str">
        <f>IF(A72&lt;&gt;"",('TP1'!E1*'TP1'!D72)/'TP1'!D1, "")</f>
        <v/>
      </c>
    </row>
    <row r="73" spans="4:5" x14ac:dyDescent="0.3">
      <c r="D73" s="2" t="str">
        <f>IF(A73&lt;&gt;"",SUM(B73:C73),"")</f>
        <v/>
      </c>
      <c r="E73" s="2" t="str">
        <f>IF(A73&lt;&gt;"",('TP1'!E1*'TP1'!D73)/'TP1'!D1, "")</f>
        <v/>
      </c>
    </row>
    <row r="74" spans="4:5" x14ac:dyDescent="0.3">
      <c r="D74" s="2" t="str">
        <f>IF(A74&lt;&gt;"",SUM(B74:C74),"")</f>
        <v/>
      </c>
      <c r="E74" s="2" t="str">
        <f>IF(A74&lt;&gt;"",('TP1'!E1*'TP1'!D74)/'TP1'!D1, "")</f>
        <v/>
      </c>
    </row>
    <row r="75" spans="4:5" x14ac:dyDescent="0.3">
      <c r="D75" s="2" t="str">
        <f>IF(A75&lt;&gt;"",SUM(B75:C75),"")</f>
        <v/>
      </c>
      <c r="E75" s="2" t="str">
        <f>IF(A75&lt;&gt;"",('TP1'!E1*'TP1'!D75)/'TP1'!D1, "")</f>
        <v/>
      </c>
    </row>
    <row r="76" spans="4:5" x14ac:dyDescent="0.3">
      <c r="D76" s="2" t="str">
        <f>IF(A76&lt;&gt;"",SUM(B76:C76),"")</f>
        <v/>
      </c>
      <c r="E76" s="2" t="str">
        <f>IF(A76&lt;&gt;"",('TP1'!E1*'TP1'!D76)/'TP1'!D1, "")</f>
        <v/>
      </c>
    </row>
    <row r="77" spans="4:5" x14ac:dyDescent="0.3">
      <c r="D77" s="2" t="str">
        <f>IF(A77&lt;&gt;"",SUM(B77:C77),"")</f>
        <v/>
      </c>
      <c r="E77" s="2" t="str">
        <f>IF(A77&lt;&gt;"",('TP1'!E1*'TP1'!D77)/'TP1'!D1, "")</f>
        <v/>
      </c>
    </row>
    <row r="78" spans="4:5" x14ac:dyDescent="0.3">
      <c r="D78" s="2" t="str">
        <f>IF(A78&lt;&gt;"",SUM(B78:C78),"")</f>
        <v/>
      </c>
      <c r="E78" s="2" t="str">
        <f>IF(A78&lt;&gt;"",('TP1'!E1*'TP1'!D78)/'TP1'!D1, "")</f>
        <v/>
      </c>
    </row>
    <row r="79" spans="4:5" x14ac:dyDescent="0.3">
      <c r="D79" s="2" t="str">
        <f>IF(A79&lt;&gt;"",SUM(B79:C79),"")</f>
        <v/>
      </c>
      <c r="E79" s="2" t="str">
        <f>IF(A79&lt;&gt;"",('TP1'!E1*'TP1'!D79)/'TP1'!D1, "")</f>
        <v/>
      </c>
    </row>
    <row r="80" spans="4:5" x14ac:dyDescent="0.3">
      <c r="D80" s="2" t="str">
        <f>IF(A80&lt;&gt;"",SUM(B80:C80),"")</f>
        <v/>
      </c>
      <c r="E80" s="2" t="str">
        <f>IF(A80&lt;&gt;"",('TP1'!E1*'TP1'!D80)/'TP1'!D1, "")</f>
        <v/>
      </c>
    </row>
    <row r="81" spans="4:5" x14ac:dyDescent="0.3">
      <c r="D81" s="2" t="str">
        <f>IF(A81&lt;&gt;"",SUM(B81:C81),"")</f>
        <v/>
      </c>
      <c r="E81" s="2" t="str">
        <f>IF(A81&lt;&gt;"",('TP1'!E1*'TP1'!D81)/'TP1'!D1, "")</f>
        <v/>
      </c>
    </row>
    <row r="82" spans="4:5" x14ac:dyDescent="0.3">
      <c r="D82" s="2" t="str">
        <f>IF(A82&lt;&gt;"",SUM(B82:C82),"")</f>
        <v/>
      </c>
      <c r="E82" s="2" t="str">
        <f>IF(A82&lt;&gt;"",('TP1'!E1*'TP1'!D82)/'TP1'!D1, "")</f>
        <v/>
      </c>
    </row>
    <row r="83" spans="4:5" x14ac:dyDescent="0.3">
      <c r="D83" s="2" t="str">
        <f>IF(A83&lt;&gt;"",SUM(B83:C83),"")</f>
        <v/>
      </c>
      <c r="E83" s="2" t="str">
        <f>IF(A83&lt;&gt;"",('TP1'!E1*'TP1'!D83)/'TP1'!D1, "")</f>
        <v/>
      </c>
    </row>
    <row r="84" spans="4:5" x14ac:dyDescent="0.3">
      <c r="D84" s="2" t="str">
        <f>IF(A84&lt;&gt;"",SUM(B84:C84),"")</f>
        <v/>
      </c>
      <c r="E84" s="2" t="str">
        <f>IF(A84&lt;&gt;"",('TP1'!E1*'TP1'!D84)/'TP1'!D1, "")</f>
        <v/>
      </c>
    </row>
    <row r="85" spans="4:5" x14ac:dyDescent="0.3">
      <c r="D85" s="2" t="str">
        <f>IF(A85&lt;&gt;"",SUM(B85:C85),"")</f>
        <v/>
      </c>
      <c r="E85" s="2" t="str">
        <f>IF(A85&lt;&gt;"",('TP1'!E1*'TP1'!D85)/'TP1'!D1, "")</f>
        <v/>
      </c>
    </row>
    <row r="86" spans="4:5" x14ac:dyDescent="0.3">
      <c r="D86" s="2" t="str">
        <f>IF(A86&lt;&gt;"",SUM(B86:C86),"")</f>
        <v/>
      </c>
      <c r="E86" s="2" t="str">
        <f>IF(A86&lt;&gt;"",('TP1'!E1*'TP1'!D86)/'TP1'!D1, "")</f>
        <v/>
      </c>
    </row>
    <row r="87" spans="4:5" x14ac:dyDescent="0.3">
      <c r="D87" s="2" t="str">
        <f>IF(A87&lt;&gt;"",SUM(B87:C87),"")</f>
        <v/>
      </c>
      <c r="E87" s="2" t="str">
        <f>IF(A87&lt;&gt;"",('TP1'!E1*'TP1'!D87)/'TP1'!D1, "")</f>
        <v/>
      </c>
    </row>
    <row r="88" spans="4:5" x14ac:dyDescent="0.3">
      <c r="D88" s="2" t="str">
        <f>IF(A88&lt;&gt;"",SUM(B88:C88),"")</f>
        <v/>
      </c>
      <c r="E88" s="2" t="str">
        <f>IF(A88&lt;&gt;"",('TP1'!E1*'TP1'!D88)/'TP1'!D1, "")</f>
        <v/>
      </c>
    </row>
    <row r="89" spans="4:5" x14ac:dyDescent="0.3">
      <c r="D89" s="2" t="str">
        <f>IF(A89&lt;&gt;"",SUM(B89:C89),"")</f>
        <v/>
      </c>
      <c r="E89" s="2" t="str">
        <f>IF(A89&lt;&gt;"",('TP1'!E1*'TP1'!D89)/'TP1'!D1, "")</f>
        <v/>
      </c>
    </row>
    <row r="90" spans="4:5" x14ac:dyDescent="0.3">
      <c r="D90" s="2" t="str">
        <f>IF(A90&lt;&gt;"",SUM(B90:C90),"")</f>
        <v/>
      </c>
      <c r="E90" s="2" t="str">
        <f>IF(A90&lt;&gt;"",('TP1'!E1*'TP1'!D90)/'TP1'!D1, "")</f>
        <v/>
      </c>
    </row>
    <row r="91" spans="4:5" x14ac:dyDescent="0.3">
      <c r="D91" s="2" t="str">
        <f>IF(A91&lt;&gt;"",SUM(B91:C91),"")</f>
        <v/>
      </c>
      <c r="E91" s="2" t="str">
        <f>IF(A91&lt;&gt;"",('TP1'!E1*'TP1'!D91)/'TP1'!D1, "")</f>
        <v/>
      </c>
    </row>
    <row r="92" spans="4:5" x14ac:dyDescent="0.3">
      <c r="D92" s="2" t="str">
        <f>IF(A92&lt;&gt;"",SUM(B92:C92),"")</f>
        <v/>
      </c>
      <c r="E92" s="2" t="str">
        <f>IF(A92&lt;&gt;"",('TP1'!E1*'TP1'!D92)/'TP1'!D1, "")</f>
        <v/>
      </c>
    </row>
    <row r="93" spans="4:5" x14ac:dyDescent="0.3">
      <c r="D93" s="2" t="str">
        <f>IF(A93&lt;&gt;"",SUM(B93:C93),"")</f>
        <v/>
      </c>
      <c r="E93" s="2" t="str">
        <f>IF(A93&lt;&gt;"",('TP1'!E1*'TP1'!D93)/'TP1'!D1, "")</f>
        <v/>
      </c>
    </row>
    <row r="94" spans="4:5" x14ac:dyDescent="0.3">
      <c r="D94" s="2" t="str">
        <f>IF(A94&lt;&gt;"",SUM(B94:C94),"")</f>
        <v/>
      </c>
      <c r="E94" s="2" t="str">
        <f>IF(A94&lt;&gt;"",('TP1'!E1*'TP1'!D94)/'TP1'!D1, "")</f>
        <v/>
      </c>
    </row>
    <row r="95" spans="4:5" x14ac:dyDescent="0.3">
      <c r="D95" s="2" t="str">
        <f>IF(A95&lt;&gt;"",SUM(B95:C95),"")</f>
        <v/>
      </c>
      <c r="E95" s="2" t="str">
        <f>IF(A95&lt;&gt;"",('TP1'!E1*'TP1'!D95)/'TP1'!D1, "")</f>
        <v/>
      </c>
    </row>
    <row r="96" spans="4:5" x14ac:dyDescent="0.3">
      <c r="D96" s="2" t="str">
        <f>IF(A96&lt;&gt;"",SUM(B96:C96),"")</f>
        <v/>
      </c>
      <c r="E96" s="2" t="str">
        <f>IF(A96&lt;&gt;"",('TP1'!E1*'TP1'!D96)/'TP1'!D1, "")</f>
        <v/>
      </c>
    </row>
    <row r="97" spans="4:5" x14ac:dyDescent="0.3">
      <c r="D97" s="2" t="str">
        <f>IF(A97&lt;&gt;"",SUM(B97:C97),"")</f>
        <v/>
      </c>
      <c r="E97" s="2" t="str">
        <f>IF(A97&lt;&gt;"",('TP1'!E1*'TP1'!D97)/'TP1'!D1, "")</f>
        <v/>
      </c>
    </row>
    <row r="98" spans="4:5" x14ac:dyDescent="0.3">
      <c r="D98" s="2" t="str">
        <f>IF(A98&lt;&gt;"",SUM(B98:C98),"")</f>
        <v/>
      </c>
      <c r="E98" s="2" t="str">
        <f>IF(A98&lt;&gt;"",('TP1'!E1*'TP1'!D98)/'TP1'!D1, "")</f>
        <v/>
      </c>
    </row>
    <row r="99" spans="4:5" x14ac:dyDescent="0.3">
      <c r="D99" s="2" t="str">
        <f>IF(A99&lt;&gt;"",SUM(B99:C99),"")</f>
        <v/>
      </c>
      <c r="E99" s="2" t="str">
        <f>IF(A99&lt;&gt;"",('TP1'!E1*'TP1'!D99)/'TP1'!D1, "")</f>
        <v/>
      </c>
    </row>
    <row r="100" spans="4:5" x14ac:dyDescent="0.3">
      <c r="D100" s="2" t="str">
        <f>IF(A100&lt;&gt;"",SUM(B100:C100),"")</f>
        <v/>
      </c>
      <c r="E100" s="2" t="str">
        <f>IF(A100&lt;&gt;"",('TP1'!E1*'TP1'!D100)/'TP1'!D1, "")</f>
        <v/>
      </c>
    </row>
    <row r="101" spans="4:5" x14ac:dyDescent="0.3">
      <c r="D101" s="2" t="str">
        <f>IF(A101&lt;&gt;"",SUM(B101:C101),"")</f>
        <v/>
      </c>
      <c r="E101" s="2" t="str">
        <f>IF(A101&lt;&gt;"",('TP1'!E1*'TP1'!D101)/'TP1'!D1, "")</f>
        <v/>
      </c>
    </row>
    <row r="102" spans="4:5" x14ac:dyDescent="0.3">
      <c r="D102" s="2" t="str">
        <f>IF(A102&lt;&gt;"",SUM(B102:C102),"")</f>
        <v/>
      </c>
      <c r="E102" s="2" t="str">
        <f>IF(A102&lt;&gt;"",('TP1'!E1*'TP1'!D102)/'TP1'!D1, "")</f>
        <v/>
      </c>
    </row>
    <row r="103" spans="4:5" x14ac:dyDescent="0.3">
      <c r="D103" s="2" t="str">
        <f>IF(A103&lt;&gt;"",SUM(B103:C103),"")</f>
        <v/>
      </c>
      <c r="E103" s="2" t="str">
        <f>IF(A103&lt;&gt;"",('TP1'!E1*'TP1'!D103)/'TP1'!D1, "")</f>
        <v/>
      </c>
    </row>
    <row r="104" spans="4:5" x14ac:dyDescent="0.3">
      <c r="D104" s="2" t="str">
        <f>IF(A104&lt;&gt;"",SUM(B104:C104),"")</f>
        <v/>
      </c>
      <c r="E104" s="2" t="str">
        <f>IF(A104&lt;&gt;"",('TP1'!E1*'TP1'!D104)/'TP1'!D1, "")</f>
        <v/>
      </c>
    </row>
    <row r="105" spans="4:5" x14ac:dyDescent="0.3">
      <c r="D105" s="2" t="str">
        <f>IF(A105&lt;&gt;"",SUM(B105:C105),"")</f>
        <v/>
      </c>
      <c r="E105" s="2" t="str">
        <f>IF(A105&lt;&gt;"",('TP1'!E1*'TP1'!D105)/'TP1'!D1, "")</f>
        <v/>
      </c>
    </row>
    <row r="106" spans="4:5" x14ac:dyDescent="0.3">
      <c r="D106" s="2" t="str">
        <f>IF(A106&lt;&gt;"",SUM(B106:C106),"")</f>
        <v/>
      </c>
      <c r="E106" s="2" t="str">
        <f>IF(A106&lt;&gt;"",('TP1'!E1*'TP1'!D106)/'TP1'!D1, "")</f>
        <v/>
      </c>
    </row>
    <row r="107" spans="4:5" x14ac:dyDescent="0.3">
      <c r="D107" s="2" t="str">
        <f>IF(A107&lt;&gt;"",SUM(B107:C107),"")</f>
        <v/>
      </c>
      <c r="E107" s="2" t="str">
        <f>IF(A107&lt;&gt;"",('TP1'!E1*'TP1'!D107)/'TP1'!D1, "")</f>
        <v/>
      </c>
    </row>
    <row r="108" spans="4:5" x14ac:dyDescent="0.3">
      <c r="D108" s="2" t="str">
        <f>IF(A108&lt;&gt;"",SUM(B108:C108),"")</f>
        <v/>
      </c>
      <c r="E108" s="2" t="str">
        <f>IF(A108&lt;&gt;"",('TP1'!E1*'TP1'!D108)/'TP1'!D1, "")</f>
        <v/>
      </c>
    </row>
    <row r="109" spans="4:5" x14ac:dyDescent="0.3">
      <c r="D109" s="2" t="str">
        <f>IF(A109&lt;&gt;"",SUM(B109:C109),"")</f>
        <v/>
      </c>
      <c r="E109" s="2" t="str">
        <f>IF(A109&lt;&gt;"",('TP1'!E1*'TP1'!D109)/'TP1'!D1, "")</f>
        <v/>
      </c>
    </row>
    <row r="110" spans="4:5" x14ac:dyDescent="0.3">
      <c r="D110" s="2" t="str">
        <f>IF(A110&lt;&gt;"",SUM(B110:C110),"")</f>
        <v/>
      </c>
      <c r="E110" s="2" t="str">
        <f>IF(A110&lt;&gt;"",('TP1'!E1*'TP1'!D110)/'TP1'!D1, "")</f>
        <v/>
      </c>
    </row>
    <row r="111" spans="4:5" x14ac:dyDescent="0.3">
      <c r="D111" s="2" t="str">
        <f>IF(A111&lt;&gt;"",SUM(B111:C111),"")</f>
        <v/>
      </c>
      <c r="E111" s="2" t="str">
        <f>IF(A111&lt;&gt;"",('TP1'!E1*'TP1'!D111)/'TP1'!D1, "")</f>
        <v/>
      </c>
    </row>
    <row r="112" spans="4:5" x14ac:dyDescent="0.3">
      <c r="D112" s="2" t="str">
        <f>IF(A112&lt;&gt;"",SUM(B112:C112),"")</f>
        <v/>
      </c>
      <c r="E112" s="2" t="str">
        <f>IF(A112&lt;&gt;"",('TP1'!E1*'TP1'!D112)/'TP1'!D1, "")</f>
        <v/>
      </c>
    </row>
    <row r="113" spans="4:5" x14ac:dyDescent="0.3">
      <c r="D113" s="2" t="str">
        <f>IF(A113&lt;&gt;"",SUM(B113:C113),"")</f>
        <v/>
      </c>
      <c r="E113" s="2" t="str">
        <f>IF(A113&lt;&gt;"",('TP1'!E1*'TP1'!D113)/'TP1'!D1, "")</f>
        <v/>
      </c>
    </row>
    <row r="114" spans="4:5" x14ac:dyDescent="0.3">
      <c r="D114" s="2" t="str">
        <f>IF(A114&lt;&gt;"",SUM(B114:C114),"")</f>
        <v/>
      </c>
      <c r="E114" s="2" t="str">
        <f>IF(A114&lt;&gt;"",('TP1'!E1*'TP1'!D114)/'TP1'!D1, "")</f>
        <v/>
      </c>
    </row>
    <row r="115" spans="4:5" x14ac:dyDescent="0.3">
      <c r="D115" s="2" t="str">
        <f>IF(A115&lt;&gt;"",SUM(B115:C115),"")</f>
        <v/>
      </c>
      <c r="E115" s="2" t="str">
        <f>IF(A115&lt;&gt;"",('TP1'!E1*'TP1'!D115)/'TP1'!D1, "")</f>
        <v/>
      </c>
    </row>
    <row r="116" spans="4:5" x14ac:dyDescent="0.3">
      <c r="D116" s="2" t="str">
        <f>IF(A116&lt;&gt;"",SUM(B116:C116),"")</f>
        <v/>
      </c>
      <c r="E116" s="2" t="str">
        <f>IF(A116&lt;&gt;"",('TP1'!E1*'TP1'!D116)/'TP1'!D1, "")</f>
        <v/>
      </c>
    </row>
    <row r="117" spans="4:5" x14ac:dyDescent="0.3">
      <c r="D117" s="2" t="str">
        <f>IF(A117&lt;&gt;"",SUM(B117:C117),"")</f>
        <v/>
      </c>
      <c r="E117" s="2" t="str">
        <f>IF(A117&lt;&gt;"",('TP1'!E1*'TP1'!D117)/'TP1'!D1, "")</f>
        <v/>
      </c>
    </row>
    <row r="118" spans="4:5" x14ac:dyDescent="0.3">
      <c r="D118" s="2" t="str">
        <f>IF(A118&lt;&gt;"",SUM(B118:C118),"")</f>
        <v/>
      </c>
      <c r="E118" s="2" t="str">
        <f>IF(A118&lt;&gt;"",('TP1'!E1*'TP1'!D118)/'TP1'!D1, "")</f>
        <v/>
      </c>
    </row>
    <row r="119" spans="4:5" x14ac:dyDescent="0.3">
      <c r="D119" s="2" t="str">
        <f>IF(A119&lt;&gt;"",SUM(B119:C119),"")</f>
        <v/>
      </c>
      <c r="E119" s="2" t="str">
        <f>IF(A119&lt;&gt;"",('TP1'!E1*'TP1'!D119)/'TP1'!D1, "")</f>
        <v/>
      </c>
    </row>
    <row r="120" spans="4:5" x14ac:dyDescent="0.3">
      <c r="D120" s="2" t="str">
        <f>IF(A120&lt;&gt;"",SUM(B120:C120),"")</f>
        <v/>
      </c>
      <c r="E120" s="2" t="str">
        <f>IF(A120&lt;&gt;"",('TP1'!E1*'TP1'!D120)/'TP1'!D1, "")</f>
        <v/>
      </c>
    </row>
    <row r="121" spans="4:5" x14ac:dyDescent="0.3">
      <c r="D121" s="2" t="str">
        <f>IF(A121&lt;&gt;"",SUM(B121:C121),"")</f>
        <v/>
      </c>
      <c r="E121" s="2" t="str">
        <f>IF(A121&lt;&gt;"",('TP1'!E1*'TP1'!D121)/'TP1'!D1, "")</f>
        <v/>
      </c>
    </row>
    <row r="122" spans="4:5" x14ac:dyDescent="0.3">
      <c r="D122" s="2" t="str">
        <f>IF(A122&lt;&gt;"",SUM(B122:C122),"")</f>
        <v/>
      </c>
      <c r="E122" s="2" t="str">
        <f>IF(A122&lt;&gt;"",('TP1'!E1*'TP1'!D122)/'TP1'!D1, "")</f>
        <v/>
      </c>
    </row>
    <row r="123" spans="4:5" x14ac:dyDescent="0.3">
      <c r="D123" s="2" t="str">
        <f>IF(A123&lt;&gt;"",SUM(B123:C123),"")</f>
        <v/>
      </c>
      <c r="E123" s="2" t="str">
        <f>IF(A123&lt;&gt;"",('TP1'!E1*'TP1'!D123)/'TP1'!D1, "")</f>
        <v/>
      </c>
    </row>
    <row r="124" spans="4:5" x14ac:dyDescent="0.3">
      <c r="D124" s="2" t="str">
        <f>IF(A124&lt;&gt;"",SUM(B124:C124),"")</f>
        <v/>
      </c>
      <c r="E124" s="2" t="str">
        <f>IF(A124&lt;&gt;"",('TP1'!E1*'TP1'!D124)/'TP1'!D1, "")</f>
        <v/>
      </c>
    </row>
    <row r="125" spans="4:5" x14ac:dyDescent="0.3">
      <c r="D125" s="2" t="str">
        <f>IF(A125&lt;&gt;"",SUM(B125:C125),"")</f>
        <v/>
      </c>
      <c r="E125" s="2" t="str">
        <f>IF(A125&lt;&gt;"",('TP1'!E1*'TP1'!D125)/'TP1'!D1, "")</f>
        <v/>
      </c>
    </row>
    <row r="126" spans="4:5" x14ac:dyDescent="0.3">
      <c r="D126" s="2" t="str">
        <f>IF(A126&lt;&gt;"",SUM(B126:C126),"")</f>
        <v/>
      </c>
      <c r="E126" s="2" t="str">
        <f>IF(A126&lt;&gt;"",('TP1'!E1*'TP1'!D126)/'TP1'!D1, "")</f>
        <v/>
      </c>
    </row>
    <row r="127" spans="4:5" x14ac:dyDescent="0.3">
      <c r="D127" s="2" t="str">
        <f>IF(A127&lt;&gt;"",SUM(B127:C127),"")</f>
        <v/>
      </c>
      <c r="E127" s="2" t="str">
        <f>IF(A127&lt;&gt;"",('TP1'!E1*'TP1'!D127)/'TP1'!D1, "")</f>
        <v/>
      </c>
    </row>
    <row r="128" spans="4:5" x14ac:dyDescent="0.3">
      <c r="D128" s="2" t="str">
        <f>IF(A128&lt;&gt;"",SUM(B128:C128),"")</f>
        <v/>
      </c>
      <c r="E128" s="2" t="str">
        <f>IF(A128&lt;&gt;"",('TP1'!E1*'TP1'!D128)/'TP1'!D1, "")</f>
        <v/>
      </c>
    </row>
    <row r="129" spans="4:5" x14ac:dyDescent="0.3">
      <c r="D129" s="2" t="str">
        <f>IF(A129&lt;&gt;"",SUM(B129:C129),"")</f>
        <v/>
      </c>
      <c r="E129" s="2" t="str">
        <f>IF(A129&lt;&gt;"",('TP1'!E1*'TP1'!D129)/'TP1'!D1, "")</f>
        <v/>
      </c>
    </row>
    <row r="130" spans="4:5" x14ac:dyDescent="0.3">
      <c r="D130" s="2" t="str">
        <f>IF(A130&lt;&gt;"",SUM(B130:C130),"")</f>
        <v/>
      </c>
      <c r="E130" s="2" t="str">
        <f>IF(A130&lt;&gt;"",('TP1'!E1*'TP1'!D130)/'TP1'!D1, "")</f>
        <v/>
      </c>
    </row>
    <row r="131" spans="4:5" x14ac:dyDescent="0.3">
      <c r="D131" s="2" t="str">
        <f>IF(A131&lt;&gt;"",SUM(B131:C131),"")</f>
        <v/>
      </c>
      <c r="E131" s="2" t="str">
        <f>IF(A131&lt;&gt;"",('TP1'!E1*'TP1'!D131)/'TP1'!D1, "")</f>
        <v/>
      </c>
    </row>
    <row r="132" spans="4:5" x14ac:dyDescent="0.3">
      <c r="D132" s="2" t="str">
        <f>IF(A132&lt;&gt;"",SUM(B132:C132),"")</f>
        <v/>
      </c>
      <c r="E132" s="2" t="str">
        <f>IF(A132&lt;&gt;"",('TP1'!E1*'TP1'!D132)/'TP1'!D1, "")</f>
        <v/>
      </c>
    </row>
    <row r="133" spans="4:5" x14ac:dyDescent="0.3">
      <c r="D133" s="2" t="str">
        <f>IF(A133&lt;&gt;"",SUM(B133:C133),"")</f>
        <v/>
      </c>
      <c r="E133" s="2" t="str">
        <f>IF(A133&lt;&gt;"",('TP1'!E1*'TP1'!D133)/'TP1'!D1, "")</f>
        <v/>
      </c>
    </row>
    <row r="134" spans="4:5" x14ac:dyDescent="0.3">
      <c r="D134" s="2" t="str">
        <f>IF(A134&lt;&gt;"",SUM(B134:C134),"")</f>
        <v/>
      </c>
      <c r="E134" s="2" t="str">
        <f>IF(A134&lt;&gt;"",('TP1'!E1*'TP1'!D134)/'TP1'!D1, "")</f>
        <v/>
      </c>
    </row>
    <row r="135" spans="4:5" x14ac:dyDescent="0.3">
      <c r="D135" s="2" t="str">
        <f>IF(A135&lt;&gt;"",SUM(B135:C135),"")</f>
        <v/>
      </c>
      <c r="E135" s="2" t="str">
        <f>IF(A135&lt;&gt;"",('TP1'!E1*'TP1'!D135)/'TP1'!D1, "")</f>
        <v/>
      </c>
    </row>
    <row r="136" spans="4:5" x14ac:dyDescent="0.3">
      <c r="D136" s="2" t="str">
        <f>IF(A136&lt;&gt;"",SUM(B136:C136),"")</f>
        <v/>
      </c>
      <c r="E136" s="2" t="str">
        <f>IF(A136&lt;&gt;"",('TP1'!E1*'TP1'!D136)/'TP1'!D1, "")</f>
        <v/>
      </c>
    </row>
    <row r="137" spans="4:5" x14ac:dyDescent="0.3">
      <c r="D137" s="2" t="str">
        <f>IF(A137&lt;&gt;"",SUM(B137:C137),"")</f>
        <v/>
      </c>
      <c r="E137" s="2" t="str">
        <f>IF(A137&lt;&gt;"",('TP1'!E1*'TP1'!D137)/'TP1'!D1, "")</f>
        <v/>
      </c>
    </row>
    <row r="138" spans="4:5" x14ac:dyDescent="0.3">
      <c r="D138" s="2" t="str">
        <f>IF(A138&lt;&gt;"",SUM(B138:C138),"")</f>
        <v/>
      </c>
      <c r="E138" s="2" t="str">
        <f>IF(A138&lt;&gt;"",('TP1'!E1*'TP1'!D138)/'TP1'!D1, "")</f>
        <v/>
      </c>
    </row>
    <row r="139" spans="4:5" x14ac:dyDescent="0.3">
      <c r="D139" s="2" t="str">
        <f>IF(A139&lt;&gt;"",SUM(B139:C139),"")</f>
        <v/>
      </c>
      <c r="E139" s="2" t="str">
        <f>IF(A139&lt;&gt;"",('TP1'!E1*'TP1'!D139)/'TP1'!D1, "")</f>
        <v/>
      </c>
    </row>
    <row r="140" spans="4:5" x14ac:dyDescent="0.3">
      <c r="D140" s="2" t="str">
        <f>IF(A140&lt;&gt;"",SUM(B140:C140),"")</f>
        <v/>
      </c>
      <c r="E140" s="2" t="str">
        <f>IF(A140&lt;&gt;"",('TP1'!E1*'TP1'!D140)/'TP1'!D1, "")</f>
        <v/>
      </c>
    </row>
    <row r="141" spans="4:5" x14ac:dyDescent="0.3">
      <c r="D141" s="2" t="str">
        <f>IF(A141&lt;&gt;"",SUM(B141:C141),"")</f>
        <v/>
      </c>
      <c r="E141" s="2" t="str">
        <f>IF(A141&lt;&gt;"",('TP1'!E1*'TP1'!D141)/'TP1'!D1, "")</f>
        <v/>
      </c>
    </row>
    <row r="142" spans="4:5" x14ac:dyDescent="0.3">
      <c r="D142" s="2" t="str">
        <f>IF(A142&lt;&gt;"",SUM(B142:C142),"")</f>
        <v/>
      </c>
      <c r="E142" s="2" t="str">
        <f>IF(A142&lt;&gt;"",('TP1'!E1*'TP1'!D142)/'TP1'!D1, "")</f>
        <v/>
      </c>
    </row>
    <row r="143" spans="4:5" x14ac:dyDescent="0.3">
      <c r="D143" s="2" t="str">
        <f>IF(A143&lt;&gt;"",SUM(B143:C143),"")</f>
        <v/>
      </c>
      <c r="E143" s="2" t="str">
        <f>IF(A143&lt;&gt;"",('TP1'!E1*'TP1'!D143)/'TP1'!D1, "")</f>
        <v/>
      </c>
    </row>
    <row r="144" spans="4:5" x14ac:dyDescent="0.3">
      <c r="D144" s="2" t="str">
        <f>IF(A144&lt;&gt;"",SUM(B144:C144),"")</f>
        <v/>
      </c>
      <c r="E144" s="2" t="str">
        <f>IF(A144&lt;&gt;"",('TP1'!E1*'TP1'!D144)/'TP1'!D1, "")</f>
        <v/>
      </c>
    </row>
    <row r="145" spans="4:5" x14ac:dyDescent="0.3">
      <c r="D145" s="2" t="str">
        <f>IF(A145&lt;&gt;"",SUM(B145:C145),"")</f>
        <v/>
      </c>
      <c r="E145" s="2" t="str">
        <f>IF(A145&lt;&gt;"",('TP1'!E1*'TP1'!D145)/'TP1'!D1, "")</f>
        <v/>
      </c>
    </row>
    <row r="146" spans="4:5" x14ac:dyDescent="0.3">
      <c r="D146" s="2" t="str">
        <f>IF(A146&lt;&gt;"",SUM(B146:C146),"")</f>
        <v/>
      </c>
      <c r="E146" s="2" t="str">
        <f>IF(A146&lt;&gt;"",('TP1'!E1*'TP1'!D146)/'TP1'!D1, "")</f>
        <v/>
      </c>
    </row>
    <row r="147" spans="4:5" x14ac:dyDescent="0.3">
      <c r="D147" s="2" t="str">
        <f>IF(A147&lt;&gt;"",SUM(B147:C147),"")</f>
        <v/>
      </c>
      <c r="E147" s="2" t="str">
        <f>IF(A147&lt;&gt;"",('TP1'!E1*'TP1'!D147)/'TP1'!D1, "")</f>
        <v/>
      </c>
    </row>
    <row r="148" spans="4:5" x14ac:dyDescent="0.3">
      <c r="D148" s="2" t="str">
        <f>IF(A148&lt;&gt;"",SUM(B148:C148),"")</f>
        <v/>
      </c>
      <c r="E148" s="2" t="str">
        <f>IF(A148&lt;&gt;"",('TP1'!E1*'TP1'!D148)/'TP1'!D1, "")</f>
        <v/>
      </c>
    </row>
    <row r="149" spans="4:5" x14ac:dyDescent="0.3">
      <c r="D149" s="2" t="str">
        <f>IF(A149&lt;&gt;"",SUM(B149:C149),"")</f>
        <v/>
      </c>
      <c r="E149" s="2" t="str">
        <f>IF(A149&lt;&gt;"",('TP1'!E1*'TP1'!D149)/'TP1'!D1, "")</f>
        <v/>
      </c>
    </row>
    <row r="150" spans="4:5" x14ac:dyDescent="0.3">
      <c r="D150" s="2" t="str">
        <f>IF(A150&lt;&gt;"",SUM(B150:C150),"")</f>
        <v/>
      </c>
      <c r="E150" s="2" t="str">
        <f>IF(A150&lt;&gt;"",('TP1'!E1*'TP1'!D150)/'TP1'!D1, "")</f>
        <v/>
      </c>
    </row>
    <row r="151" spans="4:5" x14ac:dyDescent="0.3">
      <c r="D151" s="2" t="str">
        <f>IF(A151&lt;&gt;"",SUM(B151:C151),"")</f>
        <v/>
      </c>
      <c r="E151" s="2" t="str">
        <f>IF(A151&lt;&gt;"",('TP1'!E1*'TP1'!D151)/'TP1'!D1, "")</f>
        <v/>
      </c>
    </row>
    <row r="152" spans="4:5" x14ac:dyDescent="0.3">
      <c r="D152" s="2" t="str">
        <f>IF(A152&lt;&gt;"",SUM(B152:C152),"")</f>
        <v/>
      </c>
      <c r="E152" s="2" t="str">
        <f>IF(A152&lt;&gt;"",('TP1'!E1*'TP1'!D152)/'TP1'!D1, "")</f>
        <v/>
      </c>
    </row>
    <row r="153" spans="4:5" x14ac:dyDescent="0.3">
      <c r="D153" s="2" t="str">
        <f>IF(A153&lt;&gt;"",SUM(B153:C153),"")</f>
        <v/>
      </c>
      <c r="E153" s="2" t="str">
        <f>IF(A153&lt;&gt;"",('TP1'!E1*'TP1'!D153)/'TP1'!D1, "")</f>
        <v/>
      </c>
    </row>
    <row r="154" spans="4:5" x14ac:dyDescent="0.3">
      <c r="D154" s="2" t="str">
        <f>IF(A154&lt;&gt;"",SUM(B154:C154),"")</f>
        <v/>
      </c>
      <c r="E154" s="2" t="str">
        <f>IF(A154&lt;&gt;"",('TP1'!E1*'TP1'!D154)/'TP1'!D1, "")</f>
        <v/>
      </c>
    </row>
    <row r="155" spans="4:5" x14ac:dyDescent="0.3">
      <c r="D155" s="2" t="str">
        <f>IF(A155&lt;&gt;"",SUM(B155:C155),"")</f>
        <v/>
      </c>
      <c r="E155" s="2" t="str">
        <f>IF(A155&lt;&gt;"",('TP1'!E1*'TP1'!D155)/'TP1'!D1, "")</f>
        <v/>
      </c>
    </row>
    <row r="156" spans="4:5" x14ac:dyDescent="0.3">
      <c r="D156" s="2" t="str">
        <f>IF(A156&lt;&gt;"",SUM(B156:C156),"")</f>
        <v/>
      </c>
      <c r="E156" s="2" t="str">
        <f>IF(A156&lt;&gt;"",('TP1'!E1*'TP1'!D156)/'TP1'!D1, "")</f>
        <v/>
      </c>
    </row>
    <row r="157" spans="4:5" x14ac:dyDescent="0.3">
      <c r="D157" s="2" t="str">
        <f>IF(A157&lt;&gt;"",SUM(B157:C157),"")</f>
        <v/>
      </c>
      <c r="E157" s="2" t="str">
        <f>IF(A157&lt;&gt;"",('TP1'!E1*'TP1'!D157)/'TP1'!D1, "")</f>
        <v/>
      </c>
    </row>
    <row r="158" spans="4:5" x14ac:dyDescent="0.3">
      <c r="D158" s="2" t="str">
        <f>IF(A158&lt;&gt;"",SUM(B158:C158),"")</f>
        <v/>
      </c>
      <c r="E158" s="2" t="str">
        <f>IF(A158&lt;&gt;"",('TP1'!E1*'TP1'!D158)/'TP1'!D1, "")</f>
        <v/>
      </c>
    </row>
    <row r="159" spans="4:5" x14ac:dyDescent="0.3">
      <c r="D159" s="2" t="str">
        <f>IF(A159&lt;&gt;"",SUM(B159:C159),"")</f>
        <v/>
      </c>
      <c r="E159" s="2" t="str">
        <f>IF(A159&lt;&gt;"",('TP1'!E1*'TP1'!D159)/'TP1'!D1, "")</f>
        <v/>
      </c>
    </row>
    <row r="160" spans="4:5" x14ac:dyDescent="0.3">
      <c r="D160" s="2" t="str">
        <f>IF(A160&lt;&gt;"",SUM(B160:C160),"")</f>
        <v/>
      </c>
      <c r="E160" s="2" t="str">
        <f>IF(A160&lt;&gt;"",('TP1'!E1*'TP1'!D160)/'TP1'!D1, "")</f>
        <v/>
      </c>
    </row>
    <row r="161" spans="4:5" x14ac:dyDescent="0.3">
      <c r="D161" s="2" t="str">
        <f>IF(A161&lt;&gt;"",SUM(B161:C161),"")</f>
        <v/>
      </c>
      <c r="E161" s="2" t="str">
        <f>IF(A161&lt;&gt;"",('TP1'!E1*'TP1'!D161)/'TP1'!D1, "")</f>
        <v/>
      </c>
    </row>
    <row r="162" spans="4:5" x14ac:dyDescent="0.3">
      <c r="D162" s="2" t="str">
        <f>IF(A162&lt;&gt;"",SUM(B162:C162),"")</f>
        <v/>
      </c>
      <c r="E162" s="2" t="str">
        <f>IF(A162&lt;&gt;"",('TP1'!E1*'TP1'!D162)/'TP1'!D1, "")</f>
        <v/>
      </c>
    </row>
    <row r="163" spans="4:5" x14ac:dyDescent="0.3">
      <c r="D163" s="2" t="str">
        <f>IF(A163&lt;&gt;"",SUM(B163:C163),"")</f>
        <v/>
      </c>
      <c r="E163" s="2" t="str">
        <f>IF(A163&lt;&gt;"",('TP1'!E1*'TP1'!D163)/'TP1'!D1, "")</f>
        <v/>
      </c>
    </row>
    <row r="164" spans="4:5" x14ac:dyDescent="0.3">
      <c r="D164" s="2" t="str">
        <f>IF(A164&lt;&gt;"",SUM(B164:C164),"")</f>
        <v/>
      </c>
      <c r="E164" s="2" t="str">
        <f>IF(A164&lt;&gt;"",('TP1'!E1*'TP1'!D164)/'TP1'!D1, "")</f>
        <v/>
      </c>
    </row>
    <row r="165" spans="4:5" x14ac:dyDescent="0.3">
      <c r="D165" s="2" t="str">
        <f>IF(A165&lt;&gt;"",SUM(B165:C165),"")</f>
        <v/>
      </c>
      <c r="E165" s="2" t="str">
        <f>IF(A165&lt;&gt;"",('TP1'!E1*'TP1'!D165)/'TP1'!D1, "")</f>
        <v/>
      </c>
    </row>
    <row r="166" spans="4:5" x14ac:dyDescent="0.3">
      <c r="D166" s="2" t="str">
        <f>IF(A166&lt;&gt;"",SUM(B166:C166),"")</f>
        <v/>
      </c>
      <c r="E166" s="2" t="str">
        <f>IF(A166&lt;&gt;"",('TP1'!E1*'TP1'!D166)/'TP1'!D1, "")</f>
        <v/>
      </c>
    </row>
    <row r="167" spans="4:5" x14ac:dyDescent="0.3">
      <c r="D167" s="2" t="str">
        <f>IF(A167&lt;&gt;"",SUM(B167:C167),"")</f>
        <v/>
      </c>
      <c r="E167" s="2" t="str">
        <f>IF(A167&lt;&gt;"",('TP1'!E1*'TP1'!D167)/'TP1'!D1, "")</f>
        <v/>
      </c>
    </row>
    <row r="168" spans="4:5" x14ac:dyDescent="0.3">
      <c r="D168" s="2" t="str">
        <f>IF(A168&lt;&gt;"",SUM(B168:C168),"")</f>
        <v/>
      </c>
      <c r="E168" s="2" t="str">
        <f>IF(A168&lt;&gt;"",('TP1'!E1*'TP1'!D168)/'TP1'!D1, "")</f>
        <v/>
      </c>
    </row>
    <row r="169" spans="4:5" x14ac:dyDescent="0.3">
      <c r="D169" s="2" t="str">
        <f>IF(A169&lt;&gt;"",SUM(B169:C169),"")</f>
        <v/>
      </c>
      <c r="E169" s="2" t="str">
        <f>IF(A169&lt;&gt;"",('TP1'!E1*'TP1'!D169)/'TP1'!D1, "")</f>
        <v/>
      </c>
    </row>
    <row r="170" spans="4:5" x14ac:dyDescent="0.3">
      <c r="D170" s="2" t="str">
        <f>IF(A170&lt;&gt;"",SUM(B170:C170),"")</f>
        <v/>
      </c>
      <c r="E170" s="2" t="str">
        <f>IF(A170&lt;&gt;"",('TP1'!E1*'TP1'!D170)/'TP1'!D1, "")</f>
        <v/>
      </c>
    </row>
    <row r="171" spans="4:5" x14ac:dyDescent="0.3">
      <c r="D171" s="2" t="str">
        <f>IF(A171&lt;&gt;"",SUM(B171:C171),"")</f>
        <v/>
      </c>
      <c r="E171" s="2" t="str">
        <f>IF(A171&lt;&gt;"",('TP1'!E1*'TP1'!D171)/'TP1'!D1, "")</f>
        <v/>
      </c>
    </row>
    <row r="172" spans="4:5" x14ac:dyDescent="0.3">
      <c r="D172" s="2" t="str">
        <f>IF(A172&lt;&gt;"",SUM(B172:C172),"")</f>
        <v/>
      </c>
      <c r="E172" s="2" t="str">
        <f>IF(A172&lt;&gt;"",('TP1'!E1*'TP1'!D172)/'TP1'!D1, "")</f>
        <v/>
      </c>
    </row>
    <row r="173" spans="4:5" x14ac:dyDescent="0.3">
      <c r="D173" s="2" t="str">
        <f>IF(A173&lt;&gt;"",SUM(B173:C173),"")</f>
        <v/>
      </c>
      <c r="E173" s="2" t="str">
        <f>IF(A173&lt;&gt;"",('TP1'!E1*'TP1'!D173)/'TP1'!D1, "")</f>
        <v/>
      </c>
    </row>
    <row r="174" spans="4:5" x14ac:dyDescent="0.3">
      <c r="D174" s="2" t="str">
        <f>IF(A174&lt;&gt;"",SUM(B174:C174),"")</f>
        <v/>
      </c>
      <c r="E174" s="2" t="str">
        <f>IF(A174&lt;&gt;"",('TP1'!E1*'TP1'!D174)/'TP1'!D1, "")</f>
        <v/>
      </c>
    </row>
    <row r="175" spans="4:5" x14ac:dyDescent="0.3">
      <c r="D175" s="2" t="str">
        <f>IF(A175&lt;&gt;"",SUM(B175:C175),"")</f>
        <v/>
      </c>
      <c r="E175" s="2" t="str">
        <f>IF(A175&lt;&gt;"",('TP1'!E1*'TP1'!D175)/'TP1'!D1, "")</f>
        <v/>
      </c>
    </row>
    <row r="176" spans="4:5" x14ac:dyDescent="0.3">
      <c r="D176" s="2" t="str">
        <f>IF(A176&lt;&gt;"",SUM(B176:C176),"")</f>
        <v/>
      </c>
      <c r="E176" s="2" t="str">
        <f>IF(A176&lt;&gt;"",('TP1'!E1*'TP1'!D176)/'TP1'!D1, "")</f>
        <v/>
      </c>
    </row>
    <row r="177" spans="4:5" x14ac:dyDescent="0.3">
      <c r="D177" s="2" t="str">
        <f>IF(A177&lt;&gt;"",SUM(B177:C177),"")</f>
        <v/>
      </c>
      <c r="E177" s="2" t="str">
        <f>IF(A177&lt;&gt;"",('TP1'!E1*'TP1'!D177)/'TP1'!D1, "")</f>
        <v/>
      </c>
    </row>
    <row r="178" spans="4:5" x14ac:dyDescent="0.3">
      <c r="D178" s="2" t="str">
        <f>IF(A178&lt;&gt;"",SUM(B178:C178),"")</f>
        <v/>
      </c>
      <c r="E178" s="2" t="str">
        <f>IF(A178&lt;&gt;"",('TP1'!E1*'TP1'!D178)/'TP1'!D1, "")</f>
        <v/>
      </c>
    </row>
    <row r="179" spans="4:5" x14ac:dyDescent="0.3">
      <c r="D179" s="2" t="str">
        <f>IF(A179&lt;&gt;"",SUM(B179:C179),"")</f>
        <v/>
      </c>
      <c r="E179" s="2" t="str">
        <f>IF(A179&lt;&gt;"",('TP1'!E1*'TP1'!D179)/'TP1'!D1, "")</f>
        <v/>
      </c>
    </row>
    <row r="180" spans="4:5" x14ac:dyDescent="0.3">
      <c r="D180" s="2" t="str">
        <f>IF(A180&lt;&gt;"",SUM(B180:C180),"")</f>
        <v/>
      </c>
      <c r="E180" s="2" t="str">
        <f>IF(A180&lt;&gt;"",('TP1'!E1*'TP1'!D180)/'TP1'!D1, "")</f>
        <v/>
      </c>
    </row>
    <row r="181" spans="4:5" x14ac:dyDescent="0.3">
      <c r="D181" s="2" t="str">
        <f>IF(A181&lt;&gt;"",SUM(B181:C181),"")</f>
        <v/>
      </c>
      <c r="E181" s="2" t="str">
        <f>IF(A181&lt;&gt;"",('TP1'!E1*'TP1'!D181)/'TP1'!D1, "")</f>
        <v/>
      </c>
    </row>
    <row r="182" spans="4:5" x14ac:dyDescent="0.3">
      <c r="D182" s="2" t="str">
        <f>IF(A182&lt;&gt;"",SUM(B182:C182),"")</f>
        <v/>
      </c>
      <c r="E182" s="2" t="str">
        <f>IF(A182&lt;&gt;"",('TP1'!E1*'TP1'!D182)/'TP1'!D1, "")</f>
        <v/>
      </c>
    </row>
    <row r="183" spans="4:5" x14ac:dyDescent="0.3">
      <c r="D183" s="2" t="str">
        <f>IF(A183&lt;&gt;"",SUM(B183:C183),"")</f>
        <v/>
      </c>
      <c r="E183" s="2" t="str">
        <f>IF(A183&lt;&gt;"",('TP1'!E1*'TP1'!D183)/'TP1'!D1, "")</f>
        <v/>
      </c>
    </row>
    <row r="184" spans="4:5" x14ac:dyDescent="0.3">
      <c r="D184" s="2" t="str">
        <f>IF(A184&lt;&gt;"",SUM(B184:C184),"")</f>
        <v/>
      </c>
      <c r="E184" s="2" t="str">
        <f>IF(A184&lt;&gt;"",('TP1'!E1*'TP1'!D184)/'TP1'!D1, "")</f>
        <v/>
      </c>
    </row>
    <row r="185" spans="4:5" x14ac:dyDescent="0.3">
      <c r="D185" s="2" t="str">
        <f>IF(A185&lt;&gt;"",SUM(B185:C185),"")</f>
        <v/>
      </c>
      <c r="E185" s="2" t="str">
        <f>IF(A185&lt;&gt;"",('TP1'!E1*'TP1'!D185)/'TP1'!D1, "")</f>
        <v/>
      </c>
    </row>
    <row r="186" spans="4:5" x14ac:dyDescent="0.3">
      <c r="D186" s="2" t="str">
        <f>IF(A186&lt;&gt;"",SUM(B186:C186),"")</f>
        <v/>
      </c>
      <c r="E186" s="2" t="str">
        <f>IF(A186&lt;&gt;"",('TP1'!E1*'TP1'!D186)/'TP1'!D1, "")</f>
        <v/>
      </c>
    </row>
    <row r="187" spans="4:5" x14ac:dyDescent="0.3">
      <c r="D187" s="2" t="str">
        <f>IF(A187&lt;&gt;"",SUM(B187:C187),"")</f>
        <v/>
      </c>
      <c r="E187" s="2" t="str">
        <f>IF(A187&lt;&gt;"",('TP1'!E1*'TP1'!D187)/'TP1'!D1, "")</f>
        <v/>
      </c>
    </row>
    <row r="188" spans="4:5" x14ac:dyDescent="0.3">
      <c r="D188" s="2" t="str">
        <f>IF(A188&lt;&gt;"",SUM(B188:C188),"")</f>
        <v/>
      </c>
      <c r="E188" s="2" t="str">
        <f>IF(A188&lt;&gt;"",('TP1'!E1*'TP1'!D188)/'TP1'!D1, "")</f>
        <v/>
      </c>
    </row>
    <row r="189" spans="4:5" x14ac:dyDescent="0.3">
      <c r="D189" s="2" t="str">
        <f>IF(A189&lt;&gt;"",SUM(B189:C189),"")</f>
        <v/>
      </c>
      <c r="E189" s="2" t="str">
        <f>IF(A189&lt;&gt;"",('TP1'!E1*'TP1'!D189)/'TP1'!D1, "")</f>
        <v/>
      </c>
    </row>
    <row r="190" spans="4:5" x14ac:dyDescent="0.3">
      <c r="D190" s="2" t="str">
        <f>IF(A190&lt;&gt;"",SUM(B190:C190),"")</f>
        <v/>
      </c>
      <c r="E190" s="2" t="str">
        <f>IF(A190&lt;&gt;"",('TP1'!E1*'TP1'!D190)/'TP1'!D1, "")</f>
        <v/>
      </c>
    </row>
    <row r="191" spans="4:5" x14ac:dyDescent="0.3">
      <c r="D191" s="2" t="str">
        <f>IF(A191&lt;&gt;"",SUM(B191:C191),"")</f>
        <v/>
      </c>
      <c r="E191" s="2" t="str">
        <f>IF(A191&lt;&gt;"",('TP1'!E1*'TP1'!D191)/'TP1'!D1, "")</f>
        <v/>
      </c>
    </row>
    <row r="192" spans="4:5" x14ac:dyDescent="0.3">
      <c r="D192" s="2" t="str">
        <f>IF(A192&lt;&gt;"",SUM(B192:C192),"")</f>
        <v/>
      </c>
      <c r="E192" s="2" t="str">
        <f>IF(A192&lt;&gt;"",('TP1'!E1*'TP1'!D192)/'TP1'!D1, "")</f>
        <v/>
      </c>
    </row>
    <row r="193" spans="4:5" x14ac:dyDescent="0.3">
      <c r="D193" s="2" t="str">
        <f>IF(A193&lt;&gt;"",SUM(B193:C193),"")</f>
        <v/>
      </c>
      <c r="E193" s="2" t="str">
        <f>IF(A193&lt;&gt;"",('TP1'!E1*'TP1'!D193)/'TP1'!D1, "")</f>
        <v/>
      </c>
    </row>
    <row r="194" spans="4:5" x14ac:dyDescent="0.3">
      <c r="D194" s="2" t="str">
        <f>IF(A194&lt;&gt;"",SUM(B194:C194),"")</f>
        <v/>
      </c>
      <c r="E194" s="2" t="str">
        <f>IF(A194&lt;&gt;"",('TP1'!E1*'TP1'!D194)/'TP1'!D1, "")</f>
        <v/>
      </c>
    </row>
    <row r="195" spans="4:5" x14ac:dyDescent="0.3">
      <c r="D195" s="2" t="str">
        <f>IF(A195&lt;&gt;"",SUM(B195:C195),"")</f>
        <v/>
      </c>
      <c r="E195" s="2" t="str">
        <f>IF(A195&lt;&gt;"",('TP1'!E1*'TP1'!D195)/'TP1'!D1, "")</f>
        <v/>
      </c>
    </row>
    <row r="196" spans="4:5" x14ac:dyDescent="0.3">
      <c r="D196" s="2" t="str">
        <f>IF(A196&lt;&gt;"",SUM(B196:C196),"")</f>
        <v/>
      </c>
      <c r="E196" s="2" t="str">
        <f>IF(A196&lt;&gt;"",('TP1'!E1*'TP1'!D196)/'TP1'!D1, "")</f>
        <v/>
      </c>
    </row>
    <row r="197" spans="4:5" x14ac:dyDescent="0.3">
      <c r="D197" s="2" t="str">
        <f>IF(A197&lt;&gt;"",SUM(B197:C197),"")</f>
        <v/>
      </c>
      <c r="E197" s="2" t="str">
        <f>IF(A197&lt;&gt;"",('TP1'!E1*'TP1'!D197)/'TP1'!D1, "")</f>
        <v/>
      </c>
    </row>
    <row r="198" spans="4:5" x14ac:dyDescent="0.3">
      <c r="D198" s="2" t="str">
        <f>IF(A198&lt;&gt;"",SUM(B198:C198),"")</f>
        <v/>
      </c>
      <c r="E198" s="2" t="str">
        <f>IF(A198&lt;&gt;"",('TP1'!E1*'TP1'!D198)/'TP1'!D1, "")</f>
        <v/>
      </c>
    </row>
    <row r="199" spans="4:5" x14ac:dyDescent="0.3">
      <c r="D199" s="2" t="str">
        <f>IF(A199&lt;&gt;"",SUM(B199:C199),"")</f>
        <v/>
      </c>
      <c r="E199" s="2" t="str">
        <f>IF(A199&lt;&gt;"",('TP1'!E1*'TP1'!D199)/'TP1'!D1, "")</f>
        <v/>
      </c>
    </row>
    <row r="200" spans="4:5" x14ac:dyDescent="0.3">
      <c r="D200" s="2" t="str">
        <f>IF(A200&lt;&gt;"",SUM(B200:C200),"")</f>
        <v/>
      </c>
      <c r="E200" s="2" t="str">
        <f>IF(A200&lt;&gt;"",('TP1'!E1*'TP1'!D200)/'TP1'!D1, "")</f>
        <v/>
      </c>
    </row>
    <row r="201" spans="4:5" x14ac:dyDescent="0.3">
      <c r="D201" s="2" t="str">
        <f>IF(A201&lt;&gt;"",SUM(B201:C201),"")</f>
        <v/>
      </c>
      <c r="E201" s="2" t="str">
        <f>IF(A201&lt;&gt;"",('TP1'!E1*'TP1'!D201)/'TP1'!D1, "")</f>
        <v/>
      </c>
    </row>
    <row r="202" spans="4:5" x14ac:dyDescent="0.3">
      <c r="D202" s="2" t="str">
        <f>IF(A202&lt;&gt;"",SUM(B202:C202),"")</f>
        <v/>
      </c>
      <c r="E202" s="2" t="str">
        <f>IF(A202&lt;&gt;"",('TP1'!E1*'TP1'!D202)/'TP1'!D1, "")</f>
        <v/>
      </c>
    </row>
    <row r="203" spans="4:5" x14ac:dyDescent="0.3">
      <c r="D203" s="2" t="str">
        <f>IF(A203&lt;&gt;"",SUM(B203:C203),"")</f>
        <v/>
      </c>
      <c r="E203" s="2" t="str">
        <f>IF(A203&lt;&gt;"",('TP1'!E1*'TP1'!D203)/'TP1'!D1, "")</f>
        <v/>
      </c>
    </row>
    <row r="204" spans="4:5" x14ac:dyDescent="0.3">
      <c r="D204" s="2" t="str">
        <f>IF(A204&lt;&gt;"",SUM(B204:C204),"")</f>
        <v/>
      </c>
      <c r="E204" s="2" t="str">
        <f>IF(A204&lt;&gt;"",('TP1'!E1*'TP1'!D204)/'TP1'!D1, "")</f>
        <v/>
      </c>
    </row>
    <row r="205" spans="4:5" x14ac:dyDescent="0.3">
      <c r="D205" s="2" t="str">
        <f>IF(A205&lt;&gt;"",SUM(B205:C205),"")</f>
        <v/>
      </c>
      <c r="E205" s="2" t="str">
        <f>IF(A205&lt;&gt;"",('TP1'!E1*'TP1'!D205)/'TP1'!D1, "")</f>
        <v/>
      </c>
    </row>
    <row r="206" spans="4:5" x14ac:dyDescent="0.3">
      <c r="D206" s="2" t="str">
        <f>IF(A206&lt;&gt;"",SUM(B206:C206),"")</f>
        <v/>
      </c>
      <c r="E206" s="2" t="str">
        <f>IF(A206&lt;&gt;"",('TP1'!E1*'TP1'!D206)/'TP1'!D1, "")</f>
        <v/>
      </c>
    </row>
    <row r="207" spans="4:5" x14ac:dyDescent="0.3">
      <c r="D207" s="2" t="str">
        <f>IF(A207&lt;&gt;"",SUM(B207:C207),"")</f>
        <v/>
      </c>
      <c r="E207" s="2" t="str">
        <f>IF(A207&lt;&gt;"",('TP1'!E1*'TP1'!D207)/'TP1'!D1, "")</f>
        <v/>
      </c>
    </row>
    <row r="208" spans="4:5" x14ac:dyDescent="0.3">
      <c r="D208" s="2" t="str">
        <f>IF(A208&lt;&gt;"",SUM(B208:C208),"")</f>
        <v/>
      </c>
      <c r="E208" s="2" t="str">
        <f>IF(A208&lt;&gt;"",('TP1'!E1*'TP1'!D208)/'TP1'!D1, "")</f>
        <v/>
      </c>
    </row>
    <row r="209" spans="4:5" x14ac:dyDescent="0.3">
      <c r="D209" s="2" t="str">
        <f>IF(A209&lt;&gt;"",SUM(B209:C209),"")</f>
        <v/>
      </c>
      <c r="E209" s="2" t="str">
        <f>IF(A209&lt;&gt;"",('TP1'!E1*'TP1'!D209)/'TP1'!D1, "")</f>
        <v/>
      </c>
    </row>
    <row r="210" spans="4:5" x14ac:dyDescent="0.3">
      <c r="D210" s="2" t="str">
        <f>IF(A210&lt;&gt;"",SUM(B210:C210),"")</f>
        <v/>
      </c>
      <c r="E210" s="2" t="str">
        <f>IF(A210&lt;&gt;"",('TP1'!E1*'TP1'!D210)/'TP1'!D1, "")</f>
        <v/>
      </c>
    </row>
    <row r="211" spans="4:5" x14ac:dyDescent="0.3">
      <c r="D211" s="2" t="str">
        <f>IF(A211&lt;&gt;"",SUM(B211:C211),"")</f>
        <v/>
      </c>
      <c r="E211" s="2" t="str">
        <f>IF(A211&lt;&gt;"",('TP1'!E1*'TP1'!D211)/'TP1'!D1, "")</f>
        <v/>
      </c>
    </row>
    <row r="212" spans="4:5" x14ac:dyDescent="0.3">
      <c r="D212" s="2" t="str">
        <f>IF(A212&lt;&gt;"",SUM(B212:C212),"")</f>
        <v/>
      </c>
      <c r="E212" s="2" t="str">
        <f>IF(A212&lt;&gt;"",('TP1'!E1*'TP1'!D212)/'TP1'!D1, "")</f>
        <v/>
      </c>
    </row>
    <row r="213" spans="4:5" x14ac:dyDescent="0.3">
      <c r="D213" s="2" t="str">
        <f>IF(A213&lt;&gt;"",SUM(B213:C213),"")</f>
        <v/>
      </c>
      <c r="E213" s="2" t="str">
        <f>IF(A213&lt;&gt;"",('TP1'!E1*'TP1'!D213)/'TP1'!D1, "")</f>
        <v/>
      </c>
    </row>
    <row r="214" spans="4:5" x14ac:dyDescent="0.3">
      <c r="D214" s="2" t="str">
        <f>IF(A214&lt;&gt;"",SUM(B214:C214),"")</f>
        <v/>
      </c>
      <c r="E214" s="2" t="str">
        <f>IF(A214&lt;&gt;"",('TP1'!E1*'TP1'!D214)/'TP1'!D1, "")</f>
        <v/>
      </c>
    </row>
    <row r="215" spans="4:5" x14ac:dyDescent="0.3">
      <c r="D215" s="2" t="str">
        <f>IF(A215&lt;&gt;"",SUM(B215:C215),"")</f>
        <v/>
      </c>
      <c r="E215" s="2" t="str">
        <f>IF(A215&lt;&gt;"",('TP1'!E1*'TP1'!D215)/'TP1'!D1, "")</f>
        <v/>
      </c>
    </row>
    <row r="216" spans="4:5" x14ac:dyDescent="0.3">
      <c r="D216" s="2" t="str">
        <f>IF(A216&lt;&gt;"",SUM(B216:C216),"")</f>
        <v/>
      </c>
      <c r="E216" s="2" t="str">
        <f>IF(A216&lt;&gt;"",('TP1'!E1*'TP1'!D216)/'TP1'!D1, "")</f>
        <v/>
      </c>
    </row>
    <row r="217" spans="4:5" x14ac:dyDescent="0.3">
      <c r="D217" s="2" t="str">
        <f>IF(A217&lt;&gt;"",SUM(B217:C217),"")</f>
        <v/>
      </c>
      <c r="E217" s="2" t="str">
        <f>IF(A217&lt;&gt;"",('TP1'!E1*'TP1'!D217)/'TP1'!D1, "")</f>
        <v/>
      </c>
    </row>
    <row r="218" spans="4:5" x14ac:dyDescent="0.3">
      <c r="D218" s="2" t="str">
        <f>IF(A218&lt;&gt;"",SUM(B218:C218),"")</f>
        <v/>
      </c>
      <c r="E218" s="2" t="str">
        <f>IF(A218&lt;&gt;"",('TP1'!E1*'TP1'!D218)/'TP1'!D1, "")</f>
        <v/>
      </c>
    </row>
    <row r="219" spans="4:5" x14ac:dyDescent="0.3">
      <c r="D219" s="2" t="str">
        <f>IF(A219&lt;&gt;"",SUM(B219:C219),"")</f>
        <v/>
      </c>
      <c r="E219" s="2" t="str">
        <f>IF(A219&lt;&gt;"",('TP1'!E1*'TP1'!D219)/'TP1'!D1, "")</f>
        <v/>
      </c>
    </row>
    <row r="220" spans="4:5" x14ac:dyDescent="0.3">
      <c r="D220" s="2" t="str">
        <f>IF(A220&lt;&gt;"",SUM(B220:C220),"")</f>
        <v/>
      </c>
      <c r="E220" s="2" t="str">
        <f>IF(A220&lt;&gt;"",('TP1'!E1*'TP1'!D220)/'TP1'!D1, "")</f>
        <v/>
      </c>
    </row>
    <row r="221" spans="4:5" x14ac:dyDescent="0.3">
      <c r="D221" s="2" t="str">
        <f>IF(A221&lt;&gt;"",SUM(B221:C221),"")</f>
        <v/>
      </c>
      <c r="E221" s="2" t="str">
        <f>IF(A221&lt;&gt;"",('TP1'!E1*'TP1'!D221)/'TP1'!D1, "")</f>
        <v/>
      </c>
    </row>
    <row r="222" spans="4:5" x14ac:dyDescent="0.3">
      <c r="D222" s="2" t="str">
        <f>IF(A222&lt;&gt;"",SUM(B222:C222),"")</f>
        <v/>
      </c>
      <c r="E222" s="2" t="str">
        <f>IF(A222&lt;&gt;"",('TP1'!E1*'TP1'!D222)/'TP1'!D1, "")</f>
        <v/>
      </c>
    </row>
    <row r="223" spans="4:5" x14ac:dyDescent="0.3">
      <c r="D223" s="2" t="str">
        <f>IF(A223&lt;&gt;"",SUM(B223:C223),"")</f>
        <v/>
      </c>
      <c r="E223" s="2" t="str">
        <f>IF(A223&lt;&gt;"",('TP1'!E1*'TP1'!D223)/'TP1'!D1, "")</f>
        <v/>
      </c>
    </row>
    <row r="224" spans="4:5" x14ac:dyDescent="0.3">
      <c r="D224" s="2" t="str">
        <f>IF(A224&lt;&gt;"",SUM(B224:C224),"")</f>
        <v/>
      </c>
      <c r="E224" s="2" t="str">
        <f>IF(A224&lt;&gt;"",('TP1'!E1*'TP1'!D224)/'TP1'!D1, "")</f>
        <v/>
      </c>
    </row>
    <row r="225" spans="4:5" x14ac:dyDescent="0.3">
      <c r="D225" s="2" t="str">
        <f>IF(A225&lt;&gt;"",SUM(B225:C225),"")</f>
        <v/>
      </c>
      <c r="E225" s="2" t="str">
        <f>IF(A225&lt;&gt;"",('TP1'!E1*'TP1'!D225)/'TP1'!D1, "")</f>
        <v/>
      </c>
    </row>
    <row r="226" spans="4:5" x14ac:dyDescent="0.3">
      <c r="D226" s="2" t="str">
        <f>IF(A226&lt;&gt;"",SUM(B226:C226),"")</f>
        <v/>
      </c>
      <c r="E226" s="2" t="str">
        <f>IF(A226&lt;&gt;"",('TP1'!E1*'TP1'!D226)/'TP1'!D1, "")</f>
        <v/>
      </c>
    </row>
    <row r="227" spans="4:5" x14ac:dyDescent="0.3">
      <c r="D227" s="2" t="str">
        <f>IF(A227&lt;&gt;"",SUM(B227:C227),"")</f>
        <v/>
      </c>
      <c r="E227" s="2" t="str">
        <f>IF(A227&lt;&gt;"",('TP1'!E1*'TP1'!D227)/'TP1'!D1, "")</f>
        <v/>
      </c>
    </row>
    <row r="228" spans="4:5" x14ac:dyDescent="0.3">
      <c r="D228" s="2" t="str">
        <f>IF(A228&lt;&gt;"",SUM(B228:C228),"")</f>
        <v/>
      </c>
      <c r="E228" s="2" t="str">
        <f>IF(A228&lt;&gt;"",('TP1'!E1*'TP1'!D228)/'TP1'!D1, "")</f>
        <v/>
      </c>
    </row>
    <row r="229" spans="4:5" x14ac:dyDescent="0.3">
      <c r="D229" s="2" t="str">
        <f>IF(A229&lt;&gt;"",SUM(B229:C229),"")</f>
        <v/>
      </c>
      <c r="E229" s="2" t="str">
        <f>IF(A229&lt;&gt;"",('TP1'!E1*'TP1'!D229)/'TP1'!D1, "")</f>
        <v/>
      </c>
    </row>
    <row r="230" spans="4:5" x14ac:dyDescent="0.3">
      <c r="D230" s="2" t="str">
        <f>IF(A230&lt;&gt;"",SUM(B230:C230),"")</f>
        <v/>
      </c>
      <c r="E230" s="2" t="str">
        <f>IF(A230&lt;&gt;"",('TP1'!E1*'TP1'!D230)/'TP1'!D1, "")</f>
        <v/>
      </c>
    </row>
    <row r="231" spans="4:5" x14ac:dyDescent="0.3">
      <c r="D231" s="2" t="str">
        <f>IF(A231&lt;&gt;"",SUM(B231:C231),"")</f>
        <v/>
      </c>
      <c r="E231" s="2" t="str">
        <f>IF(A231&lt;&gt;"",('TP1'!E1*'TP1'!D231)/'TP1'!D1, "")</f>
        <v/>
      </c>
    </row>
    <row r="232" spans="4:5" x14ac:dyDescent="0.3">
      <c r="D232" s="2" t="str">
        <f>IF(A232&lt;&gt;"",SUM(B232:C232),"")</f>
        <v/>
      </c>
      <c r="E232" s="2" t="str">
        <f>IF(A232&lt;&gt;"",('TP1'!E1*'TP1'!D232)/'TP1'!D1, "")</f>
        <v/>
      </c>
    </row>
    <row r="233" spans="4:5" x14ac:dyDescent="0.3">
      <c r="D233" s="2" t="str">
        <f>IF(A233&lt;&gt;"",SUM(B233:C233),"")</f>
        <v/>
      </c>
      <c r="E233" s="2" t="str">
        <f>IF(A233&lt;&gt;"",('TP1'!E1*'TP1'!D233)/'TP1'!D1, "")</f>
        <v/>
      </c>
    </row>
    <row r="234" spans="4:5" x14ac:dyDescent="0.3">
      <c r="D234" s="2" t="str">
        <f>IF(A234&lt;&gt;"",SUM(B234:C234),"")</f>
        <v/>
      </c>
      <c r="E234" s="2" t="str">
        <f>IF(A234&lt;&gt;"",('TP1'!E1*'TP1'!D234)/'TP1'!D1, "")</f>
        <v/>
      </c>
    </row>
    <row r="235" spans="4:5" x14ac:dyDescent="0.3">
      <c r="D235" s="2" t="str">
        <f>IF(A235&lt;&gt;"",SUM(B235:C235),"")</f>
        <v/>
      </c>
      <c r="E235" s="2" t="str">
        <f>IF(A235&lt;&gt;"",('TP1'!E1*'TP1'!D235)/'TP1'!D1, "")</f>
        <v/>
      </c>
    </row>
    <row r="236" spans="4:5" x14ac:dyDescent="0.3">
      <c r="D236" s="2" t="str">
        <f>IF(A236&lt;&gt;"",SUM(B236:C236),"")</f>
        <v/>
      </c>
      <c r="E236" s="2" t="str">
        <f>IF(A236&lt;&gt;"",('TP1'!E1*'TP1'!D236)/'TP1'!D1, "")</f>
        <v/>
      </c>
    </row>
    <row r="237" spans="4:5" x14ac:dyDescent="0.3">
      <c r="D237" s="2" t="str">
        <f>IF(A237&lt;&gt;"",SUM(B237:C237),"")</f>
        <v/>
      </c>
      <c r="E237" s="2" t="str">
        <f>IF(A237&lt;&gt;"",('TP1'!E1*'TP1'!D237)/'TP1'!D1, "")</f>
        <v/>
      </c>
    </row>
    <row r="238" spans="4:5" x14ac:dyDescent="0.3">
      <c r="D238" s="2" t="str">
        <f>IF(A238&lt;&gt;"",SUM(B238:C238),"")</f>
        <v/>
      </c>
      <c r="E238" s="2" t="str">
        <f>IF(A238&lt;&gt;"",('TP1'!E1*'TP1'!D238)/'TP1'!D1, "")</f>
        <v/>
      </c>
    </row>
    <row r="239" spans="4:5" x14ac:dyDescent="0.3">
      <c r="D239" s="2" t="str">
        <f>IF(A239&lt;&gt;"",SUM(B239:C239),"")</f>
        <v/>
      </c>
      <c r="E239" s="2" t="str">
        <f>IF(A239&lt;&gt;"",('TP1'!E1*'TP1'!D239)/'TP1'!D1, "")</f>
        <v/>
      </c>
    </row>
    <row r="240" spans="4:5" x14ac:dyDescent="0.3">
      <c r="D240" s="2" t="str">
        <f>IF(A240&lt;&gt;"",SUM(B240:C240),"")</f>
        <v/>
      </c>
      <c r="E240" s="2" t="str">
        <f>IF(A240&lt;&gt;"",('TP1'!E1*'TP1'!D240)/'TP1'!D1, "")</f>
        <v/>
      </c>
    </row>
    <row r="241" spans="4:5" x14ac:dyDescent="0.3">
      <c r="D241" s="2" t="str">
        <f>IF(A241&lt;&gt;"",SUM(B241:C241),"")</f>
        <v/>
      </c>
      <c r="E241" s="2" t="str">
        <f>IF(A241&lt;&gt;"",('TP1'!E1*'TP1'!D241)/'TP1'!D1, "")</f>
        <v/>
      </c>
    </row>
    <row r="242" spans="4:5" x14ac:dyDescent="0.3">
      <c r="D242" s="2" t="str">
        <f>IF(A242&lt;&gt;"",SUM(B242:C242),"")</f>
        <v/>
      </c>
      <c r="E242" s="2" t="str">
        <f>IF(A242&lt;&gt;"",('TP1'!E1*'TP1'!D242)/'TP1'!D1, "")</f>
        <v/>
      </c>
    </row>
    <row r="243" spans="4:5" x14ac:dyDescent="0.3">
      <c r="D243" s="2" t="str">
        <f>IF(A243&lt;&gt;"",SUM(B243:C243),"")</f>
        <v/>
      </c>
      <c r="E243" s="2" t="str">
        <f>IF(A243&lt;&gt;"",('TP1'!E1*'TP1'!D243)/'TP1'!D1, "")</f>
        <v/>
      </c>
    </row>
    <row r="244" spans="4:5" x14ac:dyDescent="0.3">
      <c r="D244" s="2" t="str">
        <f>IF(A244&lt;&gt;"",SUM(B244:C244),"")</f>
        <v/>
      </c>
      <c r="E244" s="2" t="str">
        <f>IF(A244&lt;&gt;"",('TP1'!E1*'TP1'!D244)/'TP1'!D1, "")</f>
        <v/>
      </c>
    </row>
    <row r="245" spans="4:5" x14ac:dyDescent="0.3">
      <c r="D245" s="2" t="str">
        <f>IF(A245&lt;&gt;"",SUM(B245:C245),"")</f>
        <v/>
      </c>
      <c r="E245" s="2" t="str">
        <f>IF(A245&lt;&gt;"",('TP1'!E1*'TP1'!D245)/'TP1'!D1, "")</f>
        <v/>
      </c>
    </row>
    <row r="246" spans="4:5" x14ac:dyDescent="0.3">
      <c r="D246" s="2" t="str">
        <f>IF(A246&lt;&gt;"",SUM(B246:C246),"")</f>
        <v/>
      </c>
      <c r="E246" s="2" t="str">
        <f>IF(A246&lt;&gt;"",('TP1'!E1*'TP1'!D246)/'TP1'!D1, "")</f>
        <v/>
      </c>
    </row>
    <row r="247" spans="4:5" x14ac:dyDescent="0.3">
      <c r="D247" s="2" t="str">
        <f>IF(A247&lt;&gt;"",SUM(B247:C247),"")</f>
        <v/>
      </c>
      <c r="E247" s="2" t="str">
        <f>IF(A247&lt;&gt;"",('TP1'!E1*'TP1'!D247)/'TP1'!D1, "")</f>
        <v/>
      </c>
    </row>
    <row r="248" spans="4:5" x14ac:dyDescent="0.3">
      <c r="D248" s="2" t="str">
        <f>IF(A248&lt;&gt;"",SUM(B248:C248),"")</f>
        <v/>
      </c>
      <c r="E248" s="2" t="str">
        <f>IF(A248&lt;&gt;"",('TP1'!E1*'TP1'!D248)/'TP1'!D1, "")</f>
        <v/>
      </c>
    </row>
    <row r="249" spans="4:5" x14ac:dyDescent="0.3">
      <c r="D249" s="2" t="str">
        <f>IF(A249&lt;&gt;"",SUM(B249:C249),"")</f>
        <v/>
      </c>
      <c r="E249" s="2" t="str">
        <f>IF(A249&lt;&gt;"",('TP1'!E1*'TP1'!D249)/'TP1'!D1, "")</f>
        <v/>
      </c>
    </row>
    <row r="250" spans="4:5" x14ac:dyDescent="0.3">
      <c r="D250" s="2" t="str">
        <f>IF(A250&lt;&gt;"",SUM(B250:C250),"")</f>
        <v/>
      </c>
      <c r="E250" s="2" t="str">
        <f>IF(A250&lt;&gt;"",('TP1'!E1*'TP1'!D250)/'TP1'!D1, "")</f>
        <v/>
      </c>
    </row>
    <row r="251" spans="4:5" x14ac:dyDescent="0.3">
      <c r="D251" s="2" t="str">
        <f>IF(A251&lt;&gt;"",SUM(B251:C251),"")</f>
        <v/>
      </c>
      <c r="E251" s="2" t="str">
        <f>IF(A251&lt;&gt;"",('TP1'!E1*'TP1'!D251)/'TP1'!D1, "")</f>
        <v/>
      </c>
    </row>
    <row r="252" spans="4:5" x14ac:dyDescent="0.3">
      <c r="D252" s="2" t="str">
        <f>IF(A252&lt;&gt;"",SUM(B252:C252),"")</f>
        <v/>
      </c>
      <c r="E252" s="2" t="str">
        <f>IF(A252&lt;&gt;"",('TP1'!E1*'TP1'!D252)/'TP1'!D1, "")</f>
        <v/>
      </c>
    </row>
    <row r="253" spans="4:5" x14ac:dyDescent="0.3">
      <c r="D253" s="2" t="str">
        <f>IF(A253&lt;&gt;"",SUM(B253:C253),"")</f>
        <v/>
      </c>
      <c r="E253" s="2" t="str">
        <f>IF(A253&lt;&gt;"",('TP1'!E1*'TP1'!D253)/'TP1'!D1, "")</f>
        <v/>
      </c>
    </row>
    <row r="254" spans="4:5" x14ac:dyDescent="0.3">
      <c r="D254" s="2" t="str">
        <f>IF(A254&lt;&gt;"",SUM(B254:C254),"")</f>
        <v/>
      </c>
      <c r="E254" s="2" t="str">
        <f>IF(A254&lt;&gt;"",('TP1'!E1*'TP1'!D254)/'TP1'!D1, "")</f>
        <v/>
      </c>
    </row>
    <row r="255" spans="4:5" x14ac:dyDescent="0.3">
      <c r="D255" s="2" t="str">
        <f>IF(A255&lt;&gt;"",SUM(B255:C255),"")</f>
        <v/>
      </c>
      <c r="E255" s="2" t="str">
        <f>IF(A255&lt;&gt;"",('TP1'!E1*'TP1'!D255)/'TP1'!D1, "")</f>
        <v/>
      </c>
    </row>
    <row r="256" spans="4:5" x14ac:dyDescent="0.3">
      <c r="D256" s="2" t="str">
        <f>IF(A256&lt;&gt;"",SUM(B256:C256),"")</f>
        <v/>
      </c>
      <c r="E256" s="2" t="str">
        <f>IF(A256&lt;&gt;"",('TP1'!E1*'TP1'!D256)/'TP1'!D1, "")</f>
        <v/>
      </c>
    </row>
    <row r="257" spans="4:5" x14ac:dyDescent="0.3">
      <c r="D257" s="2" t="str">
        <f>IF(A257&lt;&gt;"",SUM(B257:C257),"")</f>
        <v/>
      </c>
      <c r="E257" s="2" t="str">
        <f>IF(A257&lt;&gt;"",('TP1'!E1*'TP1'!D257)/'TP1'!D1, "")</f>
        <v/>
      </c>
    </row>
    <row r="258" spans="4:5" x14ac:dyDescent="0.3">
      <c r="D258" s="2" t="str">
        <f>IF(A258&lt;&gt;"",SUM(B258:C258),"")</f>
        <v/>
      </c>
      <c r="E258" s="2" t="str">
        <f>IF(A258&lt;&gt;"",('TP1'!E1*'TP1'!D258)/'TP1'!D1, "")</f>
        <v/>
      </c>
    </row>
    <row r="259" spans="4:5" x14ac:dyDescent="0.3">
      <c r="D259" s="2" t="str">
        <f>IF(A259&lt;&gt;"",SUM(B259:C259),"")</f>
        <v/>
      </c>
      <c r="E259" s="2" t="str">
        <f>IF(A259&lt;&gt;"",('TP1'!E1*'TP1'!D259)/'TP1'!D1, "")</f>
        <v/>
      </c>
    </row>
    <row r="260" spans="4:5" x14ac:dyDescent="0.3">
      <c r="D260" s="2" t="str">
        <f>IF(A260&lt;&gt;"",SUM(B260:C260),"")</f>
        <v/>
      </c>
      <c r="E260" s="2" t="str">
        <f>IF(A260&lt;&gt;"",('TP1'!E1*'TP1'!D260)/'TP1'!D1, "")</f>
        <v/>
      </c>
    </row>
    <row r="261" spans="4:5" x14ac:dyDescent="0.3">
      <c r="D261" s="2" t="str">
        <f>IF(A261&lt;&gt;"",SUM(B261:C261),"")</f>
        <v/>
      </c>
      <c r="E261" s="2" t="str">
        <f>IF(A261&lt;&gt;"",('TP1'!E1*'TP1'!D261)/'TP1'!D1, "")</f>
        <v/>
      </c>
    </row>
    <row r="262" spans="4:5" x14ac:dyDescent="0.3">
      <c r="D262" s="2" t="str">
        <f>IF(A262&lt;&gt;"",SUM(B262:C262),"")</f>
        <v/>
      </c>
      <c r="E262" s="2" t="str">
        <f>IF(A262&lt;&gt;"",('TP1'!E1*'TP1'!D262)/'TP1'!D1, "")</f>
        <v/>
      </c>
    </row>
    <row r="263" spans="4:5" x14ac:dyDescent="0.3">
      <c r="D263" s="2" t="str">
        <f>IF(A263&lt;&gt;"",SUM(B263:C263),"")</f>
        <v/>
      </c>
      <c r="E263" s="2" t="str">
        <f>IF(A263&lt;&gt;"",('TP1'!E1*'TP1'!D263)/'TP1'!D1, "")</f>
        <v/>
      </c>
    </row>
    <row r="264" spans="4:5" x14ac:dyDescent="0.3">
      <c r="D264" s="2" t="str">
        <f>IF(A264&lt;&gt;"",SUM(B264:C264),"")</f>
        <v/>
      </c>
      <c r="E264" s="2" t="str">
        <f>IF(A264&lt;&gt;"",('TP1'!E1*'TP1'!D264)/'TP1'!D1, "")</f>
        <v/>
      </c>
    </row>
    <row r="265" spans="4:5" x14ac:dyDescent="0.3">
      <c r="D265" s="2" t="str">
        <f>IF(A265&lt;&gt;"",SUM(B265:C265),"")</f>
        <v/>
      </c>
      <c r="E265" s="2" t="str">
        <f>IF(A265&lt;&gt;"",('TP1'!E1*'TP1'!D265)/'TP1'!D1, "")</f>
        <v/>
      </c>
    </row>
    <row r="266" spans="4:5" x14ac:dyDescent="0.3">
      <c r="D266" s="2" t="str">
        <f>IF(A266&lt;&gt;"",SUM(B266:C266),"")</f>
        <v/>
      </c>
      <c r="E266" s="2" t="str">
        <f>IF(A266&lt;&gt;"",('TP1'!E1*'TP1'!D266)/'TP1'!D1, "")</f>
        <v/>
      </c>
    </row>
    <row r="267" spans="4:5" x14ac:dyDescent="0.3">
      <c r="D267" s="2" t="str">
        <f>IF(A267&lt;&gt;"",SUM(B267:C267),"")</f>
        <v/>
      </c>
      <c r="E267" s="2" t="str">
        <f>IF(A267&lt;&gt;"",('TP1'!E1*'TP1'!D267)/'TP1'!D1, "")</f>
        <v/>
      </c>
    </row>
    <row r="268" spans="4:5" x14ac:dyDescent="0.3">
      <c r="D268" s="2" t="str">
        <f>IF(A268&lt;&gt;"",SUM(B268:C268),"")</f>
        <v/>
      </c>
      <c r="E268" s="2" t="str">
        <f>IF(A268&lt;&gt;"",('TP1'!E1*'TP1'!D268)/'TP1'!D1, "")</f>
        <v/>
      </c>
    </row>
    <row r="269" spans="4:5" x14ac:dyDescent="0.3">
      <c r="D269" s="2" t="str">
        <f>IF(A269&lt;&gt;"",SUM(B269:C269),"")</f>
        <v/>
      </c>
      <c r="E269" s="2" t="str">
        <f>IF(A269&lt;&gt;"",('TP1'!E1*'TP1'!D269)/'TP1'!D1, "")</f>
        <v/>
      </c>
    </row>
    <row r="270" spans="4:5" x14ac:dyDescent="0.3">
      <c r="D270" s="2" t="str">
        <f>IF(A270&lt;&gt;"",SUM(B270:C270),"")</f>
        <v/>
      </c>
      <c r="E270" s="2" t="str">
        <f>IF(A270&lt;&gt;"",('TP1'!E1*'TP1'!D270)/'TP1'!D1, "")</f>
        <v/>
      </c>
    </row>
    <row r="271" spans="4:5" x14ac:dyDescent="0.3">
      <c r="D271" s="2" t="str">
        <f>IF(A271&lt;&gt;"",SUM(B271:C271),"")</f>
        <v/>
      </c>
      <c r="E271" s="2" t="str">
        <f>IF(A271&lt;&gt;"",('TP1'!E1*'TP1'!D271)/'TP1'!D1, "")</f>
        <v/>
      </c>
    </row>
    <row r="272" spans="4:5" x14ac:dyDescent="0.3">
      <c r="D272" s="2" t="str">
        <f>IF(A272&lt;&gt;"",SUM(B272:C272),"")</f>
        <v/>
      </c>
      <c r="E272" s="2" t="str">
        <f>IF(A272&lt;&gt;"",('TP1'!E1*'TP1'!D272)/'TP1'!D1, "")</f>
        <v/>
      </c>
    </row>
    <row r="273" spans="4:5" x14ac:dyDescent="0.3">
      <c r="D273" s="2" t="str">
        <f>IF(A273&lt;&gt;"",SUM(B273:C273),"")</f>
        <v/>
      </c>
      <c r="E273" s="2" t="str">
        <f>IF(A273&lt;&gt;"",('TP1'!E1*'TP1'!D273)/'TP1'!D1, "")</f>
        <v/>
      </c>
    </row>
    <row r="274" spans="4:5" x14ac:dyDescent="0.3">
      <c r="D274" s="2" t="str">
        <f>IF(A274&lt;&gt;"",SUM(B274:C274),"")</f>
        <v/>
      </c>
      <c r="E274" s="2" t="str">
        <f>IF(A274&lt;&gt;"",('TP1'!E1*'TP1'!D274)/'TP1'!D1, "")</f>
        <v/>
      </c>
    </row>
    <row r="275" spans="4:5" x14ac:dyDescent="0.3">
      <c r="D275" s="2" t="str">
        <f>IF(A275&lt;&gt;"",SUM(B275:C275),"")</f>
        <v/>
      </c>
      <c r="E275" s="2" t="str">
        <f>IF(A275&lt;&gt;"",('TP1'!E1*'TP1'!D275)/'TP1'!D1, "")</f>
        <v/>
      </c>
    </row>
    <row r="276" spans="4:5" x14ac:dyDescent="0.3">
      <c r="D276" s="2" t="str">
        <f>IF(A276&lt;&gt;"",SUM(B276:C276),"")</f>
        <v/>
      </c>
      <c r="E276" s="2" t="str">
        <f>IF(A276&lt;&gt;"",('TP1'!E1*'TP1'!D276)/'TP1'!D1, "")</f>
        <v/>
      </c>
    </row>
    <row r="277" spans="4:5" x14ac:dyDescent="0.3">
      <c r="D277" s="2" t="str">
        <f>IF(A277&lt;&gt;"",SUM(B277:C277),"")</f>
        <v/>
      </c>
      <c r="E277" s="2" t="str">
        <f>IF(A277&lt;&gt;"",('TP1'!E1*'TP1'!D277)/'TP1'!D1, "")</f>
        <v/>
      </c>
    </row>
    <row r="278" spans="4:5" x14ac:dyDescent="0.3">
      <c r="D278" s="2" t="str">
        <f>IF(A278&lt;&gt;"",SUM(B278:C278),"")</f>
        <v/>
      </c>
      <c r="E278" s="2" t="str">
        <f>IF(A278&lt;&gt;"",('TP1'!E1*'TP1'!D278)/'TP1'!D1, "")</f>
        <v/>
      </c>
    </row>
    <row r="279" spans="4:5" x14ac:dyDescent="0.3">
      <c r="D279" s="2" t="str">
        <f>IF(A279&lt;&gt;"",SUM(B279:C279),"")</f>
        <v/>
      </c>
      <c r="E279" s="2" t="str">
        <f>IF(A279&lt;&gt;"",('TP1'!E1*'TP1'!D279)/'TP1'!D1, "")</f>
        <v/>
      </c>
    </row>
    <row r="280" spans="4:5" x14ac:dyDescent="0.3">
      <c r="D280" s="2" t="str">
        <f>IF(A280&lt;&gt;"",SUM(B280:C280),"")</f>
        <v/>
      </c>
      <c r="E280" s="2" t="str">
        <f>IF(A280&lt;&gt;"",('TP1'!E1*'TP1'!D280)/'TP1'!D1, "")</f>
        <v/>
      </c>
    </row>
    <row r="281" spans="4:5" x14ac:dyDescent="0.3">
      <c r="D281" s="2" t="str">
        <f>IF(A281&lt;&gt;"",SUM(B281:C281),"")</f>
        <v/>
      </c>
      <c r="E281" s="2" t="str">
        <f>IF(A281&lt;&gt;"",('TP1'!E1*'TP1'!D281)/'TP1'!D1, "")</f>
        <v/>
      </c>
    </row>
    <row r="282" spans="4:5" x14ac:dyDescent="0.3">
      <c r="D282" s="2" t="str">
        <f>IF(A282&lt;&gt;"",SUM(B282:C282),"")</f>
        <v/>
      </c>
      <c r="E282" s="2" t="str">
        <f>IF(A282&lt;&gt;"",('TP1'!E1*'TP1'!D282)/'TP1'!D1, "")</f>
        <v/>
      </c>
    </row>
    <row r="283" spans="4:5" x14ac:dyDescent="0.3">
      <c r="D283" s="2" t="str">
        <f>IF(A283&lt;&gt;"",SUM(B283:C283),"")</f>
        <v/>
      </c>
      <c r="E283" s="2" t="str">
        <f>IF(A283&lt;&gt;"",('TP1'!E1*'TP1'!D283)/'TP1'!D1, "")</f>
        <v/>
      </c>
    </row>
    <row r="284" spans="4:5" x14ac:dyDescent="0.3">
      <c r="D284" s="2" t="str">
        <f>IF(A284&lt;&gt;"",SUM(B284:C284),"")</f>
        <v/>
      </c>
      <c r="E284" s="2" t="str">
        <f>IF(A284&lt;&gt;"",('TP1'!E1*'TP1'!D284)/'TP1'!D1, "")</f>
        <v/>
      </c>
    </row>
    <row r="285" spans="4:5" x14ac:dyDescent="0.3">
      <c r="D285" s="2" t="str">
        <f>IF(A285&lt;&gt;"",SUM(B285:C285),"")</f>
        <v/>
      </c>
      <c r="E285" s="2" t="str">
        <f>IF(A285&lt;&gt;"",('TP1'!E1*'TP1'!D285)/'TP1'!D1, "")</f>
        <v/>
      </c>
    </row>
    <row r="286" spans="4:5" x14ac:dyDescent="0.3">
      <c r="D286" s="2" t="str">
        <f>IF(A286&lt;&gt;"",SUM(B286:C286),"")</f>
        <v/>
      </c>
      <c r="E286" s="2" t="str">
        <f>IF(A286&lt;&gt;"",('TP1'!E1*'TP1'!D286)/'TP1'!D1, "")</f>
        <v/>
      </c>
    </row>
    <row r="287" spans="4:5" x14ac:dyDescent="0.3">
      <c r="D287" s="2" t="str">
        <f>IF(A287&lt;&gt;"",SUM(B287:C287),"")</f>
        <v/>
      </c>
      <c r="E287" s="2" t="str">
        <f>IF(A287&lt;&gt;"",('TP1'!E1*'TP1'!D287)/'TP1'!D1, "")</f>
        <v/>
      </c>
    </row>
    <row r="288" spans="4:5" x14ac:dyDescent="0.3">
      <c r="D288" s="2" t="str">
        <f>IF(A288&lt;&gt;"",SUM(B288:C288),"")</f>
        <v/>
      </c>
      <c r="E288" s="2" t="str">
        <f>IF(A288&lt;&gt;"",('TP1'!E1*'TP1'!D288)/'TP1'!D1, "")</f>
        <v/>
      </c>
    </row>
    <row r="289" spans="4:5" x14ac:dyDescent="0.3">
      <c r="D289" s="2" t="str">
        <f>IF(A289&lt;&gt;"",SUM(B289:C289),"")</f>
        <v/>
      </c>
      <c r="E289" s="2" t="str">
        <f>IF(A289&lt;&gt;"",('TP1'!E1*'TP1'!D289)/'TP1'!D1, "")</f>
        <v/>
      </c>
    </row>
    <row r="290" spans="4:5" x14ac:dyDescent="0.3">
      <c r="D290" s="2" t="str">
        <f>IF(A290&lt;&gt;"",SUM(B290:C290),"")</f>
        <v/>
      </c>
      <c r="E290" s="2" t="str">
        <f>IF(A290&lt;&gt;"",('TP1'!E1*'TP1'!D290)/'TP1'!D1, "")</f>
        <v/>
      </c>
    </row>
    <row r="291" spans="4:5" x14ac:dyDescent="0.3">
      <c r="D291" s="2" t="str">
        <f>IF(A291&lt;&gt;"",SUM(B291:C291),"")</f>
        <v/>
      </c>
      <c r="E291" s="2" t="str">
        <f>IF(A291&lt;&gt;"",('TP1'!E1*'TP1'!D291)/'TP1'!D1, "")</f>
        <v/>
      </c>
    </row>
    <row r="292" spans="4:5" x14ac:dyDescent="0.3">
      <c r="D292" s="2" t="str">
        <f>IF(A292&lt;&gt;"",SUM(B292:C292),"")</f>
        <v/>
      </c>
      <c r="E292" s="2" t="str">
        <f>IF(A292&lt;&gt;"",('TP1'!E1*'TP1'!D292)/'TP1'!D1, "")</f>
        <v/>
      </c>
    </row>
    <row r="293" spans="4:5" x14ac:dyDescent="0.3">
      <c r="D293" s="2" t="str">
        <f>IF(A293&lt;&gt;"",SUM(B293:C293),"")</f>
        <v/>
      </c>
      <c r="E293" s="2" t="str">
        <f>IF(A293&lt;&gt;"",('TP1'!E1*'TP1'!D293)/'TP1'!D1, "")</f>
        <v/>
      </c>
    </row>
    <row r="294" spans="4:5" x14ac:dyDescent="0.3">
      <c r="D294" s="2" t="str">
        <f>IF(A294&lt;&gt;"",SUM(B294:C294),"")</f>
        <v/>
      </c>
      <c r="E294" s="2" t="str">
        <f>IF(A294&lt;&gt;"",('TP1'!E1*'TP1'!D294)/'TP1'!D1, "")</f>
        <v/>
      </c>
    </row>
    <row r="295" spans="4:5" x14ac:dyDescent="0.3">
      <c r="D295" s="2" t="str">
        <f>IF(A295&lt;&gt;"",SUM(B295:C295),"")</f>
        <v/>
      </c>
      <c r="E295" s="2" t="str">
        <f>IF(A295&lt;&gt;"",('TP1'!E1*'TP1'!D295)/'TP1'!D1, "")</f>
        <v/>
      </c>
    </row>
    <row r="296" spans="4:5" x14ac:dyDescent="0.3">
      <c r="D296" s="2" t="str">
        <f>IF(A296&lt;&gt;"",SUM(B296:C296),"")</f>
        <v/>
      </c>
      <c r="E296" s="2" t="str">
        <f>IF(A296&lt;&gt;"",('TP1'!E1*'TP1'!D296)/'TP1'!D1, "")</f>
        <v/>
      </c>
    </row>
    <row r="297" spans="4:5" x14ac:dyDescent="0.3">
      <c r="D297" s="2" t="str">
        <f>IF(A297&lt;&gt;"",SUM(B297:C297),"")</f>
        <v/>
      </c>
      <c r="E297" s="2" t="str">
        <f>IF(A297&lt;&gt;"",('TP1'!E1*'TP1'!D297)/'TP1'!D1, "")</f>
        <v/>
      </c>
    </row>
    <row r="298" spans="4:5" x14ac:dyDescent="0.3">
      <c r="D298" s="2" t="str">
        <f>IF(A298&lt;&gt;"",SUM(B298:C298),"")</f>
        <v/>
      </c>
      <c r="E298" s="2" t="str">
        <f>IF(A298&lt;&gt;"",('TP1'!E1*'TP1'!D298)/'TP1'!D1, "")</f>
        <v/>
      </c>
    </row>
    <row r="299" spans="4:5" x14ac:dyDescent="0.3">
      <c r="D299" s="2" t="str">
        <f>IF(A299&lt;&gt;"",SUM(B299:C299),"")</f>
        <v/>
      </c>
      <c r="E299" s="2" t="str">
        <f>IF(A299&lt;&gt;"",('TP1'!E1*'TP1'!D299)/'TP1'!D1, "")</f>
        <v/>
      </c>
    </row>
    <row r="300" spans="4:5" x14ac:dyDescent="0.3">
      <c r="D300" s="2" t="str">
        <f>IF(A300&lt;&gt;"",SUM(B300:C300),"")</f>
        <v/>
      </c>
      <c r="E300" s="2" t="str">
        <f>IF(A300&lt;&gt;"",('TP1'!E1*'TP1'!D300)/'TP1'!D1, "")</f>
        <v/>
      </c>
    </row>
    <row r="301" spans="4:5" x14ac:dyDescent="0.3">
      <c r="D301" s="2" t="str">
        <f>IF(A301&lt;&gt;"",SUM(B301:C301),"")</f>
        <v/>
      </c>
      <c r="E301" s="2" t="str">
        <f>IF(A301&lt;&gt;"",('TP1'!E1*'TP1'!D301)/'TP1'!D1, "")</f>
        <v/>
      </c>
    </row>
    <row r="302" spans="4:5" x14ac:dyDescent="0.3">
      <c r="D302" s="2" t="str">
        <f>IF(A302&lt;&gt;"",SUM(B302:C302),"")</f>
        <v/>
      </c>
      <c r="E302" s="2" t="str">
        <f>IF(A302&lt;&gt;"",('TP1'!E1*'TP1'!D302)/'TP1'!D1, "")</f>
        <v/>
      </c>
    </row>
    <row r="303" spans="4:5" x14ac:dyDescent="0.3">
      <c r="D303" s="2" t="str">
        <f>IF(A303&lt;&gt;"",SUM(B303:C303),"")</f>
        <v/>
      </c>
      <c r="E303" s="2" t="str">
        <f>IF(A303&lt;&gt;"",('TP1'!E1*'TP1'!D303)/'TP1'!D1, "")</f>
        <v/>
      </c>
    </row>
    <row r="304" spans="4:5" x14ac:dyDescent="0.3">
      <c r="D304" s="2" t="str">
        <f>IF(A304&lt;&gt;"",SUM(B304:C304),"")</f>
        <v/>
      </c>
      <c r="E304" s="2" t="str">
        <f>IF(A304&lt;&gt;"",('TP1'!E1*'TP1'!D304)/'TP1'!D1, "")</f>
        <v/>
      </c>
    </row>
    <row r="305" spans="4:5" x14ac:dyDescent="0.3">
      <c r="D305" s="2" t="str">
        <f>IF(A305&lt;&gt;"",SUM(B305:C305),"")</f>
        <v/>
      </c>
      <c r="E305" s="2" t="str">
        <f>IF(A305&lt;&gt;"",('TP1'!E1*'TP1'!D305)/'TP1'!D1, "")</f>
        <v/>
      </c>
    </row>
    <row r="306" spans="4:5" x14ac:dyDescent="0.3">
      <c r="D306" s="2" t="str">
        <f>IF(A306&lt;&gt;"",SUM(B306:C306),"")</f>
        <v/>
      </c>
      <c r="E306" s="2" t="str">
        <f>IF(A306&lt;&gt;"",('TP1'!E1*'TP1'!D306)/'TP1'!D1, "")</f>
        <v/>
      </c>
    </row>
    <row r="307" spans="4:5" x14ac:dyDescent="0.3">
      <c r="D307" s="2" t="str">
        <f>IF(A307&lt;&gt;"",SUM(B307:C307),"")</f>
        <v/>
      </c>
      <c r="E307" s="2" t="str">
        <f>IF(A307&lt;&gt;"",('TP1'!E1*'TP1'!D307)/'TP1'!D1, "")</f>
        <v/>
      </c>
    </row>
    <row r="308" spans="4:5" x14ac:dyDescent="0.3">
      <c r="D308" s="2" t="str">
        <f>IF(A308&lt;&gt;"",SUM(B308:C308),"")</f>
        <v/>
      </c>
      <c r="E308" s="2" t="str">
        <f>IF(A308&lt;&gt;"",('TP1'!E1*'TP1'!D308)/'TP1'!D1, "")</f>
        <v/>
      </c>
    </row>
    <row r="309" spans="4:5" x14ac:dyDescent="0.3">
      <c r="D309" s="2" t="str">
        <f>IF(A309&lt;&gt;"",SUM(B309:C309),"")</f>
        <v/>
      </c>
      <c r="E309" s="2" t="str">
        <f>IF(A309&lt;&gt;"",('TP1'!E1*'TP1'!D309)/'TP1'!D1, "")</f>
        <v/>
      </c>
    </row>
    <row r="310" spans="4:5" x14ac:dyDescent="0.3">
      <c r="D310" s="2" t="str">
        <f>IF(A310&lt;&gt;"",SUM(B310:C310),"")</f>
        <v/>
      </c>
      <c r="E310" s="2" t="str">
        <f>IF(A310&lt;&gt;"",('TP1'!E1*'TP1'!D310)/'TP1'!D1, "")</f>
        <v/>
      </c>
    </row>
    <row r="311" spans="4:5" x14ac:dyDescent="0.3">
      <c r="D311" s="2" t="str">
        <f>IF(A311&lt;&gt;"",SUM(B311:C311),"")</f>
        <v/>
      </c>
      <c r="E311" s="2" t="str">
        <f>IF(A311&lt;&gt;"",('TP1'!E1*'TP1'!D311)/'TP1'!D1, "")</f>
        <v/>
      </c>
    </row>
    <row r="312" spans="4:5" x14ac:dyDescent="0.3">
      <c r="D312" s="2" t="str">
        <f>IF(A312&lt;&gt;"",SUM(B312:C312),"")</f>
        <v/>
      </c>
      <c r="E312" s="2" t="str">
        <f>IF(A312&lt;&gt;"",('TP1'!E1*'TP1'!D312)/'TP1'!D1, "")</f>
        <v/>
      </c>
    </row>
    <row r="313" spans="4:5" x14ac:dyDescent="0.3">
      <c r="D313" s="2" t="str">
        <f>IF(A313&lt;&gt;"",SUM(B313:C313),"")</f>
        <v/>
      </c>
      <c r="E313" s="2" t="str">
        <f>IF(A313&lt;&gt;"",('TP1'!E1*'TP1'!D313)/'TP1'!D1, "")</f>
        <v/>
      </c>
    </row>
    <row r="314" spans="4:5" x14ac:dyDescent="0.3">
      <c r="D314" s="2" t="str">
        <f>IF(A314&lt;&gt;"",SUM(B314:C314),"")</f>
        <v/>
      </c>
      <c r="E314" s="2" t="str">
        <f>IF(A314&lt;&gt;"",('TP1'!E1*'TP1'!D314)/'TP1'!D1, "")</f>
        <v/>
      </c>
    </row>
    <row r="315" spans="4:5" x14ac:dyDescent="0.3">
      <c r="D315" s="2" t="str">
        <f>IF(A315&lt;&gt;"",SUM(B315:C315),"")</f>
        <v/>
      </c>
      <c r="E315" s="2" t="str">
        <f>IF(A315&lt;&gt;"",('TP1'!E1*'TP1'!D315)/'TP1'!D1, "")</f>
        <v/>
      </c>
    </row>
    <row r="316" spans="4:5" x14ac:dyDescent="0.3">
      <c r="D316" s="2" t="str">
        <f>IF(A316&lt;&gt;"",SUM(B316:C316),"")</f>
        <v/>
      </c>
      <c r="E316" s="2" t="str">
        <f>IF(A316&lt;&gt;"",('TP1'!E1*'TP1'!D316)/'TP1'!D1, "")</f>
        <v/>
      </c>
    </row>
    <row r="317" spans="4:5" x14ac:dyDescent="0.3">
      <c r="D317" s="2" t="str">
        <f>IF(A317&lt;&gt;"",SUM(B317:C317),"")</f>
        <v/>
      </c>
      <c r="E317" s="2" t="str">
        <f>IF(A317&lt;&gt;"",('TP1'!E1*'TP1'!D317)/'TP1'!D1, "")</f>
        <v/>
      </c>
    </row>
    <row r="318" spans="4:5" x14ac:dyDescent="0.3">
      <c r="D318" s="2" t="str">
        <f>IF(A318&lt;&gt;"",SUM(B318:C318),"")</f>
        <v/>
      </c>
      <c r="E318" s="2" t="str">
        <f>IF(A318&lt;&gt;"",('TP1'!E1*'TP1'!D318)/'TP1'!D1, "")</f>
        <v/>
      </c>
    </row>
    <row r="319" spans="4:5" x14ac:dyDescent="0.3">
      <c r="D319" s="2" t="str">
        <f>IF(A319&lt;&gt;"",SUM(B319:C319),"")</f>
        <v/>
      </c>
      <c r="E319" s="2" t="str">
        <f>IF(A319&lt;&gt;"",('TP1'!E1*'TP1'!D319)/'TP1'!D1, "")</f>
        <v/>
      </c>
    </row>
    <row r="320" spans="4:5" x14ac:dyDescent="0.3">
      <c r="D320" s="2" t="str">
        <f>IF(A320&lt;&gt;"",SUM(B320:C320),"")</f>
        <v/>
      </c>
      <c r="E320" s="2" t="str">
        <f>IF(A320&lt;&gt;"",('TP1'!E1*'TP1'!D320)/'TP1'!D1, "")</f>
        <v/>
      </c>
    </row>
    <row r="321" spans="4:5" x14ac:dyDescent="0.3">
      <c r="D321" s="2" t="str">
        <f>IF(A321&lt;&gt;"",SUM(B321:C321),"")</f>
        <v/>
      </c>
      <c r="E321" s="2" t="str">
        <f>IF(A321&lt;&gt;"",('TP1'!E1*'TP1'!D321)/'TP1'!D1, "")</f>
        <v/>
      </c>
    </row>
    <row r="322" spans="4:5" x14ac:dyDescent="0.3">
      <c r="D322" s="2" t="str">
        <f>IF(A322&lt;&gt;"",SUM(B322:C322),"")</f>
        <v/>
      </c>
      <c r="E322" s="2" t="str">
        <f>IF(A322&lt;&gt;"",('TP1'!E1*'TP1'!D322)/'TP1'!D1, "")</f>
        <v/>
      </c>
    </row>
    <row r="323" spans="4:5" x14ac:dyDescent="0.3">
      <c r="D323" s="2" t="str">
        <f>IF(A323&lt;&gt;"",SUM(B323:C323),"")</f>
        <v/>
      </c>
      <c r="E323" s="2" t="str">
        <f>IF(A323&lt;&gt;"",('TP1'!E1*'TP1'!D323)/'TP1'!D1, "")</f>
        <v/>
      </c>
    </row>
    <row r="324" spans="4:5" x14ac:dyDescent="0.3">
      <c r="D324" s="2" t="str">
        <f>IF(A324&lt;&gt;"",SUM(B324:C324),"")</f>
        <v/>
      </c>
      <c r="E324" s="2" t="str">
        <f>IF(A324&lt;&gt;"",('TP1'!E1*'TP1'!D324)/'TP1'!D1, "")</f>
        <v/>
      </c>
    </row>
    <row r="325" spans="4:5" x14ac:dyDescent="0.3">
      <c r="D325" s="2" t="str">
        <f>IF(A325&lt;&gt;"",SUM(B325:C325),"")</f>
        <v/>
      </c>
      <c r="E325" s="2" t="str">
        <f>IF(A325&lt;&gt;"",('TP1'!E1*'TP1'!D325)/'TP1'!D1, "")</f>
        <v/>
      </c>
    </row>
    <row r="326" spans="4:5" x14ac:dyDescent="0.3">
      <c r="D326" s="2" t="str">
        <f>IF(A326&lt;&gt;"",SUM(B326:C326),"")</f>
        <v/>
      </c>
      <c r="E326" s="2" t="str">
        <f>IF(A326&lt;&gt;"",('TP1'!E1*'TP1'!D326)/'TP1'!D1, "")</f>
        <v/>
      </c>
    </row>
    <row r="327" spans="4:5" x14ac:dyDescent="0.3">
      <c r="D327" s="2" t="str">
        <f>IF(A327&lt;&gt;"",SUM(B327:C327),"")</f>
        <v/>
      </c>
      <c r="E327" s="2" t="str">
        <f>IF(A327&lt;&gt;"",('TP1'!E1*'TP1'!D327)/'TP1'!D1, "")</f>
        <v/>
      </c>
    </row>
    <row r="328" spans="4:5" x14ac:dyDescent="0.3">
      <c r="D328" s="2" t="str">
        <f>IF(A328&lt;&gt;"",SUM(B328:C328),"")</f>
        <v/>
      </c>
      <c r="E328" s="2" t="str">
        <f>IF(A328&lt;&gt;"",('TP1'!E1*'TP1'!D328)/'TP1'!D1, "")</f>
        <v/>
      </c>
    </row>
    <row r="329" spans="4:5" x14ac:dyDescent="0.3">
      <c r="D329" s="2" t="str">
        <f>IF(A329&lt;&gt;"",SUM(B329:C329),"")</f>
        <v/>
      </c>
      <c r="E329" s="2" t="str">
        <f>IF(A329&lt;&gt;"",('TP1'!E1*'TP1'!D329)/'TP1'!D1, "")</f>
        <v/>
      </c>
    </row>
    <row r="330" spans="4:5" x14ac:dyDescent="0.3">
      <c r="D330" s="2" t="str">
        <f>IF(A330&lt;&gt;"",SUM(B330:C330),"")</f>
        <v/>
      </c>
      <c r="E330" s="2" t="str">
        <f>IF(A330&lt;&gt;"",('TP1'!E1*'TP1'!D330)/'TP1'!D1, "")</f>
        <v/>
      </c>
    </row>
    <row r="331" spans="4:5" x14ac:dyDescent="0.3">
      <c r="D331" s="2" t="str">
        <f>IF(A331&lt;&gt;"",SUM(B331:C331),"")</f>
        <v/>
      </c>
      <c r="E331" s="2" t="str">
        <f>IF(A331&lt;&gt;"",('TP1'!E1*'TP1'!D331)/'TP1'!D1, "")</f>
        <v/>
      </c>
    </row>
    <row r="332" spans="4:5" x14ac:dyDescent="0.3">
      <c r="D332" s="2" t="str">
        <f>IF(A332&lt;&gt;"",SUM(B332:C332),"")</f>
        <v/>
      </c>
      <c r="E332" s="2" t="str">
        <f>IF(A332&lt;&gt;"",('TP1'!E1*'TP1'!D332)/'TP1'!D1, "")</f>
        <v/>
      </c>
    </row>
    <row r="333" spans="4:5" x14ac:dyDescent="0.3">
      <c r="D333" s="2" t="str">
        <f>IF(A333&lt;&gt;"",SUM(B333:C333),"")</f>
        <v/>
      </c>
      <c r="E333" s="2" t="str">
        <f>IF(A333&lt;&gt;"",('TP1'!E1*'TP1'!D333)/'TP1'!D1, "")</f>
        <v/>
      </c>
    </row>
    <row r="334" spans="4:5" x14ac:dyDescent="0.3">
      <c r="D334" s="2" t="str">
        <f>IF(A334&lt;&gt;"",SUM(B334:C334),"")</f>
        <v/>
      </c>
      <c r="E334" s="2" t="str">
        <f>IF(A334&lt;&gt;"",('TP1'!E1*'TP1'!D334)/'TP1'!D1, "")</f>
        <v/>
      </c>
    </row>
    <row r="335" spans="4:5" x14ac:dyDescent="0.3">
      <c r="D335" s="2" t="str">
        <f>IF(A335&lt;&gt;"",SUM(B335:C335),"")</f>
        <v/>
      </c>
      <c r="E335" s="2" t="str">
        <f>IF(A335&lt;&gt;"",('TP1'!E1*'TP1'!D335)/'TP1'!D1, "")</f>
        <v/>
      </c>
    </row>
    <row r="336" spans="4:5" x14ac:dyDescent="0.3">
      <c r="D336" s="2" t="str">
        <f>IF(A336&lt;&gt;"",SUM(B336:C336),"")</f>
        <v/>
      </c>
      <c r="E336" s="2" t="str">
        <f>IF(A336&lt;&gt;"",('TP1'!E1*'TP1'!D336)/'TP1'!D1, "")</f>
        <v/>
      </c>
    </row>
    <row r="337" spans="4:5" x14ac:dyDescent="0.3">
      <c r="D337" s="2" t="str">
        <f>IF(A337&lt;&gt;"",SUM(B337:C337),"")</f>
        <v/>
      </c>
      <c r="E337" s="2" t="str">
        <f>IF(A337&lt;&gt;"",('TP1'!E1*'TP1'!D337)/'TP1'!D1, "")</f>
        <v/>
      </c>
    </row>
    <row r="338" spans="4:5" x14ac:dyDescent="0.3">
      <c r="D338" s="2" t="str">
        <f>IF(A338&lt;&gt;"",SUM(B338:C338),"")</f>
        <v/>
      </c>
      <c r="E338" s="2" t="str">
        <f>IF(A338&lt;&gt;"",('TP1'!E1*'TP1'!D338)/'TP1'!D1, "")</f>
        <v/>
      </c>
    </row>
    <row r="339" spans="4:5" x14ac:dyDescent="0.3">
      <c r="D339" s="2" t="str">
        <f>IF(A339&lt;&gt;"",SUM(B339:C339),"")</f>
        <v/>
      </c>
      <c r="E339" s="2" t="str">
        <f>IF(A339&lt;&gt;"",('TP1'!E1*'TP1'!D339)/'TP1'!D1, "")</f>
        <v/>
      </c>
    </row>
    <row r="340" spans="4:5" x14ac:dyDescent="0.3">
      <c r="D340" s="2" t="str">
        <f>IF(A340&lt;&gt;"",SUM(B340:C340),"")</f>
        <v/>
      </c>
      <c r="E340" s="2" t="str">
        <f>IF(A340&lt;&gt;"",('TP1'!E1*'TP1'!D340)/'TP1'!D1, "")</f>
        <v/>
      </c>
    </row>
    <row r="341" spans="4:5" x14ac:dyDescent="0.3">
      <c r="D341" s="2" t="str">
        <f>IF(A341&lt;&gt;"",SUM(B341:C341),"")</f>
        <v/>
      </c>
      <c r="E341" s="2" t="str">
        <f>IF(A341&lt;&gt;"",('TP1'!E1*'TP1'!D341)/'TP1'!D1, "")</f>
        <v/>
      </c>
    </row>
    <row r="342" spans="4:5" x14ac:dyDescent="0.3">
      <c r="D342" s="2" t="str">
        <f>IF(A342&lt;&gt;"",SUM(B342:C342),"")</f>
        <v/>
      </c>
      <c r="E342" s="2" t="str">
        <f>IF(A342&lt;&gt;"",('TP1'!E1*'TP1'!D342)/'TP1'!D1, "")</f>
        <v/>
      </c>
    </row>
    <row r="343" spans="4:5" x14ac:dyDescent="0.3">
      <c r="D343" s="2" t="str">
        <f>IF(A343&lt;&gt;"",SUM(B343:C343),"")</f>
        <v/>
      </c>
      <c r="E343" s="2" t="str">
        <f>IF(A343&lt;&gt;"",('TP1'!E1*'TP1'!D343)/'TP1'!D1, "")</f>
        <v/>
      </c>
    </row>
    <row r="344" spans="4:5" x14ac:dyDescent="0.3">
      <c r="D344" s="2" t="str">
        <f>IF(A344&lt;&gt;"",SUM(B344:C344),"")</f>
        <v/>
      </c>
      <c r="E344" s="2" t="str">
        <f>IF(A344&lt;&gt;"",('TP1'!E1*'TP1'!D344)/'TP1'!D1, "")</f>
        <v/>
      </c>
    </row>
    <row r="345" spans="4:5" x14ac:dyDescent="0.3">
      <c r="D345" s="2" t="str">
        <f>IF(A345&lt;&gt;"",SUM(B345:C345),"")</f>
        <v/>
      </c>
      <c r="E345" s="2" t="str">
        <f>IF(A345&lt;&gt;"",('TP1'!E1*'TP1'!D345)/'TP1'!D1, "")</f>
        <v/>
      </c>
    </row>
    <row r="346" spans="4:5" x14ac:dyDescent="0.3">
      <c r="D346" s="2" t="str">
        <f>IF(A346&lt;&gt;"",SUM(B346:C346),"")</f>
        <v/>
      </c>
      <c r="E346" s="2" t="str">
        <f>IF(A346&lt;&gt;"",('TP1'!E1*'TP1'!D346)/'TP1'!D1, "")</f>
        <v/>
      </c>
    </row>
    <row r="347" spans="4:5" x14ac:dyDescent="0.3">
      <c r="D347" s="2" t="str">
        <f>IF(A347&lt;&gt;"",SUM(B347:C347),"")</f>
        <v/>
      </c>
      <c r="E347" s="2" t="str">
        <f>IF(A347&lt;&gt;"",('TP1'!E1*'TP1'!D347)/'TP1'!D1, "")</f>
        <v/>
      </c>
    </row>
    <row r="348" spans="4:5" x14ac:dyDescent="0.3">
      <c r="D348" s="2" t="str">
        <f>IF(A348&lt;&gt;"",SUM(B348:C348),"")</f>
        <v/>
      </c>
      <c r="E348" s="2" t="str">
        <f>IF(A348&lt;&gt;"",('TP1'!E1*'TP1'!D348)/'TP1'!D1, "")</f>
        <v/>
      </c>
    </row>
    <row r="349" spans="4:5" x14ac:dyDescent="0.3">
      <c r="D349" s="2" t="str">
        <f>IF(A349&lt;&gt;"",SUM(B349:C349),"")</f>
        <v/>
      </c>
      <c r="E349" s="2" t="str">
        <f>IF(A349&lt;&gt;"",('TP1'!E1*'TP1'!D349)/'TP1'!D1, "")</f>
        <v/>
      </c>
    </row>
    <row r="350" spans="4:5" x14ac:dyDescent="0.3">
      <c r="D350" s="2" t="str">
        <f>IF(A350&lt;&gt;"",SUM(B350:C350),"")</f>
        <v/>
      </c>
      <c r="E350" s="2" t="str">
        <f>IF(A350&lt;&gt;"",('TP1'!E1*'TP1'!D350)/'TP1'!D1, "")</f>
        <v/>
      </c>
    </row>
    <row r="351" spans="4:5" x14ac:dyDescent="0.3">
      <c r="D351" s="2" t="str">
        <f>IF(A351&lt;&gt;"",SUM(B351:C351),"")</f>
        <v/>
      </c>
      <c r="E351" s="2" t="str">
        <f>IF(A351&lt;&gt;"",('TP1'!E1*'TP1'!D351)/'TP1'!D1, "")</f>
        <v/>
      </c>
    </row>
    <row r="352" spans="4:5" x14ac:dyDescent="0.3">
      <c r="D352" s="2" t="str">
        <f>IF(A352&lt;&gt;"",SUM(B352:C352),"")</f>
        <v/>
      </c>
      <c r="E352" s="2" t="str">
        <f>IF(A352&lt;&gt;"",('TP1'!E1*'TP1'!D352)/'TP1'!D1, "")</f>
        <v/>
      </c>
    </row>
    <row r="353" spans="4:5" x14ac:dyDescent="0.3">
      <c r="D353" s="2" t="str">
        <f>IF(A353&lt;&gt;"",SUM(B353:C353),"")</f>
        <v/>
      </c>
      <c r="E353" s="2" t="str">
        <f>IF(A353&lt;&gt;"",('TP1'!E1*'TP1'!D353)/'TP1'!D1, "")</f>
        <v/>
      </c>
    </row>
    <row r="354" spans="4:5" x14ac:dyDescent="0.3">
      <c r="D354" s="2" t="str">
        <f>IF(A354&lt;&gt;"",SUM(B354:C354),"")</f>
        <v/>
      </c>
      <c r="E354" s="2" t="str">
        <f>IF(A354&lt;&gt;"",('TP1'!E1*'TP1'!D354)/'TP1'!D1, "")</f>
        <v/>
      </c>
    </row>
    <row r="355" spans="4:5" x14ac:dyDescent="0.3">
      <c r="D355" s="2" t="str">
        <f>IF(A355&lt;&gt;"",SUM(B355:C355),"")</f>
        <v/>
      </c>
      <c r="E355" s="2" t="str">
        <f>IF(A355&lt;&gt;"",('TP1'!E1*'TP1'!D355)/'TP1'!D1, "")</f>
        <v/>
      </c>
    </row>
    <row r="356" spans="4:5" x14ac:dyDescent="0.3">
      <c r="D356" s="2" t="str">
        <f>IF(A356&lt;&gt;"",SUM(B356:C356),"")</f>
        <v/>
      </c>
      <c r="E356" s="2" t="str">
        <f>IF(A356&lt;&gt;"",('TP1'!E1*'TP1'!D356)/'TP1'!D1, "")</f>
        <v/>
      </c>
    </row>
    <row r="357" spans="4:5" x14ac:dyDescent="0.3">
      <c r="D357" s="2" t="str">
        <f>IF(A357&lt;&gt;"",SUM(B357:C357),"")</f>
        <v/>
      </c>
      <c r="E357" s="2" t="str">
        <f>IF(A357&lt;&gt;"",('TP1'!E1*'TP1'!D357)/'TP1'!D1, "")</f>
        <v/>
      </c>
    </row>
    <row r="358" spans="4:5" x14ac:dyDescent="0.3">
      <c r="D358" s="2" t="str">
        <f>IF(A358&lt;&gt;"",SUM(B358:C358),"")</f>
        <v/>
      </c>
      <c r="E358" s="2" t="str">
        <f>IF(A358&lt;&gt;"",('TP1'!E1*'TP1'!D358)/'TP1'!D1, "")</f>
        <v/>
      </c>
    </row>
    <row r="359" spans="4:5" x14ac:dyDescent="0.3">
      <c r="D359" s="2" t="str">
        <f>IF(A359&lt;&gt;"",SUM(B359:C359),"")</f>
        <v/>
      </c>
      <c r="E359" s="2" t="str">
        <f>IF(A359&lt;&gt;"",('TP1'!E1*'TP1'!D359)/'TP1'!D1, "")</f>
        <v/>
      </c>
    </row>
    <row r="360" spans="4:5" x14ac:dyDescent="0.3">
      <c r="D360" s="2" t="str">
        <f>IF(A360&lt;&gt;"",SUM(B360:C360),"")</f>
        <v/>
      </c>
      <c r="E360" s="2" t="str">
        <f>IF(A360&lt;&gt;"",('TP1'!E1*'TP1'!D360)/'TP1'!D1, "")</f>
        <v/>
      </c>
    </row>
    <row r="361" spans="4:5" x14ac:dyDescent="0.3">
      <c r="D361" s="2" t="str">
        <f>IF(A361&lt;&gt;"",SUM(B361:C361),"")</f>
        <v/>
      </c>
      <c r="E361" s="2" t="str">
        <f>IF(A361&lt;&gt;"",('TP1'!E1*'TP1'!D361)/'TP1'!D1, "")</f>
        <v/>
      </c>
    </row>
    <row r="362" spans="4:5" x14ac:dyDescent="0.3">
      <c r="D362" s="2" t="str">
        <f>IF(A362&lt;&gt;"",SUM(B362:C362),"")</f>
        <v/>
      </c>
      <c r="E362" s="2" t="str">
        <f>IF(A362&lt;&gt;"",('TP1'!E1*'TP1'!D362)/'TP1'!D1, "")</f>
        <v/>
      </c>
    </row>
    <row r="363" spans="4:5" x14ac:dyDescent="0.3">
      <c r="D363" s="2" t="str">
        <f>IF(A363&lt;&gt;"",SUM(B363:C363),"")</f>
        <v/>
      </c>
      <c r="E363" s="2" t="str">
        <f>IF(A363&lt;&gt;"",('TP1'!E1*'TP1'!D363)/'TP1'!D1, "")</f>
        <v/>
      </c>
    </row>
    <row r="364" spans="4:5" x14ac:dyDescent="0.3">
      <c r="D364" s="2" t="str">
        <f>IF(A364&lt;&gt;"",SUM(B364:C364),"")</f>
        <v/>
      </c>
      <c r="E364" s="2" t="str">
        <f>IF(A364&lt;&gt;"",('TP1'!E1*'TP1'!D364)/'TP1'!D1, "")</f>
        <v/>
      </c>
    </row>
    <row r="365" spans="4:5" x14ac:dyDescent="0.3">
      <c r="D365" s="2" t="str">
        <f>IF(A365&lt;&gt;"",SUM(B365:C365),"")</f>
        <v/>
      </c>
      <c r="E365" s="2" t="str">
        <f>IF(A365&lt;&gt;"",('TP1'!E1*'TP1'!D365)/'TP1'!D1, "")</f>
        <v/>
      </c>
    </row>
    <row r="366" spans="4:5" x14ac:dyDescent="0.3">
      <c r="D366" s="2" t="str">
        <f>IF(A366&lt;&gt;"",SUM(B366:C366),"")</f>
        <v/>
      </c>
      <c r="E366" s="2" t="str">
        <f>IF(A366&lt;&gt;"",('TP1'!E1*'TP1'!D366)/'TP1'!D1, "")</f>
        <v/>
      </c>
    </row>
    <row r="367" spans="4:5" x14ac:dyDescent="0.3">
      <c r="D367" s="2" t="str">
        <f>IF(A367&lt;&gt;"",SUM(B367:C367),"")</f>
        <v/>
      </c>
      <c r="E367" s="2" t="str">
        <f>IF(A367&lt;&gt;"",('TP1'!E1*'TP1'!D367)/'TP1'!D1, "")</f>
        <v/>
      </c>
    </row>
    <row r="368" spans="4:5" x14ac:dyDescent="0.3">
      <c r="D368" s="2" t="str">
        <f>IF(A368&lt;&gt;"",SUM(B368:C368),"")</f>
        <v/>
      </c>
      <c r="E368" s="2" t="str">
        <f>IF(A368&lt;&gt;"",('TP1'!E1*'TP1'!D368)/'TP1'!D1, "")</f>
        <v/>
      </c>
    </row>
    <row r="369" spans="4:5" x14ac:dyDescent="0.3">
      <c r="D369" s="2" t="str">
        <f>IF(A369&lt;&gt;"",SUM(B369:C369),"")</f>
        <v/>
      </c>
      <c r="E369" s="2" t="str">
        <f>IF(A369&lt;&gt;"",('TP1'!E1*'TP1'!D369)/'TP1'!D1, "")</f>
        <v/>
      </c>
    </row>
    <row r="370" spans="4:5" x14ac:dyDescent="0.3">
      <c r="D370" s="2" t="str">
        <f>IF(A370&lt;&gt;"",SUM(B370:C370),"")</f>
        <v/>
      </c>
      <c r="E370" s="2" t="str">
        <f>IF(A370&lt;&gt;"",('TP1'!E1*'TP1'!D370)/'TP1'!D1, "")</f>
        <v/>
      </c>
    </row>
    <row r="371" spans="4:5" x14ac:dyDescent="0.3">
      <c r="D371" s="2" t="str">
        <f>IF(A371&lt;&gt;"",SUM(B371:C371),"")</f>
        <v/>
      </c>
      <c r="E371" s="2" t="str">
        <f>IF(A371&lt;&gt;"",('TP1'!E1*'TP1'!D371)/'TP1'!D1, "")</f>
        <v/>
      </c>
    </row>
    <row r="372" spans="4:5" x14ac:dyDescent="0.3">
      <c r="D372" s="2" t="str">
        <f>IF(A372&lt;&gt;"",SUM(B372:C372),"")</f>
        <v/>
      </c>
      <c r="E372" s="2" t="str">
        <f>IF(A372&lt;&gt;"",('TP1'!E1*'TP1'!D372)/'TP1'!D1, "")</f>
        <v/>
      </c>
    </row>
    <row r="373" spans="4:5" x14ac:dyDescent="0.3">
      <c r="D373" s="2" t="str">
        <f>IF(A373&lt;&gt;"",SUM(B373:C373),"")</f>
        <v/>
      </c>
      <c r="E373" s="2" t="str">
        <f>IF(A373&lt;&gt;"",('TP1'!E1*'TP1'!D373)/'TP1'!D1, "")</f>
        <v/>
      </c>
    </row>
    <row r="374" spans="4:5" x14ac:dyDescent="0.3">
      <c r="D374" s="2" t="str">
        <f>IF(A374&lt;&gt;"",SUM(B374:C374),"")</f>
        <v/>
      </c>
      <c r="E374" s="2" t="str">
        <f>IF(A374&lt;&gt;"",('TP1'!E1*'TP1'!D374)/'TP1'!D1, "")</f>
        <v/>
      </c>
    </row>
    <row r="375" spans="4:5" x14ac:dyDescent="0.3">
      <c r="D375" s="2" t="str">
        <f>IF(A375&lt;&gt;"",SUM(B375:C375),"")</f>
        <v/>
      </c>
      <c r="E375" s="2" t="str">
        <f>IF(A375&lt;&gt;"",('TP1'!E1*'TP1'!D375)/'TP1'!D1, "")</f>
        <v/>
      </c>
    </row>
    <row r="376" spans="4:5" x14ac:dyDescent="0.3">
      <c r="D376" s="2" t="str">
        <f>IF(A376&lt;&gt;"",SUM(B376:C376),"")</f>
        <v/>
      </c>
      <c r="E376" s="2" t="str">
        <f>IF(A376&lt;&gt;"",('TP1'!E1*'TP1'!D376)/'TP1'!D1, "")</f>
        <v/>
      </c>
    </row>
    <row r="377" spans="4:5" x14ac:dyDescent="0.3">
      <c r="D377" s="2" t="str">
        <f>IF(A377&lt;&gt;"",SUM(B377:C377),"")</f>
        <v/>
      </c>
      <c r="E377" s="2" t="str">
        <f>IF(A377&lt;&gt;"",('TP1'!E1*'TP1'!D377)/'TP1'!D1, "")</f>
        <v/>
      </c>
    </row>
    <row r="378" spans="4:5" x14ac:dyDescent="0.3">
      <c r="D378" s="2" t="str">
        <f>IF(A378&lt;&gt;"",SUM(B378:C378),"")</f>
        <v/>
      </c>
      <c r="E378" s="2" t="str">
        <f>IF(A378&lt;&gt;"",('TP1'!E1*'TP1'!D378)/'TP1'!D1, "")</f>
        <v/>
      </c>
    </row>
    <row r="379" spans="4:5" x14ac:dyDescent="0.3">
      <c r="D379" s="2" t="str">
        <f>IF(A379&lt;&gt;"",SUM(B379:C379),"")</f>
        <v/>
      </c>
      <c r="E379" s="2" t="str">
        <f>IF(A379&lt;&gt;"",('TP1'!E1*'TP1'!D379)/'TP1'!D1, "")</f>
        <v/>
      </c>
    </row>
    <row r="380" spans="4:5" x14ac:dyDescent="0.3">
      <c r="D380" s="2" t="str">
        <f>IF(A380&lt;&gt;"",SUM(B380:C380),"")</f>
        <v/>
      </c>
      <c r="E380" s="2" t="str">
        <f>IF(A380&lt;&gt;"",('TP1'!E1*'TP1'!D380)/'TP1'!D1, "")</f>
        <v/>
      </c>
    </row>
    <row r="381" spans="4:5" x14ac:dyDescent="0.3">
      <c r="D381" s="2" t="str">
        <f>IF(A381&lt;&gt;"",SUM(B381:C381),"")</f>
        <v/>
      </c>
      <c r="E381" s="2" t="str">
        <f>IF(A381&lt;&gt;"",('TP1'!E1*'TP1'!D381)/'TP1'!D1, "")</f>
        <v/>
      </c>
    </row>
    <row r="382" spans="4:5" x14ac:dyDescent="0.3">
      <c r="D382" s="2" t="str">
        <f>IF(A382&lt;&gt;"",SUM(B382:C382),"")</f>
        <v/>
      </c>
      <c r="E382" s="2" t="str">
        <f>IF(A382&lt;&gt;"",('TP1'!E1*'TP1'!D382)/'TP1'!D1, "")</f>
        <v/>
      </c>
    </row>
    <row r="383" spans="4:5" x14ac:dyDescent="0.3">
      <c r="D383" s="2" t="str">
        <f>IF(A383&lt;&gt;"",SUM(B383:C383),"")</f>
        <v/>
      </c>
      <c r="E383" s="2" t="str">
        <f>IF(A383&lt;&gt;"",('TP1'!E1*'TP1'!D383)/'TP1'!D1, "")</f>
        <v/>
      </c>
    </row>
    <row r="384" spans="4:5" x14ac:dyDescent="0.3">
      <c r="D384" s="2" t="str">
        <f>IF(A384&lt;&gt;"",SUM(B384:C384),"")</f>
        <v/>
      </c>
      <c r="E384" s="2" t="str">
        <f>IF(A384&lt;&gt;"",('TP1'!E1*'TP1'!D384)/'TP1'!D1, "")</f>
        <v/>
      </c>
    </row>
    <row r="385" spans="4:5" x14ac:dyDescent="0.3">
      <c r="D385" s="2" t="str">
        <f>IF(A385&lt;&gt;"",SUM(B385:C385),"")</f>
        <v/>
      </c>
      <c r="E385" s="2" t="str">
        <f>IF(A385&lt;&gt;"",('TP1'!E1*'TP1'!D385)/'TP1'!D1, "")</f>
        <v/>
      </c>
    </row>
    <row r="386" spans="4:5" x14ac:dyDescent="0.3">
      <c r="D386" s="2" t="str">
        <f>IF(A386&lt;&gt;"",SUM(B386:C386),"")</f>
        <v/>
      </c>
      <c r="E386" s="2" t="str">
        <f>IF(A386&lt;&gt;"",('TP1'!E1*'TP1'!D386)/'TP1'!D1, "")</f>
        <v/>
      </c>
    </row>
    <row r="387" spans="4:5" x14ac:dyDescent="0.3">
      <c r="D387" s="2" t="str">
        <f>IF(A387&lt;&gt;"",SUM(B387:C387),"")</f>
        <v/>
      </c>
      <c r="E387" s="2" t="str">
        <f>IF(A387&lt;&gt;"",('TP1'!E1*'TP1'!D387)/'TP1'!D1, "")</f>
        <v/>
      </c>
    </row>
    <row r="388" spans="4:5" x14ac:dyDescent="0.3">
      <c r="D388" s="2" t="str">
        <f>IF(A388&lt;&gt;"",SUM(B388:C388),"")</f>
        <v/>
      </c>
      <c r="E388" s="2" t="str">
        <f>IF(A388&lt;&gt;"",('TP1'!E1*'TP1'!D388)/'TP1'!D1, "")</f>
        <v/>
      </c>
    </row>
    <row r="389" spans="4:5" x14ac:dyDescent="0.3">
      <c r="D389" s="2" t="str">
        <f>IF(A389&lt;&gt;"",SUM(B389:C389),"")</f>
        <v/>
      </c>
      <c r="E389" s="2" t="str">
        <f>IF(A389&lt;&gt;"",('TP1'!E1*'TP1'!D389)/'TP1'!D1, "")</f>
        <v/>
      </c>
    </row>
    <row r="390" spans="4:5" x14ac:dyDescent="0.3">
      <c r="D390" s="2" t="str">
        <f>IF(A390&lt;&gt;"",SUM(B390:C390),"")</f>
        <v/>
      </c>
      <c r="E390" s="2" t="str">
        <f>IF(A390&lt;&gt;"",('TP1'!E1*'TP1'!D390)/'TP1'!D1, "")</f>
        <v/>
      </c>
    </row>
    <row r="391" spans="4:5" x14ac:dyDescent="0.3">
      <c r="D391" s="2" t="str">
        <f>IF(A391&lt;&gt;"",SUM(B391:C391),"")</f>
        <v/>
      </c>
      <c r="E391" s="2" t="str">
        <f>IF(A391&lt;&gt;"",('TP1'!E1*'TP1'!D391)/'TP1'!D1, "")</f>
        <v/>
      </c>
    </row>
    <row r="392" spans="4:5" x14ac:dyDescent="0.3">
      <c r="D392" s="2" t="str">
        <f>IF(A392&lt;&gt;"",SUM(B392:C392),"")</f>
        <v/>
      </c>
      <c r="E392" s="2" t="str">
        <f>IF(A392&lt;&gt;"",('TP1'!E1*'TP1'!D392)/'TP1'!D1, "")</f>
        <v/>
      </c>
    </row>
    <row r="393" spans="4:5" x14ac:dyDescent="0.3">
      <c r="D393" s="2" t="str">
        <f>IF(A393&lt;&gt;"",SUM(B393:C393),"")</f>
        <v/>
      </c>
      <c r="E393" s="2" t="str">
        <f>IF(A393&lt;&gt;"",('TP1'!E1*'TP1'!D393)/'TP1'!D1, "")</f>
        <v/>
      </c>
    </row>
    <row r="394" spans="4:5" x14ac:dyDescent="0.3">
      <c r="D394" s="2" t="str">
        <f>IF(A394&lt;&gt;"",SUM(B394:C394),"")</f>
        <v/>
      </c>
      <c r="E394" s="2" t="str">
        <f>IF(A394&lt;&gt;"",('TP1'!E1*'TP1'!D394)/'TP1'!D1, "")</f>
        <v/>
      </c>
    </row>
    <row r="395" spans="4:5" x14ac:dyDescent="0.3">
      <c r="D395" s="2" t="str">
        <f>IF(A395&lt;&gt;"",SUM(B395:C395),"")</f>
        <v/>
      </c>
      <c r="E395" s="2" t="str">
        <f>IF(A395&lt;&gt;"",('TP1'!E1*'TP1'!D395)/'TP1'!D1, "")</f>
        <v/>
      </c>
    </row>
    <row r="396" spans="4:5" x14ac:dyDescent="0.3">
      <c r="D396" s="2" t="str">
        <f>IF(A396&lt;&gt;"",SUM(B396:C396),"")</f>
        <v/>
      </c>
      <c r="E396" s="2" t="str">
        <f>IF(A396&lt;&gt;"",('TP1'!E1*'TP1'!D396)/'TP1'!D1, "")</f>
        <v/>
      </c>
    </row>
    <row r="397" spans="4:5" x14ac:dyDescent="0.3">
      <c r="D397" s="2" t="str">
        <f>IF(A397&lt;&gt;"",SUM(B397:C397),"")</f>
        <v/>
      </c>
      <c r="E397" s="2" t="str">
        <f>IF(A397&lt;&gt;"",('TP1'!E1*'TP1'!D397)/'TP1'!D1, "")</f>
        <v/>
      </c>
    </row>
    <row r="398" spans="4:5" x14ac:dyDescent="0.3">
      <c r="D398" s="2" t="str">
        <f>IF(A398&lt;&gt;"",SUM(B398:C398),"")</f>
        <v/>
      </c>
      <c r="E398" s="2" t="str">
        <f>IF(A398&lt;&gt;"",('TP1'!E1*'TP1'!D398)/'TP1'!D1, "")</f>
        <v/>
      </c>
    </row>
    <row r="399" spans="4:5" x14ac:dyDescent="0.3">
      <c r="D399" s="2" t="str">
        <f>IF(A399&lt;&gt;"",SUM(B399:C399),"")</f>
        <v/>
      </c>
      <c r="E399" s="2" t="str">
        <f>IF(A399&lt;&gt;"",('TP1'!E1*'TP1'!D399)/'TP1'!D1, "")</f>
        <v/>
      </c>
    </row>
    <row r="400" spans="4:5" x14ac:dyDescent="0.3">
      <c r="D400" s="2" t="str">
        <f>IF(A400&lt;&gt;"",SUM(B400:C400),"")</f>
        <v/>
      </c>
      <c r="E400" s="2" t="str">
        <f>IF(A400&lt;&gt;"",('TP1'!E1*'TP1'!D400)/'TP1'!D1, "")</f>
        <v/>
      </c>
    </row>
    <row r="401" spans="4:5" x14ac:dyDescent="0.3">
      <c r="D401" s="2" t="str">
        <f>IF(A401&lt;&gt;"",SUM(B401:C401),"")</f>
        <v/>
      </c>
      <c r="E401" s="2" t="str">
        <f>IF(A401&lt;&gt;"",('TP1'!E1*'TP1'!D401)/'TP1'!D1, "")</f>
        <v/>
      </c>
    </row>
    <row r="402" spans="4:5" x14ac:dyDescent="0.3">
      <c r="D402" s="2" t="str">
        <f>IF(A402&lt;&gt;"",SUM(B402:C402),"")</f>
        <v/>
      </c>
      <c r="E402" s="2" t="str">
        <f>IF(A402&lt;&gt;"",('TP1'!E1*'TP1'!D402)/'TP1'!D1, "")</f>
        <v/>
      </c>
    </row>
    <row r="403" spans="4:5" x14ac:dyDescent="0.3">
      <c r="D403" s="2" t="str">
        <f>IF(A403&lt;&gt;"",SUM(B403:C403),"")</f>
        <v/>
      </c>
      <c r="E403" s="2" t="str">
        <f>IF(A403&lt;&gt;"",('TP1'!E1*'TP1'!D403)/'TP1'!D1, "")</f>
        <v/>
      </c>
    </row>
    <row r="404" spans="4:5" x14ac:dyDescent="0.3">
      <c r="D404" s="2" t="str">
        <f>IF(A404&lt;&gt;"",SUM(B404:C404),"")</f>
        <v/>
      </c>
      <c r="E404" s="2" t="str">
        <f>IF(A404&lt;&gt;"",('TP1'!E1*'TP1'!D404)/'TP1'!D1, "")</f>
        <v/>
      </c>
    </row>
    <row r="405" spans="4:5" x14ac:dyDescent="0.3">
      <c r="D405" s="2" t="str">
        <f>IF(A405&lt;&gt;"",SUM(B405:C405),"")</f>
        <v/>
      </c>
      <c r="E405" s="2" t="str">
        <f>IF(A405&lt;&gt;"",('TP1'!E1*'TP1'!D405)/'TP1'!D1, "")</f>
        <v/>
      </c>
    </row>
    <row r="406" spans="4:5" x14ac:dyDescent="0.3">
      <c r="D406" s="2" t="str">
        <f>IF(A406&lt;&gt;"",SUM(B406:C406),"")</f>
        <v/>
      </c>
      <c r="E406" s="2" t="str">
        <f>IF(A406&lt;&gt;"",('TP1'!E1*'TP1'!D406)/'TP1'!D1, "")</f>
        <v/>
      </c>
    </row>
    <row r="407" spans="4:5" x14ac:dyDescent="0.3">
      <c r="D407" s="2" t="str">
        <f>IF(A407&lt;&gt;"",SUM(B407:C407),"")</f>
        <v/>
      </c>
      <c r="E407" s="2" t="str">
        <f>IF(A407&lt;&gt;"",('TP1'!E1*'TP1'!D407)/'TP1'!D1, "")</f>
        <v/>
      </c>
    </row>
    <row r="408" spans="4:5" x14ac:dyDescent="0.3">
      <c r="D408" s="2" t="str">
        <f>IF(A408&lt;&gt;"",SUM(B408:C408),"")</f>
        <v/>
      </c>
      <c r="E408" s="2" t="str">
        <f>IF(A408&lt;&gt;"",('TP1'!E1*'TP1'!D408)/'TP1'!D1, "")</f>
        <v/>
      </c>
    </row>
    <row r="409" spans="4:5" x14ac:dyDescent="0.3">
      <c r="D409" s="2" t="str">
        <f>IF(A409&lt;&gt;"",SUM(B409:C409),"")</f>
        <v/>
      </c>
      <c r="E409" s="2" t="str">
        <f>IF(A409&lt;&gt;"",('TP1'!E1*'TP1'!D409)/'TP1'!D1, "")</f>
        <v/>
      </c>
    </row>
    <row r="410" spans="4:5" x14ac:dyDescent="0.3">
      <c r="D410" s="2" t="str">
        <f>IF(A410&lt;&gt;"",SUM(B410:C410),"")</f>
        <v/>
      </c>
      <c r="E410" s="2" t="str">
        <f>IF(A410&lt;&gt;"",('TP1'!E1*'TP1'!D410)/'TP1'!D1, "")</f>
        <v/>
      </c>
    </row>
    <row r="411" spans="4:5" x14ac:dyDescent="0.3">
      <c r="D411" s="2" t="str">
        <f>IF(A411&lt;&gt;"",SUM(B411:C411),"")</f>
        <v/>
      </c>
      <c r="E411" s="2" t="str">
        <f>IF(A411&lt;&gt;"",('TP1'!E1*'TP1'!D411)/'TP1'!D1, "")</f>
        <v/>
      </c>
    </row>
    <row r="412" spans="4:5" x14ac:dyDescent="0.3">
      <c r="D412" s="2" t="str">
        <f>IF(A412&lt;&gt;"",SUM(B412:C412),"")</f>
        <v/>
      </c>
      <c r="E412" s="2" t="str">
        <f>IF(A412&lt;&gt;"",('TP1'!E1*'TP1'!D412)/'TP1'!D1, "")</f>
        <v/>
      </c>
    </row>
    <row r="413" spans="4:5" x14ac:dyDescent="0.3">
      <c r="D413" s="2" t="str">
        <f>IF(A413&lt;&gt;"",SUM(B413:C413),"")</f>
        <v/>
      </c>
      <c r="E413" s="2" t="str">
        <f>IF(A413&lt;&gt;"",('TP1'!E1*'TP1'!D413)/'TP1'!D1, "")</f>
        <v/>
      </c>
    </row>
    <row r="414" spans="4:5" x14ac:dyDescent="0.3">
      <c r="D414" s="2" t="str">
        <f>IF(A414&lt;&gt;"",SUM(B414:C414),"")</f>
        <v/>
      </c>
      <c r="E414" s="2" t="str">
        <f>IF(A414&lt;&gt;"",('TP1'!E1*'TP1'!D414)/'TP1'!D1, "")</f>
        <v/>
      </c>
    </row>
    <row r="415" spans="4:5" x14ac:dyDescent="0.3">
      <c r="D415" s="2" t="str">
        <f>IF(A415&lt;&gt;"",SUM(B415:C415),"")</f>
        <v/>
      </c>
      <c r="E415" s="2" t="str">
        <f>IF(A415&lt;&gt;"",('TP1'!E1*'TP1'!D415)/'TP1'!D1, "")</f>
        <v/>
      </c>
    </row>
    <row r="416" spans="4:5" x14ac:dyDescent="0.3">
      <c r="D416" s="2" t="str">
        <f>IF(A416&lt;&gt;"",SUM(B416:C416),"")</f>
        <v/>
      </c>
      <c r="E416" s="2" t="str">
        <f>IF(A416&lt;&gt;"",('TP1'!E1*'TP1'!D416)/'TP1'!D1, "")</f>
        <v/>
      </c>
    </row>
    <row r="417" spans="4:5" x14ac:dyDescent="0.3">
      <c r="D417" s="2" t="str">
        <f>IF(A417&lt;&gt;"",SUM(B417:C417),"")</f>
        <v/>
      </c>
      <c r="E417" s="2" t="str">
        <f>IF(A417&lt;&gt;"",('TP1'!E1*'TP1'!D417)/'TP1'!D1, "")</f>
        <v/>
      </c>
    </row>
    <row r="418" spans="4:5" x14ac:dyDescent="0.3">
      <c r="D418" s="2" t="str">
        <f>IF(A418&lt;&gt;"",SUM(B418:C418),"")</f>
        <v/>
      </c>
      <c r="E418" s="2" t="str">
        <f>IF(A418&lt;&gt;"",('TP1'!E1*'TP1'!D418)/'TP1'!D1, "")</f>
        <v/>
      </c>
    </row>
    <row r="419" spans="4:5" x14ac:dyDescent="0.3">
      <c r="D419" s="2" t="str">
        <f>IF(A419&lt;&gt;"",SUM(B419:C419),"")</f>
        <v/>
      </c>
      <c r="E419" s="2" t="str">
        <f>IF(A419&lt;&gt;"",('TP1'!E1*'TP1'!D419)/'TP1'!D1, "")</f>
        <v/>
      </c>
    </row>
    <row r="420" spans="4:5" x14ac:dyDescent="0.3">
      <c r="D420" s="2" t="str">
        <f>IF(A420&lt;&gt;"",SUM(B420:C420),"")</f>
        <v/>
      </c>
      <c r="E420" s="2" t="str">
        <f>IF(A420&lt;&gt;"",('TP1'!E1*'TP1'!D420)/'TP1'!D1, "")</f>
        <v/>
      </c>
    </row>
    <row r="421" spans="4:5" x14ac:dyDescent="0.3">
      <c r="D421" s="2" t="str">
        <f>IF(A421&lt;&gt;"",SUM(B421:C421),"")</f>
        <v/>
      </c>
      <c r="E421" s="2" t="str">
        <f>IF(A421&lt;&gt;"",('TP1'!E1*'TP1'!D421)/'TP1'!D1, "")</f>
        <v/>
      </c>
    </row>
    <row r="422" spans="4:5" x14ac:dyDescent="0.3">
      <c r="D422" s="2" t="str">
        <f>IF(A422&lt;&gt;"",SUM(B422:C422),"")</f>
        <v/>
      </c>
      <c r="E422" s="2" t="str">
        <f>IF(A422&lt;&gt;"",('TP1'!E1*'TP1'!D422)/'TP1'!D1, "")</f>
        <v/>
      </c>
    </row>
    <row r="423" spans="4:5" x14ac:dyDescent="0.3">
      <c r="D423" s="2" t="str">
        <f>IF(A423&lt;&gt;"",SUM(B423:C423),"")</f>
        <v/>
      </c>
      <c r="E423" s="2" t="str">
        <f>IF(A423&lt;&gt;"",('TP1'!E1*'TP1'!D423)/'TP1'!D1, "")</f>
        <v/>
      </c>
    </row>
    <row r="424" spans="4:5" x14ac:dyDescent="0.3">
      <c r="D424" s="2" t="str">
        <f>IF(A424&lt;&gt;"",SUM(B424:C424),"")</f>
        <v/>
      </c>
      <c r="E424" s="2" t="str">
        <f>IF(A424&lt;&gt;"",('TP1'!E1*'TP1'!D424)/'TP1'!D1, "")</f>
        <v/>
      </c>
    </row>
    <row r="425" spans="4:5" x14ac:dyDescent="0.3">
      <c r="D425" s="2" t="str">
        <f>IF(A425&lt;&gt;"",SUM(B425:C425),"")</f>
        <v/>
      </c>
      <c r="E425" s="2" t="str">
        <f>IF(A425&lt;&gt;"",('TP1'!E1*'TP1'!D425)/'TP1'!D1, "")</f>
        <v/>
      </c>
    </row>
    <row r="426" spans="4:5" x14ac:dyDescent="0.3">
      <c r="D426" s="2" t="str">
        <f>IF(A426&lt;&gt;"",SUM(B426:C426),"")</f>
        <v/>
      </c>
      <c r="E426" s="2" t="str">
        <f>IF(A426&lt;&gt;"",('TP1'!E1*'TP1'!D426)/'TP1'!D1, "")</f>
        <v/>
      </c>
    </row>
    <row r="427" spans="4:5" x14ac:dyDescent="0.3">
      <c r="D427" s="2" t="str">
        <f>IF(A427&lt;&gt;"",SUM(B427:C427),"")</f>
        <v/>
      </c>
      <c r="E427" s="2" t="str">
        <f>IF(A427&lt;&gt;"",('TP1'!E1*'TP1'!D427)/'TP1'!D1, "")</f>
        <v/>
      </c>
    </row>
    <row r="428" spans="4:5" x14ac:dyDescent="0.3">
      <c r="D428" s="2" t="str">
        <f>IF(A428&lt;&gt;"",SUM(B428:C428),"")</f>
        <v/>
      </c>
      <c r="E428" s="2" t="str">
        <f>IF(A428&lt;&gt;"",('TP1'!E1*'TP1'!D428)/'TP1'!D1, "")</f>
        <v/>
      </c>
    </row>
    <row r="429" spans="4:5" x14ac:dyDescent="0.3">
      <c r="D429" s="2" t="str">
        <f>IF(A429&lt;&gt;"",SUM(B429:C429),"")</f>
        <v/>
      </c>
      <c r="E429" s="2" t="str">
        <f>IF(A429&lt;&gt;"",('TP1'!E1*'TP1'!D429)/'TP1'!D1, "")</f>
        <v/>
      </c>
    </row>
    <row r="430" spans="4:5" x14ac:dyDescent="0.3">
      <c r="D430" s="2" t="str">
        <f>IF(A430&lt;&gt;"",SUM(B430:C430),"")</f>
        <v/>
      </c>
      <c r="E430" s="2" t="str">
        <f>IF(A430&lt;&gt;"",('TP1'!E1*'TP1'!D430)/'TP1'!D1, "")</f>
        <v/>
      </c>
    </row>
    <row r="431" spans="4:5" x14ac:dyDescent="0.3">
      <c r="D431" s="2" t="str">
        <f>IF(A431&lt;&gt;"",SUM(B431:C431),"")</f>
        <v/>
      </c>
      <c r="E431" s="2" t="str">
        <f>IF(A431&lt;&gt;"",('TP1'!E1*'TP1'!D431)/'TP1'!D1, "")</f>
        <v/>
      </c>
    </row>
    <row r="432" spans="4:5" x14ac:dyDescent="0.3">
      <c r="D432" s="2" t="str">
        <f>IF(A432&lt;&gt;"",SUM(B432:C432),"")</f>
        <v/>
      </c>
      <c r="E432" s="2" t="str">
        <f>IF(A432&lt;&gt;"",('TP1'!E1*'TP1'!D432)/'TP1'!D1, "")</f>
        <v/>
      </c>
    </row>
    <row r="433" spans="4:5" x14ac:dyDescent="0.3">
      <c r="D433" s="2" t="str">
        <f>IF(A433&lt;&gt;"",SUM(B433:C433),"")</f>
        <v/>
      </c>
      <c r="E433" s="2" t="str">
        <f>IF(A433&lt;&gt;"",('TP1'!E1*'TP1'!D433)/'TP1'!D1, "")</f>
        <v/>
      </c>
    </row>
    <row r="434" spans="4:5" x14ac:dyDescent="0.3">
      <c r="D434" s="2" t="str">
        <f>IF(A434&lt;&gt;"",SUM(B434:C434),"")</f>
        <v/>
      </c>
      <c r="E434" s="2" t="str">
        <f>IF(A434&lt;&gt;"",('TP1'!E1*'TP1'!D434)/'TP1'!D1, "")</f>
        <v/>
      </c>
    </row>
    <row r="435" spans="4:5" x14ac:dyDescent="0.3">
      <c r="D435" s="2" t="str">
        <f>IF(A435&lt;&gt;"",SUM(B435:C435),"")</f>
        <v/>
      </c>
      <c r="E435" s="2" t="str">
        <f>IF(A435&lt;&gt;"",('TP1'!E1*'TP1'!D435)/'TP1'!D1, "")</f>
        <v/>
      </c>
    </row>
    <row r="436" spans="4:5" x14ac:dyDescent="0.3">
      <c r="D436" s="2" t="str">
        <f>IF(A436&lt;&gt;"",SUM(B436:C436),"")</f>
        <v/>
      </c>
      <c r="E436" s="2" t="str">
        <f>IF(A436&lt;&gt;"",('TP1'!E1*'TP1'!D436)/'TP1'!D1, "")</f>
        <v/>
      </c>
    </row>
    <row r="437" spans="4:5" x14ac:dyDescent="0.3">
      <c r="D437" s="2" t="str">
        <f>IF(A437&lt;&gt;"",SUM(B437:C437),"")</f>
        <v/>
      </c>
      <c r="E437" s="2" t="str">
        <f>IF(A437&lt;&gt;"",('TP1'!E1*'TP1'!D437)/'TP1'!D1, "")</f>
        <v/>
      </c>
    </row>
    <row r="438" spans="4:5" x14ac:dyDescent="0.3">
      <c r="D438" s="2" t="str">
        <f>IF(A438&lt;&gt;"",SUM(B438:C438),"")</f>
        <v/>
      </c>
      <c r="E438" s="2" t="str">
        <f>IF(A438&lt;&gt;"",('TP1'!E1*'TP1'!D438)/'TP1'!D1, "")</f>
        <v/>
      </c>
    </row>
    <row r="439" spans="4:5" x14ac:dyDescent="0.3">
      <c r="D439" s="2" t="str">
        <f>IF(A439&lt;&gt;"",SUM(B439:C439),"")</f>
        <v/>
      </c>
      <c r="E439" s="2" t="str">
        <f>IF(A439&lt;&gt;"",('TP1'!E1*'TP1'!D439)/'TP1'!D1, "")</f>
        <v/>
      </c>
    </row>
    <row r="440" spans="4:5" x14ac:dyDescent="0.3">
      <c r="D440" s="2" t="str">
        <f>IF(A440&lt;&gt;"",SUM(B440:C440),"")</f>
        <v/>
      </c>
      <c r="E440" s="2" t="str">
        <f>IF(A440&lt;&gt;"",('TP1'!E1*'TP1'!D440)/'TP1'!D1, "")</f>
        <v/>
      </c>
    </row>
    <row r="441" spans="4:5" x14ac:dyDescent="0.3">
      <c r="D441" s="2" t="str">
        <f>IF(A441&lt;&gt;"",SUM(B441:C441),"")</f>
        <v/>
      </c>
      <c r="E441" s="2" t="str">
        <f>IF(A441&lt;&gt;"",('TP1'!E1*'TP1'!D441)/'TP1'!D1, "")</f>
        <v/>
      </c>
    </row>
    <row r="442" spans="4:5" x14ac:dyDescent="0.3">
      <c r="D442" s="2" t="str">
        <f>IF(A442&lt;&gt;"",SUM(B442:C442),"")</f>
        <v/>
      </c>
      <c r="E442" s="2" t="str">
        <f>IF(A442&lt;&gt;"",('TP1'!E1*'TP1'!D442)/'TP1'!D1, "")</f>
        <v/>
      </c>
    </row>
    <row r="443" spans="4:5" x14ac:dyDescent="0.3">
      <c r="D443" s="2" t="str">
        <f>IF(A443&lt;&gt;"",SUM(B443:C443),"")</f>
        <v/>
      </c>
      <c r="E443" s="2" t="str">
        <f>IF(A443&lt;&gt;"",('TP1'!E1*'TP1'!D443)/'TP1'!D1, "")</f>
        <v/>
      </c>
    </row>
    <row r="444" spans="4:5" x14ac:dyDescent="0.3">
      <c r="D444" s="2" t="str">
        <f>IF(A444&lt;&gt;"",SUM(B444:C444),"")</f>
        <v/>
      </c>
      <c r="E444" s="2" t="str">
        <f>IF(A444&lt;&gt;"",('TP1'!E1*'TP1'!D444)/'TP1'!D1, "")</f>
        <v/>
      </c>
    </row>
    <row r="445" spans="4:5" x14ac:dyDescent="0.3">
      <c r="D445" s="2" t="str">
        <f>IF(A445&lt;&gt;"",SUM(B445:C445),"")</f>
        <v/>
      </c>
      <c r="E445" s="2" t="str">
        <f>IF(A445&lt;&gt;"",('TP1'!E1*'TP1'!D445)/'TP1'!D1, "")</f>
        <v/>
      </c>
    </row>
    <row r="446" spans="4:5" x14ac:dyDescent="0.3">
      <c r="D446" s="2" t="str">
        <f>IF(A446&lt;&gt;"",SUM(B446:C446),"")</f>
        <v/>
      </c>
      <c r="E446" s="2" t="str">
        <f>IF(A446&lt;&gt;"",('TP1'!E1*'TP1'!D446)/'TP1'!D1, "")</f>
        <v/>
      </c>
    </row>
    <row r="447" spans="4:5" x14ac:dyDescent="0.3">
      <c r="D447" s="2" t="str">
        <f>IF(A447&lt;&gt;"",SUM(B447:C447),"")</f>
        <v/>
      </c>
      <c r="E447" s="2" t="str">
        <f>IF(A447&lt;&gt;"",('TP1'!E1*'TP1'!D447)/'TP1'!D1, "")</f>
        <v/>
      </c>
    </row>
    <row r="448" spans="4:5" x14ac:dyDescent="0.3">
      <c r="D448" s="2" t="str">
        <f>IF(A448&lt;&gt;"",SUM(B448:C448),"")</f>
        <v/>
      </c>
      <c r="E448" s="2" t="str">
        <f>IF(A448&lt;&gt;"",('TP1'!E1*'TP1'!D448)/'TP1'!D1, "")</f>
        <v/>
      </c>
    </row>
    <row r="449" spans="4:5" x14ac:dyDescent="0.3">
      <c r="D449" s="2" t="str">
        <f>IF(A449&lt;&gt;"",SUM(B449:C449),"")</f>
        <v/>
      </c>
      <c r="E449" s="2" t="str">
        <f>IF(A449&lt;&gt;"",('TP1'!E1*'TP1'!D449)/'TP1'!D1, "")</f>
        <v/>
      </c>
    </row>
    <row r="450" spans="4:5" x14ac:dyDescent="0.3">
      <c r="D450" s="2" t="str">
        <f>IF(A450&lt;&gt;"",SUM(B450:C450),"")</f>
        <v/>
      </c>
      <c r="E450" s="2" t="str">
        <f>IF(A450&lt;&gt;"",('TP1'!E1*'TP1'!D450)/'TP1'!D1, "")</f>
        <v/>
      </c>
    </row>
    <row r="451" spans="4:5" x14ac:dyDescent="0.3">
      <c r="D451" s="2" t="str">
        <f>IF(A451&lt;&gt;"",SUM(B451:C451),"")</f>
        <v/>
      </c>
      <c r="E451" s="2" t="str">
        <f>IF(A451&lt;&gt;"",('TP1'!E1*'TP1'!D451)/'TP1'!D1, "")</f>
        <v/>
      </c>
    </row>
    <row r="452" spans="4:5" x14ac:dyDescent="0.3">
      <c r="D452" s="2" t="str">
        <f>IF(A452&lt;&gt;"",SUM(B452:C452),"")</f>
        <v/>
      </c>
      <c r="E452" s="2" t="str">
        <f>IF(A452&lt;&gt;"",('TP1'!E1*'TP1'!D452)/'TP1'!D1, "")</f>
        <v/>
      </c>
    </row>
    <row r="453" spans="4:5" x14ac:dyDescent="0.3">
      <c r="D453" s="2" t="str">
        <f>IF(A453&lt;&gt;"",SUM(B453:C453),"")</f>
        <v/>
      </c>
      <c r="E453" s="2" t="str">
        <f>IF(A453&lt;&gt;"",('TP1'!E1*'TP1'!D453)/'TP1'!D1, "")</f>
        <v/>
      </c>
    </row>
    <row r="454" spans="4:5" x14ac:dyDescent="0.3">
      <c r="D454" s="2" t="str">
        <f>IF(A454&lt;&gt;"",SUM(B454:C454),"")</f>
        <v/>
      </c>
      <c r="E454" s="2" t="str">
        <f>IF(A454&lt;&gt;"",('TP1'!E1*'TP1'!D454)/'TP1'!D1, "")</f>
        <v/>
      </c>
    </row>
    <row r="455" spans="4:5" x14ac:dyDescent="0.3">
      <c r="D455" s="2" t="str">
        <f>IF(A455&lt;&gt;"",SUM(B455:C455),"")</f>
        <v/>
      </c>
      <c r="E455" s="2" t="str">
        <f>IF(A455&lt;&gt;"",('TP1'!E1*'TP1'!D455)/'TP1'!D1, "")</f>
        <v/>
      </c>
    </row>
    <row r="456" spans="4:5" x14ac:dyDescent="0.3">
      <c r="D456" s="2" t="str">
        <f>IF(A456&lt;&gt;"",SUM(B456:C456),"")</f>
        <v/>
      </c>
      <c r="E456" s="2" t="str">
        <f>IF(A456&lt;&gt;"",('TP1'!E1*'TP1'!D456)/'TP1'!D1, "")</f>
        <v/>
      </c>
    </row>
    <row r="457" spans="4:5" x14ac:dyDescent="0.3">
      <c r="D457" s="2" t="str">
        <f>IF(A457&lt;&gt;"",SUM(B457:C457),"")</f>
        <v/>
      </c>
      <c r="E457" s="2" t="str">
        <f>IF(A457&lt;&gt;"",('TP1'!E1*'TP1'!D457)/'TP1'!D1, "")</f>
        <v/>
      </c>
    </row>
    <row r="458" spans="4:5" x14ac:dyDescent="0.3">
      <c r="D458" s="2" t="str">
        <f>IF(A458&lt;&gt;"",SUM(B458:C458),"")</f>
        <v/>
      </c>
      <c r="E458" s="2" t="str">
        <f>IF(A458&lt;&gt;"",('TP1'!E1*'TP1'!D458)/'TP1'!D1, "")</f>
        <v/>
      </c>
    </row>
    <row r="459" spans="4:5" x14ac:dyDescent="0.3">
      <c r="D459" s="2" t="str">
        <f>IF(A459&lt;&gt;"",SUM(B459:C459),"")</f>
        <v/>
      </c>
      <c r="E459" s="2" t="str">
        <f>IF(A459&lt;&gt;"",('TP1'!E1*'TP1'!D459)/'TP1'!D1, "")</f>
        <v/>
      </c>
    </row>
    <row r="460" spans="4:5" x14ac:dyDescent="0.3">
      <c r="D460" s="2" t="str">
        <f>IF(A460&lt;&gt;"",SUM(B460:C460),"")</f>
        <v/>
      </c>
      <c r="E460" s="2" t="str">
        <f>IF(A460&lt;&gt;"",('TP1'!E1*'TP1'!D460)/'TP1'!D1, "")</f>
        <v/>
      </c>
    </row>
    <row r="461" spans="4:5" x14ac:dyDescent="0.3">
      <c r="D461" s="2" t="str">
        <f>IF(A461&lt;&gt;"",SUM(B461:C461),"")</f>
        <v/>
      </c>
      <c r="E461" s="2" t="str">
        <f>IF(A461&lt;&gt;"",('TP1'!E1*'TP1'!D461)/'TP1'!D1, "")</f>
        <v/>
      </c>
    </row>
    <row r="462" spans="4:5" x14ac:dyDescent="0.3">
      <c r="D462" s="2" t="str">
        <f>IF(A462&lt;&gt;"",SUM(B462:C462),"")</f>
        <v/>
      </c>
      <c r="E462" s="2" t="str">
        <f>IF(A462&lt;&gt;"",('TP1'!E1*'TP1'!D462)/'TP1'!D1, "")</f>
        <v/>
      </c>
    </row>
    <row r="463" spans="4:5" x14ac:dyDescent="0.3">
      <c r="D463" s="2" t="str">
        <f>IF(A463&lt;&gt;"",SUM(B463:C463),"")</f>
        <v/>
      </c>
      <c r="E463" s="2" t="str">
        <f>IF(A463&lt;&gt;"",('TP1'!E1*'TP1'!D463)/'TP1'!D1, "")</f>
        <v/>
      </c>
    </row>
    <row r="464" spans="4:5" x14ac:dyDescent="0.3">
      <c r="D464" s="2" t="str">
        <f>IF(A464&lt;&gt;"",SUM(B464:C464),"")</f>
        <v/>
      </c>
      <c r="E464" s="2" t="str">
        <f>IF(A464&lt;&gt;"",('TP1'!E1*'TP1'!D464)/'TP1'!D1, "")</f>
        <v/>
      </c>
    </row>
    <row r="465" spans="4:5" x14ac:dyDescent="0.3">
      <c r="D465" s="2" t="str">
        <f>IF(A465&lt;&gt;"",SUM(B465:C465),"")</f>
        <v/>
      </c>
      <c r="E465" s="2" t="str">
        <f>IF(A465&lt;&gt;"",('TP1'!E1*'TP1'!D465)/'TP1'!D1, "")</f>
        <v/>
      </c>
    </row>
    <row r="466" spans="4:5" x14ac:dyDescent="0.3">
      <c r="D466" s="2" t="str">
        <f>IF(A466&lt;&gt;"",SUM(B466:C466),"")</f>
        <v/>
      </c>
      <c r="E466" s="2" t="str">
        <f>IF(A466&lt;&gt;"",('TP1'!E1*'TP1'!D466)/'TP1'!D1, "")</f>
        <v/>
      </c>
    </row>
    <row r="467" spans="4:5" x14ac:dyDescent="0.3">
      <c r="D467" s="2" t="str">
        <f>IF(A467&lt;&gt;"",SUM(B467:C467),"")</f>
        <v/>
      </c>
      <c r="E467" s="2" t="str">
        <f>IF(A467&lt;&gt;"",('TP1'!E1*'TP1'!D467)/'TP1'!D1, "")</f>
        <v/>
      </c>
    </row>
    <row r="468" spans="4:5" x14ac:dyDescent="0.3">
      <c r="D468" s="2" t="str">
        <f>IF(A468&lt;&gt;"",SUM(B468:C468),"")</f>
        <v/>
      </c>
      <c r="E468" s="2" t="str">
        <f>IF(A468&lt;&gt;"",('TP1'!E1*'TP1'!D468)/'TP1'!D1, "")</f>
        <v/>
      </c>
    </row>
    <row r="469" spans="4:5" x14ac:dyDescent="0.3">
      <c r="D469" s="2" t="str">
        <f>IF(A469&lt;&gt;"",SUM(B469:C469),"")</f>
        <v/>
      </c>
      <c r="E469" s="2" t="str">
        <f>IF(A469&lt;&gt;"",('TP1'!E1*'TP1'!D469)/'TP1'!D1, "")</f>
        <v/>
      </c>
    </row>
    <row r="470" spans="4:5" x14ac:dyDescent="0.3">
      <c r="D470" s="2" t="str">
        <f>IF(A470&lt;&gt;"",SUM(B470:C470),"")</f>
        <v/>
      </c>
      <c r="E470" s="2" t="str">
        <f>IF(A470&lt;&gt;"",('TP1'!E1*'TP1'!D470)/'TP1'!D1, "")</f>
        <v/>
      </c>
    </row>
    <row r="471" spans="4:5" x14ac:dyDescent="0.3">
      <c r="D471" s="2" t="str">
        <f>IF(A471&lt;&gt;"",SUM(B471:C471),"")</f>
        <v/>
      </c>
      <c r="E471" s="2" t="str">
        <f>IF(A471&lt;&gt;"",('TP1'!E1*'TP1'!D471)/'TP1'!D1, "")</f>
        <v/>
      </c>
    </row>
    <row r="472" spans="4:5" x14ac:dyDescent="0.3">
      <c r="D472" s="2" t="str">
        <f>IF(A472&lt;&gt;"",SUM(B472:C472),"")</f>
        <v/>
      </c>
      <c r="E472" s="2" t="str">
        <f>IF(A472&lt;&gt;"",('TP1'!E1*'TP1'!D472)/'TP1'!D1, "")</f>
        <v/>
      </c>
    </row>
    <row r="473" spans="4:5" x14ac:dyDescent="0.3">
      <c r="D473" s="2" t="str">
        <f>IF(A473&lt;&gt;"",SUM(B473:C473),"")</f>
        <v/>
      </c>
      <c r="E473" s="2" t="str">
        <f>IF(A473&lt;&gt;"",('TP1'!E1*'TP1'!D473)/'TP1'!D1, "")</f>
        <v/>
      </c>
    </row>
    <row r="474" spans="4:5" x14ac:dyDescent="0.3">
      <c r="D474" s="2" t="str">
        <f>IF(A474&lt;&gt;"",SUM(B474:C474),"")</f>
        <v/>
      </c>
      <c r="E474" s="2" t="str">
        <f>IF(A474&lt;&gt;"",('TP1'!E1*'TP1'!D474)/'TP1'!D1, "")</f>
        <v/>
      </c>
    </row>
    <row r="475" spans="4:5" x14ac:dyDescent="0.3">
      <c r="D475" s="2" t="str">
        <f>IF(A475&lt;&gt;"",SUM(B475:C475),"")</f>
        <v/>
      </c>
      <c r="E475" s="2" t="str">
        <f>IF(A475&lt;&gt;"",('TP1'!E1*'TP1'!D475)/'TP1'!D1, "")</f>
        <v/>
      </c>
    </row>
    <row r="476" spans="4:5" x14ac:dyDescent="0.3">
      <c r="D476" s="2" t="str">
        <f>IF(A476&lt;&gt;"",SUM(B476:C476),"")</f>
        <v/>
      </c>
      <c r="E476" s="2" t="str">
        <f>IF(A476&lt;&gt;"",('TP1'!E1*'TP1'!D476)/'TP1'!D1, "")</f>
        <v/>
      </c>
    </row>
    <row r="477" spans="4:5" x14ac:dyDescent="0.3">
      <c r="D477" s="2" t="str">
        <f>IF(A477&lt;&gt;"",SUM(B477:C477),"")</f>
        <v/>
      </c>
      <c r="E477" s="2" t="str">
        <f>IF(A477&lt;&gt;"",('TP1'!E1*'TP1'!D477)/'TP1'!D1, "")</f>
        <v/>
      </c>
    </row>
    <row r="478" spans="4:5" x14ac:dyDescent="0.3">
      <c r="D478" s="2" t="str">
        <f>IF(A478&lt;&gt;"",SUM(B478:C478),"")</f>
        <v/>
      </c>
      <c r="E478" s="2" t="str">
        <f>IF(A478&lt;&gt;"",('TP1'!E1*'TP1'!D478)/'TP1'!D1, "")</f>
        <v/>
      </c>
    </row>
    <row r="479" spans="4:5" x14ac:dyDescent="0.3">
      <c r="D479" s="2" t="str">
        <f>IF(A479&lt;&gt;"",SUM(B479:C479),"")</f>
        <v/>
      </c>
      <c r="E479" s="2" t="str">
        <f>IF(A479&lt;&gt;"",('TP1'!E1*'TP1'!D479)/'TP1'!D1, "")</f>
        <v/>
      </c>
    </row>
    <row r="480" spans="4:5" x14ac:dyDescent="0.3">
      <c r="D480" s="2" t="str">
        <f>IF(A480&lt;&gt;"",SUM(B480:C480),"")</f>
        <v/>
      </c>
      <c r="E480" s="2" t="str">
        <f>IF(A480&lt;&gt;"",('TP1'!E1*'TP1'!D480)/'TP1'!D1, "")</f>
        <v/>
      </c>
    </row>
    <row r="481" spans="4:5" x14ac:dyDescent="0.3">
      <c r="D481" s="2" t="str">
        <f>IF(A481&lt;&gt;"",SUM(B481:C481),"")</f>
        <v/>
      </c>
      <c r="E481" s="2" t="str">
        <f>IF(A481&lt;&gt;"",('TP1'!E1*'TP1'!D481)/'TP1'!D1, "")</f>
        <v/>
      </c>
    </row>
    <row r="482" spans="4:5" x14ac:dyDescent="0.3">
      <c r="D482" s="2" t="str">
        <f>IF(A482&lt;&gt;"",SUM(B482:C482),"")</f>
        <v/>
      </c>
      <c r="E482" s="2" t="str">
        <f>IF(A482&lt;&gt;"",('TP1'!E1*'TP1'!D482)/'TP1'!D1, "")</f>
        <v/>
      </c>
    </row>
    <row r="483" spans="4:5" x14ac:dyDescent="0.3">
      <c r="D483" s="2" t="str">
        <f>IF(A483&lt;&gt;"",SUM(B483:C483),"")</f>
        <v/>
      </c>
      <c r="E483" s="2" t="str">
        <f>IF(A483&lt;&gt;"",('TP1'!E1*'TP1'!D483)/'TP1'!D1, "")</f>
        <v/>
      </c>
    </row>
    <row r="484" spans="4:5" x14ac:dyDescent="0.3">
      <c r="D484" s="2" t="str">
        <f>IF(A484&lt;&gt;"",SUM(B484:C484),"")</f>
        <v/>
      </c>
      <c r="E484" s="2" t="str">
        <f>IF(A484&lt;&gt;"",('TP1'!E1*'TP1'!D484)/'TP1'!D1, "")</f>
        <v/>
      </c>
    </row>
    <row r="485" spans="4:5" x14ac:dyDescent="0.3">
      <c r="D485" s="2" t="str">
        <f>IF(A485&lt;&gt;"",SUM(B485:C485),"")</f>
        <v/>
      </c>
      <c r="E485" s="2" t="str">
        <f>IF(A485&lt;&gt;"",('TP1'!E1*'TP1'!D485)/'TP1'!D1, "")</f>
        <v/>
      </c>
    </row>
    <row r="486" spans="4:5" x14ac:dyDescent="0.3">
      <c r="D486" s="2" t="str">
        <f>IF(A486&lt;&gt;"",SUM(B486:C486),"")</f>
        <v/>
      </c>
      <c r="E486" s="2" t="str">
        <f>IF(A486&lt;&gt;"",('TP1'!E1*'TP1'!D486)/'TP1'!D1, "")</f>
        <v/>
      </c>
    </row>
    <row r="487" spans="4:5" x14ac:dyDescent="0.3">
      <c r="D487" s="2" t="str">
        <f>IF(A487&lt;&gt;"",SUM(B487:C487),"")</f>
        <v/>
      </c>
      <c r="E487" s="2" t="str">
        <f>IF(A487&lt;&gt;"",('TP1'!E1*'TP1'!D487)/'TP1'!D1, "")</f>
        <v/>
      </c>
    </row>
    <row r="488" spans="4:5" x14ac:dyDescent="0.3">
      <c r="D488" s="2" t="str">
        <f>IF(A488&lt;&gt;"",SUM(B488:C488),"")</f>
        <v/>
      </c>
      <c r="E488" s="2" t="str">
        <f>IF(A488&lt;&gt;"",('TP1'!E1*'TP1'!D488)/'TP1'!D1, "")</f>
        <v/>
      </c>
    </row>
    <row r="489" spans="4:5" x14ac:dyDescent="0.3">
      <c r="D489" s="2" t="str">
        <f>IF(A489&lt;&gt;"",SUM(B489:C489),"")</f>
        <v/>
      </c>
      <c r="E489" s="2" t="str">
        <f>IF(A489&lt;&gt;"",('TP1'!E1*'TP1'!D489)/'TP1'!D1, "")</f>
        <v/>
      </c>
    </row>
    <row r="490" spans="4:5" x14ac:dyDescent="0.3">
      <c r="D490" s="2" t="str">
        <f>IF(A490&lt;&gt;"",SUM(B490:C490),"")</f>
        <v/>
      </c>
      <c r="E490" s="2" t="str">
        <f>IF(A490&lt;&gt;"",('TP1'!E1*'TP1'!D490)/'TP1'!D1, "")</f>
        <v/>
      </c>
    </row>
    <row r="491" spans="4:5" x14ac:dyDescent="0.3">
      <c r="D491" s="2" t="str">
        <f>IF(A491&lt;&gt;"",SUM(B491:C491),"")</f>
        <v/>
      </c>
      <c r="E491" s="2" t="str">
        <f>IF(A491&lt;&gt;"",('TP1'!E1*'TP1'!D491)/'TP1'!D1, "")</f>
        <v/>
      </c>
    </row>
    <row r="492" spans="4:5" x14ac:dyDescent="0.3">
      <c r="D492" s="2" t="str">
        <f>IF(A492&lt;&gt;"",SUM(B492:C492),"")</f>
        <v/>
      </c>
      <c r="E492" s="2" t="str">
        <f>IF(A492&lt;&gt;"",('TP1'!E1*'TP1'!D492)/'TP1'!D1, "")</f>
        <v/>
      </c>
    </row>
    <row r="493" spans="4:5" x14ac:dyDescent="0.3">
      <c r="D493" s="2" t="str">
        <f>IF(A493&lt;&gt;"",SUM(B493:C493),"")</f>
        <v/>
      </c>
      <c r="E493" s="2" t="str">
        <f>IF(A493&lt;&gt;"",('TP1'!E1*'TP1'!D493)/'TP1'!D1, "")</f>
        <v/>
      </c>
    </row>
    <row r="494" spans="4:5" x14ac:dyDescent="0.3">
      <c r="D494" s="2" t="str">
        <f>IF(A494&lt;&gt;"",SUM(B494:C494),"")</f>
        <v/>
      </c>
      <c r="E494" s="2" t="str">
        <f>IF(A494&lt;&gt;"",('TP1'!E1*'TP1'!D494)/'TP1'!D1, "")</f>
        <v/>
      </c>
    </row>
    <row r="495" spans="4:5" x14ac:dyDescent="0.3">
      <c r="D495" s="2" t="str">
        <f>IF(A495&lt;&gt;"",SUM(B495:C495),"")</f>
        <v/>
      </c>
      <c r="E495" s="2" t="str">
        <f>IF(A495&lt;&gt;"",('TP1'!E1*'TP1'!D495)/'TP1'!D1, "")</f>
        <v/>
      </c>
    </row>
    <row r="496" spans="4:5" x14ac:dyDescent="0.3">
      <c r="D496" s="2" t="str">
        <f>IF(A496&lt;&gt;"",SUM(B496:C496),"")</f>
        <v/>
      </c>
      <c r="E496" s="2" t="str">
        <f>IF(A496&lt;&gt;"",('TP1'!E1*'TP1'!D496)/'TP1'!D1, "")</f>
        <v/>
      </c>
    </row>
    <row r="497" spans="4:5" x14ac:dyDescent="0.3">
      <c r="D497" s="2" t="str">
        <f>IF(A497&lt;&gt;"",SUM(B497:C497),"")</f>
        <v/>
      </c>
      <c r="E497" s="2" t="str">
        <f>IF(A497&lt;&gt;"",('TP1'!E1*'TP1'!D497)/'TP1'!D1, "")</f>
        <v/>
      </c>
    </row>
    <row r="498" spans="4:5" x14ac:dyDescent="0.3">
      <c r="D498" s="2" t="str">
        <f>IF(A498&lt;&gt;"",SUM(B498:C498),"")</f>
        <v/>
      </c>
      <c r="E498" s="2" t="str">
        <f>IF(A498&lt;&gt;"",('TP1'!E1*'TP1'!D498)/'TP1'!D1, "")</f>
        <v/>
      </c>
    </row>
    <row r="499" spans="4:5" x14ac:dyDescent="0.3">
      <c r="D499" s="2" t="str">
        <f>IF(A499&lt;&gt;"",SUM(B499:C499),"")</f>
        <v/>
      </c>
      <c r="E499" s="2" t="str">
        <f>IF(A499&lt;&gt;"",('TP1'!E1*'TP1'!D499)/'TP1'!D1, "")</f>
        <v/>
      </c>
    </row>
    <row r="500" spans="4:5" x14ac:dyDescent="0.3">
      <c r="D500" s="2" t="str">
        <f>IF(A500&lt;&gt;"",SUM(B500:C500),"")</f>
        <v/>
      </c>
      <c r="E500" s="2" t="str">
        <f>IF(A500&lt;&gt;"",('TP1'!E1*'TP1'!D500)/'TP1'!D1, "")</f>
        <v/>
      </c>
    </row>
    <row r="501" spans="4:5" x14ac:dyDescent="0.3">
      <c r="D501" s="2" t="str">
        <f>IF(A501&lt;&gt;"",SUM(B501:C501),"")</f>
        <v/>
      </c>
      <c r="E501" s="2" t="str">
        <f>IF(A501&lt;&gt;"",('TP1'!E1*'TP1'!D501)/'TP1'!D1, "")</f>
        <v/>
      </c>
    </row>
    <row r="502" spans="4:5" x14ac:dyDescent="0.3">
      <c r="D502" s="2" t="str">
        <f>IF(A502&lt;&gt;"",SUM(B502:C502),"")</f>
        <v/>
      </c>
      <c r="E502" s="2" t="str">
        <f>IF(A502&lt;&gt;"",('TP1'!E1*'TP1'!D502)/'TP1'!D1, "")</f>
        <v/>
      </c>
    </row>
    <row r="503" spans="4:5" x14ac:dyDescent="0.3">
      <c r="D503" s="2" t="str">
        <f>IF(A503&lt;&gt;"",SUM(B503:C503),"")</f>
        <v/>
      </c>
      <c r="E503" s="2" t="str">
        <f>IF(A503&lt;&gt;"",('TP1'!E1*'TP1'!D503)/'TP1'!D1, "")</f>
        <v/>
      </c>
    </row>
    <row r="504" spans="4:5" x14ac:dyDescent="0.3">
      <c r="D504" s="2" t="str">
        <f>IF(A504&lt;&gt;"",SUM(B504:C504),"")</f>
        <v/>
      </c>
      <c r="E504" s="2" t="str">
        <f>IF(A504&lt;&gt;"",('TP1'!E1*'TP1'!D504)/'TP1'!D1, "")</f>
        <v/>
      </c>
    </row>
    <row r="505" spans="4:5" x14ac:dyDescent="0.3">
      <c r="D505" s="2" t="str">
        <f>IF(A505&lt;&gt;"",SUM(B505:C505),"")</f>
        <v/>
      </c>
      <c r="E505" s="2" t="str">
        <f>IF(A505&lt;&gt;"",('TP1'!E1*'TP1'!D505)/'TP1'!D1, "")</f>
        <v/>
      </c>
    </row>
    <row r="506" spans="4:5" x14ac:dyDescent="0.3">
      <c r="D506" s="2" t="str">
        <f>IF(A506&lt;&gt;"",SUM(B506:C506),"")</f>
        <v/>
      </c>
      <c r="E506" s="2" t="str">
        <f>IF(A506&lt;&gt;"",('TP1'!E1*'TP1'!D506)/'TP1'!D1, "")</f>
        <v/>
      </c>
    </row>
    <row r="507" spans="4:5" x14ac:dyDescent="0.3">
      <c r="D507" s="2" t="str">
        <f>IF(A507&lt;&gt;"",SUM(B507:C507),"")</f>
        <v/>
      </c>
      <c r="E507" s="2" t="str">
        <f>IF(A507&lt;&gt;"",('TP1'!E1*'TP1'!D507)/'TP1'!D1, "")</f>
        <v/>
      </c>
    </row>
    <row r="508" spans="4:5" x14ac:dyDescent="0.3">
      <c r="D508" s="2" t="str">
        <f>IF(A508&lt;&gt;"",SUM(B508:C508),"")</f>
        <v/>
      </c>
      <c r="E508" s="2" t="str">
        <f>IF(A508&lt;&gt;"",('TP1'!E1*'TP1'!D508)/'TP1'!D1, "")</f>
        <v/>
      </c>
    </row>
    <row r="509" spans="4:5" x14ac:dyDescent="0.3">
      <c r="D509" s="2" t="str">
        <f>IF(A509&lt;&gt;"",SUM(B509:C509),"")</f>
        <v/>
      </c>
      <c r="E509" s="2" t="str">
        <f>IF(A509&lt;&gt;"",('TP1'!E1*'TP1'!D509)/'TP1'!D1, "")</f>
        <v/>
      </c>
    </row>
    <row r="510" spans="4:5" x14ac:dyDescent="0.3">
      <c r="D510" s="2" t="str">
        <f>IF(A510&lt;&gt;"",SUM(B510:C510),"")</f>
        <v/>
      </c>
      <c r="E510" s="2" t="str">
        <f>IF(A510&lt;&gt;"",('TP1'!E1*'TP1'!D510)/'TP1'!D1, "")</f>
        <v/>
      </c>
    </row>
    <row r="511" spans="4:5" x14ac:dyDescent="0.3">
      <c r="D511" s="2" t="str">
        <f>IF(A511&lt;&gt;"",SUM(B511:C511),"")</f>
        <v/>
      </c>
      <c r="E511" s="2" t="str">
        <f>IF(A511&lt;&gt;"",('TP1'!E1*'TP1'!D511)/'TP1'!D1, "")</f>
        <v/>
      </c>
    </row>
    <row r="512" spans="4:5" x14ac:dyDescent="0.3">
      <c r="D512" s="2" t="str">
        <f>IF(A512&lt;&gt;"",SUM(B512:C512),"")</f>
        <v/>
      </c>
      <c r="E512" s="2" t="str">
        <f>IF(A512&lt;&gt;"",('TP1'!E1*'TP1'!D512)/'TP1'!D1, "")</f>
        <v/>
      </c>
    </row>
    <row r="513" spans="4:5" x14ac:dyDescent="0.3">
      <c r="D513" s="2" t="str">
        <f>IF(A513&lt;&gt;"",SUM(B513:C513),"")</f>
        <v/>
      </c>
      <c r="E513" s="2" t="str">
        <f>IF(A513&lt;&gt;"",('TP1'!E1*'TP1'!D513)/'TP1'!D1, "")</f>
        <v/>
      </c>
    </row>
    <row r="514" spans="4:5" x14ac:dyDescent="0.3">
      <c r="D514" s="2" t="str">
        <f>IF(A514&lt;&gt;"",SUM(B514:C514),"")</f>
        <v/>
      </c>
      <c r="E514" s="2" t="str">
        <f>IF(A514&lt;&gt;"",('TP1'!E1*'TP1'!D514)/'TP1'!D1, "")</f>
        <v/>
      </c>
    </row>
    <row r="515" spans="4:5" x14ac:dyDescent="0.3">
      <c r="D515" s="2" t="str">
        <f>IF(A515&lt;&gt;"",SUM(B515:C515),"")</f>
        <v/>
      </c>
      <c r="E515" s="2" t="str">
        <f>IF(A515&lt;&gt;"",('TP1'!E1*'TP1'!D515)/'TP1'!D1, "")</f>
        <v/>
      </c>
    </row>
    <row r="516" spans="4:5" x14ac:dyDescent="0.3">
      <c r="D516" s="2" t="str">
        <f>IF(A516&lt;&gt;"",SUM(B516:C516),"")</f>
        <v/>
      </c>
      <c r="E516" s="2" t="str">
        <f>IF(A516&lt;&gt;"",('TP1'!E1*'TP1'!D516)/'TP1'!D1, "")</f>
        <v/>
      </c>
    </row>
    <row r="517" spans="4:5" x14ac:dyDescent="0.3">
      <c r="D517" s="2" t="str">
        <f>IF(A517&lt;&gt;"",SUM(B517:C517),"")</f>
        <v/>
      </c>
      <c r="E517" s="2" t="str">
        <f>IF(A517&lt;&gt;"",('TP1'!E1*'TP1'!D517)/'TP1'!D1, "")</f>
        <v/>
      </c>
    </row>
    <row r="518" spans="4:5" x14ac:dyDescent="0.3">
      <c r="D518" s="2" t="str">
        <f>IF(A518&lt;&gt;"",SUM(B518:C518),"")</f>
        <v/>
      </c>
      <c r="E518" s="2" t="str">
        <f>IF(A518&lt;&gt;"",('TP1'!E1*'TP1'!D518)/'TP1'!D1, "")</f>
        <v/>
      </c>
    </row>
    <row r="519" spans="4:5" x14ac:dyDescent="0.3">
      <c r="D519" s="2" t="str">
        <f>IF(A519&lt;&gt;"",SUM(B519:C519),"")</f>
        <v/>
      </c>
      <c r="E519" s="2" t="str">
        <f>IF(A519&lt;&gt;"",('TP1'!E1*'TP1'!D519)/'TP1'!D1, "")</f>
        <v/>
      </c>
    </row>
    <row r="520" spans="4:5" x14ac:dyDescent="0.3">
      <c r="D520" s="2" t="str">
        <f>IF(A520&lt;&gt;"",SUM(B520:C520),"")</f>
        <v/>
      </c>
      <c r="E520" s="2" t="str">
        <f>IF(A520&lt;&gt;"",('TP1'!E1*'TP1'!D520)/'TP1'!D1, "")</f>
        <v/>
      </c>
    </row>
    <row r="521" spans="4:5" x14ac:dyDescent="0.3">
      <c r="D521" s="2" t="str">
        <f>IF(A521&lt;&gt;"",SUM(B521:C521),"")</f>
        <v/>
      </c>
      <c r="E521" s="2" t="str">
        <f>IF(A521&lt;&gt;"",('TP1'!E1*'TP1'!D521)/'TP1'!D1, "")</f>
        <v/>
      </c>
    </row>
    <row r="522" spans="4:5" x14ac:dyDescent="0.3">
      <c r="D522" s="2" t="str">
        <f>IF(A522&lt;&gt;"",SUM(B522:C522),"")</f>
        <v/>
      </c>
      <c r="E522" s="2" t="str">
        <f>IF(A522&lt;&gt;"",('TP1'!E1*'TP1'!D522)/'TP1'!D1, "")</f>
        <v/>
      </c>
    </row>
    <row r="523" spans="4:5" x14ac:dyDescent="0.3">
      <c r="D523" s="2" t="str">
        <f>IF(A523&lt;&gt;"",SUM(B523:C523),"")</f>
        <v/>
      </c>
      <c r="E523" s="2" t="str">
        <f>IF(A523&lt;&gt;"",('TP1'!E1*'TP1'!D523)/'TP1'!D1, "")</f>
        <v/>
      </c>
    </row>
    <row r="524" spans="4:5" x14ac:dyDescent="0.3">
      <c r="D524" s="2" t="str">
        <f>IF(A524&lt;&gt;"",SUM(B524:C524),"")</f>
        <v/>
      </c>
      <c r="E524" s="2" t="str">
        <f>IF(A524&lt;&gt;"",('TP1'!E1*'TP1'!D524)/'TP1'!D1, "")</f>
        <v/>
      </c>
    </row>
    <row r="525" spans="4:5" x14ac:dyDescent="0.3">
      <c r="D525" s="2" t="str">
        <f>IF(A525&lt;&gt;"",SUM(B525:C525),"")</f>
        <v/>
      </c>
      <c r="E525" s="2" t="str">
        <f>IF(A525&lt;&gt;"",('TP1'!E1*'TP1'!D525)/'TP1'!D1, "")</f>
        <v/>
      </c>
    </row>
    <row r="526" spans="4:5" x14ac:dyDescent="0.3">
      <c r="D526" s="2" t="str">
        <f>IF(A526&lt;&gt;"",SUM(B526:C526),"")</f>
        <v/>
      </c>
      <c r="E526" s="2" t="str">
        <f>IF(A526&lt;&gt;"",('TP1'!E1*'TP1'!D526)/'TP1'!D1, "")</f>
        <v/>
      </c>
    </row>
    <row r="527" spans="4:5" x14ac:dyDescent="0.3">
      <c r="D527" s="2" t="str">
        <f>IF(A527&lt;&gt;"",SUM(B527:C527),"")</f>
        <v/>
      </c>
      <c r="E527" s="2" t="str">
        <f>IF(A527&lt;&gt;"",('TP1'!E1*'TP1'!D527)/'TP1'!D1, "")</f>
        <v/>
      </c>
    </row>
    <row r="528" spans="4:5" x14ac:dyDescent="0.3">
      <c r="D528" s="2" t="str">
        <f>IF(A528&lt;&gt;"",SUM(B528:C528),"")</f>
        <v/>
      </c>
      <c r="E528" s="2" t="str">
        <f>IF(A528&lt;&gt;"",('TP1'!E1*'TP1'!D528)/'TP1'!D1, "")</f>
        <v/>
      </c>
    </row>
    <row r="529" spans="4:5" x14ac:dyDescent="0.3">
      <c r="D529" s="2" t="str">
        <f>IF(A529&lt;&gt;"",SUM(B529:C529),"")</f>
        <v/>
      </c>
      <c r="E529" s="2" t="str">
        <f>IF(A529&lt;&gt;"",('TP1'!E1*'TP1'!D529)/'TP1'!D1, "")</f>
        <v/>
      </c>
    </row>
    <row r="530" spans="4:5" x14ac:dyDescent="0.3">
      <c r="D530" s="2" t="str">
        <f>IF(A530&lt;&gt;"",SUM(B530:C530),"")</f>
        <v/>
      </c>
      <c r="E530" s="2" t="str">
        <f>IF(A530&lt;&gt;"",('TP1'!E1*'TP1'!D530)/'TP1'!D1, "")</f>
        <v/>
      </c>
    </row>
    <row r="531" spans="4:5" x14ac:dyDescent="0.3">
      <c r="D531" s="2" t="str">
        <f>IF(A531&lt;&gt;"",SUM(B531:C531),"")</f>
        <v/>
      </c>
      <c r="E531" s="2" t="str">
        <f>IF(A531&lt;&gt;"",('TP1'!E1*'TP1'!D531)/'TP1'!D1, "")</f>
        <v/>
      </c>
    </row>
    <row r="532" spans="4:5" x14ac:dyDescent="0.3">
      <c r="D532" s="2" t="str">
        <f>IF(A532&lt;&gt;"",SUM(B532:C532),"")</f>
        <v/>
      </c>
      <c r="E532" s="2" t="str">
        <f>IF(A532&lt;&gt;"",('TP1'!E1*'TP1'!D532)/'TP1'!D1, "")</f>
        <v/>
      </c>
    </row>
    <row r="533" spans="4:5" x14ac:dyDescent="0.3">
      <c r="D533" s="2" t="str">
        <f>IF(A533&lt;&gt;"",SUM(B533:C533),"")</f>
        <v/>
      </c>
      <c r="E533" s="2" t="str">
        <f>IF(A533&lt;&gt;"",('TP1'!E1*'TP1'!D533)/'TP1'!D1, "")</f>
        <v/>
      </c>
    </row>
    <row r="534" spans="4:5" x14ac:dyDescent="0.3">
      <c r="D534" s="2" t="str">
        <f>IF(A534&lt;&gt;"",SUM(B534:C534),"")</f>
        <v/>
      </c>
      <c r="E534" s="2" t="str">
        <f>IF(A534&lt;&gt;"",('TP1'!E1*'TP1'!D534)/'TP1'!D1, "")</f>
        <v/>
      </c>
    </row>
    <row r="535" spans="4:5" x14ac:dyDescent="0.3">
      <c r="D535" s="2" t="str">
        <f>IF(A535&lt;&gt;"",SUM(B535:C535),"")</f>
        <v/>
      </c>
      <c r="E535" s="2" t="str">
        <f>IF(A535&lt;&gt;"",('TP1'!E1*'TP1'!D535)/'TP1'!D1, "")</f>
        <v/>
      </c>
    </row>
    <row r="536" spans="4:5" x14ac:dyDescent="0.3">
      <c r="D536" s="2" t="str">
        <f>IF(A536&lt;&gt;"",SUM(B536:C536),"")</f>
        <v/>
      </c>
      <c r="E536" s="2" t="str">
        <f>IF(A536&lt;&gt;"",('TP1'!E1*'TP1'!D536)/'TP1'!D1, "")</f>
        <v/>
      </c>
    </row>
    <row r="537" spans="4:5" x14ac:dyDescent="0.3">
      <c r="D537" s="2" t="str">
        <f>IF(A537&lt;&gt;"",SUM(B537:C537),"")</f>
        <v/>
      </c>
      <c r="E537" s="2" t="str">
        <f>IF(A537&lt;&gt;"",('TP1'!E1*'TP1'!D537)/'TP1'!D1, "")</f>
        <v/>
      </c>
    </row>
    <row r="538" spans="4:5" x14ac:dyDescent="0.3">
      <c r="D538" s="2" t="str">
        <f>IF(A538&lt;&gt;"",SUM(B538:C538),"")</f>
        <v/>
      </c>
      <c r="E538" s="2" t="str">
        <f>IF(A538&lt;&gt;"",('TP1'!E1*'TP1'!D538)/'TP1'!D1, "")</f>
        <v/>
      </c>
    </row>
    <row r="539" spans="4:5" x14ac:dyDescent="0.3">
      <c r="D539" s="2" t="str">
        <f>IF(A539&lt;&gt;"",SUM(B539:C539),"")</f>
        <v/>
      </c>
      <c r="E539" s="2" t="str">
        <f>IF(A539&lt;&gt;"",('TP1'!E1*'TP1'!D539)/'TP1'!D1, "")</f>
        <v/>
      </c>
    </row>
    <row r="540" spans="4:5" x14ac:dyDescent="0.3">
      <c r="D540" s="2" t="str">
        <f>IF(A540&lt;&gt;"",SUM(B540:C540),"")</f>
        <v/>
      </c>
      <c r="E540" s="2" t="str">
        <f>IF(A540&lt;&gt;"",('TP1'!E1*'TP1'!D540)/'TP1'!D1, "")</f>
        <v/>
      </c>
    </row>
    <row r="541" spans="4:5" x14ac:dyDescent="0.3">
      <c r="D541" s="2" t="str">
        <f>IF(A541&lt;&gt;"",SUM(B541:C541),"")</f>
        <v/>
      </c>
      <c r="E541" s="2" t="str">
        <f>IF(A541&lt;&gt;"",('TP1'!E1*'TP1'!D541)/'TP1'!D1, "")</f>
        <v/>
      </c>
    </row>
    <row r="542" spans="4:5" x14ac:dyDescent="0.3">
      <c r="D542" s="2" t="str">
        <f>IF(A542&lt;&gt;"",SUM(B542:C542),"")</f>
        <v/>
      </c>
      <c r="E542" s="2" t="str">
        <f>IF(A542&lt;&gt;"",('TP1'!E1*'TP1'!D542)/'TP1'!D1, "")</f>
        <v/>
      </c>
    </row>
    <row r="543" spans="4:5" x14ac:dyDescent="0.3">
      <c r="D543" s="2" t="str">
        <f>IF(A543&lt;&gt;"",SUM(B543:C543),"")</f>
        <v/>
      </c>
      <c r="E543" s="2" t="str">
        <f>IF(A543&lt;&gt;"",('TP1'!E1*'TP1'!D543)/'TP1'!D1, "")</f>
        <v/>
      </c>
    </row>
    <row r="544" spans="4:5" x14ac:dyDescent="0.3">
      <c r="D544" s="2" t="str">
        <f>IF(A544&lt;&gt;"",SUM(B544:C544),"")</f>
        <v/>
      </c>
      <c r="E544" s="2" t="str">
        <f>IF(A544&lt;&gt;"",('TP1'!E1*'TP1'!D544)/'TP1'!D1, "")</f>
        <v/>
      </c>
    </row>
    <row r="545" spans="4:5" x14ac:dyDescent="0.3">
      <c r="D545" s="2" t="str">
        <f>IF(A545&lt;&gt;"",SUM(B545:C545),"")</f>
        <v/>
      </c>
      <c r="E545" s="2" t="str">
        <f>IF(A545&lt;&gt;"",('TP1'!E1*'TP1'!D545)/'TP1'!D1, "")</f>
        <v/>
      </c>
    </row>
    <row r="546" spans="4:5" x14ac:dyDescent="0.3">
      <c r="D546" s="2" t="str">
        <f>IF(A546&lt;&gt;"",SUM(B546:C546),"")</f>
        <v/>
      </c>
      <c r="E546" s="2" t="str">
        <f>IF(A546&lt;&gt;"",('TP1'!E1*'TP1'!D546)/'TP1'!D1, "")</f>
        <v/>
      </c>
    </row>
    <row r="547" spans="4:5" x14ac:dyDescent="0.3">
      <c r="D547" s="2" t="str">
        <f>IF(A547&lt;&gt;"",SUM(B547:C547),"")</f>
        <v/>
      </c>
      <c r="E547" s="2" t="str">
        <f>IF(A547&lt;&gt;"",('TP1'!E1*'TP1'!D547)/'TP1'!D1, "")</f>
        <v/>
      </c>
    </row>
    <row r="548" spans="4:5" x14ac:dyDescent="0.3">
      <c r="D548" s="2" t="str">
        <f>IF(A548&lt;&gt;"",SUM(B548:C548),"")</f>
        <v/>
      </c>
      <c r="E548" s="2" t="str">
        <f>IF(A548&lt;&gt;"",('TP1'!E1*'TP1'!D548)/'TP1'!D1, "")</f>
        <v/>
      </c>
    </row>
    <row r="549" spans="4:5" x14ac:dyDescent="0.3">
      <c r="D549" s="2" t="str">
        <f>IF(A549&lt;&gt;"",SUM(B549:C549),"")</f>
        <v/>
      </c>
      <c r="E549" s="2" t="str">
        <f>IF(A549&lt;&gt;"",('TP1'!E1*'TP1'!D549)/'TP1'!D1, "")</f>
        <v/>
      </c>
    </row>
    <row r="550" spans="4:5" x14ac:dyDescent="0.3">
      <c r="D550" s="2" t="str">
        <f>IF(A550&lt;&gt;"",SUM(B550:C550),"")</f>
        <v/>
      </c>
      <c r="E550" s="2" t="str">
        <f>IF(A550&lt;&gt;"",('TP1'!E1*'TP1'!D550)/'TP1'!D1, "")</f>
        <v/>
      </c>
    </row>
    <row r="551" spans="4:5" x14ac:dyDescent="0.3">
      <c r="D551" s="2" t="str">
        <f>IF(A551&lt;&gt;"",SUM(B551:C551),"")</f>
        <v/>
      </c>
      <c r="E551" s="2" t="str">
        <f>IF(A551&lt;&gt;"",('TP1'!E1*'TP1'!D551)/'TP1'!D1, "")</f>
        <v/>
      </c>
    </row>
    <row r="552" spans="4:5" x14ac:dyDescent="0.3">
      <c r="D552" s="2" t="str">
        <f>IF(A552&lt;&gt;"",SUM(B552:C552),"")</f>
        <v/>
      </c>
      <c r="E552" s="2" t="str">
        <f>IF(A552&lt;&gt;"",('TP1'!E1*'TP1'!D552)/'TP1'!D1, "")</f>
        <v/>
      </c>
    </row>
    <row r="553" spans="4:5" x14ac:dyDescent="0.3">
      <c r="D553" s="2" t="str">
        <f>IF(A553&lt;&gt;"",SUM(B553:C553),"")</f>
        <v/>
      </c>
      <c r="E553" s="2" t="str">
        <f>IF(A553&lt;&gt;"",('TP1'!E1*'TP1'!D553)/'TP1'!D1, "")</f>
        <v/>
      </c>
    </row>
    <row r="554" spans="4:5" x14ac:dyDescent="0.3">
      <c r="D554" s="2" t="str">
        <f>IF(A554&lt;&gt;"",SUM(B554:C554),"")</f>
        <v/>
      </c>
      <c r="E554" s="2" t="str">
        <f>IF(A554&lt;&gt;"",('TP1'!E1*'TP1'!D554)/'TP1'!D1, "")</f>
        <v/>
      </c>
    </row>
    <row r="555" spans="4:5" x14ac:dyDescent="0.3">
      <c r="D555" s="2" t="str">
        <f>IF(A555&lt;&gt;"",SUM(B555:C555),"")</f>
        <v/>
      </c>
      <c r="E555" s="2" t="str">
        <f>IF(A555&lt;&gt;"",('TP1'!E1*'TP1'!D555)/'TP1'!D1, "")</f>
        <v/>
      </c>
    </row>
    <row r="556" spans="4:5" x14ac:dyDescent="0.3">
      <c r="D556" s="2" t="str">
        <f>IF(A556&lt;&gt;"",SUM(B556:C556),"")</f>
        <v/>
      </c>
      <c r="E556" s="2" t="str">
        <f>IF(A556&lt;&gt;"",('TP1'!E1*'TP1'!D556)/'TP1'!D1, "")</f>
        <v/>
      </c>
    </row>
    <row r="557" spans="4:5" x14ac:dyDescent="0.3">
      <c r="D557" s="2" t="str">
        <f>IF(A557&lt;&gt;"",SUM(B557:C557),"")</f>
        <v/>
      </c>
      <c r="E557" s="2" t="str">
        <f>IF(A557&lt;&gt;"",('TP1'!E1*'TP1'!D557)/'TP1'!D1, "")</f>
        <v/>
      </c>
    </row>
    <row r="558" spans="4:5" x14ac:dyDescent="0.3">
      <c r="D558" s="2" t="str">
        <f>IF(A558&lt;&gt;"",SUM(B558:C558),"")</f>
        <v/>
      </c>
      <c r="E558" s="2" t="str">
        <f>IF(A558&lt;&gt;"",('TP1'!E1*'TP1'!D558)/'TP1'!D1, "")</f>
        <v/>
      </c>
    </row>
    <row r="559" spans="4:5" x14ac:dyDescent="0.3">
      <c r="D559" s="2" t="str">
        <f>IF(A559&lt;&gt;"",SUM(B559:C559),"")</f>
        <v/>
      </c>
      <c r="E559" s="2" t="str">
        <f>IF(A559&lt;&gt;"",('TP1'!E1*'TP1'!D559)/'TP1'!D1, "")</f>
        <v/>
      </c>
    </row>
    <row r="560" spans="4:5" x14ac:dyDescent="0.3">
      <c r="D560" s="2" t="str">
        <f>IF(A560&lt;&gt;"",SUM(B560:C560),"")</f>
        <v/>
      </c>
      <c r="E560" s="2" t="str">
        <f>IF(A560&lt;&gt;"",('TP1'!E1*'TP1'!D560)/'TP1'!D1, "")</f>
        <v/>
      </c>
    </row>
    <row r="561" spans="4:5" x14ac:dyDescent="0.3">
      <c r="D561" s="2" t="str">
        <f>IF(A561&lt;&gt;"",SUM(B561:C561),"")</f>
        <v/>
      </c>
      <c r="E561" s="2" t="str">
        <f>IF(A561&lt;&gt;"",('TP1'!E1*'TP1'!D561)/'TP1'!D1, "")</f>
        <v/>
      </c>
    </row>
    <row r="562" spans="4:5" x14ac:dyDescent="0.3">
      <c r="D562" s="2" t="str">
        <f>IF(A562&lt;&gt;"",SUM(B562:C562),"")</f>
        <v/>
      </c>
      <c r="E562" s="2" t="str">
        <f>IF(A562&lt;&gt;"",('TP1'!E1*'TP1'!D562)/'TP1'!D1, "")</f>
        <v/>
      </c>
    </row>
    <row r="563" spans="4:5" x14ac:dyDescent="0.3">
      <c r="D563" s="2" t="str">
        <f>IF(A563&lt;&gt;"",SUM(B563:C563),"")</f>
        <v/>
      </c>
      <c r="E563" s="2" t="str">
        <f>IF(A563&lt;&gt;"",('TP1'!E1*'TP1'!D563)/'TP1'!D1, "")</f>
        <v/>
      </c>
    </row>
    <row r="564" spans="4:5" x14ac:dyDescent="0.3">
      <c r="D564" s="2" t="str">
        <f>IF(A564&lt;&gt;"",SUM(B564:C564),"")</f>
        <v/>
      </c>
      <c r="E564" s="2" t="str">
        <f>IF(A564&lt;&gt;"",('TP1'!E1*'TP1'!D564)/'TP1'!D1, "")</f>
        <v/>
      </c>
    </row>
    <row r="565" spans="4:5" x14ac:dyDescent="0.3">
      <c r="D565" s="2" t="str">
        <f>IF(A565&lt;&gt;"",SUM(B565:C565),"")</f>
        <v/>
      </c>
      <c r="E565" s="2" t="str">
        <f>IF(A565&lt;&gt;"",('TP1'!E1*'TP1'!D565)/'TP1'!D1, "")</f>
        <v/>
      </c>
    </row>
    <row r="566" spans="4:5" x14ac:dyDescent="0.3">
      <c r="D566" s="2" t="str">
        <f>IF(A566&lt;&gt;"",SUM(B566:C566),"")</f>
        <v/>
      </c>
      <c r="E566" s="2" t="str">
        <f>IF(A566&lt;&gt;"",('TP1'!E1*'TP1'!D566)/'TP1'!D1, "")</f>
        <v/>
      </c>
    </row>
    <row r="567" spans="4:5" x14ac:dyDescent="0.3">
      <c r="D567" s="2" t="str">
        <f>IF(A567&lt;&gt;"",SUM(B567:C567),"")</f>
        <v/>
      </c>
      <c r="E567" s="2" t="str">
        <f>IF(A567&lt;&gt;"",('TP1'!E1*'TP1'!D567)/'TP1'!D1, "")</f>
        <v/>
      </c>
    </row>
    <row r="568" spans="4:5" x14ac:dyDescent="0.3">
      <c r="D568" s="2" t="str">
        <f>IF(A568&lt;&gt;"",SUM(B568:C568),"")</f>
        <v/>
      </c>
      <c r="E568" s="2" t="str">
        <f>IF(A568&lt;&gt;"",('TP1'!E1*'TP1'!D568)/'TP1'!D1, "")</f>
        <v/>
      </c>
    </row>
    <row r="569" spans="4:5" x14ac:dyDescent="0.3">
      <c r="D569" s="2" t="str">
        <f>IF(A569&lt;&gt;"",SUM(B569:C569),"")</f>
        <v/>
      </c>
      <c r="E569" s="2" t="str">
        <f>IF(A569&lt;&gt;"",('TP1'!E1*'TP1'!D569)/'TP1'!D1, "")</f>
        <v/>
      </c>
    </row>
    <row r="570" spans="4:5" x14ac:dyDescent="0.3">
      <c r="D570" s="2" t="str">
        <f>IF(A570&lt;&gt;"",SUM(B570:C570),"")</f>
        <v/>
      </c>
      <c r="E570" s="2" t="str">
        <f>IF(A570&lt;&gt;"",('TP1'!E1*'TP1'!D570)/'TP1'!D1, "")</f>
        <v/>
      </c>
    </row>
    <row r="571" spans="4:5" x14ac:dyDescent="0.3">
      <c r="D571" s="2" t="str">
        <f>IF(A571&lt;&gt;"",SUM(B571:C571),"")</f>
        <v/>
      </c>
      <c r="E571" s="2" t="str">
        <f>IF(A571&lt;&gt;"",('TP1'!E1*'TP1'!D571)/'TP1'!D1, "")</f>
        <v/>
      </c>
    </row>
    <row r="572" spans="4:5" x14ac:dyDescent="0.3">
      <c r="D572" s="2" t="str">
        <f>IF(A572&lt;&gt;"",SUM(B572:C572),"")</f>
        <v/>
      </c>
      <c r="E572" s="2" t="str">
        <f>IF(A572&lt;&gt;"",('TP1'!E1*'TP1'!D572)/'TP1'!D1, "")</f>
        <v/>
      </c>
    </row>
    <row r="573" spans="4:5" x14ac:dyDescent="0.3">
      <c r="D573" s="2" t="str">
        <f>IF(A573&lt;&gt;"",SUM(B573:C573),"")</f>
        <v/>
      </c>
      <c r="E573" s="2" t="str">
        <f>IF(A573&lt;&gt;"",('TP1'!E1*'TP1'!D573)/'TP1'!D1, "")</f>
        <v/>
      </c>
    </row>
    <row r="574" spans="4:5" x14ac:dyDescent="0.3">
      <c r="D574" s="2" t="str">
        <f>IF(A574&lt;&gt;"",SUM(B574:C574),"")</f>
        <v/>
      </c>
      <c r="E574" s="2" t="str">
        <f>IF(A574&lt;&gt;"",('TP1'!E1*'TP1'!D574)/'TP1'!D1, "")</f>
        <v/>
      </c>
    </row>
    <row r="575" spans="4:5" x14ac:dyDescent="0.3">
      <c r="D575" s="2" t="str">
        <f>IF(A575&lt;&gt;"",SUM(B575:C575),"")</f>
        <v/>
      </c>
      <c r="E575" s="2" t="str">
        <f>IF(A575&lt;&gt;"",('TP1'!E1*'TP1'!D575)/'TP1'!D1, "")</f>
        <v/>
      </c>
    </row>
    <row r="576" spans="4:5" x14ac:dyDescent="0.3">
      <c r="D576" s="2" t="str">
        <f>IF(A576&lt;&gt;"",SUM(B576:C576),"")</f>
        <v/>
      </c>
      <c r="E576" s="2" t="str">
        <f>IF(A576&lt;&gt;"",('TP1'!E1*'TP1'!D576)/'TP1'!D1, "")</f>
        <v/>
      </c>
    </row>
    <row r="577" spans="4:5" x14ac:dyDescent="0.3">
      <c r="D577" s="2" t="str">
        <f>IF(A577&lt;&gt;"",SUM(B577:C577),"")</f>
        <v/>
      </c>
      <c r="E577" s="2" t="str">
        <f>IF(A577&lt;&gt;"",('TP1'!E1*'TP1'!D577)/'TP1'!D1, "")</f>
        <v/>
      </c>
    </row>
    <row r="578" spans="4:5" x14ac:dyDescent="0.3">
      <c r="D578" s="2" t="str">
        <f>IF(A578&lt;&gt;"",SUM(B578:C578),"")</f>
        <v/>
      </c>
      <c r="E578" s="2" t="str">
        <f>IF(A578&lt;&gt;"",('TP1'!E1*'TP1'!D578)/'TP1'!D1, "")</f>
        <v/>
      </c>
    </row>
    <row r="579" spans="4:5" x14ac:dyDescent="0.3">
      <c r="D579" s="2" t="str">
        <f>IF(A579&lt;&gt;"",SUM(B579:C579),"")</f>
        <v/>
      </c>
      <c r="E579" s="2" t="str">
        <f>IF(A579&lt;&gt;"",('TP1'!E1*'TP1'!D579)/'TP1'!D1, "")</f>
        <v/>
      </c>
    </row>
    <row r="580" spans="4:5" x14ac:dyDescent="0.3">
      <c r="D580" s="2" t="str">
        <f>IF(A580&lt;&gt;"",SUM(B580:C580),"")</f>
        <v/>
      </c>
      <c r="E580" s="2" t="str">
        <f>IF(A580&lt;&gt;"",('TP1'!E1*'TP1'!D580)/'TP1'!D1, "")</f>
        <v/>
      </c>
    </row>
    <row r="581" spans="4:5" x14ac:dyDescent="0.3">
      <c r="D581" s="2" t="str">
        <f>IF(A581&lt;&gt;"",SUM(B581:C581),"")</f>
        <v/>
      </c>
      <c r="E581" s="2" t="str">
        <f>IF(A581&lt;&gt;"",('TP1'!E1*'TP1'!D581)/'TP1'!D1, "")</f>
        <v/>
      </c>
    </row>
    <row r="582" spans="4:5" x14ac:dyDescent="0.3">
      <c r="D582" s="2" t="str">
        <f>IF(A582&lt;&gt;"",SUM(B582:C582),"")</f>
        <v/>
      </c>
      <c r="E582" s="2" t="str">
        <f>IF(A582&lt;&gt;"",('TP1'!E1*'TP1'!D582)/'TP1'!D1, "")</f>
        <v/>
      </c>
    </row>
    <row r="583" spans="4:5" x14ac:dyDescent="0.3">
      <c r="D583" s="2" t="str">
        <f>IF(A583&lt;&gt;"",SUM(B583:C583),"")</f>
        <v/>
      </c>
      <c r="E583" s="2" t="str">
        <f>IF(A583&lt;&gt;"",('TP1'!E1*'TP1'!D583)/'TP1'!D1, "")</f>
        <v/>
      </c>
    </row>
    <row r="584" spans="4:5" x14ac:dyDescent="0.3">
      <c r="D584" s="2" t="str">
        <f>IF(A584&lt;&gt;"",SUM(B584:C584),"")</f>
        <v/>
      </c>
      <c r="E584" s="2" t="str">
        <f>IF(A584&lt;&gt;"",('TP1'!E1*'TP1'!D584)/'TP1'!D1, "")</f>
        <v/>
      </c>
    </row>
    <row r="585" spans="4:5" x14ac:dyDescent="0.3">
      <c r="D585" s="2" t="str">
        <f>IF(A585&lt;&gt;"",SUM(B585:C585),"")</f>
        <v/>
      </c>
      <c r="E585" s="2" t="str">
        <f>IF(A585&lt;&gt;"",('TP1'!E1*'TP1'!D585)/'TP1'!D1, "")</f>
        <v/>
      </c>
    </row>
    <row r="586" spans="4:5" x14ac:dyDescent="0.3">
      <c r="D586" s="2" t="str">
        <f>IF(A586&lt;&gt;"",SUM(B586:C586),"")</f>
        <v/>
      </c>
      <c r="E586" s="2" t="str">
        <f>IF(A586&lt;&gt;"",('TP1'!E1*'TP1'!D586)/'TP1'!D1, "")</f>
        <v/>
      </c>
    </row>
    <row r="587" spans="4:5" x14ac:dyDescent="0.3">
      <c r="D587" s="2" t="str">
        <f>IF(A587&lt;&gt;"",SUM(B587:C587),"")</f>
        <v/>
      </c>
      <c r="E587" s="2" t="str">
        <f>IF(A587&lt;&gt;"",('TP1'!E1*'TP1'!D587)/'TP1'!D1, "")</f>
        <v/>
      </c>
    </row>
    <row r="588" spans="4:5" x14ac:dyDescent="0.3">
      <c r="D588" s="2" t="str">
        <f>IF(A588&lt;&gt;"",SUM(B588:C588),"")</f>
        <v/>
      </c>
      <c r="E588" s="2" t="str">
        <f>IF(A588&lt;&gt;"",('TP1'!E1*'TP1'!D588)/'TP1'!D1, "")</f>
        <v/>
      </c>
    </row>
    <row r="589" spans="4:5" x14ac:dyDescent="0.3">
      <c r="D589" s="2" t="str">
        <f>IF(A589&lt;&gt;"",SUM(B589:C589),"")</f>
        <v/>
      </c>
      <c r="E589" s="2" t="str">
        <f>IF(A589&lt;&gt;"",('TP1'!E1*'TP1'!D589)/'TP1'!D1, "")</f>
        <v/>
      </c>
    </row>
    <row r="590" spans="4:5" x14ac:dyDescent="0.3">
      <c r="D590" s="2" t="str">
        <f>IF(A590&lt;&gt;"",SUM(B590:C590),"")</f>
        <v/>
      </c>
      <c r="E590" s="2" t="str">
        <f>IF(A590&lt;&gt;"",('TP1'!E1*'TP1'!D590)/'TP1'!D1, "")</f>
        <v/>
      </c>
    </row>
    <row r="591" spans="4:5" x14ac:dyDescent="0.3">
      <c r="D591" s="2" t="str">
        <f>IF(A591&lt;&gt;"",SUM(B591:C591),"")</f>
        <v/>
      </c>
      <c r="E591" s="2" t="str">
        <f>IF(A591&lt;&gt;"",('TP1'!E1*'TP1'!D591)/'TP1'!D1, "")</f>
        <v/>
      </c>
    </row>
    <row r="592" spans="4:5" x14ac:dyDescent="0.3">
      <c r="D592" s="2" t="str">
        <f>IF(A592&lt;&gt;"",SUM(B592:C592),"")</f>
        <v/>
      </c>
      <c r="E592" s="2" t="str">
        <f>IF(A592&lt;&gt;"",('TP1'!E1*'TP1'!D592)/'TP1'!D1, "")</f>
        <v/>
      </c>
    </row>
    <row r="593" spans="4:5" x14ac:dyDescent="0.3">
      <c r="D593" s="2" t="str">
        <f>IF(A593&lt;&gt;"",SUM(B593:C593),"")</f>
        <v/>
      </c>
      <c r="E593" s="2" t="str">
        <f>IF(A593&lt;&gt;"",('TP1'!E1*'TP1'!D593)/'TP1'!D1, "")</f>
        <v/>
      </c>
    </row>
    <row r="594" spans="4:5" x14ac:dyDescent="0.3">
      <c r="D594" s="2" t="str">
        <f>IF(A594&lt;&gt;"",SUM(B594:C594),"")</f>
        <v/>
      </c>
      <c r="E594" s="2" t="str">
        <f>IF(A594&lt;&gt;"",('TP1'!E1*'TP1'!D594)/'TP1'!D1, "")</f>
        <v/>
      </c>
    </row>
    <row r="595" spans="4:5" x14ac:dyDescent="0.3">
      <c r="D595" s="2" t="str">
        <f>IF(A595&lt;&gt;"",SUM(B595:C595),"")</f>
        <v/>
      </c>
      <c r="E595" s="2" t="str">
        <f>IF(A595&lt;&gt;"",('TP1'!E1*'TP1'!D595)/'TP1'!D1, "")</f>
        <v/>
      </c>
    </row>
    <row r="596" spans="4:5" x14ac:dyDescent="0.3">
      <c r="D596" s="2" t="str">
        <f>IF(A596&lt;&gt;"",SUM(B596:C596),"")</f>
        <v/>
      </c>
      <c r="E596" s="2" t="str">
        <f>IF(A596&lt;&gt;"",('TP1'!E1*'TP1'!D596)/'TP1'!D1, "")</f>
        <v/>
      </c>
    </row>
    <row r="597" spans="4:5" x14ac:dyDescent="0.3">
      <c r="D597" s="2" t="str">
        <f>IF(A597&lt;&gt;"",SUM(B597:C597),"")</f>
        <v/>
      </c>
      <c r="E597" s="2" t="str">
        <f>IF(A597&lt;&gt;"",('TP1'!E1*'TP1'!D597)/'TP1'!D1, "")</f>
        <v/>
      </c>
    </row>
    <row r="598" spans="4:5" x14ac:dyDescent="0.3">
      <c r="D598" s="2" t="str">
        <f>IF(A598&lt;&gt;"",SUM(B598:C598),"")</f>
        <v/>
      </c>
      <c r="E598" s="2" t="str">
        <f>IF(A598&lt;&gt;"",('TP1'!E1*'TP1'!D598)/'TP1'!D1, "")</f>
        <v/>
      </c>
    </row>
    <row r="599" spans="4:5" x14ac:dyDescent="0.3">
      <c r="D599" s="2" t="str">
        <f>IF(A599&lt;&gt;"",SUM(B599:C599),"")</f>
        <v/>
      </c>
      <c r="E599" s="2" t="str">
        <f>IF(A599&lt;&gt;"",('TP1'!E1*'TP1'!D599)/'TP1'!D1, "")</f>
        <v/>
      </c>
    </row>
    <row r="600" spans="4:5" x14ac:dyDescent="0.3">
      <c r="D600" s="2" t="str">
        <f>IF(A600&lt;&gt;"",SUM(B600:C600),"")</f>
        <v/>
      </c>
      <c r="E600" s="2" t="str">
        <f>IF(A600&lt;&gt;"",('TP1'!E1*'TP1'!D600)/'TP1'!D1, "")</f>
        <v/>
      </c>
    </row>
    <row r="601" spans="4:5" x14ac:dyDescent="0.3">
      <c r="D601" s="2" t="str">
        <f>IF(A601&lt;&gt;"",SUM(B601:C601),"")</f>
        <v/>
      </c>
      <c r="E601" s="2" t="str">
        <f>IF(A601&lt;&gt;"",('TP1'!E1*'TP1'!D601)/'TP1'!D1, "")</f>
        <v/>
      </c>
    </row>
    <row r="602" spans="4:5" x14ac:dyDescent="0.3">
      <c r="D602" s="2" t="str">
        <f>IF(A602&lt;&gt;"",SUM(B602:C602),"")</f>
        <v/>
      </c>
      <c r="E602" s="2" t="str">
        <f>IF(A602&lt;&gt;"",('TP1'!E1*'TP1'!D602)/'TP1'!D1, "")</f>
        <v/>
      </c>
    </row>
    <row r="603" spans="4:5" x14ac:dyDescent="0.3">
      <c r="D603" s="2" t="str">
        <f>IF(A603&lt;&gt;"",SUM(B603:C603),"")</f>
        <v/>
      </c>
      <c r="E603" s="2" t="str">
        <f>IF(A603&lt;&gt;"",('TP1'!E1*'TP1'!D603)/'TP1'!D1, "")</f>
        <v/>
      </c>
    </row>
    <row r="604" spans="4:5" x14ac:dyDescent="0.3">
      <c r="D604" s="2" t="str">
        <f>IF(A604&lt;&gt;"",SUM(B604:C604),"")</f>
        <v/>
      </c>
      <c r="E604" s="2" t="str">
        <f>IF(A604&lt;&gt;"",('TP1'!E1*'TP1'!D604)/'TP1'!D1, "")</f>
        <v/>
      </c>
    </row>
    <row r="605" spans="4:5" x14ac:dyDescent="0.3">
      <c r="D605" s="2" t="str">
        <f>IF(A605&lt;&gt;"",SUM(B605:C605),"")</f>
        <v/>
      </c>
      <c r="E605" s="2" t="str">
        <f>IF(A605&lt;&gt;"",('TP1'!E1*'TP1'!D605)/'TP1'!D1, "")</f>
        <v/>
      </c>
    </row>
    <row r="606" spans="4:5" x14ac:dyDescent="0.3">
      <c r="D606" s="2" t="str">
        <f>IF(A606&lt;&gt;"",SUM(B606:C606),"")</f>
        <v/>
      </c>
      <c r="E606" s="2" t="str">
        <f>IF(A606&lt;&gt;"",('TP1'!E1*'TP1'!D606)/'TP1'!D1, "")</f>
        <v/>
      </c>
    </row>
    <row r="607" spans="4:5" x14ac:dyDescent="0.3">
      <c r="D607" s="2" t="str">
        <f>IF(A607&lt;&gt;"",SUM(B607:C607),"")</f>
        <v/>
      </c>
      <c r="E607" s="2" t="str">
        <f>IF(A607&lt;&gt;"",('TP1'!E1*'TP1'!D607)/'TP1'!D1, "")</f>
        <v/>
      </c>
    </row>
    <row r="608" spans="4:5" x14ac:dyDescent="0.3">
      <c r="D608" s="2" t="str">
        <f>IF(A608&lt;&gt;"",SUM(B608:C608),"")</f>
        <v/>
      </c>
      <c r="E608" s="2" t="str">
        <f>IF(A608&lt;&gt;"",('TP1'!E1*'TP1'!D608)/'TP1'!D1, "")</f>
        <v/>
      </c>
    </row>
    <row r="609" spans="4:5" x14ac:dyDescent="0.3">
      <c r="D609" s="2" t="str">
        <f>IF(A609&lt;&gt;"",SUM(B609:C609),"")</f>
        <v/>
      </c>
      <c r="E609" s="2" t="str">
        <f>IF(A609&lt;&gt;"",('TP1'!E1*'TP1'!D609)/'TP1'!D1, "")</f>
        <v/>
      </c>
    </row>
    <row r="610" spans="4:5" x14ac:dyDescent="0.3">
      <c r="D610" s="2" t="str">
        <f>IF(A610&lt;&gt;"",SUM(B610:C610),"")</f>
        <v/>
      </c>
      <c r="E610" s="2" t="str">
        <f>IF(A610&lt;&gt;"",('TP1'!E1*'TP1'!D610)/'TP1'!D1, "")</f>
        <v/>
      </c>
    </row>
    <row r="611" spans="4:5" x14ac:dyDescent="0.3">
      <c r="D611" s="2" t="str">
        <f>IF(A611&lt;&gt;"",SUM(B611:C611),"")</f>
        <v/>
      </c>
      <c r="E611" s="2" t="str">
        <f>IF(A611&lt;&gt;"",('TP1'!E1*'TP1'!D611)/'TP1'!D1, "")</f>
        <v/>
      </c>
    </row>
    <row r="612" spans="4:5" x14ac:dyDescent="0.3">
      <c r="D612" s="2" t="str">
        <f>IF(A612&lt;&gt;"",SUM(B612:C612),"")</f>
        <v/>
      </c>
      <c r="E612" s="2" t="str">
        <f>IF(A612&lt;&gt;"",('TP1'!E1*'TP1'!D612)/'TP1'!D1, "")</f>
        <v/>
      </c>
    </row>
    <row r="613" spans="4:5" x14ac:dyDescent="0.3">
      <c r="D613" s="2" t="str">
        <f>IF(A613&lt;&gt;"",SUM(B613:C613),"")</f>
        <v/>
      </c>
      <c r="E613" s="2" t="str">
        <f>IF(A613&lt;&gt;"",('TP1'!E1*'TP1'!D613)/'TP1'!D1, "")</f>
        <v/>
      </c>
    </row>
    <row r="614" spans="4:5" x14ac:dyDescent="0.3">
      <c r="D614" s="2" t="str">
        <f>IF(A614&lt;&gt;"",SUM(B614:C614),"")</f>
        <v/>
      </c>
      <c r="E614" s="2" t="str">
        <f>IF(A614&lt;&gt;"",('TP1'!E1*'TP1'!D614)/'TP1'!D1, "")</f>
        <v/>
      </c>
    </row>
    <row r="615" spans="4:5" x14ac:dyDescent="0.3">
      <c r="D615" s="2" t="str">
        <f>IF(A615&lt;&gt;"",SUM(B615:C615),"")</f>
        <v/>
      </c>
      <c r="E615" s="2" t="str">
        <f>IF(A615&lt;&gt;"",('TP1'!E1*'TP1'!D615)/'TP1'!D1, "")</f>
        <v/>
      </c>
    </row>
    <row r="616" spans="4:5" x14ac:dyDescent="0.3">
      <c r="D616" s="2" t="str">
        <f>IF(A616&lt;&gt;"",SUM(B616:C616),"")</f>
        <v/>
      </c>
      <c r="E616" s="2" t="str">
        <f>IF(A616&lt;&gt;"",('TP1'!E1*'TP1'!D616)/'TP1'!D1, "")</f>
        <v/>
      </c>
    </row>
    <row r="617" spans="4:5" x14ac:dyDescent="0.3">
      <c r="D617" s="2" t="str">
        <f>IF(A617&lt;&gt;"",SUM(B617:C617),"")</f>
        <v/>
      </c>
      <c r="E617" s="2" t="str">
        <f>IF(A617&lt;&gt;"",('TP1'!E1*'TP1'!D617)/'TP1'!D1, "")</f>
        <v/>
      </c>
    </row>
    <row r="618" spans="4:5" x14ac:dyDescent="0.3">
      <c r="D618" s="2" t="str">
        <f>IF(A618&lt;&gt;"",SUM(B618:C618),"")</f>
        <v/>
      </c>
      <c r="E618" s="2" t="str">
        <f>IF(A618&lt;&gt;"",('TP1'!E1*'TP1'!D618)/'TP1'!D1, "")</f>
        <v/>
      </c>
    </row>
    <row r="619" spans="4:5" x14ac:dyDescent="0.3">
      <c r="D619" s="2" t="str">
        <f>IF(A619&lt;&gt;"",SUM(B619:C619),"")</f>
        <v/>
      </c>
      <c r="E619" s="2" t="str">
        <f>IF(A619&lt;&gt;"",('TP1'!E1*'TP1'!D619)/'TP1'!D1, "")</f>
        <v/>
      </c>
    </row>
    <row r="620" spans="4:5" x14ac:dyDescent="0.3">
      <c r="D620" s="2" t="str">
        <f>IF(A620&lt;&gt;"",SUM(B620:C620),"")</f>
        <v/>
      </c>
      <c r="E620" s="2" t="str">
        <f>IF(A620&lt;&gt;"",('TP1'!E1*'TP1'!D620)/'TP1'!D1, "")</f>
        <v/>
      </c>
    </row>
    <row r="621" spans="4:5" x14ac:dyDescent="0.3">
      <c r="D621" s="2" t="str">
        <f>IF(A621&lt;&gt;"",SUM(B621:C621),"")</f>
        <v/>
      </c>
      <c r="E621" s="2" t="str">
        <f>IF(A621&lt;&gt;"",('TP1'!E1*'TP1'!D621)/'TP1'!D1, "")</f>
        <v/>
      </c>
    </row>
    <row r="622" spans="4:5" x14ac:dyDescent="0.3">
      <c r="D622" s="2" t="str">
        <f>IF(A622&lt;&gt;"",SUM(B622:C622),"")</f>
        <v/>
      </c>
      <c r="E622" s="2" t="str">
        <f>IF(A622&lt;&gt;"",('TP1'!E1*'TP1'!D622)/'TP1'!D1, "")</f>
        <v/>
      </c>
    </row>
    <row r="623" spans="4:5" x14ac:dyDescent="0.3">
      <c r="D623" s="2" t="str">
        <f>IF(A623&lt;&gt;"",SUM(B623:C623),"")</f>
        <v/>
      </c>
      <c r="E623" s="2" t="str">
        <f>IF(A623&lt;&gt;"",('TP1'!E1*'TP1'!D623)/'TP1'!D1, "")</f>
        <v/>
      </c>
    </row>
    <row r="624" spans="4:5" x14ac:dyDescent="0.3">
      <c r="D624" s="2" t="str">
        <f>IF(A624&lt;&gt;"",SUM(B624:C624),"")</f>
        <v/>
      </c>
      <c r="E624" s="2" t="str">
        <f>IF(A624&lt;&gt;"",('TP1'!E1*'TP1'!D624)/'TP1'!D1, "")</f>
        <v/>
      </c>
    </row>
    <row r="625" spans="4:5" x14ac:dyDescent="0.3">
      <c r="D625" s="2" t="str">
        <f>IF(A625&lt;&gt;"",SUM(B625:C625),"")</f>
        <v/>
      </c>
      <c r="E625" s="2" t="str">
        <f>IF(A625&lt;&gt;"",('TP1'!E1*'TP1'!D625)/'TP1'!D1, "")</f>
        <v/>
      </c>
    </row>
    <row r="626" spans="4:5" x14ac:dyDescent="0.3">
      <c r="D626" s="2" t="str">
        <f>IF(A626&lt;&gt;"",SUM(B626:C626),"")</f>
        <v/>
      </c>
      <c r="E626" s="2" t="str">
        <f>IF(A626&lt;&gt;"",('TP1'!E1*'TP1'!D626)/'TP1'!D1, "")</f>
        <v/>
      </c>
    </row>
    <row r="627" spans="4:5" x14ac:dyDescent="0.3">
      <c r="D627" s="2" t="str">
        <f>IF(A627&lt;&gt;"",SUM(B627:C627),"")</f>
        <v/>
      </c>
      <c r="E627" s="2" t="str">
        <f>IF(A627&lt;&gt;"",('TP1'!E1*'TP1'!D627)/'TP1'!D1, "")</f>
        <v/>
      </c>
    </row>
    <row r="628" spans="4:5" x14ac:dyDescent="0.3">
      <c r="D628" s="2" t="str">
        <f>IF(A628&lt;&gt;"",SUM(B628:C628),"")</f>
        <v/>
      </c>
      <c r="E628" s="2" t="str">
        <f>IF(A628&lt;&gt;"",('TP1'!E1*'TP1'!D628)/'TP1'!D1, "")</f>
        <v/>
      </c>
    </row>
    <row r="629" spans="4:5" x14ac:dyDescent="0.3">
      <c r="D629" s="2" t="str">
        <f>IF(A629&lt;&gt;"",SUM(B629:C629),"")</f>
        <v/>
      </c>
      <c r="E629" s="2" t="str">
        <f>IF(A629&lt;&gt;"",('TP1'!E1*'TP1'!D629)/'TP1'!D1, "")</f>
        <v/>
      </c>
    </row>
    <row r="630" spans="4:5" x14ac:dyDescent="0.3">
      <c r="D630" s="2" t="str">
        <f>IF(A630&lt;&gt;"",SUM(B630:C630),"")</f>
        <v/>
      </c>
      <c r="E630" s="2" t="str">
        <f>IF(A630&lt;&gt;"",('TP1'!E1*'TP1'!D630)/'TP1'!D1, "")</f>
        <v/>
      </c>
    </row>
    <row r="631" spans="4:5" x14ac:dyDescent="0.3">
      <c r="D631" s="2" t="str">
        <f>IF(A631&lt;&gt;"",SUM(B631:C631),"")</f>
        <v/>
      </c>
      <c r="E631" s="2" t="str">
        <f>IF(A631&lt;&gt;"",('TP1'!E1*'TP1'!D631)/'TP1'!D1, "")</f>
        <v/>
      </c>
    </row>
    <row r="632" spans="4:5" x14ac:dyDescent="0.3">
      <c r="D632" s="2" t="str">
        <f>IF(A632&lt;&gt;"",SUM(B632:C632),"")</f>
        <v/>
      </c>
      <c r="E632" s="2" t="str">
        <f>IF(A632&lt;&gt;"",('TP1'!E1*'TP1'!D632)/'TP1'!D1, "")</f>
        <v/>
      </c>
    </row>
    <row r="633" spans="4:5" x14ac:dyDescent="0.3">
      <c r="D633" s="2" t="str">
        <f>IF(A633&lt;&gt;"",SUM(B633:C633),"")</f>
        <v/>
      </c>
      <c r="E633" s="2" t="str">
        <f>IF(A633&lt;&gt;"",('TP1'!E1*'TP1'!D633)/'TP1'!D1, "")</f>
        <v/>
      </c>
    </row>
    <row r="634" spans="4:5" x14ac:dyDescent="0.3">
      <c r="D634" s="2" t="str">
        <f>IF(A634&lt;&gt;"",SUM(B634:C634),"")</f>
        <v/>
      </c>
      <c r="E634" s="2" t="str">
        <f>IF(A634&lt;&gt;"",('TP1'!E1*'TP1'!D634)/'TP1'!D1, "")</f>
        <v/>
      </c>
    </row>
    <row r="635" spans="4:5" x14ac:dyDescent="0.3">
      <c r="D635" s="2" t="str">
        <f>IF(A635&lt;&gt;"",SUM(B635:C635),"")</f>
        <v/>
      </c>
      <c r="E635" s="2" t="str">
        <f>IF(A635&lt;&gt;"",('TP1'!E1*'TP1'!D635)/'TP1'!D1, "")</f>
        <v/>
      </c>
    </row>
    <row r="636" spans="4:5" x14ac:dyDescent="0.3">
      <c r="D636" s="2" t="str">
        <f>IF(A636&lt;&gt;"",SUM(B636:C636),"")</f>
        <v/>
      </c>
      <c r="E636" s="2" t="str">
        <f>IF(A636&lt;&gt;"",('TP1'!E1*'TP1'!D636)/'TP1'!D1, "")</f>
        <v/>
      </c>
    </row>
    <row r="637" spans="4:5" x14ac:dyDescent="0.3">
      <c r="D637" s="2" t="str">
        <f>IF(A637&lt;&gt;"",SUM(B637:C637),"")</f>
        <v/>
      </c>
      <c r="E637" s="2" t="str">
        <f>IF(A637&lt;&gt;"",('TP1'!E1*'TP1'!D637)/'TP1'!D1, "")</f>
        <v/>
      </c>
    </row>
    <row r="638" spans="4:5" x14ac:dyDescent="0.3">
      <c r="D638" s="2" t="str">
        <f>IF(A638&lt;&gt;"",SUM(B638:C638),"")</f>
        <v/>
      </c>
      <c r="E638" s="2" t="str">
        <f>IF(A638&lt;&gt;"",('TP1'!E1*'TP1'!D638)/'TP1'!D1, "")</f>
        <v/>
      </c>
    </row>
    <row r="639" spans="4:5" x14ac:dyDescent="0.3">
      <c r="D639" s="2" t="str">
        <f>IF(A639&lt;&gt;"",SUM(B639:C639),"")</f>
        <v/>
      </c>
      <c r="E639" s="2" t="str">
        <f>IF(A639&lt;&gt;"",('TP1'!E1*'TP1'!D639)/'TP1'!D1, "")</f>
        <v/>
      </c>
    </row>
    <row r="640" spans="4:5" x14ac:dyDescent="0.3">
      <c r="D640" s="2" t="str">
        <f>IF(A640&lt;&gt;"",SUM(B640:C640),"")</f>
        <v/>
      </c>
      <c r="E640" s="2" t="str">
        <f>IF(A640&lt;&gt;"",('TP1'!E1*'TP1'!D640)/'TP1'!D1, "")</f>
        <v/>
      </c>
    </row>
    <row r="641" spans="4:5" x14ac:dyDescent="0.3">
      <c r="D641" s="2" t="str">
        <f>IF(A641&lt;&gt;"",SUM(B641:C641),"")</f>
        <v/>
      </c>
      <c r="E641" s="2" t="str">
        <f>IF(A641&lt;&gt;"",('TP1'!E1*'TP1'!D641)/'TP1'!D1, "")</f>
        <v/>
      </c>
    </row>
    <row r="642" spans="4:5" x14ac:dyDescent="0.3">
      <c r="D642" s="2" t="str">
        <f>IF(A642&lt;&gt;"",SUM(B642:C642),"")</f>
        <v/>
      </c>
      <c r="E642" s="2" t="str">
        <f>IF(A642&lt;&gt;"",('TP1'!E1*'TP1'!D642)/'TP1'!D1, "")</f>
        <v/>
      </c>
    </row>
    <row r="643" spans="4:5" x14ac:dyDescent="0.3">
      <c r="D643" s="2" t="str">
        <f>IF(A643&lt;&gt;"",SUM(B643:C643),"")</f>
        <v/>
      </c>
      <c r="E643" s="2" t="str">
        <f>IF(A643&lt;&gt;"",('TP1'!E1*'TP1'!D643)/'TP1'!D1, "")</f>
        <v/>
      </c>
    </row>
    <row r="644" spans="4:5" x14ac:dyDescent="0.3">
      <c r="D644" s="2" t="str">
        <f>IF(A644&lt;&gt;"",SUM(B644:C644),"")</f>
        <v/>
      </c>
      <c r="E644" s="2" t="str">
        <f>IF(A644&lt;&gt;"",('TP1'!E1*'TP1'!D644)/'TP1'!D1, "")</f>
        <v/>
      </c>
    </row>
    <row r="645" spans="4:5" x14ac:dyDescent="0.3">
      <c r="D645" s="2" t="str">
        <f>IF(A645&lt;&gt;"",SUM(B645:C645),"")</f>
        <v/>
      </c>
      <c r="E645" s="2" t="str">
        <f>IF(A645&lt;&gt;"",('TP1'!E1*'TP1'!D645)/'TP1'!D1, "")</f>
        <v/>
      </c>
    </row>
    <row r="646" spans="4:5" x14ac:dyDescent="0.3">
      <c r="D646" s="2" t="str">
        <f>IF(A646&lt;&gt;"",SUM(B646:C646),"")</f>
        <v/>
      </c>
      <c r="E646" s="2" t="str">
        <f>IF(A646&lt;&gt;"",('TP1'!E1*'TP1'!D646)/'TP1'!D1, "")</f>
        <v/>
      </c>
    </row>
    <row r="647" spans="4:5" x14ac:dyDescent="0.3">
      <c r="D647" s="2" t="str">
        <f>IF(A647&lt;&gt;"",SUM(B647:C647),"")</f>
        <v/>
      </c>
      <c r="E647" s="2" t="str">
        <f>IF(A647&lt;&gt;"",('TP1'!E1*'TP1'!D647)/'TP1'!D1, "")</f>
        <v/>
      </c>
    </row>
    <row r="648" spans="4:5" x14ac:dyDescent="0.3">
      <c r="D648" s="2" t="str">
        <f>IF(A648&lt;&gt;"",SUM(B648:C648),"")</f>
        <v/>
      </c>
      <c r="E648" s="2" t="str">
        <f>IF(A648&lt;&gt;"",('TP1'!E1*'TP1'!D648)/'TP1'!D1, "")</f>
        <v/>
      </c>
    </row>
    <row r="649" spans="4:5" x14ac:dyDescent="0.3">
      <c r="D649" s="2" t="str">
        <f>IF(A649&lt;&gt;"",SUM(B649:C649),"")</f>
        <v/>
      </c>
      <c r="E649" s="2" t="str">
        <f>IF(A649&lt;&gt;"",('TP1'!E1*'TP1'!D649)/'TP1'!D1, "")</f>
        <v/>
      </c>
    </row>
    <row r="650" spans="4:5" x14ac:dyDescent="0.3">
      <c r="D650" s="2" t="str">
        <f>IF(A650&lt;&gt;"",SUM(B650:C650),"")</f>
        <v/>
      </c>
      <c r="E650" s="2" t="str">
        <f>IF(A650&lt;&gt;"",('TP1'!E1*'TP1'!D650)/'TP1'!D1, "")</f>
        <v/>
      </c>
    </row>
    <row r="651" spans="4:5" x14ac:dyDescent="0.3">
      <c r="D651" s="2" t="str">
        <f>IF(A651&lt;&gt;"",SUM(B651:C651),"")</f>
        <v/>
      </c>
      <c r="E651" s="2" t="str">
        <f>IF(A651&lt;&gt;"",('TP1'!E1*'TP1'!D651)/'TP1'!D1, "")</f>
        <v/>
      </c>
    </row>
    <row r="652" spans="4:5" x14ac:dyDescent="0.3">
      <c r="D652" s="2" t="str">
        <f>IF(A652&lt;&gt;"",SUM(B652:C652),"")</f>
        <v/>
      </c>
      <c r="E652" s="2" t="str">
        <f>IF(A652&lt;&gt;"",('TP1'!E1*'TP1'!D652)/'TP1'!D1, "")</f>
        <v/>
      </c>
    </row>
    <row r="653" spans="4:5" x14ac:dyDescent="0.3">
      <c r="D653" s="2" t="str">
        <f>IF(A653&lt;&gt;"",SUM(B653:C653),"")</f>
        <v/>
      </c>
      <c r="E653" s="2" t="str">
        <f>IF(A653&lt;&gt;"",('TP1'!E1*'TP1'!D653)/'TP1'!D1, "")</f>
        <v/>
      </c>
    </row>
    <row r="654" spans="4:5" x14ac:dyDescent="0.3">
      <c r="D654" s="2" t="str">
        <f>IF(A654&lt;&gt;"",SUM(B654:C654),"")</f>
        <v/>
      </c>
      <c r="E654" s="2" t="str">
        <f>IF(A654&lt;&gt;"",('TP1'!E1*'TP1'!D654)/'TP1'!D1, "")</f>
        <v/>
      </c>
    </row>
    <row r="655" spans="4:5" x14ac:dyDescent="0.3">
      <c r="D655" s="2" t="str">
        <f>IF(A655&lt;&gt;"",SUM(B655:C655),"")</f>
        <v/>
      </c>
      <c r="E655" s="2" t="str">
        <f>IF(A655&lt;&gt;"",('TP1'!E1*'TP1'!D655)/'TP1'!D1, "")</f>
        <v/>
      </c>
    </row>
    <row r="656" spans="4:5" x14ac:dyDescent="0.3">
      <c r="D656" s="2" t="str">
        <f>IF(A656&lt;&gt;"",SUM(B656:C656),"")</f>
        <v/>
      </c>
      <c r="E656" s="2" t="str">
        <f>IF(A656&lt;&gt;"",('TP1'!E1*'TP1'!D656)/'TP1'!D1, "")</f>
        <v/>
      </c>
    </row>
    <row r="657" spans="4:5" x14ac:dyDescent="0.3">
      <c r="D657" s="2" t="str">
        <f>IF(A657&lt;&gt;"",SUM(B657:C657),"")</f>
        <v/>
      </c>
      <c r="E657" s="2" t="str">
        <f>IF(A657&lt;&gt;"",('TP1'!E1*'TP1'!D657)/'TP1'!D1, "")</f>
        <v/>
      </c>
    </row>
    <row r="658" spans="4:5" x14ac:dyDescent="0.3">
      <c r="D658" s="2" t="str">
        <f>IF(A658&lt;&gt;"",SUM(B658:C658),"")</f>
        <v/>
      </c>
      <c r="E658" s="2" t="str">
        <f>IF(A658&lt;&gt;"",('TP1'!E1*'TP1'!D658)/'TP1'!D1, "")</f>
        <v/>
      </c>
    </row>
    <row r="659" spans="4:5" x14ac:dyDescent="0.3">
      <c r="D659" s="2" t="str">
        <f>IF(A659&lt;&gt;"",SUM(B659:C659),"")</f>
        <v/>
      </c>
      <c r="E659" s="2" t="str">
        <f>IF(A659&lt;&gt;"",('TP1'!E1*'TP1'!D659)/'TP1'!D1, "")</f>
        <v/>
      </c>
    </row>
    <row r="660" spans="4:5" x14ac:dyDescent="0.3">
      <c r="D660" s="2" t="str">
        <f>IF(A660&lt;&gt;"",SUM(B660:C660),"")</f>
        <v/>
      </c>
      <c r="E660" s="2" t="str">
        <f>IF(A660&lt;&gt;"",('TP1'!E1*'TP1'!D660)/'TP1'!D1, "")</f>
        <v/>
      </c>
    </row>
    <row r="661" spans="4:5" x14ac:dyDescent="0.3">
      <c r="D661" s="2" t="str">
        <f>IF(A661&lt;&gt;"",SUM(B661:C661),"")</f>
        <v/>
      </c>
      <c r="E661" s="2" t="str">
        <f>IF(A661&lt;&gt;"",('TP1'!E1*'TP1'!D661)/'TP1'!D1, "")</f>
        <v/>
      </c>
    </row>
    <row r="662" spans="4:5" x14ac:dyDescent="0.3">
      <c r="D662" s="2" t="str">
        <f>IF(A662&lt;&gt;"",SUM(B662:C662),"")</f>
        <v/>
      </c>
      <c r="E662" s="2" t="str">
        <f>IF(A662&lt;&gt;"",('TP1'!E1*'TP1'!D662)/'TP1'!D1, "")</f>
        <v/>
      </c>
    </row>
    <row r="663" spans="4:5" x14ac:dyDescent="0.3">
      <c r="D663" s="2" t="str">
        <f>IF(A663&lt;&gt;"",SUM(B663:C663),"")</f>
        <v/>
      </c>
      <c r="E663" s="2" t="str">
        <f>IF(A663&lt;&gt;"",('TP1'!E1*'TP1'!D663)/'TP1'!D1, "")</f>
        <v/>
      </c>
    </row>
    <row r="664" spans="4:5" x14ac:dyDescent="0.3">
      <c r="D664" s="2" t="str">
        <f>IF(A664&lt;&gt;"",SUM(B664:C664),"")</f>
        <v/>
      </c>
      <c r="E664" s="2" t="str">
        <f>IF(A664&lt;&gt;"",('TP1'!E1*'TP1'!D664)/'TP1'!D1, "")</f>
        <v/>
      </c>
    </row>
    <row r="665" spans="4:5" x14ac:dyDescent="0.3">
      <c r="D665" s="2" t="str">
        <f>IF(A665&lt;&gt;"",SUM(B665:C665),"")</f>
        <v/>
      </c>
      <c r="E665" s="2" t="str">
        <f>IF(A665&lt;&gt;"",('TP1'!E1*'TP1'!D665)/'TP1'!D1, "")</f>
        <v/>
      </c>
    </row>
    <row r="666" spans="4:5" x14ac:dyDescent="0.3">
      <c r="D666" s="2" t="str">
        <f>IF(A666&lt;&gt;"",SUM(B666:C666),"")</f>
        <v/>
      </c>
      <c r="E666" s="2" t="str">
        <f>IF(A666&lt;&gt;"",('TP1'!E1*'TP1'!D666)/'TP1'!D1, "")</f>
        <v/>
      </c>
    </row>
    <row r="667" spans="4:5" x14ac:dyDescent="0.3">
      <c r="D667" s="2" t="str">
        <f>IF(A667&lt;&gt;"",SUM(B667:C667),"")</f>
        <v/>
      </c>
      <c r="E667" s="2" t="str">
        <f>IF(A667&lt;&gt;"",('TP1'!E1*'TP1'!D667)/'TP1'!D1, "")</f>
        <v/>
      </c>
    </row>
    <row r="668" spans="4:5" x14ac:dyDescent="0.3">
      <c r="D668" s="2" t="str">
        <f>IF(A668&lt;&gt;"",SUM(B668:C668),"")</f>
        <v/>
      </c>
      <c r="E668" s="2" t="str">
        <f>IF(A668&lt;&gt;"",('TP1'!E1*'TP1'!D668)/'TP1'!D1, "")</f>
        <v/>
      </c>
    </row>
    <row r="669" spans="4:5" x14ac:dyDescent="0.3">
      <c r="D669" s="2" t="str">
        <f>IF(A669&lt;&gt;"",SUM(B669:C669),"")</f>
        <v/>
      </c>
      <c r="E669" s="2" t="str">
        <f>IF(A669&lt;&gt;"",('TP1'!E1*'TP1'!D669)/'TP1'!D1, "")</f>
        <v/>
      </c>
    </row>
    <row r="670" spans="4:5" x14ac:dyDescent="0.3">
      <c r="D670" s="2" t="str">
        <f>IF(A670&lt;&gt;"",SUM(B670:C670),"")</f>
        <v/>
      </c>
      <c r="E670" s="2" t="str">
        <f>IF(A670&lt;&gt;"",('TP1'!E1*'TP1'!D670)/'TP1'!D1, "")</f>
        <v/>
      </c>
    </row>
    <row r="671" spans="4:5" x14ac:dyDescent="0.3">
      <c r="D671" s="2" t="str">
        <f>IF(A671&lt;&gt;"",SUM(B671:C671),"")</f>
        <v/>
      </c>
      <c r="E671" s="2" t="str">
        <f>IF(A671&lt;&gt;"",('TP1'!E1*'TP1'!D671)/'TP1'!D1, "")</f>
        <v/>
      </c>
    </row>
    <row r="672" spans="4:5" x14ac:dyDescent="0.3">
      <c r="D672" s="2" t="str">
        <f>IF(A672&lt;&gt;"",SUM(B672:C672),"")</f>
        <v/>
      </c>
      <c r="E672" s="2" t="str">
        <f>IF(A672&lt;&gt;"",('TP1'!E1*'TP1'!D672)/'TP1'!D1, "")</f>
        <v/>
      </c>
    </row>
    <row r="673" spans="4:5" x14ac:dyDescent="0.3">
      <c r="D673" s="2" t="str">
        <f>IF(A673&lt;&gt;"",SUM(B673:C673),"")</f>
        <v/>
      </c>
      <c r="E673" s="2" t="str">
        <f>IF(A673&lt;&gt;"",('TP1'!E1*'TP1'!D673)/'TP1'!D1, "")</f>
        <v/>
      </c>
    </row>
    <row r="674" spans="4:5" x14ac:dyDescent="0.3">
      <c r="D674" s="2" t="str">
        <f>IF(A674&lt;&gt;"",SUM(B674:C674),"")</f>
        <v/>
      </c>
      <c r="E674" s="2" t="str">
        <f>IF(A674&lt;&gt;"",('TP1'!E1*'TP1'!D674)/'TP1'!D1, "")</f>
        <v/>
      </c>
    </row>
    <row r="675" spans="4:5" x14ac:dyDescent="0.3">
      <c r="D675" s="2" t="str">
        <f>IF(A675&lt;&gt;"",SUM(B675:C675),"")</f>
        <v/>
      </c>
      <c r="E675" s="2" t="str">
        <f>IF(A675&lt;&gt;"",('TP1'!E1*'TP1'!D675)/'TP1'!D1, "")</f>
        <v/>
      </c>
    </row>
    <row r="676" spans="4:5" x14ac:dyDescent="0.3">
      <c r="D676" s="2" t="str">
        <f>IF(A676&lt;&gt;"",SUM(B676:C676),"")</f>
        <v/>
      </c>
      <c r="E676" s="2" t="str">
        <f>IF(A676&lt;&gt;"",('TP1'!E1*'TP1'!D676)/'TP1'!D1, "")</f>
        <v/>
      </c>
    </row>
    <row r="677" spans="4:5" x14ac:dyDescent="0.3">
      <c r="D677" s="2" t="str">
        <f>IF(A677&lt;&gt;"",SUM(B677:C677),"")</f>
        <v/>
      </c>
      <c r="E677" s="2" t="str">
        <f>IF(A677&lt;&gt;"",('TP1'!E1*'TP1'!D677)/'TP1'!D1, "")</f>
        <v/>
      </c>
    </row>
    <row r="678" spans="4:5" x14ac:dyDescent="0.3">
      <c r="D678" s="2" t="str">
        <f>IF(A678&lt;&gt;"",SUM(B678:C678),"")</f>
        <v/>
      </c>
      <c r="E678" s="2" t="str">
        <f>IF(A678&lt;&gt;"",('TP1'!E1*'TP1'!D678)/'TP1'!D1, "")</f>
        <v/>
      </c>
    </row>
    <row r="679" spans="4:5" x14ac:dyDescent="0.3">
      <c r="D679" s="2" t="str">
        <f>IF(A679&lt;&gt;"",SUM(B679:C679),"")</f>
        <v/>
      </c>
      <c r="E679" s="2" t="str">
        <f>IF(A679&lt;&gt;"",('TP1'!E1*'TP1'!D679)/'TP1'!D1, "")</f>
        <v/>
      </c>
    </row>
    <row r="680" spans="4:5" x14ac:dyDescent="0.3">
      <c r="D680" s="2" t="str">
        <f>IF(A680&lt;&gt;"",SUM(B680:C680),"")</f>
        <v/>
      </c>
      <c r="E680" s="2" t="str">
        <f>IF(A680&lt;&gt;"",('TP1'!E1*'TP1'!D680)/'TP1'!D1, "")</f>
        <v/>
      </c>
    </row>
    <row r="681" spans="4:5" x14ac:dyDescent="0.3">
      <c r="D681" s="2" t="str">
        <f>IF(A681&lt;&gt;"",SUM(B681:C681),"")</f>
        <v/>
      </c>
      <c r="E681" s="2" t="str">
        <f>IF(A681&lt;&gt;"",('TP1'!E1*'TP1'!D681)/'TP1'!D1, "")</f>
        <v/>
      </c>
    </row>
    <row r="682" spans="4:5" x14ac:dyDescent="0.3">
      <c r="D682" s="2" t="str">
        <f>IF(A682&lt;&gt;"",SUM(B682:C682),"")</f>
        <v/>
      </c>
      <c r="E682" s="2" t="str">
        <f>IF(A682&lt;&gt;"",('TP1'!E1*'TP1'!D682)/'TP1'!D1, "")</f>
        <v/>
      </c>
    </row>
    <row r="683" spans="4:5" x14ac:dyDescent="0.3">
      <c r="D683" s="2" t="str">
        <f>IF(A683&lt;&gt;"",SUM(B683:C683),"")</f>
        <v/>
      </c>
      <c r="E683" s="2" t="str">
        <f>IF(A683&lt;&gt;"",('TP1'!E1*'TP1'!D683)/'TP1'!D1, "")</f>
        <v/>
      </c>
    </row>
    <row r="684" spans="4:5" x14ac:dyDescent="0.3">
      <c r="D684" s="2" t="str">
        <f>IF(A684&lt;&gt;"",SUM(B684:C684),"")</f>
        <v/>
      </c>
      <c r="E684" s="2" t="str">
        <f>IF(A684&lt;&gt;"",('TP1'!E1*'TP1'!D684)/'TP1'!D1, "")</f>
        <v/>
      </c>
    </row>
    <row r="685" spans="4:5" x14ac:dyDescent="0.3">
      <c r="D685" s="2" t="str">
        <f>IF(A685&lt;&gt;"",SUM(B685:C685),"")</f>
        <v/>
      </c>
      <c r="E685" s="2" t="str">
        <f>IF(A685&lt;&gt;"",('TP1'!E1*'TP1'!D685)/'TP1'!D1, "")</f>
        <v/>
      </c>
    </row>
    <row r="686" spans="4:5" x14ac:dyDescent="0.3">
      <c r="D686" s="2" t="str">
        <f>IF(A686&lt;&gt;"",SUM(B686:C686),"")</f>
        <v/>
      </c>
      <c r="E686" s="2" t="str">
        <f>IF(A686&lt;&gt;"",('TP1'!E1*'TP1'!D686)/'TP1'!D1, "")</f>
        <v/>
      </c>
    </row>
    <row r="687" spans="4:5" x14ac:dyDescent="0.3">
      <c r="D687" s="2" t="str">
        <f>IF(A687&lt;&gt;"",SUM(B687:C687),"")</f>
        <v/>
      </c>
      <c r="E687" s="2" t="str">
        <f>IF(A687&lt;&gt;"",('TP1'!E1*'TP1'!D687)/'TP1'!D1, "")</f>
        <v/>
      </c>
    </row>
    <row r="688" spans="4:5" x14ac:dyDescent="0.3">
      <c r="D688" s="2" t="str">
        <f>IF(A688&lt;&gt;"",SUM(B688:C688),"")</f>
        <v/>
      </c>
      <c r="E688" s="2" t="str">
        <f>IF(A688&lt;&gt;"",('TP1'!E1*'TP1'!D688)/'TP1'!D1, "")</f>
        <v/>
      </c>
    </row>
    <row r="689" spans="4:5" x14ac:dyDescent="0.3">
      <c r="D689" s="2" t="str">
        <f>IF(A689&lt;&gt;"",SUM(B689:C689),"")</f>
        <v/>
      </c>
      <c r="E689" s="2" t="str">
        <f>IF(A689&lt;&gt;"",('TP1'!E1*'TP1'!D689)/'TP1'!D1, "")</f>
        <v/>
      </c>
    </row>
    <row r="690" spans="4:5" x14ac:dyDescent="0.3">
      <c r="D690" s="2" t="str">
        <f>IF(A690&lt;&gt;"",SUM(B690:C690),"")</f>
        <v/>
      </c>
      <c r="E690" s="2" t="str">
        <f>IF(A690&lt;&gt;"",('TP1'!E1*'TP1'!D690)/'TP1'!D1, "")</f>
        <v/>
      </c>
    </row>
    <row r="691" spans="4:5" x14ac:dyDescent="0.3">
      <c r="D691" s="2" t="str">
        <f>IF(A691&lt;&gt;"",SUM(B691:C691),"")</f>
        <v/>
      </c>
      <c r="E691" s="2" t="str">
        <f>IF(A691&lt;&gt;"",('TP1'!E1*'TP1'!D691)/'TP1'!D1, "")</f>
        <v/>
      </c>
    </row>
    <row r="692" spans="4:5" x14ac:dyDescent="0.3">
      <c r="D692" s="2" t="str">
        <f>IF(A692&lt;&gt;"",SUM(B692:C692),"")</f>
        <v/>
      </c>
      <c r="E692" s="2" t="str">
        <f>IF(A692&lt;&gt;"",('TP1'!E1*'TP1'!D692)/'TP1'!D1, "")</f>
        <v/>
      </c>
    </row>
    <row r="693" spans="4:5" x14ac:dyDescent="0.3">
      <c r="D693" s="2" t="str">
        <f>IF(A693&lt;&gt;"",SUM(B693:C693),"")</f>
        <v/>
      </c>
      <c r="E693" s="2" t="str">
        <f>IF(A693&lt;&gt;"",('TP1'!E1*'TP1'!D693)/'TP1'!D1, "")</f>
        <v/>
      </c>
    </row>
    <row r="694" spans="4:5" x14ac:dyDescent="0.3">
      <c r="D694" s="2" t="str">
        <f>IF(A694&lt;&gt;"",SUM(B694:C694),"")</f>
        <v/>
      </c>
      <c r="E694" s="2" t="str">
        <f>IF(A694&lt;&gt;"",('TP1'!E1*'TP1'!D694)/'TP1'!D1, "")</f>
        <v/>
      </c>
    </row>
    <row r="695" spans="4:5" x14ac:dyDescent="0.3">
      <c r="D695" s="2" t="str">
        <f>IF(A695&lt;&gt;"",SUM(B695:C695),"")</f>
        <v/>
      </c>
      <c r="E695" s="2" t="str">
        <f>IF(A695&lt;&gt;"",('TP1'!E1*'TP1'!D695)/'TP1'!D1, "")</f>
        <v/>
      </c>
    </row>
    <row r="696" spans="4:5" x14ac:dyDescent="0.3">
      <c r="D696" s="2" t="str">
        <f>IF(A696&lt;&gt;"",SUM(B696:C696),"")</f>
        <v/>
      </c>
      <c r="E696" s="2" t="str">
        <f>IF(A696&lt;&gt;"",('TP1'!E1*'TP1'!D696)/'TP1'!D1, "")</f>
        <v/>
      </c>
    </row>
    <row r="697" spans="4:5" x14ac:dyDescent="0.3">
      <c r="D697" s="2" t="str">
        <f>IF(A697&lt;&gt;"",SUM(B697:C697),"")</f>
        <v/>
      </c>
      <c r="E697" s="2" t="str">
        <f>IF(A697&lt;&gt;"",('TP1'!E1*'TP1'!D697)/'TP1'!D1, "")</f>
        <v/>
      </c>
    </row>
    <row r="698" spans="4:5" x14ac:dyDescent="0.3">
      <c r="D698" s="2" t="str">
        <f>IF(A698&lt;&gt;"",SUM(B698:C698),"")</f>
        <v/>
      </c>
      <c r="E698" s="2" t="str">
        <f>IF(A698&lt;&gt;"",('TP1'!E1*'TP1'!D698)/'TP1'!D1, "")</f>
        <v/>
      </c>
    </row>
    <row r="699" spans="4:5" x14ac:dyDescent="0.3">
      <c r="D699" s="2" t="str">
        <f>IF(A699&lt;&gt;"",SUM(B699:C699),"")</f>
        <v/>
      </c>
      <c r="E699" s="2" t="str">
        <f>IF(A699&lt;&gt;"",('TP1'!E1*'TP1'!D699)/'TP1'!D1, "")</f>
        <v/>
      </c>
    </row>
    <row r="700" spans="4:5" x14ac:dyDescent="0.3">
      <c r="D700" s="2" t="str">
        <f>IF(A700&lt;&gt;"",SUM(B700:C700),"")</f>
        <v/>
      </c>
      <c r="E700" s="2" t="str">
        <f>IF(A700&lt;&gt;"",('TP1'!E1*'TP1'!D700)/'TP1'!D1, "")</f>
        <v/>
      </c>
    </row>
    <row r="701" spans="4:5" x14ac:dyDescent="0.3">
      <c r="D701" s="2" t="str">
        <f>IF(A701&lt;&gt;"",SUM(B701:C701),"")</f>
        <v/>
      </c>
      <c r="E701" s="2" t="str">
        <f>IF(A701&lt;&gt;"",('TP1'!E1*'TP1'!D701)/'TP1'!D1, "")</f>
        <v/>
      </c>
    </row>
    <row r="702" spans="4:5" x14ac:dyDescent="0.3">
      <c r="D702" s="2" t="str">
        <f>IF(A702&lt;&gt;"",SUM(B702:C702),"")</f>
        <v/>
      </c>
      <c r="E702" s="2" t="str">
        <f>IF(A702&lt;&gt;"",('TP1'!E1*'TP1'!D702)/'TP1'!D1, "")</f>
        <v/>
      </c>
    </row>
    <row r="703" spans="4:5" x14ac:dyDescent="0.3">
      <c r="D703" s="2" t="str">
        <f>IF(A703&lt;&gt;"",SUM(B703:C703),"")</f>
        <v/>
      </c>
      <c r="E703" s="2" t="str">
        <f>IF(A703&lt;&gt;"",('TP1'!E1*'TP1'!D703)/'TP1'!D1, "")</f>
        <v/>
      </c>
    </row>
    <row r="704" spans="4:5" x14ac:dyDescent="0.3">
      <c r="D704" s="2" t="str">
        <f>IF(A704&lt;&gt;"",SUM(B704:C704),"")</f>
        <v/>
      </c>
      <c r="E704" s="2" t="str">
        <f>IF(A704&lt;&gt;"",('TP1'!E1*'TP1'!D704)/'TP1'!D1, "")</f>
        <v/>
      </c>
    </row>
    <row r="705" spans="4:5" x14ac:dyDescent="0.3">
      <c r="D705" s="2" t="str">
        <f>IF(A705&lt;&gt;"",SUM(B705:C705),"")</f>
        <v/>
      </c>
      <c r="E705" s="2" t="str">
        <f>IF(A705&lt;&gt;"",('TP1'!E1*'TP1'!D705)/'TP1'!D1, "")</f>
        <v/>
      </c>
    </row>
    <row r="706" spans="4:5" x14ac:dyDescent="0.3">
      <c r="D706" s="2" t="str">
        <f>IF(A706&lt;&gt;"",SUM(B706:C706),"")</f>
        <v/>
      </c>
      <c r="E706" s="2" t="str">
        <f>IF(A706&lt;&gt;"",('TP1'!E1*'TP1'!D706)/'TP1'!D1, "")</f>
        <v/>
      </c>
    </row>
    <row r="707" spans="4:5" x14ac:dyDescent="0.3">
      <c r="D707" s="2" t="str">
        <f>IF(A707&lt;&gt;"",SUM(B707:C707),"")</f>
        <v/>
      </c>
      <c r="E707" s="2" t="str">
        <f>IF(A707&lt;&gt;"",('TP1'!E1*'TP1'!D707)/'TP1'!D1, "")</f>
        <v/>
      </c>
    </row>
    <row r="708" spans="4:5" x14ac:dyDescent="0.3">
      <c r="D708" s="2" t="str">
        <f>IF(A708&lt;&gt;"",SUM(B708:C708),"")</f>
        <v/>
      </c>
      <c r="E708" s="2" t="str">
        <f>IF(A708&lt;&gt;"",('TP1'!E1*'TP1'!D708)/'TP1'!D1, "")</f>
        <v/>
      </c>
    </row>
    <row r="709" spans="4:5" x14ac:dyDescent="0.3">
      <c r="D709" s="2" t="str">
        <f>IF(A709&lt;&gt;"",SUM(B709:C709),"")</f>
        <v/>
      </c>
      <c r="E709" s="2" t="str">
        <f>IF(A709&lt;&gt;"",('TP1'!E1*'TP1'!D709)/'TP1'!D1, "")</f>
        <v/>
      </c>
    </row>
    <row r="710" spans="4:5" x14ac:dyDescent="0.3">
      <c r="D710" s="2" t="str">
        <f>IF(A710&lt;&gt;"",SUM(B710:C710),"")</f>
        <v/>
      </c>
      <c r="E710" s="2" t="str">
        <f>IF(A710&lt;&gt;"",('TP1'!E1*'TP1'!D710)/'TP1'!D1, "")</f>
        <v/>
      </c>
    </row>
    <row r="711" spans="4:5" x14ac:dyDescent="0.3">
      <c r="D711" s="2" t="str">
        <f>IF(A711&lt;&gt;"",SUM(B711:C711),"")</f>
        <v/>
      </c>
      <c r="E711" s="2" t="str">
        <f>IF(A711&lt;&gt;"",('TP1'!E1*'TP1'!D711)/'TP1'!D1, "")</f>
        <v/>
      </c>
    </row>
    <row r="712" spans="4:5" x14ac:dyDescent="0.3">
      <c r="D712" s="2" t="str">
        <f>IF(A712&lt;&gt;"",SUM(B712:C712),"")</f>
        <v/>
      </c>
      <c r="E712" s="2" t="str">
        <f>IF(A712&lt;&gt;"",('TP1'!E1*'TP1'!D712)/'TP1'!D1, "")</f>
        <v/>
      </c>
    </row>
    <row r="713" spans="4:5" x14ac:dyDescent="0.3">
      <c r="D713" s="2" t="str">
        <f>IF(A713&lt;&gt;"",SUM(B713:C713),"")</f>
        <v/>
      </c>
      <c r="E713" s="2" t="str">
        <f>IF(A713&lt;&gt;"",('TP1'!E1*'TP1'!D713)/'TP1'!D1, "")</f>
        <v/>
      </c>
    </row>
    <row r="714" spans="4:5" x14ac:dyDescent="0.3">
      <c r="D714" s="2" t="str">
        <f>IF(A714&lt;&gt;"",SUM(B714:C714),"")</f>
        <v/>
      </c>
      <c r="E714" s="2" t="str">
        <f>IF(A714&lt;&gt;"",('TP1'!E1*'TP1'!D714)/'TP1'!D1, "")</f>
        <v/>
      </c>
    </row>
    <row r="715" spans="4:5" x14ac:dyDescent="0.3">
      <c r="D715" s="2" t="str">
        <f>IF(A715&lt;&gt;"",SUM(B715:C715),"")</f>
        <v/>
      </c>
      <c r="E715" s="2" t="str">
        <f>IF(A715&lt;&gt;"",('TP1'!E1*'TP1'!D715)/'TP1'!D1, "")</f>
        <v/>
      </c>
    </row>
    <row r="716" spans="4:5" x14ac:dyDescent="0.3">
      <c r="D716" s="2" t="str">
        <f>IF(A716&lt;&gt;"",SUM(B716:C716),"")</f>
        <v/>
      </c>
      <c r="E716" s="2" t="str">
        <f>IF(A716&lt;&gt;"",('TP1'!E1*'TP1'!D716)/'TP1'!D1, "")</f>
        <v/>
      </c>
    </row>
    <row r="717" spans="4:5" x14ac:dyDescent="0.3">
      <c r="D717" s="2" t="str">
        <f>IF(A717&lt;&gt;"",SUM(B717:C717),"")</f>
        <v/>
      </c>
      <c r="E717" s="2" t="str">
        <f>IF(A717&lt;&gt;"",('TP1'!E1*'TP1'!D717)/'TP1'!D1, "")</f>
        <v/>
      </c>
    </row>
    <row r="718" spans="4:5" x14ac:dyDescent="0.3">
      <c r="D718" s="2" t="str">
        <f>IF(A718&lt;&gt;"",SUM(B718:C718),"")</f>
        <v/>
      </c>
      <c r="E718" s="2" t="str">
        <f>IF(A718&lt;&gt;"",('TP1'!E1*'TP1'!D718)/'TP1'!D1, "")</f>
        <v/>
      </c>
    </row>
    <row r="719" spans="4:5" x14ac:dyDescent="0.3">
      <c r="D719" s="2" t="str">
        <f>IF(A719&lt;&gt;"",SUM(B719:C719),"")</f>
        <v/>
      </c>
      <c r="E719" s="2" t="str">
        <f>IF(A719&lt;&gt;"",('TP1'!E1*'TP1'!D719)/'TP1'!D1, "")</f>
        <v/>
      </c>
    </row>
    <row r="720" spans="4:5" x14ac:dyDescent="0.3">
      <c r="D720" s="2" t="str">
        <f>IF(A720&lt;&gt;"",SUM(B720:C720),"")</f>
        <v/>
      </c>
      <c r="E720" s="2" t="str">
        <f>IF(A720&lt;&gt;"",('TP1'!E1*'TP1'!D720)/'TP1'!D1, "")</f>
        <v/>
      </c>
    </row>
    <row r="721" spans="4:5" x14ac:dyDescent="0.3">
      <c r="D721" s="2" t="str">
        <f>IF(A721&lt;&gt;"",SUM(B721:C721),"")</f>
        <v/>
      </c>
      <c r="E721" s="2" t="str">
        <f>IF(A721&lt;&gt;"",('TP1'!E1*'TP1'!D721)/'TP1'!D1, "")</f>
        <v/>
      </c>
    </row>
    <row r="722" spans="4:5" x14ac:dyDescent="0.3">
      <c r="D722" s="2" t="str">
        <f>IF(A722&lt;&gt;"",SUM(B722:C722),"")</f>
        <v/>
      </c>
      <c r="E722" s="2" t="str">
        <f>IF(A722&lt;&gt;"",('TP1'!E1*'TP1'!D722)/'TP1'!D1, "")</f>
        <v/>
      </c>
    </row>
    <row r="723" spans="4:5" x14ac:dyDescent="0.3">
      <c r="D723" s="2" t="str">
        <f>IF(A723&lt;&gt;"",SUM(B723:C723),"")</f>
        <v/>
      </c>
      <c r="E723" s="2" t="str">
        <f>IF(A723&lt;&gt;"",('TP1'!E1*'TP1'!D723)/'TP1'!D1, "")</f>
        <v/>
      </c>
    </row>
    <row r="724" spans="4:5" x14ac:dyDescent="0.3">
      <c r="D724" s="2" t="str">
        <f>IF(A724&lt;&gt;"",SUM(B724:C724),"")</f>
        <v/>
      </c>
      <c r="E724" s="2" t="str">
        <f>IF(A724&lt;&gt;"",('TP1'!E1*'TP1'!D724)/'TP1'!D1, "")</f>
        <v/>
      </c>
    </row>
    <row r="725" spans="4:5" x14ac:dyDescent="0.3">
      <c r="D725" s="2" t="str">
        <f>IF(A725&lt;&gt;"",SUM(B725:C725),"")</f>
        <v/>
      </c>
      <c r="E725" s="2" t="str">
        <f>IF(A725&lt;&gt;"",('TP1'!E1*'TP1'!D725)/'TP1'!D1, "")</f>
        <v/>
      </c>
    </row>
    <row r="726" spans="4:5" x14ac:dyDescent="0.3">
      <c r="D726" s="2" t="str">
        <f>IF(A726&lt;&gt;"",SUM(B726:C726),"")</f>
        <v/>
      </c>
      <c r="E726" s="2" t="str">
        <f>IF(A726&lt;&gt;"",('TP1'!E1*'TP1'!D726)/'TP1'!D1, "")</f>
        <v/>
      </c>
    </row>
    <row r="727" spans="4:5" x14ac:dyDescent="0.3">
      <c r="D727" s="2" t="str">
        <f>IF(A727&lt;&gt;"",SUM(B727:C727),"")</f>
        <v/>
      </c>
      <c r="E727" s="2" t="str">
        <f>IF(A727&lt;&gt;"",('TP1'!E1*'TP1'!D727)/'TP1'!D1, "")</f>
        <v/>
      </c>
    </row>
    <row r="728" spans="4:5" x14ac:dyDescent="0.3">
      <c r="D728" s="2" t="str">
        <f>IF(A728&lt;&gt;"",SUM(B728:C728),"")</f>
        <v/>
      </c>
      <c r="E728" s="2" t="str">
        <f>IF(A728&lt;&gt;"",('TP1'!E1*'TP1'!D728)/'TP1'!D1, "")</f>
        <v/>
      </c>
    </row>
    <row r="729" spans="4:5" x14ac:dyDescent="0.3">
      <c r="D729" s="2" t="str">
        <f>IF(A729&lt;&gt;"",SUM(B729:C729),"")</f>
        <v/>
      </c>
      <c r="E729" s="2" t="str">
        <f>IF(A729&lt;&gt;"",('TP1'!E1*'TP1'!D729)/'TP1'!D1, "")</f>
        <v/>
      </c>
    </row>
    <row r="730" spans="4:5" x14ac:dyDescent="0.3">
      <c r="D730" s="2" t="str">
        <f>IF(A730&lt;&gt;"",SUM(B730:C730),"")</f>
        <v/>
      </c>
      <c r="E730" s="2" t="str">
        <f>IF(A730&lt;&gt;"",('TP1'!E1*'TP1'!D730)/'TP1'!D1, "")</f>
        <v/>
      </c>
    </row>
    <row r="731" spans="4:5" x14ac:dyDescent="0.3">
      <c r="D731" s="2" t="str">
        <f>IF(A731&lt;&gt;"",SUM(B731:C731),"")</f>
        <v/>
      </c>
      <c r="E731" s="2" t="str">
        <f>IF(A731&lt;&gt;"",('TP1'!E1*'TP1'!D731)/'TP1'!D1, "")</f>
        <v/>
      </c>
    </row>
    <row r="732" spans="4:5" x14ac:dyDescent="0.3">
      <c r="D732" s="2" t="str">
        <f>IF(A732&lt;&gt;"",SUM(B732:C732),"")</f>
        <v/>
      </c>
      <c r="E732" s="2" t="str">
        <f>IF(A732&lt;&gt;"",('TP1'!E1*'TP1'!D732)/'TP1'!D1, "")</f>
        <v/>
      </c>
    </row>
    <row r="733" spans="4:5" x14ac:dyDescent="0.3">
      <c r="D733" s="2" t="str">
        <f>IF(A733&lt;&gt;"",SUM(B733:C733),"")</f>
        <v/>
      </c>
      <c r="E733" s="2" t="str">
        <f>IF(A733&lt;&gt;"",('TP1'!E1*'TP1'!D733)/'TP1'!D1, "")</f>
        <v/>
      </c>
    </row>
    <row r="734" spans="4:5" x14ac:dyDescent="0.3">
      <c r="D734" s="2" t="str">
        <f>IF(A734&lt;&gt;"",SUM(B734:C734),"")</f>
        <v/>
      </c>
      <c r="E734" s="2" t="str">
        <f>IF(A734&lt;&gt;"",('TP1'!E1*'TP1'!D734)/'TP1'!D1, "")</f>
        <v/>
      </c>
    </row>
    <row r="735" spans="4:5" x14ac:dyDescent="0.3">
      <c r="D735" s="2" t="str">
        <f>IF(A735&lt;&gt;"",SUM(B735:C735),"")</f>
        <v/>
      </c>
      <c r="E735" s="2" t="str">
        <f>IF(A735&lt;&gt;"",('TP1'!E1*'TP1'!D735)/'TP1'!D1, "")</f>
        <v/>
      </c>
    </row>
    <row r="736" spans="4:5" x14ac:dyDescent="0.3">
      <c r="D736" s="2" t="str">
        <f>IF(A736&lt;&gt;"",SUM(B736:C736),"")</f>
        <v/>
      </c>
      <c r="E736" s="2" t="str">
        <f>IF(A736&lt;&gt;"",('TP1'!E1*'TP1'!D736)/'TP1'!D1, "")</f>
        <v/>
      </c>
    </row>
    <row r="737" spans="4:5" x14ac:dyDescent="0.3">
      <c r="D737" s="2" t="str">
        <f>IF(A737&lt;&gt;"",SUM(B737:C737),"")</f>
        <v/>
      </c>
      <c r="E737" s="2" t="str">
        <f>IF(A737&lt;&gt;"",('TP1'!E1*'TP1'!D737)/'TP1'!D1, "")</f>
        <v/>
      </c>
    </row>
    <row r="738" spans="4:5" x14ac:dyDescent="0.3">
      <c r="D738" s="2" t="str">
        <f>IF(A738&lt;&gt;"",SUM(B738:C738),"")</f>
        <v/>
      </c>
      <c r="E738" s="2" t="str">
        <f>IF(A738&lt;&gt;"",('TP1'!E1*'TP1'!D738)/'TP1'!D1, "")</f>
        <v/>
      </c>
    </row>
    <row r="739" spans="4:5" x14ac:dyDescent="0.3">
      <c r="D739" s="2" t="str">
        <f>IF(A739&lt;&gt;"",SUM(B739:C739),"")</f>
        <v/>
      </c>
      <c r="E739" s="2" t="str">
        <f>IF(A739&lt;&gt;"",('TP1'!E1*'TP1'!D739)/'TP1'!D1, "")</f>
        <v/>
      </c>
    </row>
    <row r="740" spans="4:5" x14ac:dyDescent="0.3">
      <c r="D740" s="2" t="str">
        <f>IF(A740&lt;&gt;"",SUM(B740:C740),"")</f>
        <v/>
      </c>
      <c r="E740" s="2" t="str">
        <f>IF(A740&lt;&gt;"",('TP1'!E1*'TP1'!D740)/'TP1'!D1, "")</f>
        <v/>
      </c>
    </row>
    <row r="741" spans="4:5" x14ac:dyDescent="0.3">
      <c r="D741" s="2" t="str">
        <f>IF(A741&lt;&gt;"",SUM(B741:C741),"")</f>
        <v/>
      </c>
      <c r="E741" s="2" t="str">
        <f>IF(A741&lt;&gt;"",('TP1'!E1*'TP1'!D741)/'TP1'!D1, "")</f>
        <v/>
      </c>
    </row>
    <row r="742" spans="4:5" x14ac:dyDescent="0.3">
      <c r="D742" s="2" t="str">
        <f>IF(A742&lt;&gt;"",SUM(B742:C742),"")</f>
        <v/>
      </c>
      <c r="E742" s="2" t="str">
        <f>IF(A742&lt;&gt;"",('TP1'!E1*'TP1'!D742)/'TP1'!D1, "")</f>
        <v/>
      </c>
    </row>
    <row r="743" spans="4:5" x14ac:dyDescent="0.3">
      <c r="D743" s="2" t="str">
        <f>IF(A743&lt;&gt;"",SUM(B743:C743),"")</f>
        <v/>
      </c>
      <c r="E743" s="2" t="str">
        <f>IF(A743&lt;&gt;"",('TP1'!E1*'TP1'!D743)/'TP1'!D1, "")</f>
        <v/>
      </c>
    </row>
    <row r="744" spans="4:5" x14ac:dyDescent="0.3">
      <c r="D744" s="2" t="str">
        <f>IF(A744&lt;&gt;"",SUM(B744:C744),"")</f>
        <v/>
      </c>
      <c r="E744" s="2" t="str">
        <f>IF(A744&lt;&gt;"",('TP1'!E1*'TP1'!D744)/'TP1'!D1, "")</f>
        <v/>
      </c>
    </row>
    <row r="745" spans="4:5" x14ac:dyDescent="0.3">
      <c r="D745" s="2" t="str">
        <f>IF(A745&lt;&gt;"",SUM(B745:C745),"")</f>
        <v/>
      </c>
      <c r="E745" s="2" t="str">
        <f>IF(A745&lt;&gt;"",('TP1'!E1*'TP1'!D745)/'TP1'!D1, "")</f>
        <v/>
      </c>
    </row>
    <row r="746" spans="4:5" x14ac:dyDescent="0.3">
      <c r="D746" s="2" t="str">
        <f>IF(A746&lt;&gt;"",SUM(B746:C746),"")</f>
        <v/>
      </c>
      <c r="E746" s="2" t="str">
        <f>IF(A746&lt;&gt;"",('TP1'!E1*'TP1'!D746)/'TP1'!D1, "")</f>
        <v/>
      </c>
    </row>
    <row r="747" spans="4:5" x14ac:dyDescent="0.3">
      <c r="D747" s="2" t="str">
        <f>IF(A747&lt;&gt;"",SUM(B747:C747),"")</f>
        <v/>
      </c>
      <c r="E747" s="2" t="str">
        <f>IF(A747&lt;&gt;"",('TP1'!E1*'TP1'!D747)/'TP1'!D1, "")</f>
        <v/>
      </c>
    </row>
    <row r="748" spans="4:5" x14ac:dyDescent="0.3">
      <c r="D748" s="2" t="str">
        <f>IF(A748&lt;&gt;"",SUM(B748:C748),"")</f>
        <v/>
      </c>
      <c r="E748" s="2" t="str">
        <f>IF(A748&lt;&gt;"",('TP1'!E1*'TP1'!D748)/'TP1'!D1, "")</f>
        <v/>
      </c>
    </row>
    <row r="749" spans="4:5" x14ac:dyDescent="0.3">
      <c r="D749" s="2" t="str">
        <f>IF(A749&lt;&gt;"",SUM(B749:C749),"")</f>
        <v/>
      </c>
      <c r="E749" s="2" t="str">
        <f>IF(A749&lt;&gt;"",('TP1'!E1*'TP1'!D749)/'TP1'!D1, "")</f>
        <v/>
      </c>
    </row>
    <row r="750" spans="4:5" x14ac:dyDescent="0.3">
      <c r="D750" s="2" t="str">
        <f>IF(A750&lt;&gt;"",SUM(B750:C750),"")</f>
        <v/>
      </c>
      <c r="E750" s="2" t="str">
        <f>IF(A750&lt;&gt;"",('TP1'!E1*'TP1'!D750)/'TP1'!D1, "")</f>
        <v/>
      </c>
    </row>
    <row r="751" spans="4:5" x14ac:dyDescent="0.3">
      <c r="D751" s="2" t="str">
        <f>IF(A751&lt;&gt;"",SUM(B751:C751),"")</f>
        <v/>
      </c>
      <c r="E751" s="2" t="str">
        <f>IF(A751&lt;&gt;"",('TP1'!E1*'TP1'!D751)/'TP1'!D1, "")</f>
        <v/>
      </c>
    </row>
    <row r="752" spans="4:5" x14ac:dyDescent="0.3">
      <c r="D752" s="2" t="str">
        <f>IF(A752&lt;&gt;"",SUM(B752:C752),"")</f>
        <v/>
      </c>
      <c r="E752" s="2" t="str">
        <f>IF(A752&lt;&gt;"",('TP1'!E1*'TP1'!D752)/'TP1'!D1, "")</f>
        <v/>
      </c>
    </row>
    <row r="753" spans="4:5" x14ac:dyDescent="0.3">
      <c r="D753" s="2" t="str">
        <f>IF(A753&lt;&gt;"",SUM(B753:C753),"")</f>
        <v/>
      </c>
      <c r="E753" s="2" t="str">
        <f>IF(A753&lt;&gt;"",('TP1'!E1*'TP1'!D753)/'TP1'!D1, "")</f>
        <v/>
      </c>
    </row>
    <row r="754" spans="4:5" x14ac:dyDescent="0.3">
      <c r="D754" s="2" t="str">
        <f>IF(A754&lt;&gt;"",SUM(B754:C754),"")</f>
        <v/>
      </c>
      <c r="E754" s="2" t="str">
        <f>IF(A754&lt;&gt;"",('TP1'!E1*'TP1'!D754)/'TP1'!D1, "")</f>
        <v/>
      </c>
    </row>
    <row r="755" spans="4:5" x14ac:dyDescent="0.3">
      <c r="D755" s="2" t="str">
        <f>IF(A755&lt;&gt;"",SUM(B755:C755),"")</f>
        <v/>
      </c>
      <c r="E755" s="2" t="str">
        <f>IF(A755&lt;&gt;"",('TP1'!E1*'TP1'!D755)/'TP1'!D1, "")</f>
        <v/>
      </c>
    </row>
    <row r="756" spans="4:5" x14ac:dyDescent="0.3">
      <c r="D756" s="2" t="str">
        <f>IF(A756&lt;&gt;"",SUM(B756:C756),"")</f>
        <v/>
      </c>
      <c r="E756" s="2" t="str">
        <f>IF(A756&lt;&gt;"",('TP1'!E1*'TP1'!D756)/'TP1'!D1, "")</f>
        <v/>
      </c>
    </row>
    <row r="757" spans="4:5" x14ac:dyDescent="0.3">
      <c r="D757" s="2" t="str">
        <f>IF(A757&lt;&gt;"",SUM(B757:C757),"")</f>
        <v/>
      </c>
      <c r="E757" s="2" t="str">
        <f>IF(A757&lt;&gt;"",('TP1'!E1*'TP1'!D757)/'TP1'!D1, "")</f>
        <v/>
      </c>
    </row>
    <row r="758" spans="4:5" x14ac:dyDescent="0.3">
      <c r="D758" s="2" t="str">
        <f>IF(A758&lt;&gt;"",SUM(B758:C758),"")</f>
        <v/>
      </c>
      <c r="E758" s="2" t="str">
        <f>IF(A758&lt;&gt;"",('TP1'!E1*'TP1'!D758)/'TP1'!D1, "")</f>
        <v/>
      </c>
    </row>
    <row r="759" spans="4:5" x14ac:dyDescent="0.3">
      <c r="D759" s="2" t="str">
        <f>IF(A759&lt;&gt;"",SUM(B759:C759),"")</f>
        <v/>
      </c>
      <c r="E759" s="2" t="str">
        <f>IF(A759&lt;&gt;"",('TP1'!E1*'TP1'!D759)/'TP1'!D1, "")</f>
        <v/>
      </c>
    </row>
    <row r="760" spans="4:5" x14ac:dyDescent="0.3">
      <c r="D760" s="2" t="str">
        <f>IF(A760&lt;&gt;"",SUM(B760:C760),"")</f>
        <v/>
      </c>
      <c r="E760" s="2" t="str">
        <f>IF(A760&lt;&gt;"",('TP1'!E1*'TP1'!D760)/'TP1'!D1, "")</f>
        <v/>
      </c>
    </row>
    <row r="761" spans="4:5" x14ac:dyDescent="0.3">
      <c r="D761" s="2" t="str">
        <f>IF(A761&lt;&gt;"",SUM(B761:C761),"")</f>
        <v/>
      </c>
      <c r="E761" s="2" t="str">
        <f>IF(A761&lt;&gt;"",('TP1'!E1*'TP1'!D761)/'TP1'!D1, "")</f>
        <v/>
      </c>
    </row>
    <row r="762" spans="4:5" x14ac:dyDescent="0.3">
      <c r="D762" s="2" t="str">
        <f>IF(A762&lt;&gt;"",SUM(B762:C762),"")</f>
        <v/>
      </c>
      <c r="E762" s="2" t="str">
        <f>IF(A762&lt;&gt;"",('TP1'!E1*'TP1'!D762)/'TP1'!D1, "")</f>
        <v/>
      </c>
    </row>
    <row r="763" spans="4:5" x14ac:dyDescent="0.3">
      <c r="D763" s="2" t="str">
        <f>IF(A763&lt;&gt;"",SUM(B763:C763),"")</f>
        <v/>
      </c>
      <c r="E763" s="2" t="str">
        <f>IF(A763&lt;&gt;"",('TP1'!E1*'TP1'!D763)/'TP1'!D1, "")</f>
        <v/>
      </c>
    </row>
    <row r="764" spans="4:5" x14ac:dyDescent="0.3">
      <c r="D764" s="2" t="str">
        <f>IF(A764&lt;&gt;"",SUM(B764:C764),"")</f>
        <v/>
      </c>
      <c r="E764" s="2" t="str">
        <f>IF(A764&lt;&gt;"",('TP1'!E1*'TP1'!D764)/'TP1'!D1, "")</f>
        <v/>
      </c>
    </row>
    <row r="765" spans="4:5" x14ac:dyDescent="0.3">
      <c r="D765" s="2" t="str">
        <f>IF(A765&lt;&gt;"",SUM(B765:C765),"")</f>
        <v/>
      </c>
      <c r="E765" s="2" t="str">
        <f>IF(A765&lt;&gt;"",('TP1'!E1*'TP1'!D765)/'TP1'!D1, "")</f>
        <v/>
      </c>
    </row>
    <row r="766" spans="4:5" x14ac:dyDescent="0.3">
      <c r="D766" s="2" t="str">
        <f>IF(A766&lt;&gt;"",SUM(B766:C766),"")</f>
        <v/>
      </c>
      <c r="E766" s="2" t="str">
        <f>IF(A766&lt;&gt;"",('TP1'!E1*'TP1'!D766)/'TP1'!D1, "")</f>
        <v/>
      </c>
    </row>
    <row r="767" spans="4:5" x14ac:dyDescent="0.3">
      <c r="D767" s="2" t="str">
        <f>IF(A767&lt;&gt;"",SUM(B767:C767),"")</f>
        <v/>
      </c>
      <c r="E767" s="2" t="str">
        <f>IF(A767&lt;&gt;"",('TP1'!E1*'TP1'!D767)/'TP1'!D1, "")</f>
        <v/>
      </c>
    </row>
    <row r="768" spans="4:5" x14ac:dyDescent="0.3">
      <c r="D768" s="2" t="str">
        <f>IF(A768&lt;&gt;"",SUM(B768:C768),"")</f>
        <v/>
      </c>
      <c r="E768" s="2" t="str">
        <f>IF(A768&lt;&gt;"",('TP1'!E1*'TP1'!D768)/'TP1'!D1, "")</f>
        <v/>
      </c>
    </row>
    <row r="769" spans="4:5" x14ac:dyDescent="0.3">
      <c r="D769" s="2" t="str">
        <f>IF(A769&lt;&gt;"",SUM(B769:C769),"")</f>
        <v/>
      </c>
      <c r="E769" s="2" t="str">
        <f>IF(A769&lt;&gt;"",('TP1'!E1*'TP1'!D769)/'TP1'!D1, "")</f>
        <v/>
      </c>
    </row>
    <row r="770" spans="4:5" x14ac:dyDescent="0.3">
      <c r="D770" s="2" t="str">
        <f>IF(A770&lt;&gt;"",SUM(B770:C770),"")</f>
        <v/>
      </c>
      <c r="E770" s="2" t="str">
        <f>IF(A770&lt;&gt;"",('TP1'!E1*'TP1'!D770)/'TP1'!D1, "")</f>
        <v/>
      </c>
    </row>
    <row r="771" spans="4:5" x14ac:dyDescent="0.3">
      <c r="D771" s="2" t="str">
        <f>IF(A771&lt;&gt;"",SUM(B771:C771),"")</f>
        <v/>
      </c>
      <c r="E771" s="2" t="str">
        <f>IF(A771&lt;&gt;"",('TP1'!E1*'TP1'!D771)/'TP1'!D1, "")</f>
        <v/>
      </c>
    </row>
    <row r="772" spans="4:5" x14ac:dyDescent="0.3">
      <c r="D772" s="2" t="str">
        <f>IF(A772&lt;&gt;"",SUM(B772:C772),"")</f>
        <v/>
      </c>
      <c r="E772" s="2" t="str">
        <f>IF(A772&lt;&gt;"",('TP1'!E1*'TP1'!D772)/'TP1'!D1, "")</f>
        <v/>
      </c>
    </row>
    <row r="773" spans="4:5" x14ac:dyDescent="0.3">
      <c r="D773" s="2" t="str">
        <f>IF(A773&lt;&gt;"",SUM(B773:C773),"")</f>
        <v/>
      </c>
      <c r="E773" s="2" t="str">
        <f>IF(A773&lt;&gt;"",('TP1'!E1*'TP1'!D773)/'TP1'!D1, "")</f>
        <v/>
      </c>
    </row>
    <row r="774" spans="4:5" x14ac:dyDescent="0.3">
      <c r="D774" s="2" t="str">
        <f>IF(A774&lt;&gt;"",SUM(B774:C774),"")</f>
        <v/>
      </c>
      <c r="E774" s="2" t="str">
        <f>IF(A774&lt;&gt;"",('TP1'!E1*'TP1'!D774)/'TP1'!D1, "")</f>
        <v/>
      </c>
    </row>
    <row r="775" spans="4:5" x14ac:dyDescent="0.3">
      <c r="D775" s="2" t="str">
        <f>IF(A775&lt;&gt;"",SUM(B775:C775),"")</f>
        <v/>
      </c>
      <c r="E775" s="2" t="str">
        <f>IF(A775&lt;&gt;"",('TP1'!E1*'TP1'!D775)/'TP1'!D1, "")</f>
        <v/>
      </c>
    </row>
    <row r="776" spans="4:5" x14ac:dyDescent="0.3">
      <c r="D776" s="2" t="str">
        <f>IF(A776&lt;&gt;"",SUM(B776:C776),"")</f>
        <v/>
      </c>
      <c r="E776" s="2" t="str">
        <f>IF(A776&lt;&gt;"",('TP1'!E1*'TP1'!D776)/'TP1'!D1, "")</f>
        <v/>
      </c>
    </row>
    <row r="777" spans="4:5" x14ac:dyDescent="0.3">
      <c r="D777" s="2" t="str">
        <f>IF(A777&lt;&gt;"",SUM(B777:C777),"")</f>
        <v/>
      </c>
      <c r="E777" s="2" t="str">
        <f>IF(A777&lt;&gt;"",('TP1'!E1*'TP1'!D777)/'TP1'!D1, "")</f>
        <v/>
      </c>
    </row>
    <row r="778" spans="4:5" x14ac:dyDescent="0.3">
      <c r="D778" s="2" t="str">
        <f>IF(A778&lt;&gt;"",SUM(B778:C778),"")</f>
        <v/>
      </c>
      <c r="E778" s="2" t="str">
        <f>IF(A778&lt;&gt;"",('TP1'!E1*'TP1'!D778)/'TP1'!D1, "")</f>
        <v/>
      </c>
    </row>
    <row r="779" spans="4:5" x14ac:dyDescent="0.3">
      <c r="D779" s="2" t="str">
        <f>IF(A779&lt;&gt;"",SUM(B779:C779),"")</f>
        <v/>
      </c>
      <c r="E779" s="2" t="str">
        <f>IF(A779&lt;&gt;"",('TP1'!E1*'TP1'!D779)/'TP1'!D1, "")</f>
        <v/>
      </c>
    </row>
    <row r="780" spans="4:5" x14ac:dyDescent="0.3">
      <c r="D780" s="2" t="str">
        <f>IF(A780&lt;&gt;"",SUM(B780:C780),"")</f>
        <v/>
      </c>
      <c r="E780" s="2" t="str">
        <f>IF(A780&lt;&gt;"",('TP1'!E1*'TP1'!D780)/'TP1'!D1, "")</f>
        <v/>
      </c>
    </row>
    <row r="781" spans="4:5" x14ac:dyDescent="0.3">
      <c r="D781" s="2" t="str">
        <f>IF(A781&lt;&gt;"",SUM(B781:C781),"")</f>
        <v/>
      </c>
      <c r="E781" s="2" t="str">
        <f>IF(A781&lt;&gt;"",('TP1'!E1*'TP1'!D781)/'TP1'!D1, "")</f>
        <v/>
      </c>
    </row>
    <row r="782" spans="4:5" x14ac:dyDescent="0.3">
      <c r="D782" s="2" t="str">
        <f>IF(A782&lt;&gt;"",SUM(B782:C782),"")</f>
        <v/>
      </c>
      <c r="E782" s="2" t="str">
        <f>IF(A782&lt;&gt;"",('TP1'!E1*'TP1'!D782)/'TP1'!D1, "")</f>
        <v/>
      </c>
    </row>
    <row r="783" spans="4:5" x14ac:dyDescent="0.3">
      <c r="D783" s="2" t="str">
        <f>IF(A783&lt;&gt;"",SUM(B783:C783),"")</f>
        <v/>
      </c>
      <c r="E783" s="2" t="str">
        <f>IF(A783&lt;&gt;"",('TP1'!E1*'TP1'!D783)/'TP1'!D1, "")</f>
        <v/>
      </c>
    </row>
    <row r="784" spans="4:5" x14ac:dyDescent="0.3">
      <c r="D784" s="2" t="str">
        <f>IF(A784&lt;&gt;"",SUM(B784:C784),"")</f>
        <v/>
      </c>
      <c r="E784" s="2" t="str">
        <f>IF(A784&lt;&gt;"",('TP1'!E1*'TP1'!D784)/'TP1'!D1, "")</f>
        <v/>
      </c>
    </row>
    <row r="785" spans="4:5" x14ac:dyDescent="0.3">
      <c r="D785" s="2" t="str">
        <f>IF(A785&lt;&gt;"",SUM(B785:C785),"")</f>
        <v/>
      </c>
      <c r="E785" s="2" t="str">
        <f>IF(A785&lt;&gt;"",('TP1'!E1*'TP1'!D785)/'TP1'!D1, "")</f>
        <v/>
      </c>
    </row>
    <row r="786" spans="4:5" x14ac:dyDescent="0.3">
      <c r="D786" s="2" t="str">
        <f>IF(A786&lt;&gt;"",SUM(B786:C786),"")</f>
        <v/>
      </c>
      <c r="E786" s="2" t="str">
        <f>IF(A786&lt;&gt;"",('TP1'!E1*'TP1'!D786)/'TP1'!D1, "")</f>
        <v/>
      </c>
    </row>
    <row r="787" spans="4:5" x14ac:dyDescent="0.3">
      <c r="D787" s="2" t="str">
        <f>IF(A787&lt;&gt;"",SUM(B787:C787),"")</f>
        <v/>
      </c>
      <c r="E787" s="2" t="str">
        <f>IF(A787&lt;&gt;"",('TP1'!E1*'TP1'!D787)/'TP1'!D1, "")</f>
        <v/>
      </c>
    </row>
    <row r="788" spans="4:5" x14ac:dyDescent="0.3">
      <c r="D788" s="2" t="str">
        <f>IF(A788&lt;&gt;"",SUM(B788:C788),"")</f>
        <v/>
      </c>
      <c r="E788" s="2" t="str">
        <f>IF(A788&lt;&gt;"",('TP1'!E1*'TP1'!D788)/'TP1'!D1, "")</f>
        <v/>
      </c>
    </row>
    <row r="789" spans="4:5" x14ac:dyDescent="0.3">
      <c r="D789" s="2" t="str">
        <f>IF(A789&lt;&gt;"",SUM(B789:C789),"")</f>
        <v/>
      </c>
      <c r="E789" s="2" t="str">
        <f>IF(A789&lt;&gt;"",('TP1'!E1*'TP1'!D789)/'TP1'!D1, "")</f>
        <v/>
      </c>
    </row>
    <row r="790" spans="4:5" x14ac:dyDescent="0.3">
      <c r="D790" s="2" t="str">
        <f>IF(A790&lt;&gt;"",SUM(B790:C790),"")</f>
        <v/>
      </c>
      <c r="E790" s="2" t="str">
        <f>IF(A790&lt;&gt;"",('TP1'!E1*'TP1'!D790)/'TP1'!D1, "")</f>
        <v/>
      </c>
    </row>
    <row r="791" spans="4:5" x14ac:dyDescent="0.3">
      <c r="D791" s="2" t="str">
        <f>IF(A791&lt;&gt;"",SUM(B791:C791),"")</f>
        <v/>
      </c>
      <c r="E791" s="2" t="str">
        <f>IF(A791&lt;&gt;"",('TP1'!E1*'TP1'!D791)/'TP1'!D1, "")</f>
        <v/>
      </c>
    </row>
    <row r="792" spans="4:5" x14ac:dyDescent="0.3">
      <c r="D792" s="2" t="str">
        <f>IF(A792&lt;&gt;"",SUM(B792:C792),"")</f>
        <v/>
      </c>
      <c r="E792" s="2" t="str">
        <f>IF(A792&lt;&gt;"",('TP1'!E1*'TP1'!D792)/'TP1'!D1, "")</f>
        <v/>
      </c>
    </row>
    <row r="793" spans="4:5" x14ac:dyDescent="0.3">
      <c r="D793" s="2" t="str">
        <f>IF(A793&lt;&gt;"",SUM(B793:C793),"")</f>
        <v/>
      </c>
      <c r="E793" s="2" t="str">
        <f>IF(A793&lt;&gt;"",('TP1'!E1*'TP1'!D793)/'TP1'!D1, "")</f>
        <v/>
      </c>
    </row>
    <row r="794" spans="4:5" x14ac:dyDescent="0.3">
      <c r="D794" s="2" t="str">
        <f>IF(A794&lt;&gt;"",SUM(B794:C794),"")</f>
        <v/>
      </c>
      <c r="E794" s="2" t="str">
        <f>IF(A794&lt;&gt;"",('TP1'!E1*'TP1'!D794)/'TP1'!D1, "")</f>
        <v/>
      </c>
    </row>
    <row r="795" spans="4:5" x14ac:dyDescent="0.3">
      <c r="D795" s="2" t="str">
        <f>IF(A795&lt;&gt;"",SUM(B795:C795),"")</f>
        <v/>
      </c>
      <c r="E795" s="2" t="str">
        <f>IF(A795&lt;&gt;"",('TP1'!E1*'TP1'!D795)/'TP1'!D1, "")</f>
        <v/>
      </c>
    </row>
    <row r="796" spans="4:5" x14ac:dyDescent="0.3">
      <c r="D796" s="2" t="str">
        <f>IF(A796&lt;&gt;"",SUM(B796:C796),"")</f>
        <v/>
      </c>
      <c r="E796" s="2" t="str">
        <f>IF(A796&lt;&gt;"",('TP1'!E1*'TP1'!D796)/'TP1'!D1, "")</f>
        <v/>
      </c>
    </row>
    <row r="797" spans="4:5" x14ac:dyDescent="0.3">
      <c r="D797" s="2" t="str">
        <f>IF(A797&lt;&gt;"",SUM(B797:C797),"")</f>
        <v/>
      </c>
      <c r="E797" s="2" t="str">
        <f>IF(A797&lt;&gt;"",('TP1'!E1*'TP1'!D797)/'TP1'!D1, "")</f>
        <v/>
      </c>
    </row>
    <row r="798" spans="4:5" x14ac:dyDescent="0.3">
      <c r="D798" s="2" t="str">
        <f>IF(A798&lt;&gt;"",SUM(B798:C798),"")</f>
        <v/>
      </c>
      <c r="E798" s="2" t="str">
        <f>IF(A798&lt;&gt;"",('TP1'!E1*'TP1'!D798)/'TP1'!D1, "")</f>
        <v/>
      </c>
    </row>
    <row r="799" spans="4:5" x14ac:dyDescent="0.3">
      <c r="D799" s="2" t="str">
        <f>IF(A799&lt;&gt;"",SUM(B799:C799),"")</f>
        <v/>
      </c>
      <c r="E799" s="2" t="str">
        <f>IF(A799&lt;&gt;"",('TP1'!E1*'TP1'!D799)/'TP1'!D1, "")</f>
        <v/>
      </c>
    </row>
    <row r="800" spans="4:5" x14ac:dyDescent="0.3">
      <c r="D800" s="2" t="str">
        <f>IF(A800&lt;&gt;"",SUM(B800:C800),"")</f>
        <v/>
      </c>
      <c r="E800" s="2" t="str">
        <f>IF(A800&lt;&gt;"",('TP1'!E1*'TP1'!D800)/'TP1'!D1, "")</f>
        <v/>
      </c>
    </row>
    <row r="801" spans="4:5" x14ac:dyDescent="0.3">
      <c r="D801" s="2" t="str">
        <f>IF(A801&lt;&gt;"",SUM(B801:C801),"")</f>
        <v/>
      </c>
      <c r="E801" s="2" t="str">
        <f>IF(A801&lt;&gt;"",('TP1'!E1*'TP1'!D801)/'TP1'!D1, "")</f>
        <v/>
      </c>
    </row>
    <row r="802" spans="4:5" x14ac:dyDescent="0.3">
      <c r="D802" s="2" t="str">
        <f>IF(A802&lt;&gt;"",SUM(B802:C802),"")</f>
        <v/>
      </c>
      <c r="E802" s="2" t="str">
        <f>IF(A802&lt;&gt;"",('TP1'!E1*'TP1'!D802)/'TP1'!D1, "")</f>
        <v/>
      </c>
    </row>
    <row r="803" spans="4:5" x14ac:dyDescent="0.3">
      <c r="D803" s="2" t="str">
        <f>IF(A803&lt;&gt;"",SUM(B803:C803),"")</f>
        <v/>
      </c>
      <c r="E803" s="2" t="str">
        <f>IF(A803&lt;&gt;"",('TP1'!E1*'TP1'!D803)/'TP1'!D1, "")</f>
        <v/>
      </c>
    </row>
    <row r="804" spans="4:5" x14ac:dyDescent="0.3">
      <c r="D804" s="2" t="str">
        <f>IF(A804&lt;&gt;"",SUM(B804:C804),"")</f>
        <v/>
      </c>
      <c r="E804" s="2" t="str">
        <f>IF(A804&lt;&gt;"",('TP1'!E1*'TP1'!D804)/'TP1'!D1, "")</f>
        <v/>
      </c>
    </row>
    <row r="805" spans="4:5" x14ac:dyDescent="0.3">
      <c r="D805" s="2" t="str">
        <f>IF(A805&lt;&gt;"",SUM(B805:C805),"")</f>
        <v/>
      </c>
      <c r="E805" s="2" t="str">
        <f>IF(A805&lt;&gt;"",('TP1'!E1*'TP1'!D805)/'TP1'!D1, "")</f>
        <v/>
      </c>
    </row>
    <row r="806" spans="4:5" x14ac:dyDescent="0.3">
      <c r="D806" s="2" t="str">
        <f>IF(A806&lt;&gt;"",SUM(B806:C806),"")</f>
        <v/>
      </c>
      <c r="E806" s="2" t="str">
        <f>IF(A806&lt;&gt;"",('TP1'!E1*'TP1'!D806)/'TP1'!D1, "")</f>
        <v/>
      </c>
    </row>
    <row r="807" spans="4:5" x14ac:dyDescent="0.3">
      <c r="D807" s="2" t="str">
        <f>IF(A807&lt;&gt;"",SUM(B807:C807),"")</f>
        <v/>
      </c>
      <c r="E807" s="2" t="str">
        <f>IF(A807&lt;&gt;"",('TP1'!E1*'TP1'!D807)/'TP1'!D1, "")</f>
        <v/>
      </c>
    </row>
    <row r="808" spans="4:5" x14ac:dyDescent="0.3">
      <c r="D808" s="2" t="str">
        <f>IF(A808&lt;&gt;"",SUM(B808:C808),"")</f>
        <v/>
      </c>
      <c r="E808" s="2" t="str">
        <f>IF(A808&lt;&gt;"",('TP1'!E1*'TP1'!D808)/'TP1'!D1, "")</f>
        <v/>
      </c>
    </row>
    <row r="809" spans="4:5" x14ac:dyDescent="0.3">
      <c r="D809" s="2" t="str">
        <f>IF(A809&lt;&gt;"",SUM(B809:C809),"")</f>
        <v/>
      </c>
      <c r="E809" s="2" t="str">
        <f>IF(A809&lt;&gt;"",('TP1'!E1*'TP1'!D809)/'TP1'!D1, "")</f>
        <v/>
      </c>
    </row>
    <row r="810" spans="4:5" x14ac:dyDescent="0.3">
      <c r="D810" s="2" t="str">
        <f>IF(A810&lt;&gt;"",SUM(B810:C810),"")</f>
        <v/>
      </c>
      <c r="E810" s="2" t="str">
        <f>IF(A810&lt;&gt;"",('TP1'!E1*'TP1'!D810)/'TP1'!D1, "")</f>
        <v/>
      </c>
    </row>
    <row r="811" spans="4:5" x14ac:dyDescent="0.3">
      <c r="D811" s="2" t="str">
        <f>IF(A811&lt;&gt;"",SUM(B811:C811),"")</f>
        <v/>
      </c>
      <c r="E811" s="2" t="str">
        <f>IF(A811&lt;&gt;"",('TP1'!E1*'TP1'!D811)/'TP1'!D1, "")</f>
        <v/>
      </c>
    </row>
    <row r="812" spans="4:5" x14ac:dyDescent="0.3">
      <c r="D812" s="2" t="str">
        <f>IF(A812&lt;&gt;"",SUM(B812:C812),"")</f>
        <v/>
      </c>
      <c r="E812" s="2" t="str">
        <f>IF(A812&lt;&gt;"",('TP1'!E1*'TP1'!D812)/'TP1'!D1, "")</f>
        <v/>
      </c>
    </row>
    <row r="813" spans="4:5" x14ac:dyDescent="0.3">
      <c r="D813" s="2" t="str">
        <f>IF(A813&lt;&gt;"",SUM(B813:C813),"")</f>
        <v/>
      </c>
      <c r="E813" s="2" t="str">
        <f>IF(A813&lt;&gt;"",('TP1'!E1*'TP1'!D813)/'TP1'!D1, "")</f>
        <v/>
      </c>
    </row>
    <row r="814" spans="4:5" x14ac:dyDescent="0.3">
      <c r="D814" s="2" t="str">
        <f>IF(A814&lt;&gt;"",SUM(B814:C814),"")</f>
        <v/>
      </c>
      <c r="E814" s="2" t="str">
        <f>IF(A814&lt;&gt;"",('TP1'!E1*'TP1'!D814)/'TP1'!D1, "")</f>
        <v/>
      </c>
    </row>
    <row r="815" spans="4:5" x14ac:dyDescent="0.3">
      <c r="D815" s="2" t="str">
        <f>IF(A815&lt;&gt;"",SUM(B815:C815),"")</f>
        <v/>
      </c>
      <c r="E815" s="2" t="str">
        <f>IF(A815&lt;&gt;"",('TP1'!E1*'TP1'!D815)/'TP1'!D1, "")</f>
        <v/>
      </c>
    </row>
    <row r="816" spans="4:5" x14ac:dyDescent="0.3">
      <c r="D816" s="2" t="str">
        <f>IF(A816&lt;&gt;"",SUM(B816:C816),"")</f>
        <v/>
      </c>
      <c r="E816" s="2" t="str">
        <f>IF(A816&lt;&gt;"",('TP1'!E1*'TP1'!D816)/'TP1'!D1, "")</f>
        <v/>
      </c>
    </row>
    <row r="817" spans="4:5" x14ac:dyDescent="0.3">
      <c r="D817" s="2" t="str">
        <f>IF(A817&lt;&gt;"",SUM(B817:C817),"")</f>
        <v/>
      </c>
      <c r="E817" s="2" t="str">
        <f>IF(A817&lt;&gt;"",('TP1'!E1*'TP1'!D817)/'TP1'!D1, "")</f>
        <v/>
      </c>
    </row>
    <row r="818" spans="4:5" x14ac:dyDescent="0.3">
      <c r="D818" s="2" t="str">
        <f>IF(A818&lt;&gt;"",SUM(B818:C818),"")</f>
        <v/>
      </c>
      <c r="E818" s="2" t="str">
        <f>IF(A818&lt;&gt;"",('TP1'!E1*'TP1'!D818)/'TP1'!D1, "")</f>
        <v/>
      </c>
    </row>
    <row r="819" spans="4:5" x14ac:dyDescent="0.3">
      <c r="D819" s="2" t="str">
        <f>IF(A819&lt;&gt;"",SUM(B819:C819),"")</f>
        <v/>
      </c>
      <c r="E819" s="2" t="str">
        <f>IF(A819&lt;&gt;"",('TP1'!E1*'TP1'!D819)/'TP1'!D1, "")</f>
        <v/>
      </c>
    </row>
    <row r="820" spans="4:5" x14ac:dyDescent="0.3">
      <c r="D820" s="2" t="str">
        <f>IF(A820&lt;&gt;"",SUM(B820:C820),"")</f>
        <v/>
      </c>
      <c r="E820" s="2" t="str">
        <f>IF(A820&lt;&gt;"",('TP1'!E1*'TP1'!D820)/'TP1'!D1, "")</f>
        <v/>
      </c>
    </row>
    <row r="821" spans="4:5" x14ac:dyDescent="0.3">
      <c r="D821" s="2" t="str">
        <f>IF(A821&lt;&gt;"",SUM(B821:C821),"")</f>
        <v/>
      </c>
      <c r="E821" s="2" t="str">
        <f>IF(A821&lt;&gt;"",('TP1'!E1*'TP1'!D821)/'TP1'!D1, "")</f>
        <v/>
      </c>
    </row>
    <row r="822" spans="4:5" x14ac:dyDescent="0.3">
      <c r="D822" s="2" t="str">
        <f>IF(A822&lt;&gt;"",SUM(B822:C822),"")</f>
        <v/>
      </c>
      <c r="E822" s="2" t="str">
        <f>IF(A822&lt;&gt;"",('TP1'!E1*'TP1'!D822)/'TP1'!D1, "")</f>
        <v/>
      </c>
    </row>
    <row r="823" spans="4:5" x14ac:dyDescent="0.3">
      <c r="D823" s="2" t="str">
        <f>IF(A823&lt;&gt;"",SUM(B823:C823),"")</f>
        <v/>
      </c>
      <c r="E823" s="2" t="str">
        <f>IF(A823&lt;&gt;"",('TP1'!E1*'TP1'!D823)/'TP1'!D1, "")</f>
        <v/>
      </c>
    </row>
    <row r="824" spans="4:5" x14ac:dyDescent="0.3">
      <c r="D824" s="2" t="str">
        <f>IF(A824&lt;&gt;"",SUM(B824:C824),"")</f>
        <v/>
      </c>
      <c r="E824" s="2" t="str">
        <f>IF(A824&lt;&gt;"",('TP1'!E1*'TP1'!D824)/'TP1'!D1, "")</f>
        <v/>
      </c>
    </row>
    <row r="825" spans="4:5" x14ac:dyDescent="0.3">
      <c r="D825" s="2" t="str">
        <f>IF(A825&lt;&gt;"",SUM(B825:C825),"")</f>
        <v/>
      </c>
      <c r="E825" s="2" t="str">
        <f>IF(A825&lt;&gt;"",('TP1'!E1*'TP1'!D825)/'TP1'!D1, "")</f>
        <v/>
      </c>
    </row>
    <row r="826" spans="4:5" x14ac:dyDescent="0.3">
      <c r="D826" s="2" t="str">
        <f>IF(A826&lt;&gt;"",SUM(B826:C826),"")</f>
        <v/>
      </c>
      <c r="E826" s="2" t="str">
        <f>IF(A826&lt;&gt;"",('TP1'!E1*'TP1'!D826)/'TP1'!D1, "")</f>
        <v/>
      </c>
    </row>
    <row r="827" spans="4:5" x14ac:dyDescent="0.3">
      <c r="D827" s="2" t="str">
        <f>IF(A827&lt;&gt;"",SUM(B827:C827),"")</f>
        <v/>
      </c>
      <c r="E827" s="2" t="str">
        <f>IF(A827&lt;&gt;"",('TP1'!E1*'TP1'!D827)/'TP1'!D1, "")</f>
        <v/>
      </c>
    </row>
    <row r="828" spans="4:5" x14ac:dyDescent="0.3">
      <c r="D828" s="2" t="str">
        <f>IF(A828&lt;&gt;"",SUM(B828:C828),"")</f>
        <v/>
      </c>
      <c r="E828" s="2" t="str">
        <f>IF(A828&lt;&gt;"",('TP1'!E1*'TP1'!D828)/'TP1'!D1, "")</f>
        <v/>
      </c>
    </row>
    <row r="829" spans="4:5" x14ac:dyDescent="0.3">
      <c r="D829" s="2" t="str">
        <f>IF(A829&lt;&gt;"",SUM(B829:C829),"")</f>
        <v/>
      </c>
      <c r="E829" s="2" t="str">
        <f>IF(A829&lt;&gt;"",('TP1'!E1*'TP1'!D829)/'TP1'!D1, "")</f>
        <v/>
      </c>
    </row>
    <row r="830" spans="4:5" x14ac:dyDescent="0.3">
      <c r="D830" s="2" t="str">
        <f>IF(A830&lt;&gt;"",SUM(B830:C830),"")</f>
        <v/>
      </c>
      <c r="E830" s="2" t="str">
        <f>IF(A830&lt;&gt;"",('TP1'!E1*'TP1'!D830)/'TP1'!D1, "")</f>
        <v/>
      </c>
    </row>
    <row r="831" spans="4:5" x14ac:dyDescent="0.3">
      <c r="D831" s="2" t="str">
        <f>IF(A831&lt;&gt;"",SUM(B831:C831),"")</f>
        <v/>
      </c>
      <c r="E831" s="2" t="str">
        <f>IF(A831&lt;&gt;"",('TP1'!E1*'TP1'!D831)/'TP1'!D1, "")</f>
        <v/>
      </c>
    </row>
    <row r="832" spans="4:5" x14ac:dyDescent="0.3">
      <c r="D832" s="2" t="str">
        <f>IF(A832&lt;&gt;"",SUM(B832:C832),"")</f>
        <v/>
      </c>
      <c r="E832" s="2" t="str">
        <f>IF(A832&lt;&gt;"",('TP1'!E1*'TP1'!D832)/'TP1'!D1, "")</f>
        <v/>
      </c>
    </row>
    <row r="833" spans="4:5" x14ac:dyDescent="0.3">
      <c r="D833" s="2" t="str">
        <f>IF(A833&lt;&gt;"",SUM(B833:C833),"")</f>
        <v/>
      </c>
      <c r="E833" s="2" t="str">
        <f>IF(A833&lt;&gt;"",('TP1'!E1*'TP1'!D833)/'TP1'!D1, "")</f>
        <v/>
      </c>
    </row>
    <row r="834" spans="4:5" x14ac:dyDescent="0.3">
      <c r="D834" s="2" t="str">
        <f>IF(A834&lt;&gt;"",SUM(B834:C834),"")</f>
        <v/>
      </c>
      <c r="E834" s="2" t="str">
        <f>IF(A834&lt;&gt;"",('TP1'!E1*'TP1'!D834)/'TP1'!D1, "")</f>
        <v/>
      </c>
    </row>
    <row r="835" spans="4:5" x14ac:dyDescent="0.3">
      <c r="D835" s="2" t="str">
        <f>IF(A835&lt;&gt;"",SUM(B835:C835),"")</f>
        <v/>
      </c>
      <c r="E835" s="2" t="str">
        <f>IF(A835&lt;&gt;"",('TP1'!E1*'TP1'!D835)/'TP1'!D1, "")</f>
        <v/>
      </c>
    </row>
    <row r="836" spans="4:5" x14ac:dyDescent="0.3">
      <c r="D836" s="2" t="str">
        <f>IF(A836&lt;&gt;"",SUM(B836:C836),"")</f>
        <v/>
      </c>
      <c r="E836" s="2" t="str">
        <f>IF(A836&lt;&gt;"",('TP1'!E1*'TP1'!D836)/'TP1'!D1, "")</f>
        <v/>
      </c>
    </row>
    <row r="837" spans="4:5" x14ac:dyDescent="0.3">
      <c r="D837" s="2" t="str">
        <f>IF(A837&lt;&gt;"",SUM(B837:C837),"")</f>
        <v/>
      </c>
      <c r="E837" s="2" t="str">
        <f>IF(A837&lt;&gt;"",('TP1'!E1*'TP1'!D837)/'TP1'!D1, "")</f>
        <v/>
      </c>
    </row>
    <row r="838" spans="4:5" x14ac:dyDescent="0.3">
      <c r="D838" s="2" t="str">
        <f>IF(A838&lt;&gt;"",SUM(B838:C838),"")</f>
        <v/>
      </c>
      <c r="E838" s="2" t="str">
        <f>IF(A838&lt;&gt;"",('TP1'!E1*'TP1'!D838)/'TP1'!D1, "")</f>
        <v/>
      </c>
    </row>
    <row r="839" spans="4:5" x14ac:dyDescent="0.3">
      <c r="D839" s="2" t="str">
        <f>IF(A839&lt;&gt;"",SUM(B839:C839),"")</f>
        <v/>
      </c>
      <c r="E839" s="2" t="str">
        <f>IF(A839&lt;&gt;"",('TP1'!E1*'TP1'!D839)/'TP1'!D1, "")</f>
        <v/>
      </c>
    </row>
    <row r="840" spans="4:5" x14ac:dyDescent="0.3">
      <c r="D840" s="2" t="str">
        <f>IF(A840&lt;&gt;"",SUM(B840:C840),"")</f>
        <v/>
      </c>
      <c r="E840" s="2" t="str">
        <f>IF(A840&lt;&gt;"",('TP1'!E1*'TP1'!D840)/'TP1'!D1, "")</f>
        <v/>
      </c>
    </row>
    <row r="841" spans="4:5" x14ac:dyDescent="0.3">
      <c r="D841" s="2" t="str">
        <f>IF(A841&lt;&gt;"",SUM(B841:C841),"")</f>
        <v/>
      </c>
      <c r="E841" s="2" t="str">
        <f>IF(A841&lt;&gt;"",('TP1'!E1*'TP1'!D841)/'TP1'!D1, "")</f>
        <v/>
      </c>
    </row>
    <row r="842" spans="4:5" x14ac:dyDescent="0.3">
      <c r="D842" s="2" t="str">
        <f>IF(A842&lt;&gt;"",SUM(B842:C842),"")</f>
        <v/>
      </c>
      <c r="E842" s="2" t="str">
        <f>IF(A842&lt;&gt;"",('TP1'!E1*'TP1'!D842)/'TP1'!D1, "")</f>
        <v/>
      </c>
    </row>
    <row r="843" spans="4:5" x14ac:dyDescent="0.3">
      <c r="D843" s="2" t="str">
        <f>IF(A843&lt;&gt;"",SUM(B843:C843),"")</f>
        <v/>
      </c>
      <c r="E843" s="2" t="str">
        <f>IF(A843&lt;&gt;"",('TP1'!E1*'TP1'!D843)/'TP1'!D1, "")</f>
        <v/>
      </c>
    </row>
    <row r="844" spans="4:5" x14ac:dyDescent="0.3">
      <c r="D844" s="2" t="str">
        <f>IF(A844&lt;&gt;"",SUM(B844:C844),"")</f>
        <v/>
      </c>
      <c r="E844" s="2" t="str">
        <f>IF(A844&lt;&gt;"",('TP1'!E1*'TP1'!D844)/'TP1'!D1, "")</f>
        <v/>
      </c>
    </row>
    <row r="845" spans="4:5" x14ac:dyDescent="0.3">
      <c r="D845" s="2" t="str">
        <f>IF(A845&lt;&gt;"",SUM(B845:C845),"")</f>
        <v/>
      </c>
      <c r="E845" s="2" t="str">
        <f>IF(A845&lt;&gt;"",('TP1'!E1*'TP1'!D845)/'TP1'!D1, "")</f>
        <v/>
      </c>
    </row>
    <row r="846" spans="4:5" x14ac:dyDescent="0.3">
      <c r="D846" s="2" t="str">
        <f>IF(A846&lt;&gt;"",SUM(B846:C846),"")</f>
        <v/>
      </c>
      <c r="E846" s="2" t="str">
        <f>IF(A846&lt;&gt;"",('TP1'!E1*'TP1'!D846)/'TP1'!D1, "")</f>
        <v/>
      </c>
    </row>
    <row r="847" spans="4:5" x14ac:dyDescent="0.3">
      <c r="D847" s="2" t="str">
        <f>IF(A847&lt;&gt;"",SUM(B847:C847),"")</f>
        <v/>
      </c>
      <c r="E847" s="2" t="str">
        <f>IF(A847&lt;&gt;"",('TP1'!E1*'TP1'!D847)/'TP1'!D1, "")</f>
        <v/>
      </c>
    </row>
    <row r="848" spans="4:5" x14ac:dyDescent="0.3">
      <c r="D848" s="2" t="str">
        <f>IF(A848&lt;&gt;"",SUM(B848:C848),"")</f>
        <v/>
      </c>
      <c r="E848" s="2" t="str">
        <f>IF(A848&lt;&gt;"",('TP1'!E1*'TP1'!D848)/'TP1'!D1, "")</f>
        <v/>
      </c>
    </row>
    <row r="849" spans="4:5" x14ac:dyDescent="0.3">
      <c r="D849" s="2" t="str">
        <f>IF(A849&lt;&gt;"",SUM(B849:C849),"")</f>
        <v/>
      </c>
      <c r="E849" s="2" t="str">
        <f>IF(A849&lt;&gt;"",('TP1'!E1*'TP1'!D849)/'TP1'!D1, "")</f>
        <v/>
      </c>
    </row>
    <row r="850" spans="4:5" x14ac:dyDescent="0.3">
      <c r="D850" s="2" t="str">
        <f>IF(A850&lt;&gt;"",SUM(B850:C850),"")</f>
        <v/>
      </c>
      <c r="E850" s="2" t="str">
        <f>IF(A850&lt;&gt;"",('TP1'!E1*'TP1'!D850)/'TP1'!D1, "")</f>
        <v/>
      </c>
    </row>
    <row r="851" spans="4:5" x14ac:dyDescent="0.3">
      <c r="D851" s="2" t="str">
        <f>IF(A851&lt;&gt;"",SUM(B851:C851),"")</f>
        <v/>
      </c>
      <c r="E851" s="2" t="str">
        <f>IF(A851&lt;&gt;"",('TP1'!E1*'TP1'!D851)/'TP1'!D1, "")</f>
        <v/>
      </c>
    </row>
    <row r="852" spans="4:5" x14ac:dyDescent="0.3">
      <c r="D852" s="2" t="str">
        <f>IF(A852&lt;&gt;"",SUM(B852:C852),"")</f>
        <v/>
      </c>
      <c r="E852" s="2" t="str">
        <f>IF(A852&lt;&gt;"",('TP1'!E1*'TP1'!D852)/'TP1'!D1, "")</f>
        <v/>
      </c>
    </row>
    <row r="853" spans="4:5" x14ac:dyDescent="0.3">
      <c r="D853" s="2" t="str">
        <f>IF(A853&lt;&gt;"",SUM(B853:C853),"")</f>
        <v/>
      </c>
      <c r="E853" s="2" t="str">
        <f>IF(A853&lt;&gt;"",('TP1'!E1*'TP1'!D853)/'TP1'!D1, "")</f>
        <v/>
      </c>
    </row>
    <row r="854" spans="4:5" x14ac:dyDescent="0.3">
      <c r="D854" s="2" t="str">
        <f>IF(A854&lt;&gt;"",SUM(B854:C854),"")</f>
        <v/>
      </c>
      <c r="E854" s="2" t="str">
        <f>IF(A854&lt;&gt;"",('TP1'!E1*'TP1'!D854)/'TP1'!D1, "")</f>
        <v/>
      </c>
    </row>
    <row r="855" spans="4:5" x14ac:dyDescent="0.3">
      <c r="D855" s="2" t="str">
        <f>IF(A855&lt;&gt;"",SUM(B855:C855),"")</f>
        <v/>
      </c>
      <c r="E855" s="2" t="str">
        <f>IF(A855&lt;&gt;"",('TP1'!E1*'TP1'!D855)/'TP1'!D1, "")</f>
        <v/>
      </c>
    </row>
    <row r="856" spans="4:5" x14ac:dyDescent="0.3">
      <c r="D856" s="2" t="str">
        <f>IF(A856&lt;&gt;"",SUM(B856:C856),"")</f>
        <v/>
      </c>
      <c r="E856" s="2" t="str">
        <f>IF(A856&lt;&gt;"",('TP1'!E1*'TP1'!D856)/'TP1'!D1, "")</f>
        <v/>
      </c>
    </row>
    <row r="857" spans="4:5" x14ac:dyDescent="0.3">
      <c r="D857" s="2" t="str">
        <f>IF(A857&lt;&gt;"",SUM(B857:C857),"")</f>
        <v/>
      </c>
      <c r="E857" s="2" t="str">
        <f>IF(A857&lt;&gt;"",('TP1'!E1*'TP1'!D857)/'TP1'!D1, "")</f>
        <v/>
      </c>
    </row>
    <row r="858" spans="4:5" x14ac:dyDescent="0.3">
      <c r="D858" s="2" t="str">
        <f>IF(A858&lt;&gt;"",SUM(B858:C858),"")</f>
        <v/>
      </c>
      <c r="E858" s="2" t="str">
        <f>IF(A858&lt;&gt;"",('TP1'!E1*'TP1'!D858)/'TP1'!D1, "")</f>
        <v/>
      </c>
    </row>
    <row r="859" spans="4:5" x14ac:dyDescent="0.3">
      <c r="D859" s="2" t="str">
        <f>IF(A859&lt;&gt;"",SUM(B859:C859),"")</f>
        <v/>
      </c>
      <c r="E859" s="2" t="str">
        <f>IF(A859&lt;&gt;"",('TP1'!E1*'TP1'!D859)/'TP1'!D1, "")</f>
        <v/>
      </c>
    </row>
    <row r="860" spans="4:5" x14ac:dyDescent="0.3">
      <c r="D860" s="2" t="str">
        <f>IF(A860&lt;&gt;"",SUM(B860:C860),"")</f>
        <v/>
      </c>
      <c r="E860" s="2" t="str">
        <f>IF(A860&lt;&gt;"",('TP1'!E1*'TP1'!D860)/'TP1'!D1, "")</f>
        <v/>
      </c>
    </row>
    <row r="861" spans="4:5" x14ac:dyDescent="0.3">
      <c r="D861" s="2" t="str">
        <f>IF(A861&lt;&gt;"",SUM(B861:C861),"")</f>
        <v/>
      </c>
      <c r="E861" s="2" t="str">
        <f>IF(A861&lt;&gt;"",('TP1'!E1*'TP1'!D861)/'TP1'!D1, "")</f>
        <v/>
      </c>
    </row>
    <row r="862" spans="4:5" x14ac:dyDescent="0.3">
      <c r="D862" s="2" t="str">
        <f>IF(A862&lt;&gt;"",SUM(B862:C862),"")</f>
        <v/>
      </c>
      <c r="E862" s="2" t="str">
        <f>IF(A862&lt;&gt;"",('TP1'!E1*'TP1'!D862)/'TP1'!D1, "")</f>
        <v/>
      </c>
    </row>
    <row r="863" spans="4:5" x14ac:dyDescent="0.3">
      <c r="D863" s="2" t="str">
        <f>IF(A863&lt;&gt;"",SUM(B863:C863),"")</f>
        <v/>
      </c>
      <c r="E863" s="2" t="str">
        <f>IF(A863&lt;&gt;"",('TP1'!E1*'TP1'!D863)/'TP1'!D1, "")</f>
        <v/>
      </c>
    </row>
    <row r="864" spans="4:5" x14ac:dyDescent="0.3">
      <c r="D864" s="2" t="str">
        <f>IF(A864&lt;&gt;"",SUM(B864:C864),"")</f>
        <v/>
      </c>
      <c r="E864" s="2" t="str">
        <f>IF(A864&lt;&gt;"",('TP1'!E1*'TP1'!D864)/'TP1'!D1, "")</f>
        <v/>
      </c>
    </row>
    <row r="865" spans="4:5" x14ac:dyDescent="0.3">
      <c r="D865" s="2" t="str">
        <f>IF(A865&lt;&gt;"",SUM(B865:C865),"")</f>
        <v/>
      </c>
      <c r="E865" s="2" t="str">
        <f>IF(A865&lt;&gt;"",('TP1'!E1*'TP1'!D865)/'TP1'!D1, "")</f>
        <v/>
      </c>
    </row>
    <row r="866" spans="4:5" x14ac:dyDescent="0.3">
      <c r="D866" s="2" t="str">
        <f>IF(A866&lt;&gt;"",SUM(B866:C866),"")</f>
        <v/>
      </c>
      <c r="E866" s="2" t="str">
        <f>IF(A866&lt;&gt;"",('TP1'!E1*'TP1'!D866)/'TP1'!D1, "")</f>
        <v/>
      </c>
    </row>
    <row r="867" spans="4:5" x14ac:dyDescent="0.3">
      <c r="D867" s="2" t="str">
        <f>IF(A867&lt;&gt;"",SUM(B867:C867),"")</f>
        <v/>
      </c>
      <c r="E867" s="2" t="str">
        <f>IF(A867&lt;&gt;"",('TP1'!E1*'TP1'!D867)/'TP1'!D1, "")</f>
        <v/>
      </c>
    </row>
    <row r="868" spans="4:5" x14ac:dyDescent="0.3">
      <c r="D868" s="2" t="str">
        <f>IF(A868&lt;&gt;"",SUM(B868:C868),"")</f>
        <v/>
      </c>
      <c r="E868" s="2" t="str">
        <f>IF(A868&lt;&gt;"",('TP1'!E1*'TP1'!D868)/'TP1'!D1, "")</f>
        <v/>
      </c>
    </row>
    <row r="869" spans="4:5" x14ac:dyDescent="0.3">
      <c r="D869" s="2" t="str">
        <f>IF(A869&lt;&gt;"",SUM(B869:C869),"")</f>
        <v/>
      </c>
      <c r="E869" s="2" t="str">
        <f>IF(A869&lt;&gt;"",('TP1'!E1*'TP1'!D869)/'TP1'!D1, "")</f>
        <v/>
      </c>
    </row>
    <row r="870" spans="4:5" x14ac:dyDescent="0.3">
      <c r="D870" s="2" t="str">
        <f>IF(A870&lt;&gt;"",SUM(B870:C870),"")</f>
        <v/>
      </c>
      <c r="E870" s="2" t="str">
        <f>IF(A870&lt;&gt;"",('TP1'!E1*'TP1'!D870)/'TP1'!D1, "")</f>
        <v/>
      </c>
    </row>
    <row r="871" spans="4:5" x14ac:dyDescent="0.3">
      <c r="D871" s="2" t="str">
        <f>IF(A871&lt;&gt;"",SUM(B871:C871),"")</f>
        <v/>
      </c>
      <c r="E871" s="2" t="str">
        <f>IF(A871&lt;&gt;"",('TP1'!E1*'TP1'!D871)/'TP1'!D1, "")</f>
        <v/>
      </c>
    </row>
    <row r="872" spans="4:5" x14ac:dyDescent="0.3">
      <c r="D872" s="2" t="str">
        <f>IF(A872&lt;&gt;"",SUM(B872:C872),"")</f>
        <v/>
      </c>
      <c r="E872" s="2" t="str">
        <f>IF(A872&lt;&gt;"",('TP1'!E1*'TP1'!D872)/'TP1'!D1, "")</f>
        <v/>
      </c>
    </row>
    <row r="873" spans="4:5" x14ac:dyDescent="0.3">
      <c r="D873" s="2" t="str">
        <f>IF(A873&lt;&gt;"",SUM(B873:C873),"")</f>
        <v/>
      </c>
      <c r="E873" s="2" t="str">
        <f>IF(A873&lt;&gt;"",('TP1'!E1*'TP1'!D873)/'TP1'!D1, "")</f>
        <v/>
      </c>
    </row>
    <row r="874" spans="4:5" x14ac:dyDescent="0.3">
      <c r="D874" s="2" t="str">
        <f>IF(A874&lt;&gt;"",SUM(B874:C874),"")</f>
        <v/>
      </c>
      <c r="E874" s="2" t="str">
        <f>IF(A874&lt;&gt;"",('TP1'!E1*'TP1'!D874)/'TP1'!D1, "")</f>
        <v/>
      </c>
    </row>
    <row r="875" spans="4:5" x14ac:dyDescent="0.3">
      <c r="D875" s="2" t="str">
        <f>IF(A875&lt;&gt;"",SUM(B875:C875),"")</f>
        <v/>
      </c>
      <c r="E875" s="2" t="str">
        <f>IF(A875&lt;&gt;"",('TP1'!E1*'TP1'!D875)/'TP1'!D1, "")</f>
        <v/>
      </c>
    </row>
    <row r="876" spans="4:5" x14ac:dyDescent="0.3">
      <c r="D876" s="2" t="str">
        <f>IF(A876&lt;&gt;"",SUM(B876:C876),"")</f>
        <v/>
      </c>
      <c r="E876" s="2" t="str">
        <f>IF(A876&lt;&gt;"",('TP1'!E1*'TP1'!D876)/'TP1'!D1, "")</f>
        <v/>
      </c>
    </row>
    <row r="877" spans="4:5" x14ac:dyDescent="0.3">
      <c r="D877" s="2" t="str">
        <f>IF(A877&lt;&gt;"",SUM(B877:C877),"")</f>
        <v/>
      </c>
      <c r="E877" s="2" t="str">
        <f>IF(A877&lt;&gt;"",('TP1'!E1*'TP1'!D877)/'TP1'!D1, "")</f>
        <v/>
      </c>
    </row>
    <row r="878" spans="4:5" x14ac:dyDescent="0.3">
      <c r="D878" s="2" t="str">
        <f>IF(A878&lt;&gt;"",SUM(B878:C878),"")</f>
        <v/>
      </c>
      <c r="E878" s="2" t="str">
        <f>IF(A878&lt;&gt;"",('TP1'!E1*'TP1'!D878)/'TP1'!D1, "")</f>
        <v/>
      </c>
    </row>
    <row r="879" spans="4:5" x14ac:dyDescent="0.3">
      <c r="D879" s="2" t="str">
        <f>IF(A879&lt;&gt;"",SUM(B879:C879),"")</f>
        <v/>
      </c>
      <c r="E879" s="2" t="str">
        <f>IF(A879&lt;&gt;"",('TP1'!E1*'TP1'!D879)/'TP1'!D1, "")</f>
        <v/>
      </c>
    </row>
    <row r="880" spans="4:5" x14ac:dyDescent="0.3">
      <c r="D880" s="2" t="str">
        <f>IF(A880&lt;&gt;"",SUM(B880:C880),"")</f>
        <v/>
      </c>
      <c r="E880" s="2" t="str">
        <f>IF(A880&lt;&gt;"",('TP1'!E1*'TP1'!D880)/'TP1'!D1, "")</f>
        <v/>
      </c>
    </row>
    <row r="881" spans="4:5" x14ac:dyDescent="0.3">
      <c r="D881" s="2" t="str">
        <f>IF(A881&lt;&gt;"",SUM(B881:C881),"")</f>
        <v/>
      </c>
      <c r="E881" s="2" t="str">
        <f>IF(A881&lt;&gt;"",('TP1'!E1*'TP1'!D881)/'TP1'!D1, "")</f>
        <v/>
      </c>
    </row>
    <row r="882" spans="4:5" x14ac:dyDescent="0.3">
      <c r="D882" s="2" t="str">
        <f>IF(A882&lt;&gt;"",SUM(B882:C882),"")</f>
        <v/>
      </c>
      <c r="E882" s="2" t="str">
        <f>IF(A882&lt;&gt;"",('TP1'!E1*'TP1'!D882)/'TP1'!D1, "")</f>
        <v/>
      </c>
    </row>
    <row r="883" spans="4:5" x14ac:dyDescent="0.3">
      <c r="D883" s="2" t="str">
        <f>IF(A883&lt;&gt;"",SUM(B883:C883),"")</f>
        <v/>
      </c>
      <c r="E883" s="2" t="str">
        <f>IF(A883&lt;&gt;"",('TP1'!E1*'TP1'!D883)/'TP1'!D1, "")</f>
        <v/>
      </c>
    </row>
    <row r="884" spans="4:5" x14ac:dyDescent="0.3">
      <c r="D884" s="2" t="str">
        <f>IF(A884&lt;&gt;"",SUM(B884:C884),"")</f>
        <v/>
      </c>
      <c r="E884" s="2" t="str">
        <f>IF(A884&lt;&gt;"",('TP1'!E1*'TP1'!D884)/'TP1'!D1, "")</f>
        <v/>
      </c>
    </row>
    <row r="885" spans="4:5" x14ac:dyDescent="0.3">
      <c r="D885" s="2" t="str">
        <f>IF(A885&lt;&gt;"",SUM(B885:C885),"")</f>
        <v/>
      </c>
      <c r="E885" s="2" t="str">
        <f>IF(A885&lt;&gt;"",('TP1'!E1*'TP1'!D885)/'TP1'!D1, "")</f>
        <v/>
      </c>
    </row>
    <row r="886" spans="4:5" x14ac:dyDescent="0.3">
      <c r="D886" s="2" t="str">
        <f>IF(A886&lt;&gt;"",SUM(B886:C886),"")</f>
        <v/>
      </c>
      <c r="E886" s="2" t="str">
        <f>IF(A886&lt;&gt;"",('TP1'!E1*'TP1'!D886)/'TP1'!D1, "")</f>
        <v/>
      </c>
    </row>
    <row r="887" spans="4:5" x14ac:dyDescent="0.3">
      <c r="D887" s="2" t="str">
        <f>IF(A887&lt;&gt;"",SUM(B887:C887),"")</f>
        <v/>
      </c>
      <c r="E887" s="2" t="str">
        <f>IF(A887&lt;&gt;"",('TP1'!E1*'TP1'!D887)/'TP1'!D1, "")</f>
        <v/>
      </c>
    </row>
    <row r="888" spans="4:5" x14ac:dyDescent="0.3">
      <c r="D888" s="2" t="str">
        <f>IF(A888&lt;&gt;"",SUM(B888:C888),"")</f>
        <v/>
      </c>
      <c r="E888" s="2" t="str">
        <f>IF(A888&lt;&gt;"",('TP1'!E1*'TP1'!D888)/'TP1'!D1, "")</f>
        <v/>
      </c>
    </row>
    <row r="889" spans="4:5" x14ac:dyDescent="0.3">
      <c r="D889" s="2" t="str">
        <f>IF(A889&lt;&gt;"",SUM(B889:C889),"")</f>
        <v/>
      </c>
      <c r="E889" s="2" t="str">
        <f>IF(A889&lt;&gt;"",('TP1'!E1*'TP1'!D889)/'TP1'!D1, "")</f>
        <v/>
      </c>
    </row>
    <row r="890" spans="4:5" x14ac:dyDescent="0.3">
      <c r="D890" s="2" t="str">
        <f>IF(A890&lt;&gt;"",SUM(B890:C890),"")</f>
        <v/>
      </c>
      <c r="E890" s="2" t="str">
        <f>IF(A890&lt;&gt;"",('TP1'!E1*'TP1'!D890)/'TP1'!D1, "")</f>
        <v/>
      </c>
    </row>
    <row r="891" spans="4:5" x14ac:dyDescent="0.3">
      <c r="D891" s="2" t="str">
        <f>IF(A891&lt;&gt;"",SUM(B891:C891),"")</f>
        <v/>
      </c>
      <c r="E891" s="2" t="str">
        <f>IF(A891&lt;&gt;"",('TP1'!E1*'TP1'!D891)/'TP1'!D1, "")</f>
        <v/>
      </c>
    </row>
    <row r="892" spans="4:5" x14ac:dyDescent="0.3">
      <c r="D892" s="2" t="str">
        <f>IF(A892&lt;&gt;"",SUM(B892:C892),"")</f>
        <v/>
      </c>
      <c r="E892" s="2" t="str">
        <f>IF(A892&lt;&gt;"",('TP1'!E1*'TP1'!D892)/'TP1'!D1, "")</f>
        <v/>
      </c>
    </row>
    <row r="893" spans="4:5" x14ac:dyDescent="0.3">
      <c r="D893" s="2" t="str">
        <f>IF(A893&lt;&gt;"",SUM(B893:C893),"")</f>
        <v/>
      </c>
      <c r="E893" s="2" t="str">
        <f>IF(A893&lt;&gt;"",('TP1'!E1*'TP1'!D893)/'TP1'!D1, "")</f>
        <v/>
      </c>
    </row>
    <row r="894" spans="4:5" x14ac:dyDescent="0.3">
      <c r="D894" s="2" t="str">
        <f>IF(A894&lt;&gt;"",SUM(B894:C894),"")</f>
        <v/>
      </c>
      <c r="E894" s="2" t="str">
        <f>IF(A894&lt;&gt;"",('TP1'!E1*'TP1'!D894)/'TP1'!D1, "")</f>
        <v/>
      </c>
    </row>
    <row r="895" spans="4:5" x14ac:dyDescent="0.3">
      <c r="D895" s="2" t="str">
        <f>IF(A895&lt;&gt;"",SUM(B895:C895),"")</f>
        <v/>
      </c>
      <c r="E895" s="2" t="str">
        <f>IF(A895&lt;&gt;"",('TP1'!E1*'TP1'!D895)/'TP1'!D1, "")</f>
        <v/>
      </c>
    </row>
    <row r="896" spans="4:5" x14ac:dyDescent="0.3">
      <c r="D896" s="2" t="str">
        <f>IF(A896&lt;&gt;"",SUM(B896:C896),"")</f>
        <v/>
      </c>
      <c r="E896" s="2" t="str">
        <f>IF(A896&lt;&gt;"",('TP1'!E1*'TP1'!D896)/'TP1'!D1, "")</f>
        <v/>
      </c>
    </row>
    <row r="897" spans="4:5" x14ac:dyDescent="0.3">
      <c r="D897" s="2" t="str">
        <f>IF(A897&lt;&gt;"",SUM(B897:C897),"")</f>
        <v/>
      </c>
      <c r="E897" s="2" t="str">
        <f>IF(A897&lt;&gt;"",('TP1'!E1*'TP1'!D897)/'TP1'!D1, "")</f>
        <v/>
      </c>
    </row>
    <row r="898" spans="4:5" x14ac:dyDescent="0.3">
      <c r="D898" s="2" t="str">
        <f>IF(A898&lt;&gt;"",SUM(B898:C898),"")</f>
        <v/>
      </c>
      <c r="E898" s="2" t="str">
        <f>IF(A898&lt;&gt;"",('TP1'!E1*'TP1'!D898)/'TP1'!D1, "")</f>
        <v/>
      </c>
    </row>
    <row r="899" spans="4:5" x14ac:dyDescent="0.3">
      <c r="D899" s="2" t="str">
        <f>IF(A899&lt;&gt;"",SUM(B899:C899),"")</f>
        <v/>
      </c>
      <c r="E899" s="2" t="str">
        <f>IF(A899&lt;&gt;"",('TP1'!E1*'TP1'!D899)/'TP1'!D1, "")</f>
        <v/>
      </c>
    </row>
    <row r="900" spans="4:5" x14ac:dyDescent="0.3">
      <c r="D900" s="2" t="str">
        <f>IF(A900&lt;&gt;"",SUM(B900:C900),"")</f>
        <v/>
      </c>
      <c r="E900" s="2" t="str">
        <f>IF(A900&lt;&gt;"",('TP1'!E1*'TP1'!D900)/'TP1'!D1, "")</f>
        <v/>
      </c>
    </row>
    <row r="901" spans="4:5" x14ac:dyDescent="0.3">
      <c r="D901" s="2" t="str">
        <f>IF(A901&lt;&gt;"",SUM(B901:C901),"")</f>
        <v/>
      </c>
      <c r="E901" s="2" t="str">
        <f>IF(A901&lt;&gt;"",('TP1'!E1*'TP1'!D901)/'TP1'!D1, "")</f>
        <v/>
      </c>
    </row>
    <row r="902" spans="4:5" x14ac:dyDescent="0.3">
      <c r="D902" s="2" t="str">
        <f>IF(A902&lt;&gt;"",SUM(B902:C902),"")</f>
        <v/>
      </c>
      <c r="E902" s="2" t="str">
        <f>IF(A902&lt;&gt;"",('TP1'!E1*'TP1'!D902)/'TP1'!D1, "")</f>
        <v/>
      </c>
    </row>
    <row r="903" spans="4:5" x14ac:dyDescent="0.3">
      <c r="D903" s="2" t="str">
        <f>IF(A903&lt;&gt;"",SUM(B903:C903),"")</f>
        <v/>
      </c>
      <c r="E903" s="2" t="str">
        <f>IF(A903&lt;&gt;"",('TP1'!E1*'TP1'!D903)/'TP1'!D1, "")</f>
        <v/>
      </c>
    </row>
    <row r="904" spans="4:5" x14ac:dyDescent="0.3">
      <c r="D904" s="2" t="str">
        <f>IF(A904&lt;&gt;"",SUM(B904:C904),"")</f>
        <v/>
      </c>
      <c r="E904" s="2" t="str">
        <f>IF(A904&lt;&gt;"",('TP1'!E1*'TP1'!D904)/'TP1'!D1, "")</f>
        <v/>
      </c>
    </row>
    <row r="905" spans="4:5" x14ac:dyDescent="0.3">
      <c r="D905" s="2" t="str">
        <f>IF(A905&lt;&gt;"",SUM(B905:C905),"")</f>
        <v/>
      </c>
      <c r="E905" s="2" t="str">
        <f>IF(A905&lt;&gt;"",('TP1'!E1*'TP1'!D905)/'TP1'!D1, "")</f>
        <v/>
      </c>
    </row>
    <row r="906" spans="4:5" x14ac:dyDescent="0.3">
      <c r="D906" s="2" t="str">
        <f>IF(A906&lt;&gt;"",SUM(B906:C906),"")</f>
        <v/>
      </c>
      <c r="E906" s="2" t="str">
        <f>IF(A906&lt;&gt;"",('TP1'!E1*'TP1'!D906)/'TP1'!D1, "")</f>
        <v/>
      </c>
    </row>
    <row r="907" spans="4:5" x14ac:dyDescent="0.3">
      <c r="D907" s="2" t="str">
        <f>IF(A907&lt;&gt;"",SUM(B907:C907),"")</f>
        <v/>
      </c>
      <c r="E907" s="2" t="str">
        <f>IF(A907&lt;&gt;"",('TP1'!E1*'TP1'!D907)/'TP1'!D1, "")</f>
        <v/>
      </c>
    </row>
    <row r="908" spans="4:5" x14ac:dyDescent="0.3">
      <c r="D908" s="2" t="str">
        <f>IF(A908&lt;&gt;"",SUM(B908:C908),"")</f>
        <v/>
      </c>
      <c r="E908" s="2" t="str">
        <f>IF(A908&lt;&gt;"",('TP1'!E1*'TP1'!D908)/'TP1'!D1, "")</f>
        <v/>
      </c>
    </row>
    <row r="909" spans="4:5" x14ac:dyDescent="0.3">
      <c r="D909" s="2" t="str">
        <f>IF(A909&lt;&gt;"",SUM(B909:C909),"")</f>
        <v/>
      </c>
      <c r="E909" s="2" t="str">
        <f>IF(A909&lt;&gt;"",('TP1'!E1*'TP1'!D909)/'TP1'!D1, "")</f>
        <v/>
      </c>
    </row>
    <row r="910" spans="4:5" x14ac:dyDescent="0.3">
      <c r="D910" s="2" t="str">
        <f>IF(A910&lt;&gt;"",SUM(B910:C910),"")</f>
        <v/>
      </c>
      <c r="E910" s="2" t="str">
        <f>IF(A910&lt;&gt;"",('TP1'!E1*'TP1'!D910)/'TP1'!D1, "")</f>
        <v/>
      </c>
    </row>
    <row r="911" spans="4:5" x14ac:dyDescent="0.3">
      <c r="D911" s="2" t="str">
        <f>IF(A911&lt;&gt;"",SUM(B911:C911),"")</f>
        <v/>
      </c>
      <c r="E911" s="2" t="str">
        <f>IF(A911&lt;&gt;"",('TP1'!E1*'TP1'!D911)/'TP1'!D1, "")</f>
        <v/>
      </c>
    </row>
    <row r="912" spans="4:5" x14ac:dyDescent="0.3">
      <c r="D912" s="2" t="str">
        <f>IF(A912&lt;&gt;"",SUM(B912:C912),"")</f>
        <v/>
      </c>
      <c r="E912" s="2" t="str">
        <f>IF(A912&lt;&gt;"",('TP1'!E1*'TP1'!D912)/'TP1'!D1, "")</f>
        <v/>
      </c>
    </row>
    <row r="913" spans="4:5" x14ac:dyDescent="0.3">
      <c r="D913" s="2" t="str">
        <f>IF(A913&lt;&gt;"",SUM(B913:C913),"")</f>
        <v/>
      </c>
      <c r="E913" s="2" t="str">
        <f>IF(A913&lt;&gt;"",('TP1'!E1*'TP1'!D913)/'TP1'!D1, "")</f>
        <v/>
      </c>
    </row>
    <row r="914" spans="4:5" x14ac:dyDescent="0.3">
      <c r="D914" s="2" t="str">
        <f>IF(A914&lt;&gt;"",SUM(B914:C914),"")</f>
        <v/>
      </c>
      <c r="E914" s="2" t="str">
        <f>IF(A914&lt;&gt;"",('TP1'!E1*'TP1'!D914)/'TP1'!D1, "")</f>
        <v/>
      </c>
    </row>
    <row r="915" spans="4:5" x14ac:dyDescent="0.3">
      <c r="D915" s="2" t="str">
        <f>IF(A915&lt;&gt;"",SUM(B915:C915),"")</f>
        <v/>
      </c>
      <c r="E915" s="2" t="str">
        <f>IF(A915&lt;&gt;"",('TP1'!E1*'TP1'!D915)/'TP1'!D1, "")</f>
        <v/>
      </c>
    </row>
    <row r="916" spans="4:5" x14ac:dyDescent="0.3">
      <c r="D916" s="2" t="str">
        <f>IF(A916&lt;&gt;"",SUM(B916:C916),"")</f>
        <v/>
      </c>
      <c r="E916" s="2" t="str">
        <f>IF(A916&lt;&gt;"",('TP1'!E1*'TP1'!D916)/'TP1'!D1, "")</f>
        <v/>
      </c>
    </row>
    <row r="917" spans="4:5" x14ac:dyDescent="0.3">
      <c r="D917" s="2" t="str">
        <f>IF(A917&lt;&gt;"",SUM(B917:C917),"")</f>
        <v/>
      </c>
      <c r="E917" s="2" t="str">
        <f>IF(A917&lt;&gt;"",('TP1'!E1*'TP1'!D917)/'TP1'!D1, "")</f>
        <v/>
      </c>
    </row>
    <row r="918" spans="4:5" x14ac:dyDescent="0.3">
      <c r="D918" s="2" t="str">
        <f>IF(A918&lt;&gt;"",SUM(B918:C918),"")</f>
        <v/>
      </c>
      <c r="E918" s="2" t="str">
        <f>IF(A918&lt;&gt;"",('TP1'!E1*'TP1'!D918)/'TP1'!D1, "")</f>
        <v/>
      </c>
    </row>
    <row r="919" spans="4:5" x14ac:dyDescent="0.3">
      <c r="D919" s="2" t="str">
        <f>IF(A919&lt;&gt;"",SUM(B919:C919),"")</f>
        <v/>
      </c>
      <c r="E919" s="2" t="str">
        <f>IF(A919&lt;&gt;"",('TP1'!E1*'TP1'!D919)/'TP1'!D1, "")</f>
        <v/>
      </c>
    </row>
    <row r="920" spans="4:5" x14ac:dyDescent="0.3">
      <c r="D920" s="2" t="str">
        <f>IF(A920&lt;&gt;"",SUM(B920:C920),"")</f>
        <v/>
      </c>
      <c r="E920" s="2" t="str">
        <f>IF(A920&lt;&gt;"",('TP1'!E1*'TP1'!D920)/'TP1'!D1, "")</f>
        <v/>
      </c>
    </row>
    <row r="921" spans="4:5" x14ac:dyDescent="0.3">
      <c r="D921" s="2" t="str">
        <f>IF(A921&lt;&gt;"",SUM(B921:C921),"")</f>
        <v/>
      </c>
      <c r="E921" s="2" t="str">
        <f>IF(A921&lt;&gt;"",('TP1'!E1*'TP1'!D921)/'TP1'!D1, "")</f>
        <v/>
      </c>
    </row>
    <row r="922" spans="4:5" x14ac:dyDescent="0.3">
      <c r="D922" s="2" t="str">
        <f>IF(A922&lt;&gt;"",SUM(B922:C922),"")</f>
        <v/>
      </c>
      <c r="E922" s="2" t="str">
        <f>IF(A922&lt;&gt;"",('TP1'!E1*'TP1'!D922)/'TP1'!D1, "")</f>
        <v/>
      </c>
    </row>
    <row r="923" spans="4:5" x14ac:dyDescent="0.3">
      <c r="D923" s="2" t="str">
        <f>IF(A923&lt;&gt;"",SUM(B923:C923),"")</f>
        <v/>
      </c>
      <c r="E923" s="2" t="str">
        <f>IF(A923&lt;&gt;"",('TP1'!E1*'TP1'!D923)/'TP1'!D1, "")</f>
        <v/>
      </c>
    </row>
    <row r="924" spans="4:5" x14ac:dyDescent="0.3">
      <c r="D924" s="2" t="str">
        <f>IF(A924&lt;&gt;"",SUM(B924:C924),"")</f>
        <v/>
      </c>
      <c r="E924" s="2" t="str">
        <f>IF(A924&lt;&gt;"",('TP1'!E1*'TP1'!D924)/'TP1'!D1, "")</f>
        <v/>
      </c>
    </row>
    <row r="925" spans="4:5" x14ac:dyDescent="0.3">
      <c r="D925" s="2" t="str">
        <f>IF(A925&lt;&gt;"",SUM(B925:C925),"")</f>
        <v/>
      </c>
      <c r="E925" s="2" t="str">
        <f>IF(A925&lt;&gt;"",('TP1'!E1*'TP1'!D925)/'TP1'!D1, "")</f>
        <v/>
      </c>
    </row>
    <row r="926" spans="4:5" x14ac:dyDescent="0.3">
      <c r="D926" s="2" t="str">
        <f>IF(A926&lt;&gt;"",SUM(B926:C926),"")</f>
        <v/>
      </c>
      <c r="E926" s="2" t="str">
        <f>IF(A926&lt;&gt;"",('TP1'!E1*'TP1'!D926)/'TP1'!D1, "")</f>
        <v/>
      </c>
    </row>
    <row r="927" spans="4:5" x14ac:dyDescent="0.3">
      <c r="D927" s="2" t="str">
        <f>IF(A927&lt;&gt;"",SUM(B927:C927),"")</f>
        <v/>
      </c>
      <c r="E927" s="2" t="str">
        <f>IF(A927&lt;&gt;"",('TP1'!E1*'TP1'!D927)/'TP1'!D1, "")</f>
        <v/>
      </c>
    </row>
    <row r="928" spans="4:5" x14ac:dyDescent="0.3">
      <c r="D928" s="2" t="str">
        <f>IF(A928&lt;&gt;"",SUM(B928:C928),"")</f>
        <v/>
      </c>
      <c r="E928" s="2" t="str">
        <f>IF(A928&lt;&gt;"",('TP1'!E1*'TP1'!D928)/'TP1'!D1, "")</f>
        <v/>
      </c>
    </row>
    <row r="929" spans="4:5" x14ac:dyDescent="0.3">
      <c r="D929" s="2" t="str">
        <f>IF(A929&lt;&gt;"",SUM(B929:C929),"")</f>
        <v/>
      </c>
      <c r="E929" s="2" t="str">
        <f>IF(A929&lt;&gt;"",('TP1'!E1*'TP1'!D929)/'TP1'!D1, "")</f>
        <v/>
      </c>
    </row>
    <row r="930" spans="4:5" x14ac:dyDescent="0.3">
      <c r="D930" s="2" t="str">
        <f>IF(A930&lt;&gt;"",SUM(B930:C930),"")</f>
        <v/>
      </c>
      <c r="E930" s="2" t="str">
        <f>IF(A930&lt;&gt;"",('TP1'!E1*'TP1'!D930)/'TP1'!D1, "")</f>
        <v/>
      </c>
    </row>
    <row r="931" spans="4:5" x14ac:dyDescent="0.3">
      <c r="D931" s="2" t="str">
        <f>IF(A931&lt;&gt;"",SUM(B931:C931),"")</f>
        <v/>
      </c>
      <c r="E931" s="2" t="str">
        <f>IF(A931&lt;&gt;"",('TP1'!E1*'TP1'!D931)/'TP1'!D1, "")</f>
        <v/>
      </c>
    </row>
    <row r="932" spans="4:5" x14ac:dyDescent="0.3">
      <c r="D932" s="2" t="str">
        <f>IF(A932&lt;&gt;"",SUM(B932:C932),"")</f>
        <v/>
      </c>
      <c r="E932" s="2" t="str">
        <f>IF(A932&lt;&gt;"",('TP1'!E1*'TP1'!D932)/'TP1'!D1, "")</f>
        <v/>
      </c>
    </row>
    <row r="933" spans="4:5" x14ac:dyDescent="0.3">
      <c r="D933" s="2" t="str">
        <f>IF(A933&lt;&gt;"",SUM(B933:C933),"")</f>
        <v/>
      </c>
      <c r="E933" s="2" t="str">
        <f>IF(A933&lt;&gt;"",('TP1'!E1*'TP1'!D933)/'TP1'!D1, "")</f>
        <v/>
      </c>
    </row>
    <row r="934" spans="4:5" x14ac:dyDescent="0.3">
      <c r="D934" s="2" t="str">
        <f>IF(A934&lt;&gt;"",SUM(B934:C934),"")</f>
        <v/>
      </c>
      <c r="E934" s="2" t="str">
        <f>IF(A934&lt;&gt;"",('TP1'!E1*'TP1'!D934)/'TP1'!D1, "")</f>
        <v/>
      </c>
    </row>
    <row r="935" spans="4:5" x14ac:dyDescent="0.3">
      <c r="D935" s="2" t="str">
        <f>IF(A935&lt;&gt;"",SUM(B935:C935),"")</f>
        <v/>
      </c>
      <c r="E935" s="2" t="str">
        <f>IF(A935&lt;&gt;"",('TP1'!E1*'TP1'!D935)/'TP1'!D1, "")</f>
        <v/>
      </c>
    </row>
    <row r="936" spans="4:5" x14ac:dyDescent="0.3">
      <c r="D936" s="2" t="str">
        <f>IF(A936&lt;&gt;"",SUM(B936:C936),"")</f>
        <v/>
      </c>
      <c r="E936" s="2" t="str">
        <f>IF(A936&lt;&gt;"",('TP1'!E1*'TP1'!D936)/'TP1'!D1, "")</f>
        <v/>
      </c>
    </row>
    <row r="937" spans="4:5" x14ac:dyDescent="0.3">
      <c r="D937" s="2" t="str">
        <f>IF(A937&lt;&gt;"",SUM(B937:C937),"")</f>
        <v/>
      </c>
      <c r="E937" s="2" t="str">
        <f>IF(A937&lt;&gt;"",('TP1'!E1*'TP1'!D937)/'TP1'!D1, "")</f>
        <v/>
      </c>
    </row>
    <row r="938" spans="4:5" x14ac:dyDescent="0.3">
      <c r="D938" s="2" t="str">
        <f>IF(A938&lt;&gt;"",SUM(B938:C938),"")</f>
        <v/>
      </c>
      <c r="E938" s="2" t="str">
        <f>IF(A938&lt;&gt;"",('TP1'!E1*'TP1'!D938)/'TP1'!D1, "")</f>
        <v/>
      </c>
    </row>
    <row r="939" spans="4:5" x14ac:dyDescent="0.3">
      <c r="D939" s="2" t="str">
        <f>IF(A939&lt;&gt;"",SUM(B939:C939),"")</f>
        <v/>
      </c>
      <c r="E939" s="2" t="str">
        <f>IF(A939&lt;&gt;"",('TP1'!E1*'TP1'!D939)/'TP1'!D1, "")</f>
        <v/>
      </c>
    </row>
    <row r="940" spans="4:5" x14ac:dyDescent="0.3">
      <c r="D940" s="2" t="str">
        <f>IF(A940&lt;&gt;"",SUM(B940:C940),"")</f>
        <v/>
      </c>
      <c r="E940" s="2" t="str">
        <f>IF(A940&lt;&gt;"",('TP1'!E1*'TP1'!D940)/'TP1'!D1, "")</f>
        <v/>
      </c>
    </row>
    <row r="941" spans="4:5" x14ac:dyDescent="0.3">
      <c r="D941" s="2" t="str">
        <f>IF(A941&lt;&gt;"",SUM(B941:C941),"")</f>
        <v/>
      </c>
      <c r="E941" s="2" t="str">
        <f>IF(A941&lt;&gt;"",('TP1'!E1*'TP1'!D941)/'TP1'!D1, "")</f>
        <v/>
      </c>
    </row>
    <row r="942" spans="4:5" x14ac:dyDescent="0.3">
      <c r="D942" s="2" t="str">
        <f>IF(A942&lt;&gt;"",SUM(B942:C942),"")</f>
        <v/>
      </c>
      <c r="E942" s="2" t="str">
        <f>IF(A942&lt;&gt;"",('TP1'!E1*'TP1'!D942)/'TP1'!D1, "")</f>
        <v/>
      </c>
    </row>
    <row r="943" spans="4:5" x14ac:dyDescent="0.3">
      <c r="D943" s="2" t="str">
        <f>IF(A943&lt;&gt;"",SUM(B943:C943),"")</f>
        <v/>
      </c>
      <c r="E943" s="2" t="str">
        <f>IF(A943&lt;&gt;"",('TP1'!E1*'TP1'!D943)/'TP1'!D1, "")</f>
        <v/>
      </c>
    </row>
    <row r="944" spans="4:5" x14ac:dyDescent="0.3">
      <c r="D944" s="2" t="str">
        <f>IF(A944&lt;&gt;"",SUM(B944:C944),"")</f>
        <v/>
      </c>
      <c r="E944" s="2" t="str">
        <f>IF(A944&lt;&gt;"",('TP1'!E1*'TP1'!D944)/'TP1'!D1, "")</f>
        <v/>
      </c>
    </row>
    <row r="945" spans="4:5" x14ac:dyDescent="0.3">
      <c r="D945" s="2" t="str">
        <f>IF(A945&lt;&gt;"",SUM(B945:C945),"")</f>
        <v/>
      </c>
      <c r="E945" s="2" t="str">
        <f>IF(A945&lt;&gt;"",('TP1'!E1*'TP1'!D945)/'TP1'!D1, "")</f>
        <v/>
      </c>
    </row>
    <row r="946" spans="4:5" x14ac:dyDescent="0.3">
      <c r="D946" s="2" t="str">
        <f>IF(A946&lt;&gt;"",SUM(B946:C946),"")</f>
        <v/>
      </c>
      <c r="E946" s="2" t="str">
        <f>IF(A946&lt;&gt;"",('TP1'!E1*'TP1'!D946)/'TP1'!D1, "")</f>
        <v/>
      </c>
    </row>
    <row r="947" spans="4:5" x14ac:dyDescent="0.3">
      <c r="D947" s="2" t="str">
        <f>IF(A947&lt;&gt;"",SUM(B947:C947),"")</f>
        <v/>
      </c>
      <c r="E947" s="2" t="str">
        <f>IF(A947&lt;&gt;"",('TP1'!E1*'TP1'!D947)/'TP1'!D1, "")</f>
        <v/>
      </c>
    </row>
    <row r="948" spans="4:5" x14ac:dyDescent="0.3">
      <c r="D948" s="2" t="str">
        <f>IF(A948&lt;&gt;"",SUM(B948:C948),"")</f>
        <v/>
      </c>
      <c r="E948" s="2" t="str">
        <f>IF(A948&lt;&gt;"",('TP1'!E1*'TP1'!D948)/'TP1'!D1, "")</f>
        <v/>
      </c>
    </row>
    <row r="949" spans="4:5" x14ac:dyDescent="0.3">
      <c r="D949" s="2" t="str">
        <f>IF(A949&lt;&gt;"",SUM(B949:C949),"")</f>
        <v/>
      </c>
      <c r="E949" s="2" t="str">
        <f>IF(A949&lt;&gt;"",('TP1'!E1*'TP1'!D949)/'TP1'!D1, "")</f>
        <v/>
      </c>
    </row>
    <row r="950" spans="4:5" x14ac:dyDescent="0.3">
      <c r="D950" s="2" t="str">
        <f>IF(A950&lt;&gt;"",SUM(B950:C950),"")</f>
        <v/>
      </c>
      <c r="E950" s="2" t="str">
        <f>IF(A950&lt;&gt;"",('TP1'!E1*'TP1'!D950)/'TP1'!D1, "")</f>
        <v/>
      </c>
    </row>
    <row r="951" spans="4:5" x14ac:dyDescent="0.3">
      <c r="D951" s="2" t="str">
        <f>IF(A951&lt;&gt;"",SUM(B951:C951),"")</f>
        <v/>
      </c>
      <c r="E951" s="2" t="str">
        <f>IF(A951&lt;&gt;"",('TP1'!E1*'TP1'!D951)/'TP1'!D1, "")</f>
        <v/>
      </c>
    </row>
    <row r="952" spans="4:5" x14ac:dyDescent="0.3">
      <c r="D952" s="2" t="str">
        <f>IF(A952&lt;&gt;"",SUM(B952:C952),"")</f>
        <v/>
      </c>
      <c r="E952" s="2" t="str">
        <f>IF(A952&lt;&gt;"",('TP1'!E1*'TP1'!D952)/'TP1'!D1, "")</f>
        <v/>
      </c>
    </row>
    <row r="953" spans="4:5" x14ac:dyDescent="0.3">
      <c r="D953" s="2" t="str">
        <f>IF(A953&lt;&gt;"",SUM(B953:C953),"")</f>
        <v/>
      </c>
      <c r="E953" s="2" t="str">
        <f>IF(A953&lt;&gt;"",('TP1'!E1*'TP1'!D953)/'TP1'!D1, "")</f>
        <v/>
      </c>
    </row>
    <row r="954" spans="4:5" x14ac:dyDescent="0.3">
      <c r="D954" s="2" t="str">
        <f>IF(A954&lt;&gt;"",SUM(B954:C954),"")</f>
        <v/>
      </c>
      <c r="E954" s="2" t="str">
        <f>IF(A954&lt;&gt;"",('TP1'!E1*'TP1'!D954)/'TP1'!D1, "")</f>
        <v/>
      </c>
    </row>
    <row r="955" spans="4:5" x14ac:dyDescent="0.3">
      <c r="D955" s="2" t="str">
        <f>IF(A955&lt;&gt;"",SUM(B955:C955),"")</f>
        <v/>
      </c>
      <c r="E955" s="2" t="str">
        <f>IF(A955&lt;&gt;"",('TP1'!E1*'TP1'!D955)/'TP1'!D1, "")</f>
        <v/>
      </c>
    </row>
    <row r="956" spans="4:5" x14ac:dyDescent="0.3">
      <c r="D956" s="2" t="str">
        <f>IF(A956&lt;&gt;"",SUM(B956:C956),"")</f>
        <v/>
      </c>
      <c r="E956" s="2" t="str">
        <f>IF(A956&lt;&gt;"",('TP1'!E1*'TP1'!D956)/'TP1'!D1, "")</f>
        <v/>
      </c>
    </row>
    <row r="957" spans="4:5" x14ac:dyDescent="0.3">
      <c r="D957" s="2" t="str">
        <f>IF(A957&lt;&gt;"",SUM(B957:C957),"")</f>
        <v/>
      </c>
      <c r="E957" s="2" t="str">
        <f>IF(A957&lt;&gt;"",('TP1'!E1*'TP1'!D957)/'TP1'!D1, "")</f>
        <v/>
      </c>
    </row>
    <row r="958" spans="4:5" x14ac:dyDescent="0.3">
      <c r="D958" s="2" t="str">
        <f>IF(A958&lt;&gt;"",SUM(B958:C958),"")</f>
        <v/>
      </c>
      <c r="E958" s="2" t="str">
        <f>IF(A958&lt;&gt;"",('TP1'!E1*'TP1'!D958)/'TP1'!D1, "")</f>
        <v/>
      </c>
    </row>
    <row r="959" spans="4:5" x14ac:dyDescent="0.3">
      <c r="D959" s="2" t="str">
        <f>IF(A959&lt;&gt;"",SUM(B959:C959),"")</f>
        <v/>
      </c>
      <c r="E959" s="2" t="str">
        <f>IF(A959&lt;&gt;"",('TP1'!E1*'TP1'!D959)/'TP1'!D1, "")</f>
        <v/>
      </c>
    </row>
    <row r="960" spans="4:5" x14ac:dyDescent="0.3">
      <c r="D960" s="2" t="str">
        <f>IF(A960&lt;&gt;"",SUM(B960:C960),"")</f>
        <v/>
      </c>
      <c r="E960" s="2" t="str">
        <f>IF(A960&lt;&gt;"",('TP1'!E1*'TP1'!D960)/'TP1'!D1, "")</f>
        <v/>
      </c>
    </row>
    <row r="961" spans="4:5" x14ac:dyDescent="0.3">
      <c r="D961" s="2" t="str">
        <f>IF(A961&lt;&gt;"",SUM(B961:C961),"")</f>
        <v/>
      </c>
      <c r="E961" s="2" t="str">
        <f>IF(A961&lt;&gt;"",('TP1'!E1*'TP1'!D961)/'TP1'!D1, "")</f>
        <v/>
      </c>
    </row>
    <row r="962" spans="4:5" x14ac:dyDescent="0.3">
      <c r="D962" s="2" t="str">
        <f>IF(A962&lt;&gt;"",SUM(B962:C962),"")</f>
        <v/>
      </c>
      <c r="E962" s="2" t="str">
        <f>IF(A962&lt;&gt;"",('TP1'!E1*'TP1'!D962)/'TP1'!D1, "")</f>
        <v/>
      </c>
    </row>
    <row r="963" spans="4:5" x14ac:dyDescent="0.3">
      <c r="D963" s="2" t="str">
        <f>IF(A963&lt;&gt;"",SUM(B963:C963),"")</f>
        <v/>
      </c>
      <c r="E963" s="2" t="str">
        <f>IF(A963&lt;&gt;"",('TP1'!E1*'TP1'!D963)/'TP1'!D1, "")</f>
        <v/>
      </c>
    </row>
    <row r="964" spans="4:5" x14ac:dyDescent="0.3">
      <c r="D964" s="2" t="str">
        <f>IF(A964&lt;&gt;"",SUM(B964:C964),"")</f>
        <v/>
      </c>
      <c r="E964" s="2" t="str">
        <f>IF(A964&lt;&gt;"",('TP1'!E1*'TP1'!D964)/'TP1'!D1, "")</f>
        <v/>
      </c>
    </row>
    <row r="965" spans="4:5" x14ac:dyDescent="0.3">
      <c r="D965" s="2" t="str">
        <f>IF(A965&lt;&gt;"",SUM(B965:C965),"")</f>
        <v/>
      </c>
      <c r="E965" s="2" t="str">
        <f>IF(A965&lt;&gt;"",('TP1'!E1*'TP1'!D965)/'TP1'!D1, "")</f>
        <v/>
      </c>
    </row>
    <row r="966" spans="4:5" x14ac:dyDescent="0.3">
      <c r="D966" s="2" t="str">
        <f>IF(A966&lt;&gt;"",SUM(B966:C966),"")</f>
        <v/>
      </c>
      <c r="E966" s="2" t="str">
        <f>IF(A966&lt;&gt;"",('TP1'!E1*'TP1'!D966)/'TP1'!D1, "")</f>
        <v/>
      </c>
    </row>
    <row r="967" spans="4:5" x14ac:dyDescent="0.3">
      <c r="D967" s="2" t="str">
        <f>IF(A967&lt;&gt;"",SUM(B967:C967),"")</f>
        <v/>
      </c>
      <c r="E967" s="2" t="str">
        <f>IF(A967&lt;&gt;"",('TP1'!E1*'TP1'!D967)/'TP1'!D1, "")</f>
        <v/>
      </c>
    </row>
    <row r="968" spans="4:5" x14ac:dyDescent="0.3">
      <c r="D968" s="2" t="str">
        <f>IF(A968&lt;&gt;"",SUM(B968:C968),"")</f>
        <v/>
      </c>
      <c r="E968" s="2" t="str">
        <f>IF(A968&lt;&gt;"",('TP1'!E1*'TP1'!D968)/'TP1'!D1, "")</f>
        <v/>
      </c>
    </row>
    <row r="969" spans="4:5" x14ac:dyDescent="0.3">
      <c r="D969" s="2" t="str">
        <f>IF(A969&lt;&gt;"",SUM(B969:C969),"")</f>
        <v/>
      </c>
      <c r="E969" s="2" t="str">
        <f>IF(A969&lt;&gt;"",('TP1'!E1*'TP1'!D969)/'TP1'!D1, "")</f>
        <v/>
      </c>
    </row>
    <row r="970" spans="4:5" x14ac:dyDescent="0.3">
      <c r="D970" s="2" t="str">
        <f>IF(A970&lt;&gt;"",SUM(B970:C970),"")</f>
        <v/>
      </c>
      <c r="E970" s="2" t="str">
        <f>IF(A970&lt;&gt;"",('TP1'!E1*'TP1'!D970)/'TP1'!D1, "")</f>
        <v/>
      </c>
    </row>
    <row r="971" spans="4:5" x14ac:dyDescent="0.3">
      <c r="D971" s="2" t="str">
        <f>IF(A971&lt;&gt;"",SUM(B971:C971),"")</f>
        <v/>
      </c>
      <c r="E971" s="2" t="str">
        <f>IF(A971&lt;&gt;"",('TP1'!E1*'TP1'!D971)/'TP1'!D1, "")</f>
        <v/>
      </c>
    </row>
    <row r="972" spans="4:5" x14ac:dyDescent="0.3">
      <c r="D972" s="2" t="str">
        <f>IF(A972&lt;&gt;"",SUM(B972:C972),"")</f>
        <v/>
      </c>
      <c r="E972" s="2" t="str">
        <f>IF(A972&lt;&gt;"",('TP1'!E1*'TP1'!D972)/'TP1'!D1, "")</f>
        <v/>
      </c>
    </row>
    <row r="973" spans="4:5" x14ac:dyDescent="0.3">
      <c r="D973" s="2" t="str">
        <f>IF(A973&lt;&gt;"",SUM(B973:C973),"")</f>
        <v/>
      </c>
      <c r="E973" s="2" t="str">
        <f>IF(A973&lt;&gt;"",('TP1'!E1*'TP1'!D973)/'TP1'!D1, "")</f>
        <v/>
      </c>
    </row>
    <row r="974" spans="4:5" x14ac:dyDescent="0.3">
      <c r="D974" s="2" t="str">
        <f>IF(A974&lt;&gt;"",SUM(B974:C974),"")</f>
        <v/>
      </c>
      <c r="E974" s="2" t="str">
        <f>IF(A974&lt;&gt;"",('TP1'!E1*'TP1'!D974)/'TP1'!D1, "")</f>
        <v/>
      </c>
    </row>
    <row r="975" spans="4:5" x14ac:dyDescent="0.3">
      <c r="D975" s="2" t="str">
        <f>IF(A975&lt;&gt;"",SUM(B975:C975),"")</f>
        <v/>
      </c>
      <c r="E975" s="2" t="str">
        <f>IF(A975&lt;&gt;"",('TP1'!E1*'TP1'!D975)/'TP1'!D1, "")</f>
        <v/>
      </c>
    </row>
    <row r="976" spans="4:5" x14ac:dyDescent="0.3">
      <c r="D976" s="2" t="str">
        <f>IF(A976&lt;&gt;"",SUM(B976:C976),"")</f>
        <v/>
      </c>
      <c r="E976" s="2" t="str">
        <f>IF(A976&lt;&gt;"",('TP1'!E1*'TP1'!D976)/'TP1'!D1, "")</f>
        <v/>
      </c>
    </row>
    <row r="977" spans="4:5" x14ac:dyDescent="0.3">
      <c r="D977" s="2" t="str">
        <f>IF(A977&lt;&gt;"",SUM(B977:C977),"")</f>
        <v/>
      </c>
      <c r="E977" s="2" t="str">
        <f>IF(A977&lt;&gt;"",('TP1'!E1*'TP1'!D977)/'TP1'!D1, "")</f>
        <v/>
      </c>
    </row>
    <row r="978" spans="4:5" x14ac:dyDescent="0.3">
      <c r="D978" s="2" t="str">
        <f>IF(A978&lt;&gt;"",SUM(B978:C978),"")</f>
        <v/>
      </c>
      <c r="E978" s="2" t="str">
        <f>IF(A978&lt;&gt;"",('TP1'!E1*'TP1'!D978)/'TP1'!D1, "")</f>
        <v/>
      </c>
    </row>
    <row r="979" spans="4:5" x14ac:dyDescent="0.3">
      <c r="D979" s="2" t="str">
        <f>IF(A979&lt;&gt;"",SUM(B979:C979),"")</f>
        <v/>
      </c>
      <c r="E979" s="2" t="str">
        <f>IF(A979&lt;&gt;"",('TP1'!E1*'TP1'!D979)/'TP1'!D1, "")</f>
        <v/>
      </c>
    </row>
    <row r="980" spans="4:5" x14ac:dyDescent="0.3">
      <c r="D980" s="2" t="str">
        <f>IF(A980&lt;&gt;"",SUM(B980:C980),"")</f>
        <v/>
      </c>
      <c r="E980" s="2" t="str">
        <f>IF(A980&lt;&gt;"",('TP1'!E1*'TP1'!D980)/'TP1'!D1, "")</f>
        <v/>
      </c>
    </row>
    <row r="981" spans="4:5" x14ac:dyDescent="0.3">
      <c r="D981" s="2" t="str">
        <f>IF(A981&lt;&gt;"",SUM(B981:C981),"")</f>
        <v/>
      </c>
      <c r="E981" s="2" t="str">
        <f>IF(A981&lt;&gt;"",('TP1'!E1*'TP1'!D981)/'TP1'!D1, "")</f>
        <v/>
      </c>
    </row>
    <row r="982" spans="4:5" x14ac:dyDescent="0.3">
      <c r="D982" s="2" t="str">
        <f>IF(A982&lt;&gt;"",SUM(B982:C982),"")</f>
        <v/>
      </c>
      <c r="E982" s="2" t="str">
        <f>IF(A982&lt;&gt;"",('TP1'!E1*'TP1'!D982)/'TP1'!D1, "")</f>
        <v/>
      </c>
    </row>
    <row r="983" spans="4:5" x14ac:dyDescent="0.3">
      <c r="D983" s="2" t="str">
        <f>IF(A983&lt;&gt;"",SUM(B983:C983),"")</f>
        <v/>
      </c>
      <c r="E983" s="2" t="str">
        <f>IF(A983&lt;&gt;"",('TP1'!E1*'TP1'!D983)/'TP1'!D1, "")</f>
        <v/>
      </c>
    </row>
    <row r="984" spans="4:5" x14ac:dyDescent="0.3">
      <c r="D984" s="2" t="str">
        <f>IF(A984&lt;&gt;"",SUM(B984:C984),"")</f>
        <v/>
      </c>
      <c r="E984" s="2" t="str">
        <f>IF(A984&lt;&gt;"",('TP1'!E1*'TP1'!D984)/'TP1'!D1, "")</f>
        <v/>
      </c>
    </row>
    <row r="985" spans="4:5" x14ac:dyDescent="0.3">
      <c r="D985" s="2" t="str">
        <f>IF(A985&lt;&gt;"",SUM(B985:C985),"")</f>
        <v/>
      </c>
      <c r="E985" s="2" t="str">
        <f>IF(A985&lt;&gt;"",('TP1'!E1*'TP1'!D985)/'TP1'!D1, "")</f>
        <v/>
      </c>
    </row>
    <row r="986" spans="4:5" x14ac:dyDescent="0.3">
      <c r="D986" s="2" t="str">
        <f>IF(A986&lt;&gt;"",SUM(B986:C986),"")</f>
        <v/>
      </c>
      <c r="E986" s="2" t="str">
        <f>IF(A986&lt;&gt;"",('TP1'!E1*'TP1'!D986)/'TP1'!D1, "")</f>
        <v/>
      </c>
    </row>
    <row r="987" spans="4:5" x14ac:dyDescent="0.3">
      <c r="D987" s="2" t="str">
        <f>IF(A987&lt;&gt;"",SUM(B987:C987),"")</f>
        <v/>
      </c>
      <c r="E987" s="2" t="str">
        <f>IF(A987&lt;&gt;"",('TP1'!E1*'TP1'!D987)/'TP1'!D1, "")</f>
        <v/>
      </c>
    </row>
    <row r="988" spans="4:5" x14ac:dyDescent="0.3">
      <c r="D988" s="2" t="str">
        <f>IF(A988&lt;&gt;"",SUM(B988:C988),"")</f>
        <v/>
      </c>
      <c r="E988" s="2" t="str">
        <f>IF(A988&lt;&gt;"",('TP1'!E1*'TP1'!D988)/'TP1'!D1, "")</f>
        <v/>
      </c>
    </row>
    <row r="989" spans="4:5" x14ac:dyDescent="0.3">
      <c r="D989" s="2" t="str">
        <f>IF(A989&lt;&gt;"",SUM(B989:C989),"")</f>
        <v/>
      </c>
      <c r="E989" s="2" t="str">
        <f>IF(A989&lt;&gt;"",('TP1'!E1*'TP1'!D989)/'TP1'!D1, "")</f>
        <v/>
      </c>
    </row>
    <row r="990" spans="4:5" x14ac:dyDescent="0.3">
      <c r="D990" s="2" t="str">
        <f>IF(A990&lt;&gt;"",SUM(B990:C990),"")</f>
        <v/>
      </c>
      <c r="E990" s="2" t="str">
        <f>IF(A990&lt;&gt;"",('TP1'!E1*'TP1'!D990)/'TP1'!D1, "")</f>
        <v/>
      </c>
    </row>
    <row r="991" spans="4:5" x14ac:dyDescent="0.3">
      <c r="D991" s="2" t="str">
        <f>IF(A991&lt;&gt;"",SUM(B991:C991),"")</f>
        <v/>
      </c>
      <c r="E991" s="2" t="str">
        <f>IF(A991&lt;&gt;"",('TP1'!E1*'TP1'!D991)/'TP1'!D1, "")</f>
        <v/>
      </c>
    </row>
    <row r="992" spans="4:5" x14ac:dyDescent="0.3">
      <c r="D992" s="2" t="str">
        <f>IF(A992&lt;&gt;"",SUM(B992:C992),"")</f>
        <v/>
      </c>
      <c r="E992" s="2" t="str">
        <f>IF(A992&lt;&gt;"",('TP1'!E1*'TP1'!D992)/'TP1'!D1, "")</f>
        <v/>
      </c>
    </row>
    <row r="993" spans="4:5" x14ac:dyDescent="0.3">
      <c r="D993" s="2" t="str">
        <f>IF(A993&lt;&gt;"",SUM(B993:C993),"")</f>
        <v/>
      </c>
      <c r="E993" s="2" t="str">
        <f>IF(A993&lt;&gt;"",('TP1'!E1*'TP1'!D993)/'TP1'!D1, "")</f>
        <v/>
      </c>
    </row>
    <row r="994" spans="4:5" x14ac:dyDescent="0.3">
      <c r="D994" s="2" t="str">
        <f>IF(A994&lt;&gt;"",SUM(B994:C994),"")</f>
        <v/>
      </c>
      <c r="E994" s="2" t="str">
        <f>IF(A994&lt;&gt;"",('TP1'!E1*'TP1'!D994)/'TP1'!D1, "")</f>
        <v/>
      </c>
    </row>
    <row r="995" spans="4:5" x14ac:dyDescent="0.3">
      <c r="D995" s="2" t="str">
        <f>IF(A995&lt;&gt;"",SUM(B995:C995),"")</f>
        <v/>
      </c>
      <c r="E995" s="2" t="str">
        <f>IF(A995&lt;&gt;"",('TP1'!E1*'TP1'!D995)/'TP1'!D1, "")</f>
        <v/>
      </c>
    </row>
    <row r="996" spans="4:5" x14ac:dyDescent="0.3">
      <c r="D996" s="2" t="str">
        <f>IF(A996&lt;&gt;"",SUM(B996:C996),"")</f>
        <v/>
      </c>
      <c r="E996" s="2" t="str">
        <f>IF(A996&lt;&gt;"",('TP1'!E1*'TP1'!D996)/'TP1'!D1, "")</f>
        <v/>
      </c>
    </row>
    <row r="997" spans="4:5" x14ac:dyDescent="0.3">
      <c r="D997" s="2" t="str">
        <f>IF(A997&lt;&gt;"",SUM(B997:C997),"")</f>
        <v/>
      </c>
      <c r="E997" s="2" t="str">
        <f>IF(A997&lt;&gt;"",('TP1'!E1*'TP1'!D997)/'TP1'!D1, "")</f>
        <v/>
      </c>
    </row>
    <row r="998" spans="4:5" x14ac:dyDescent="0.3">
      <c r="D998" s="2" t="str">
        <f>IF(A998&lt;&gt;"",SUM(B998:C998),"")</f>
        <v/>
      </c>
      <c r="E998" s="2" t="str">
        <f>IF(A998&lt;&gt;"",('TP1'!E1*'TP1'!D998)/'TP1'!D1, "")</f>
        <v/>
      </c>
    </row>
    <row r="999" spans="4:5" x14ac:dyDescent="0.3">
      <c r="D999" s="2" t="str">
        <f>IF(A999&lt;&gt;"",SUM(B999:C999),"")</f>
        <v/>
      </c>
      <c r="E999" s="2" t="str">
        <f>IF(A999&lt;&gt;"",('TP1'!E1*'TP1'!D999)/'TP1'!D1, "")</f>
        <v/>
      </c>
    </row>
    <row r="1000" spans="4:5" x14ac:dyDescent="0.3">
      <c r="D1000" s="2" t="str">
        <f>IF(A1000&lt;&gt;"",SUM(B1000:C1000),"")</f>
        <v/>
      </c>
      <c r="E1000" s="2" t="str">
        <f>IF(A1000&lt;&gt;"",('TP1'!E1*'TP1'!D1000)/'TP1'!D1, 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6CDEF-478B-438F-968C-05143B741991}">
  <sheetPr codeName="Folha150"/>
  <dimension ref="A1:ZZ1000"/>
  <sheetViews>
    <sheetView workbookViewId="0">
      <selection activeCell="B26" sqref="B26"/>
    </sheetView>
  </sheetViews>
  <sheetFormatPr defaultRowHeight="14.4" x14ac:dyDescent="0.3"/>
  <cols>
    <col min="1" max="1" width="35.77734375" style="2" customWidth="1"/>
    <col min="2" max="2" width="4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100</v>
      </c>
      <c r="C1" s="8">
        <v>100</v>
      </c>
      <c r="D1" s="8">
        <v>12</v>
      </c>
    </row>
    <row r="2" spans="1:4" x14ac:dyDescent="0.3">
      <c r="A2" s="7" t="s">
        <v>12</v>
      </c>
      <c r="B2" s="7" t="s">
        <v>21</v>
      </c>
      <c r="C2" s="7" t="s">
        <v>13</v>
      </c>
      <c r="D2" s="7" t="s">
        <v>23</v>
      </c>
    </row>
    <row r="3" spans="1:4" x14ac:dyDescent="0.3">
      <c r="A3" s="2" t="s">
        <v>17</v>
      </c>
      <c r="B3" s="2">
        <v>12</v>
      </c>
      <c r="C3" s="2">
        <f>IF(A3&lt;&gt;"",SUM(B3),"")</f>
        <v>12</v>
      </c>
      <c r="D3" s="2">
        <f>IF(A3&lt;&gt;"",(Exame!D1*Exame!C3)/Exame!C1, "")</f>
        <v>1.44</v>
      </c>
    </row>
    <row r="4" spans="1:4" x14ac:dyDescent="0.3">
      <c r="A4" s="2" t="s">
        <v>19</v>
      </c>
      <c r="B4" s="2">
        <v>65</v>
      </c>
      <c r="C4" s="2">
        <f>IF(A4&lt;&gt;"",SUM(B4),"")</f>
        <v>65</v>
      </c>
      <c r="D4" s="2">
        <f>IF(A4&lt;&gt;"",(Exame!D1*Exame!C4)/Exame!C1, "")</f>
        <v>7.8</v>
      </c>
    </row>
    <row r="5" spans="1:4" x14ac:dyDescent="0.3">
      <c r="C5" s="2" t="str">
        <f>IF(A5&lt;&gt;"",SUM(B5),"")</f>
        <v/>
      </c>
      <c r="D5" s="2" t="str">
        <f>IF(A5&lt;&gt;"",(Exame!D1*Exame!C5)/Exame!C1, "")</f>
        <v/>
      </c>
    </row>
    <row r="6" spans="1:4" x14ac:dyDescent="0.3">
      <c r="C6" s="2" t="str">
        <f>IF(A6&lt;&gt;"",SUM(B6),"")</f>
        <v/>
      </c>
      <c r="D6" s="2" t="str">
        <f>IF(A6&lt;&gt;"",(Exame!D1*Exame!C6)/Exame!C1, "")</f>
        <v/>
      </c>
    </row>
    <row r="7" spans="1:4" x14ac:dyDescent="0.3">
      <c r="C7" s="2" t="str">
        <f>IF(A7&lt;&gt;"",SUM(B7),"")</f>
        <v/>
      </c>
      <c r="D7" s="2" t="str">
        <f>IF(A7&lt;&gt;"",(Exame!D1*Exame!C7)/Exame!C1, "")</f>
        <v/>
      </c>
    </row>
    <row r="8" spans="1:4" x14ac:dyDescent="0.3">
      <c r="C8" s="2" t="str">
        <f>IF(A8&lt;&gt;"",SUM(B8),"")</f>
        <v/>
      </c>
      <c r="D8" s="2" t="str">
        <f>IF(A8&lt;&gt;"",(Exame!D1*Exame!C8)/Exame!C1, "")</f>
        <v/>
      </c>
    </row>
    <row r="9" spans="1:4" x14ac:dyDescent="0.3">
      <c r="C9" s="2" t="str">
        <f>IF(A9&lt;&gt;"",SUM(B9),"")</f>
        <v/>
      </c>
      <c r="D9" s="2" t="str">
        <f>IF(A9&lt;&gt;"",(Exame!D1*Exame!C9)/Exame!C1, "")</f>
        <v/>
      </c>
    </row>
    <row r="10" spans="1:4" x14ac:dyDescent="0.3">
      <c r="C10" s="2" t="str">
        <f>IF(A10&lt;&gt;"",SUM(B10),"")</f>
        <v/>
      </c>
      <c r="D10" s="2" t="str">
        <f>IF(A10&lt;&gt;"",(Exame!D1*Exame!C10)/Exame!C1, "")</f>
        <v/>
      </c>
    </row>
    <row r="11" spans="1:4" x14ac:dyDescent="0.3">
      <c r="C11" s="2" t="str">
        <f>IF(A11&lt;&gt;"",SUM(B11),"")</f>
        <v/>
      </c>
      <c r="D11" s="2" t="str">
        <f>IF(A11&lt;&gt;"",(Exame!D1*Exame!C11)/Exame!C1, "")</f>
        <v/>
      </c>
    </row>
    <row r="12" spans="1:4" x14ac:dyDescent="0.3">
      <c r="C12" s="2" t="str">
        <f>IF(A12&lt;&gt;"",SUM(B12),"")</f>
        <v/>
      </c>
      <c r="D12" s="2" t="str">
        <f>IF(A12&lt;&gt;"",(Exame!D1*Exame!C12)/Exame!C1, "")</f>
        <v/>
      </c>
    </row>
    <row r="13" spans="1:4" x14ac:dyDescent="0.3">
      <c r="C13" s="2" t="str">
        <f>IF(A13&lt;&gt;"",SUM(B13),"")</f>
        <v/>
      </c>
      <c r="D13" s="2" t="str">
        <f>IF(A13&lt;&gt;"",(Exame!D1*Exame!C13)/Exame!C1, "")</f>
        <v/>
      </c>
    </row>
    <row r="14" spans="1:4" x14ac:dyDescent="0.3">
      <c r="C14" s="2" t="str">
        <f>IF(A14&lt;&gt;"",SUM(B14),"")</f>
        <v/>
      </c>
      <c r="D14" s="2" t="str">
        <f>IF(A14&lt;&gt;"",(Exame!D1*Exame!C14)/Exame!C1, "")</f>
        <v/>
      </c>
    </row>
    <row r="15" spans="1:4" x14ac:dyDescent="0.3">
      <c r="C15" s="2" t="str">
        <f>IF(A15&lt;&gt;"",SUM(B15),"")</f>
        <v/>
      </c>
      <c r="D15" s="2" t="str">
        <f>IF(A15&lt;&gt;"",(Exame!D1*Exame!C15)/Exame!C1, "")</f>
        <v/>
      </c>
    </row>
    <row r="16" spans="1:4" x14ac:dyDescent="0.3">
      <c r="C16" s="2" t="str">
        <f>IF(A16&lt;&gt;"",SUM(B16),"")</f>
        <v/>
      </c>
      <c r="D16" s="2" t="str">
        <f>IF(A16&lt;&gt;"",(Exame!D1*Exame!C16)/Exame!C1, "")</f>
        <v/>
      </c>
    </row>
    <row r="17" spans="3:4" x14ac:dyDescent="0.3">
      <c r="C17" s="2" t="str">
        <f>IF(A17&lt;&gt;"",SUM(B17),"")</f>
        <v/>
      </c>
      <c r="D17" s="2" t="str">
        <f>IF(A17&lt;&gt;"",(Exame!D1*Exame!C17)/Exame!C1, "")</f>
        <v/>
      </c>
    </row>
    <row r="18" spans="3:4" x14ac:dyDescent="0.3">
      <c r="C18" s="2" t="str">
        <f>IF(A18&lt;&gt;"",SUM(B18),"")</f>
        <v/>
      </c>
      <c r="D18" s="2" t="str">
        <f>IF(A18&lt;&gt;"",(Exame!D1*Exame!C18)/Exame!C1, "")</f>
        <v/>
      </c>
    </row>
    <row r="19" spans="3:4" x14ac:dyDescent="0.3">
      <c r="C19" s="2" t="str">
        <f>IF(A19&lt;&gt;"",SUM(B19),"")</f>
        <v/>
      </c>
      <c r="D19" s="2" t="str">
        <f>IF(A19&lt;&gt;"",(Exame!D1*Exame!C19)/Exame!C1, "")</f>
        <v/>
      </c>
    </row>
    <row r="20" spans="3:4" x14ac:dyDescent="0.3">
      <c r="C20" s="2" t="str">
        <f>IF(A20&lt;&gt;"",SUM(B20),"")</f>
        <v/>
      </c>
      <c r="D20" s="2" t="str">
        <f>IF(A20&lt;&gt;"",(Exame!D1*Exame!C20)/Exame!C1, "")</f>
        <v/>
      </c>
    </row>
    <row r="21" spans="3:4" x14ac:dyDescent="0.3">
      <c r="C21" s="2" t="str">
        <f>IF(A21&lt;&gt;"",SUM(B21),"")</f>
        <v/>
      </c>
      <c r="D21" s="2" t="str">
        <f>IF(A21&lt;&gt;"",(Exame!D1*Exame!C21)/Exame!C1, "")</f>
        <v/>
      </c>
    </row>
    <row r="22" spans="3:4" x14ac:dyDescent="0.3">
      <c r="C22" s="2" t="str">
        <f>IF(A22&lt;&gt;"",SUM(B22),"")</f>
        <v/>
      </c>
      <c r="D22" s="2" t="str">
        <f>IF(A22&lt;&gt;"",(Exame!D1*Exame!C22)/Exame!C1, "")</f>
        <v/>
      </c>
    </row>
    <row r="23" spans="3:4" x14ac:dyDescent="0.3">
      <c r="C23" s="2" t="str">
        <f>IF(A23&lt;&gt;"",SUM(B23),"")</f>
        <v/>
      </c>
      <c r="D23" s="2" t="str">
        <f>IF(A23&lt;&gt;"",(Exame!D1*Exame!C23)/Exame!C1, "")</f>
        <v/>
      </c>
    </row>
    <row r="24" spans="3:4" x14ac:dyDescent="0.3">
      <c r="C24" s="2" t="str">
        <f>IF(A24&lt;&gt;"",SUM(B24),"")</f>
        <v/>
      </c>
      <c r="D24" s="2" t="str">
        <f>IF(A24&lt;&gt;"",(Exame!D1*Exame!C24)/Exame!C1, "")</f>
        <v/>
      </c>
    </row>
    <row r="25" spans="3:4" x14ac:dyDescent="0.3">
      <c r="C25" s="2" t="str">
        <f>IF(A25&lt;&gt;"",SUM(B25),"")</f>
        <v/>
      </c>
      <c r="D25" s="2" t="str">
        <f>IF(A25&lt;&gt;"",(Exame!D1*Exame!C25)/Exame!C1, "")</f>
        <v/>
      </c>
    </row>
    <row r="26" spans="3:4" x14ac:dyDescent="0.3">
      <c r="C26" s="2" t="str">
        <f>IF(A26&lt;&gt;"",SUM(B26),"")</f>
        <v/>
      </c>
      <c r="D26" s="2" t="str">
        <f>IF(A26&lt;&gt;"",(Exame!D1*Exame!C26)/Exame!C1, "")</f>
        <v/>
      </c>
    </row>
    <row r="27" spans="3:4" x14ac:dyDescent="0.3">
      <c r="C27" s="2" t="str">
        <f>IF(A27&lt;&gt;"",SUM(B27),"")</f>
        <v/>
      </c>
      <c r="D27" s="2" t="str">
        <f>IF(A27&lt;&gt;"",(Exame!D1*Exame!C27)/Exame!C1, "")</f>
        <v/>
      </c>
    </row>
    <row r="28" spans="3:4" x14ac:dyDescent="0.3">
      <c r="C28" s="2" t="str">
        <f>IF(A28&lt;&gt;"",SUM(B28),"")</f>
        <v/>
      </c>
      <c r="D28" s="2" t="str">
        <f>IF(A28&lt;&gt;"",(Exame!D1*Exame!C28)/Exame!C1, "")</f>
        <v/>
      </c>
    </row>
    <row r="29" spans="3:4" x14ac:dyDescent="0.3">
      <c r="C29" s="2" t="str">
        <f>IF(A29&lt;&gt;"",SUM(B29),"")</f>
        <v/>
      </c>
      <c r="D29" s="2" t="str">
        <f>IF(A29&lt;&gt;"",(Exame!D1*Exame!C29)/Exame!C1, "")</f>
        <v/>
      </c>
    </row>
    <row r="30" spans="3:4" x14ac:dyDescent="0.3">
      <c r="C30" s="2" t="str">
        <f>IF(A30&lt;&gt;"",SUM(B30),"")</f>
        <v/>
      </c>
      <c r="D30" s="2" t="str">
        <f>IF(A30&lt;&gt;"",(Exame!D1*Exame!C30)/Exame!C1, "")</f>
        <v/>
      </c>
    </row>
    <row r="31" spans="3:4" x14ac:dyDescent="0.3">
      <c r="C31" s="2" t="str">
        <f>IF(A31&lt;&gt;"",SUM(B31),"")</f>
        <v/>
      </c>
      <c r="D31" s="2" t="str">
        <f>IF(A31&lt;&gt;"",(Exame!D1*Exame!C31)/Exame!C1, "")</f>
        <v/>
      </c>
    </row>
    <row r="32" spans="3:4" x14ac:dyDescent="0.3">
      <c r="C32" s="2" t="str">
        <f>IF(A32&lt;&gt;"",SUM(B32),"")</f>
        <v/>
      </c>
      <c r="D32" s="2" t="str">
        <f>IF(A32&lt;&gt;"",(Exame!D1*Exame!C32)/Exame!C1, "")</f>
        <v/>
      </c>
    </row>
    <row r="33" spans="3:4" x14ac:dyDescent="0.3">
      <c r="C33" s="2" t="str">
        <f>IF(A33&lt;&gt;"",SUM(B33),"")</f>
        <v/>
      </c>
      <c r="D33" s="2" t="str">
        <f>IF(A33&lt;&gt;"",(Exame!D1*Exame!C33)/Exame!C1, "")</f>
        <v/>
      </c>
    </row>
    <row r="34" spans="3:4" x14ac:dyDescent="0.3">
      <c r="C34" s="2" t="str">
        <f>IF(A34&lt;&gt;"",SUM(B34),"")</f>
        <v/>
      </c>
      <c r="D34" s="2" t="str">
        <f>IF(A34&lt;&gt;"",(Exame!D1*Exame!C34)/Exame!C1, "")</f>
        <v/>
      </c>
    </row>
    <row r="35" spans="3:4" x14ac:dyDescent="0.3">
      <c r="C35" s="2" t="str">
        <f>IF(A35&lt;&gt;"",SUM(B35),"")</f>
        <v/>
      </c>
      <c r="D35" s="2" t="str">
        <f>IF(A35&lt;&gt;"",(Exame!D1*Exame!C35)/Exame!C1, "")</f>
        <v/>
      </c>
    </row>
    <row r="36" spans="3:4" x14ac:dyDescent="0.3">
      <c r="C36" s="2" t="str">
        <f>IF(A36&lt;&gt;"",SUM(B36),"")</f>
        <v/>
      </c>
      <c r="D36" s="2" t="str">
        <f>IF(A36&lt;&gt;"",(Exame!D1*Exame!C36)/Exame!C1, "")</f>
        <v/>
      </c>
    </row>
    <row r="37" spans="3:4" x14ac:dyDescent="0.3">
      <c r="C37" s="2" t="str">
        <f>IF(A37&lt;&gt;"",SUM(B37),"")</f>
        <v/>
      </c>
      <c r="D37" s="2" t="str">
        <f>IF(A37&lt;&gt;"",(Exame!D1*Exame!C37)/Exame!C1, "")</f>
        <v/>
      </c>
    </row>
    <row r="38" spans="3:4" x14ac:dyDescent="0.3">
      <c r="C38" s="2" t="str">
        <f>IF(A38&lt;&gt;"",SUM(B38),"")</f>
        <v/>
      </c>
      <c r="D38" s="2" t="str">
        <f>IF(A38&lt;&gt;"",(Exame!D1*Exame!C38)/Exame!C1, "")</f>
        <v/>
      </c>
    </row>
    <row r="39" spans="3:4" x14ac:dyDescent="0.3">
      <c r="C39" s="2" t="str">
        <f>IF(A39&lt;&gt;"",SUM(B39),"")</f>
        <v/>
      </c>
      <c r="D39" s="2" t="str">
        <f>IF(A39&lt;&gt;"",(Exame!D1*Exame!C39)/Exame!C1, "")</f>
        <v/>
      </c>
    </row>
    <row r="40" spans="3:4" x14ac:dyDescent="0.3">
      <c r="C40" s="2" t="str">
        <f>IF(A40&lt;&gt;"",SUM(B40),"")</f>
        <v/>
      </c>
      <c r="D40" s="2" t="str">
        <f>IF(A40&lt;&gt;"",(Exame!D1*Exame!C40)/Exame!C1, "")</f>
        <v/>
      </c>
    </row>
    <row r="41" spans="3:4" x14ac:dyDescent="0.3">
      <c r="C41" s="2" t="str">
        <f>IF(A41&lt;&gt;"",SUM(B41),"")</f>
        <v/>
      </c>
      <c r="D41" s="2" t="str">
        <f>IF(A41&lt;&gt;"",(Exame!D1*Exame!C41)/Exame!C1, "")</f>
        <v/>
      </c>
    </row>
    <row r="42" spans="3:4" x14ac:dyDescent="0.3">
      <c r="C42" s="2" t="str">
        <f>IF(A42&lt;&gt;"",SUM(B42),"")</f>
        <v/>
      </c>
      <c r="D42" s="2" t="str">
        <f>IF(A42&lt;&gt;"",(Exame!D1*Exame!C42)/Exame!C1, "")</f>
        <v/>
      </c>
    </row>
    <row r="43" spans="3:4" x14ac:dyDescent="0.3">
      <c r="C43" s="2" t="str">
        <f>IF(A43&lt;&gt;"",SUM(B43),"")</f>
        <v/>
      </c>
      <c r="D43" s="2" t="str">
        <f>IF(A43&lt;&gt;"",(Exame!D1*Exame!C43)/Exame!C1, "")</f>
        <v/>
      </c>
    </row>
    <row r="44" spans="3:4" x14ac:dyDescent="0.3">
      <c r="C44" s="2" t="str">
        <f>IF(A44&lt;&gt;"",SUM(B44),"")</f>
        <v/>
      </c>
      <c r="D44" s="2" t="str">
        <f>IF(A44&lt;&gt;"",(Exame!D1*Exame!C44)/Exame!C1, "")</f>
        <v/>
      </c>
    </row>
    <row r="45" spans="3:4" x14ac:dyDescent="0.3">
      <c r="C45" s="2" t="str">
        <f>IF(A45&lt;&gt;"",SUM(B45),"")</f>
        <v/>
      </c>
      <c r="D45" s="2" t="str">
        <f>IF(A45&lt;&gt;"",(Exame!D1*Exame!C45)/Exame!C1, "")</f>
        <v/>
      </c>
    </row>
    <row r="46" spans="3:4" x14ac:dyDescent="0.3">
      <c r="C46" s="2" t="str">
        <f>IF(A46&lt;&gt;"",SUM(B46),"")</f>
        <v/>
      </c>
      <c r="D46" s="2" t="str">
        <f>IF(A46&lt;&gt;"",(Exame!D1*Exame!C46)/Exame!C1, "")</f>
        <v/>
      </c>
    </row>
    <row r="47" spans="3:4" x14ac:dyDescent="0.3">
      <c r="C47" s="2" t="str">
        <f>IF(A47&lt;&gt;"",SUM(B47),"")</f>
        <v/>
      </c>
      <c r="D47" s="2" t="str">
        <f>IF(A47&lt;&gt;"",(Exame!D1*Exame!C47)/Exame!C1, "")</f>
        <v/>
      </c>
    </row>
    <row r="48" spans="3:4" x14ac:dyDescent="0.3">
      <c r="C48" s="2" t="str">
        <f>IF(A48&lt;&gt;"",SUM(B48),"")</f>
        <v/>
      </c>
      <c r="D48" s="2" t="str">
        <f>IF(A48&lt;&gt;"",(Exame!D1*Exame!C48)/Exame!C1, "")</f>
        <v/>
      </c>
    </row>
    <row r="49" spans="3:4" x14ac:dyDescent="0.3">
      <c r="C49" s="2" t="str">
        <f>IF(A49&lt;&gt;"",SUM(B49),"")</f>
        <v/>
      </c>
      <c r="D49" s="2" t="str">
        <f>IF(A49&lt;&gt;"",(Exame!D1*Exame!C49)/Exame!C1, "")</f>
        <v/>
      </c>
    </row>
    <row r="50" spans="3:4" x14ac:dyDescent="0.3">
      <c r="C50" s="2" t="str">
        <f>IF(A50&lt;&gt;"",SUM(B50),"")</f>
        <v/>
      </c>
      <c r="D50" s="2" t="str">
        <f>IF(A50&lt;&gt;"",(Exame!D1*Exame!C50)/Exame!C1, "")</f>
        <v/>
      </c>
    </row>
    <row r="51" spans="3:4" x14ac:dyDescent="0.3">
      <c r="C51" s="2" t="str">
        <f>IF(A51&lt;&gt;"",SUM(B51),"")</f>
        <v/>
      </c>
      <c r="D51" s="2" t="str">
        <f>IF(A51&lt;&gt;"",(Exame!D1*Exame!C51)/Exame!C1, "")</f>
        <v/>
      </c>
    </row>
    <row r="52" spans="3:4" x14ac:dyDescent="0.3">
      <c r="C52" s="2" t="str">
        <f>IF(A52&lt;&gt;"",SUM(B52),"")</f>
        <v/>
      </c>
      <c r="D52" s="2" t="str">
        <f>IF(A52&lt;&gt;"",(Exame!D1*Exame!C52)/Exame!C1, "")</f>
        <v/>
      </c>
    </row>
    <row r="53" spans="3:4" x14ac:dyDescent="0.3">
      <c r="C53" s="2" t="str">
        <f>IF(A53&lt;&gt;"",SUM(B53),"")</f>
        <v/>
      </c>
      <c r="D53" s="2" t="str">
        <f>IF(A53&lt;&gt;"",(Exame!D1*Exame!C53)/Exame!C1, "")</f>
        <v/>
      </c>
    </row>
    <row r="54" spans="3:4" x14ac:dyDescent="0.3">
      <c r="C54" s="2" t="str">
        <f>IF(A54&lt;&gt;"",SUM(B54),"")</f>
        <v/>
      </c>
      <c r="D54" s="2" t="str">
        <f>IF(A54&lt;&gt;"",(Exame!D1*Exame!C54)/Exame!C1, "")</f>
        <v/>
      </c>
    </row>
    <row r="55" spans="3:4" x14ac:dyDescent="0.3">
      <c r="C55" s="2" t="str">
        <f>IF(A55&lt;&gt;"",SUM(B55),"")</f>
        <v/>
      </c>
      <c r="D55" s="2" t="str">
        <f>IF(A55&lt;&gt;"",(Exame!D1*Exame!C55)/Exame!C1, "")</f>
        <v/>
      </c>
    </row>
    <row r="56" spans="3:4" x14ac:dyDescent="0.3">
      <c r="C56" s="2" t="str">
        <f>IF(A56&lt;&gt;"",SUM(B56),"")</f>
        <v/>
      </c>
      <c r="D56" s="2" t="str">
        <f>IF(A56&lt;&gt;"",(Exame!D1*Exame!C56)/Exame!C1, "")</f>
        <v/>
      </c>
    </row>
    <row r="57" spans="3:4" x14ac:dyDescent="0.3">
      <c r="C57" s="2" t="str">
        <f>IF(A57&lt;&gt;"",SUM(B57),"")</f>
        <v/>
      </c>
      <c r="D57" s="2" t="str">
        <f>IF(A57&lt;&gt;"",(Exame!D1*Exame!C57)/Exame!C1, "")</f>
        <v/>
      </c>
    </row>
    <row r="58" spans="3:4" x14ac:dyDescent="0.3">
      <c r="C58" s="2" t="str">
        <f>IF(A58&lt;&gt;"",SUM(B58),"")</f>
        <v/>
      </c>
      <c r="D58" s="2" t="str">
        <f>IF(A58&lt;&gt;"",(Exame!D1*Exame!C58)/Exame!C1, "")</f>
        <v/>
      </c>
    </row>
    <row r="59" spans="3:4" x14ac:dyDescent="0.3">
      <c r="C59" s="2" t="str">
        <f>IF(A59&lt;&gt;"",SUM(B59),"")</f>
        <v/>
      </c>
      <c r="D59" s="2" t="str">
        <f>IF(A59&lt;&gt;"",(Exame!D1*Exame!C59)/Exame!C1, "")</f>
        <v/>
      </c>
    </row>
    <row r="60" spans="3:4" x14ac:dyDescent="0.3">
      <c r="C60" s="2" t="str">
        <f>IF(A60&lt;&gt;"",SUM(B60),"")</f>
        <v/>
      </c>
      <c r="D60" s="2" t="str">
        <f>IF(A60&lt;&gt;"",(Exame!D1*Exame!C60)/Exame!C1, "")</f>
        <v/>
      </c>
    </row>
    <row r="61" spans="3:4" x14ac:dyDescent="0.3">
      <c r="C61" s="2" t="str">
        <f>IF(A61&lt;&gt;"",SUM(B61),"")</f>
        <v/>
      </c>
      <c r="D61" s="2" t="str">
        <f>IF(A61&lt;&gt;"",(Exame!D1*Exame!C61)/Exame!C1, "")</f>
        <v/>
      </c>
    </row>
    <row r="62" spans="3:4" x14ac:dyDescent="0.3">
      <c r="C62" s="2" t="str">
        <f>IF(A62&lt;&gt;"",SUM(B62),"")</f>
        <v/>
      </c>
      <c r="D62" s="2" t="str">
        <f>IF(A62&lt;&gt;"",(Exame!D1*Exame!C62)/Exame!C1, "")</f>
        <v/>
      </c>
    </row>
    <row r="63" spans="3:4" x14ac:dyDescent="0.3">
      <c r="C63" s="2" t="str">
        <f>IF(A63&lt;&gt;"",SUM(B63),"")</f>
        <v/>
      </c>
      <c r="D63" s="2" t="str">
        <f>IF(A63&lt;&gt;"",(Exame!D1*Exame!C63)/Exame!C1, "")</f>
        <v/>
      </c>
    </row>
    <row r="64" spans="3:4" x14ac:dyDescent="0.3">
      <c r="C64" s="2" t="str">
        <f>IF(A64&lt;&gt;"",SUM(B64),"")</f>
        <v/>
      </c>
      <c r="D64" s="2" t="str">
        <f>IF(A64&lt;&gt;"",(Exame!D1*Exame!C64)/Exame!C1, "")</f>
        <v/>
      </c>
    </row>
    <row r="65" spans="3:4" x14ac:dyDescent="0.3">
      <c r="C65" s="2" t="str">
        <f>IF(A65&lt;&gt;"",SUM(B65),"")</f>
        <v/>
      </c>
      <c r="D65" s="2" t="str">
        <f>IF(A65&lt;&gt;"",(Exame!D1*Exame!C65)/Exame!C1, "")</f>
        <v/>
      </c>
    </row>
    <row r="66" spans="3:4" x14ac:dyDescent="0.3">
      <c r="C66" s="2" t="str">
        <f>IF(A66&lt;&gt;"",SUM(B66),"")</f>
        <v/>
      </c>
      <c r="D66" s="2" t="str">
        <f>IF(A66&lt;&gt;"",(Exame!D1*Exame!C66)/Exame!C1, "")</f>
        <v/>
      </c>
    </row>
    <row r="67" spans="3:4" x14ac:dyDescent="0.3">
      <c r="C67" s="2" t="str">
        <f>IF(A67&lt;&gt;"",SUM(B67),"")</f>
        <v/>
      </c>
      <c r="D67" s="2" t="str">
        <f>IF(A67&lt;&gt;"",(Exame!D1*Exame!C67)/Exame!C1, "")</f>
        <v/>
      </c>
    </row>
    <row r="68" spans="3:4" x14ac:dyDescent="0.3">
      <c r="C68" s="2" t="str">
        <f>IF(A68&lt;&gt;"",SUM(B68),"")</f>
        <v/>
      </c>
      <c r="D68" s="2" t="str">
        <f>IF(A68&lt;&gt;"",(Exame!D1*Exame!C68)/Exame!C1, "")</f>
        <v/>
      </c>
    </row>
    <row r="69" spans="3:4" x14ac:dyDescent="0.3">
      <c r="C69" s="2" t="str">
        <f>IF(A69&lt;&gt;"",SUM(B69),"")</f>
        <v/>
      </c>
      <c r="D69" s="2" t="str">
        <f>IF(A69&lt;&gt;"",(Exame!D1*Exame!C69)/Exame!C1, "")</f>
        <v/>
      </c>
    </row>
    <row r="70" spans="3:4" x14ac:dyDescent="0.3">
      <c r="C70" s="2" t="str">
        <f>IF(A70&lt;&gt;"",SUM(B70),"")</f>
        <v/>
      </c>
      <c r="D70" s="2" t="str">
        <f>IF(A70&lt;&gt;"",(Exame!D1*Exame!C70)/Exame!C1, "")</f>
        <v/>
      </c>
    </row>
    <row r="71" spans="3:4" x14ac:dyDescent="0.3">
      <c r="C71" s="2" t="str">
        <f>IF(A71&lt;&gt;"",SUM(B71),"")</f>
        <v/>
      </c>
      <c r="D71" s="2" t="str">
        <f>IF(A71&lt;&gt;"",(Exame!D1*Exame!C71)/Exame!C1, "")</f>
        <v/>
      </c>
    </row>
    <row r="72" spans="3:4" x14ac:dyDescent="0.3">
      <c r="C72" s="2" t="str">
        <f>IF(A72&lt;&gt;"",SUM(B72),"")</f>
        <v/>
      </c>
      <c r="D72" s="2" t="str">
        <f>IF(A72&lt;&gt;"",(Exame!D1*Exame!C72)/Exame!C1, "")</f>
        <v/>
      </c>
    </row>
    <row r="73" spans="3:4" x14ac:dyDescent="0.3">
      <c r="C73" s="2" t="str">
        <f>IF(A73&lt;&gt;"",SUM(B73),"")</f>
        <v/>
      </c>
      <c r="D73" s="2" t="str">
        <f>IF(A73&lt;&gt;"",(Exame!D1*Exame!C73)/Exame!C1, "")</f>
        <v/>
      </c>
    </row>
    <row r="74" spans="3:4" x14ac:dyDescent="0.3">
      <c r="C74" s="2" t="str">
        <f>IF(A74&lt;&gt;"",SUM(B74),"")</f>
        <v/>
      </c>
      <c r="D74" s="2" t="str">
        <f>IF(A74&lt;&gt;"",(Exame!D1*Exame!C74)/Exame!C1, "")</f>
        <v/>
      </c>
    </row>
    <row r="75" spans="3:4" x14ac:dyDescent="0.3">
      <c r="C75" s="2" t="str">
        <f>IF(A75&lt;&gt;"",SUM(B75),"")</f>
        <v/>
      </c>
      <c r="D75" s="2" t="str">
        <f>IF(A75&lt;&gt;"",(Exame!D1*Exame!C75)/Exame!C1, "")</f>
        <v/>
      </c>
    </row>
    <row r="76" spans="3:4" x14ac:dyDescent="0.3">
      <c r="C76" s="2" t="str">
        <f>IF(A76&lt;&gt;"",SUM(B76),"")</f>
        <v/>
      </c>
      <c r="D76" s="2" t="str">
        <f>IF(A76&lt;&gt;"",(Exame!D1*Exame!C76)/Exame!C1, "")</f>
        <v/>
      </c>
    </row>
    <row r="77" spans="3:4" x14ac:dyDescent="0.3">
      <c r="C77" s="2" t="str">
        <f>IF(A77&lt;&gt;"",SUM(B77),"")</f>
        <v/>
      </c>
      <c r="D77" s="2" t="str">
        <f>IF(A77&lt;&gt;"",(Exame!D1*Exame!C77)/Exame!C1, "")</f>
        <v/>
      </c>
    </row>
    <row r="78" spans="3:4" x14ac:dyDescent="0.3">
      <c r="C78" s="2" t="str">
        <f>IF(A78&lt;&gt;"",SUM(B78),"")</f>
        <v/>
      </c>
      <c r="D78" s="2" t="str">
        <f>IF(A78&lt;&gt;"",(Exame!D1*Exame!C78)/Exame!C1, "")</f>
        <v/>
      </c>
    </row>
    <row r="79" spans="3:4" x14ac:dyDescent="0.3">
      <c r="C79" s="2" t="str">
        <f>IF(A79&lt;&gt;"",SUM(B79),"")</f>
        <v/>
      </c>
      <c r="D79" s="2" t="str">
        <f>IF(A79&lt;&gt;"",(Exame!D1*Exame!C79)/Exame!C1, "")</f>
        <v/>
      </c>
    </row>
    <row r="80" spans="3:4" x14ac:dyDescent="0.3">
      <c r="C80" s="2" t="str">
        <f>IF(A80&lt;&gt;"",SUM(B80),"")</f>
        <v/>
      </c>
      <c r="D80" s="2" t="str">
        <f>IF(A80&lt;&gt;"",(Exame!D1*Exame!C80)/Exame!C1, "")</f>
        <v/>
      </c>
    </row>
    <row r="81" spans="3:4" x14ac:dyDescent="0.3">
      <c r="C81" s="2" t="str">
        <f>IF(A81&lt;&gt;"",SUM(B81),"")</f>
        <v/>
      </c>
      <c r="D81" s="2" t="str">
        <f>IF(A81&lt;&gt;"",(Exame!D1*Exame!C81)/Exame!C1, "")</f>
        <v/>
      </c>
    </row>
    <row r="82" spans="3:4" x14ac:dyDescent="0.3">
      <c r="C82" s="2" t="str">
        <f>IF(A82&lt;&gt;"",SUM(B82),"")</f>
        <v/>
      </c>
      <c r="D82" s="2" t="str">
        <f>IF(A82&lt;&gt;"",(Exame!D1*Exame!C82)/Exame!C1, "")</f>
        <v/>
      </c>
    </row>
    <row r="83" spans="3:4" x14ac:dyDescent="0.3">
      <c r="C83" s="2" t="str">
        <f>IF(A83&lt;&gt;"",SUM(B83),"")</f>
        <v/>
      </c>
      <c r="D83" s="2" t="str">
        <f>IF(A83&lt;&gt;"",(Exame!D1*Exame!C83)/Exame!C1, "")</f>
        <v/>
      </c>
    </row>
    <row r="84" spans="3:4" x14ac:dyDescent="0.3">
      <c r="C84" s="2" t="str">
        <f>IF(A84&lt;&gt;"",SUM(B84),"")</f>
        <v/>
      </c>
      <c r="D84" s="2" t="str">
        <f>IF(A84&lt;&gt;"",(Exame!D1*Exame!C84)/Exame!C1, "")</f>
        <v/>
      </c>
    </row>
    <row r="85" spans="3:4" x14ac:dyDescent="0.3">
      <c r="C85" s="2" t="str">
        <f>IF(A85&lt;&gt;"",SUM(B85),"")</f>
        <v/>
      </c>
      <c r="D85" s="2" t="str">
        <f>IF(A85&lt;&gt;"",(Exame!D1*Exame!C85)/Exame!C1, "")</f>
        <v/>
      </c>
    </row>
    <row r="86" spans="3:4" x14ac:dyDescent="0.3">
      <c r="C86" s="2" t="str">
        <f>IF(A86&lt;&gt;"",SUM(B86),"")</f>
        <v/>
      </c>
      <c r="D86" s="2" t="str">
        <f>IF(A86&lt;&gt;"",(Exame!D1*Exame!C86)/Exame!C1, "")</f>
        <v/>
      </c>
    </row>
    <row r="87" spans="3:4" x14ac:dyDescent="0.3">
      <c r="C87" s="2" t="str">
        <f>IF(A87&lt;&gt;"",SUM(B87),"")</f>
        <v/>
      </c>
      <c r="D87" s="2" t="str">
        <f>IF(A87&lt;&gt;"",(Exame!D1*Exame!C87)/Exame!C1, "")</f>
        <v/>
      </c>
    </row>
    <row r="88" spans="3:4" x14ac:dyDescent="0.3">
      <c r="C88" s="2" t="str">
        <f>IF(A88&lt;&gt;"",SUM(B88),"")</f>
        <v/>
      </c>
      <c r="D88" s="2" t="str">
        <f>IF(A88&lt;&gt;"",(Exame!D1*Exame!C88)/Exame!C1, "")</f>
        <v/>
      </c>
    </row>
    <row r="89" spans="3:4" x14ac:dyDescent="0.3">
      <c r="C89" s="2" t="str">
        <f>IF(A89&lt;&gt;"",SUM(B89),"")</f>
        <v/>
      </c>
      <c r="D89" s="2" t="str">
        <f>IF(A89&lt;&gt;"",(Exame!D1*Exame!C89)/Exame!C1, "")</f>
        <v/>
      </c>
    </row>
    <row r="90" spans="3:4" x14ac:dyDescent="0.3">
      <c r="C90" s="2" t="str">
        <f>IF(A90&lt;&gt;"",SUM(B90),"")</f>
        <v/>
      </c>
      <c r="D90" s="2" t="str">
        <f>IF(A90&lt;&gt;"",(Exame!D1*Exame!C90)/Exame!C1, "")</f>
        <v/>
      </c>
    </row>
    <row r="91" spans="3:4" x14ac:dyDescent="0.3">
      <c r="C91" s="2" t="str">
        <f>IF(A91&lt;&gt;"",SUM(B91),"")</f>
        <v/>
      </c>
      <c r="D91" s="2" t="str">
        <f>IF(A91&lt;&gt;"",(Exame!D1*Exame!C91)/Exame!C1, "")</f>
        <v/>
      </c>
    </row>
    <row r="92" spans="3:4" x14ac:dyDescent="0.3">
      <c r="C92" s="2" t="str">
        <f>IF(A92&lt;&gt;"",SUM(B92),"")</f>
        <v/>
      </c>
      <c r="D92" s="2" t="str">
        <f>IF(A92&lt;&gt;"",(Exame!D1*Exame!C92)/Exame!C1, "")</f>
        <v/>
      </c>
    </row>
    <row r="93" spans="3:4" x14ac:dyDescent="0.3">
      <c r="C93" s="2" t="str">
        <f>IF(A93&lt;&gt;"",SUM(B93),"")</f>
        <v/>
      </c>
      <c r="D93" s="2" t="str">
        <f>IF(A93&lt;&gt;"",(Exame!D1*Exame!C93)/Exame!C1, "")</f>
        <v/>
      </c>
    </row>
    <row r="94" spans="3:4" x14ac:dyDescent="0.3">
      <c r="C94" s="2" t="str">
        <f>IF(A94&lt;&gt;"",SUM(B94),"")</f>
        <v/>
      </c>
      <c r="D94" s="2" t="str">
        <f>IF(A94&lt;&gt;"",(Exame!D1*Exame!C94)/Exame!C1, "")</f>
        <v/>
      </c>
    </row>
    <row r="95" spans="3:4" x14ac:dyDescent="0.3">
      <c r="C95" s="2" t="str">
        <f>IF(A95&lt;&gt;"",SUM(B95),"")</f>
        <v/>
      </c>
      <c r="D95" s="2" t="str">
        <f>IF(A95&lt;&gt;"",(Exame!D1*Exame!C95)/Exame!C1, "")</f>
        <v/>
      </c>
    </row>
    <row r="96" spans="3:4" x14ac:dyDescent="0.3">
      <c r="C96" s="2" t="str">
        <f>IF(A96&lt;&gt;"",SUM(B96),"")</f>
        <v/>
      </c>
      <c r="D96" s="2" t="str">
        <f>IF(A96&lt;&gt;"",(Exame!D1*Exame!C96)/Exame!C1, "")</f>
        <v/>
      </c>
    </row>
    <row r="97" spans="3:4" x14ac:dyDescent="0.3">
      <c r="C97" s="2" t="str">
        <f>IF(A97&lt;&gt;"",SUM(B97),"")</f>
        <v/>
      </c>
      <c r="D97" s="2" t="str">
        <f>IF(A97&lt;&gt;"",(Exame!D1*Exame!C97)/Exame!C1, "")</f>
        <v/>
      </c>
    </row>
    <row r="98" spans="3:4" x14ac:dyDescent="0.3">
      <c r="C98" s="2" t="str">
        <f>IF(A98&lt;&gt;"",SUM(B98),"")</f>
        <v/>
      </c>
      <c r="D98" s="2" t="str">
        <f>IF(A98&lt;&gt;"",(Exame!D1*Exame!C98)/Exame!C1, "")</f>
        <v/>
      </c>
    </row>
    <row r="99" spans="3:4" x14ac:dyDescent="0.3">
      <c r="C99" s="2" t="str">
        <f>IF(A99&lt;&gt;"",SUM(B99),"")</f>
        <v/>
      </c>
      <c r="D99" s="2" t="str">
        <f>IF(A99&lt;&gt;"",(Exame!D1*Exame!C99)/Exame!C1, "")</f>
        <v/>
      </c>
    </row>
    <row r="100" spans="3:4" x14ac:dyDescent="0.3">
      <c r="C100" s="2" t="str">
        <f>IF(A100&lt;&gt;"",SUM(B100),"")</f>
        <v/>
      </c>
      <c r="D100" s="2" t="str">
        <f>IF(A100&lt;&gt;"",(Exame!D1*Exame!C100)/Exame!C1, "")</f>
        <v/>
      </c>
    </row>
    <row r="101" spans="3:4" x14ac:dyDescent="0.3">
      <c r="C101" s="2" t="str">
        <f>IF(A101&lt;&gt;"",SUM(B101),"")</f>
        <v/>
      </c>
      <c r="D101" s="2" t="str">
        <f>IF(A101&lt;&gt;"",(Exame!D1*Exame!C101)/Exame!C1, "")</f>
        <v/>
      </c>
    </row>
    <row r="102" spans="3:4" x14ac:dyDescent="0.3">
      <c r="C102" s="2" t="str">
        <f>IF(A102&lt;&gt;"",SUM(B102),"")</f>
        <v/>
      </c>
      <c r="D102" s="2" t="str">
        <f>IF(A102&lt;&gt;"",(Exame!D1*Exame!C102)/Exame!C1, "")</f>
        <v/>
      </c>
    </row>
    <row r="103" spans="3:4" x14ac:dyDescent="0.3">
      <c r="C103" s="2" t="str">
        <f>IF(A103&lt;&gt;"",SUM(B103),"")</f>
        <v/>
      </c>
      <c r="D103" s="2" t="str">
        <f>IF(A103&lt;&gt;"",(Exame!D1*Exame!C103)/Exame!C1, "")</f>
        <v/>
      </c>
    </row>
    <row r="104" spans="3:4" x14ac:dyDescent="0.3">
      <c r="C104" s="2" t="str">
        <f>IF(A104&lt;&gt;"",SUM(B104),"")</f>
        <v/>
      </c>
      <c r="D104" s="2" t="str">
        <f>IF(A104&lt;&gt;"",(Exame!D1*Exame!C104)/Exame!C1, "")</f>
        <v/>
      </c>
    </row>
    <row r="105" spans="3:4" x14ac:dyDescent="0.3">
      <c r="C105" s="2" t="str">
        <f>IF(A105&lt;&gt;"",SUM(B105),"")</f>
        <v/>
      </c>
      <c r="D105" s="2" t="str">
        <f>IF(A105&lt;&gt;"",(Exame!D1*Exame!C105)/Exame!C1, "")</f>
        <v/>
      </c>
    </row>
    <row r="106" spans="3:4" x14ac:dyDescent="0.3">
      <c r="C106" s="2" t="str">
        <f>IF(A106&lt;&gt;"",SUM(B106),"")</f>
        <v/>
      </c>
      <c r="D106" s="2" t="str">
        <f>IF(A106&lt;&gt;"",(Exame!D1*Exame!C106)/Exame!C1, "")</f>
        <v/>
      </c>
    </row>
    <row r="107" spans="3:4" x14ac:dyDescent="0.3">
      <c r="C107" s="2" t="str">
        <f>IF(A107&lt;&gt;"",SUM(B107),"")</f>
        <v/>
      </c>
      <c r="D107" s="2" t="str">
        <f>IF(A107&lt;&gt;"",(Exame!D1*Exame!C107)/Exame!C1, "")</f>
        <v/>
      </c>
    </row>
    <row r="108" spans="3:4" x14ac:dyDescent="0.3">
      <c r="C108" s="2" t="str">
        <f>IF(A108&lt;&gt;"",SUM(B108),"")</f>
        <v/>
      </c>
      <c r="D108" s="2" t="str">
        <f>IF(A108&lt;&gt;"",(Exame!D1*Exame!C108)/Exame!C1, "")</f>
        <v/>
      </c>
    </row>
    <row r="109" spans="3:4" x14ac:dyDescent="0.3">
      <c r="C109" s="2" t="str">
        <f>IF(A109&lt;&gt;"",SUM(B109),"")</f>
        <v/>
      </c>
      <c r="D109" s="2" t="str">
        <f>IF(A109&lt;&gt;"",(Exame!D1*Exame!C109)/Exame!C1, "")</f>
        <v/>
      </c>
    </row>
    <row r="110" spans="3:4" x14ac:dyDescent="0.3">
      <c r="C110" s="2" t="str">
        <f>IF(A110&lt;&gt;"",SUM(B110),"")</f>
        <v/>
      </c>
      <c r="D110" s="2" t="str">
        <f>IF(A110&lt;&gt;"",(Exame!D1*Exame!C110)/Exame!C1, "")</f>
        <v/>
      </c>
    </row>
    <row r="111" spans="3:4" x14ac:dyDescent="0.3">
      <c r="C111" s="2" t="str">
        <f>IF(A111&lt;&gt;"",SUM(B111),"")</f>
        <v/>
      </c>
      <c r="D111" s="2" t="str">
        <f>IF(A111&lt;&gt;"",(Exame!D1*Exame!C111)/Exame!C1, "")</f>
        <v/>
      </c>
    </row>
    <row r="112" spans="3:4" x14ac:dyDescent="0.3">
      <c r="C112" s="2" t="str">
        <f>IF(A112&lt;&gt;"",SUM(B112),"")</f>
        <v/>
      </c>
      <c r="D112" s="2" t="str">
        <f>IF(A112&lt;&gt;"",(Exame!D1*Exame!C112)/Exame!C1, "")</f>
        <v/>
      </c>
    </row>
    <row r="113" spans="3:4" x14ac:dyDescent="0.3">
      <c r="C113" s="2" t="str">
        <f>IF(A113&lt;&gt;"",SUM(B113),"")</f>
        <v/>
      </c>
      <c r="D113" s="2" t="str">
        <f>IF(A113&lt;&gt;"",(Exame!D1*Exame!C113)/Exame!C1, "")</f>
        <v/>
      </c>
    </row>
    <row r="114" spans="3:4" x14ac:dyDescent="0.3">
      <c r="C114" s="2" t="str">
        <f>IF(A114&lt;&gt;"",SUM(B114),"")</f>
        <v/>
      </c>
      <c r="D114" s="2" t="str">
        <f>IF(A114&lt;&gt;"",(Exame!D1*Exame!C114)/Exame!C1, "")</f>
        <v/>
      </c>
    </row>
    <row r="115" spans="3:4" x14ac:dyDescent="0.3">
      <c r="C115" s="2" t="str">
        <f>IF(A115&lt;&gt;"",SUM(B115),"")</f>
        <v/>
      </c>
      <c r="D115" s="2" t="str">
        <f>IF(A115&lt;&gt;"",(Exame!D1*Exame!C115)/Exame!C1, "")</f>
        <v/>
      </c>
    </row>
    <row r="116" spans="3:4" x14ac:dyDescent="0.3">
      <c r="C116" s="2" t="str">
        <f>IF(A116&lt;&gt;"",SUM(B116),"")</f>
        <v/>
      </c>
      <c r="D116" s="2" t="str">
        <f>IF(A116&lt;&gt;"",(Exame!D1*Exame!C116)/Exame!C1, "")</f>
        <v/>
      </c>
    </row>
    <row r="117" spans="3:4" x14ac:dyDescent="0.3">
      <c r="C117" s="2" t="str">
        <f>IF(A117&lt;&gt;"",SUM(B117),"")</f>
        <v/>
      </c>
      <c r="D117" s="2" t="str">
        <f>IF(A117&lt;&gt;"",(Exame!D1*Exame!C117)/Exame!C1, "")</f>
        <v/>
      </c>
    </row>
    <row r="118" spans="3:4" x14ac:dyDescent="0.3">
      <c r="C118" s="2" t="str">
        <f>IF(A118&lt;&gt;"",SUM(B118),"")</f>
        <v/>
      </c>
      <c r="D118" s="2" t="str">
        <f>IF(A118&lt;&gt;"",(Exame!D1*Exame!C118)/Exame!C1, "")</f>
        <v/>
      </c>
    </row>
    <row r="119" spans="3:4" x14ac:dyDescent="0.3">
      <c r="C119" s="2" t="str">
        <f>IF(A119&lt;&gt;"",SUM(B119),"")</f>
        <v/>
      </c>
      <c r="D119" s="2" t="str">
        <f>IF(A119&lt;&gt;"",(Exame!D1*Exame!C119)/Exame!C1, "")</f>
        <v/>
      </c>
    </row>
    <row r="120" spans="3:4" x14ac:dyDescent="0.3">
      <c r="C120" s="2" t="str">
        <f>IF(A120&lt;&gt;"",SUM(B120),"")</f>
        <v/>
      </c>
      <c r="D120" s="2" t="str">
        <f>IF(A120&lt;&gt;"",(Exame!D1*Exame!C120)/Exame!C1, "")</f>
        <v/>
      </c>
    </row>
    <row r="121" spans="3:4" x14ac:dyDescent="0.3">
      <c r="C121" s="2" t="str">
        <f>IF(A121&lt;&gt;"",SUM(B121),"")</f>
        <v/>
      </c>
      <c r="D121" s="2" t="str">
        <f>IF(A121&lt;&gt;"",(Exame!D1*Exame!C121)/Exame!C1, "")</f>
        <v/>
      </c>
    </row>
    <row r="122" spans="3:4" x14ac:dyDescent="0.3">
      <c r="C122" s="2" t="str">
        <f>IF(A122&lt;&gt;"",SUM(B122),"")</f>
        <v/>
      </c>
      <c r="D122" s="2" t="str">
        <f>IF(A122&lt;&gt;"",(Exame!D1*Exame!C122)/Exame!C1, "")</f>
        <v/>
      </c>
    </row>
    <row r="123" spans="3:4" x14ac:dyDescent="0.3">
      <c r="C123" s="2" t="str">
        <f>IF(A123&lt;&gt;"",SUM(B123),"")</f>
        <v/>
      </c>
      <c r="D123" s="2" t="str">
        <f>IF(A123&lt;&gt;"",(Exame!D1*Exame!C123)/Exame!C1, "")</f>
        <v/>
      </c>
    </row>
    <row r="124" spans="3:4" x14ac:dyDescent="0.3">
      <c r="C124" s="2" t="str">
        <f>IF(A124&lt;&gt;"",SUM(B124),"")</f>
        <v/>
      </c>
      <c r="D124" s="2" t="str">
        <f>IF(A124&lt;&gt;"",(Exame!D1*Exame!C124)/Exame!C1, "")</f>
        <v/>
      </c>
    </row>
    <row r="125" spans="3:4" x14ac:dyDescent="0.3">
      <c r="C125" s="2" t="str">
        <f>IF(A125&lt;&gt;"",SUM(B125),"")</f>
        <v/>
      </c>
      <c r="D125" s="2" t="str">
        <f>IF(A125&lt;&gt;"",(Exame!D1*Exame!C125)/Exame!C1, "")</f>
        <v/>
      </c>
    </row>
    <row r="126" spans="3:4" x14ac:dyDescent="0.3">
      <c r="C126" s="2" t="str">
        <f>IF(A126&lt;&gt;"",SUM(B126),"")</f>
        <v/>
      </c>
      <c r="D126" s="2" t="str">
        <f>IF(A126&lt;&gt;"",(Exame!D1*Exame!C126)/Exame!C1, "")</f>
        <v/>
      </c>
    </row>
    <row r="127" spans="3:4" x14ac:dyDescent="0.3">
      <c r="C127" s="2" t="str">
        <f>IF(A127&lt;&gt;"",SUM(B127),"")</f>
        <v/>
      </c>
      <c r="D127" s="2" t="str">
        <f>IF(A127&lt;&gt;"",(Exame!D1*Exame!C127)/Exame!C1, "")</f>
        <v/>
      </c>
    </row>
    <row r="128" spans="3:4" x14ac:dyDescent="0.3">
      <c r="C128" s="2" t="str">
        <f>IF(A128&lt;&gt;"",SUM(B128),"")</f>
        <v/>
      </c>
      <c r="D128" s="2" t="str">
        <f>IF(A128&lt;&gt;"",(Exame!D1*Exame!C128)/Exame!C1, "")</f>
        <v/>
      </c>
    </row>
    <row r="129" spans="3:4" x14ac:dyDescent="0.3">
      <c r="C129" s="2" t="str">
        <f>IF(A129&lt;&gt;"",SUM(B129),"")</f>
        <v/>
      </c>
      <c r="D129" s="2" t="str">
        <f>IF(A129&lt;&gt;"",(Exame!D1*Exame!C129)/Exame!C1, "")</f>
        <v/>
      </c>
    </row>
    <row r="130" spans="3:4" x14ac:dyDescent="0.3">
      <c r="C130" s="2" t="str">
        <f>IF(A130&lt;&gt;"",SUM(B130),"")</f>
        <v/>
      </c>
      <c r="D130" s="2" t="str">
        <f>IF(A130&lt;&gt;"",(Exame!D1*Exame!C130)/Exame!C1, "")</f>
        <v/>
      </c>
    </row>
    <row r="131" spans="3:4" x14ac:dyDescent="0.3">
      <c r="C131" s="2" t="str">
        <f>IF(A131&lt;&gt;"",SUM(B131),"")</f>
        <v/>
      </c>
      <c r="D131" s="2" t="str">
        <f>IF(A131&lt;&gt;"",(Exame!D1*Exame!C131)/Exame!C1, "")</f>
        <v/>
      </c>
    </row>
    <row r="132" spans="3:4" x14ac:dyDescent="0.3">
      <c r="C132" s="2" t="str">
        <f>IF(A132&lt;&gt;"",SUM(B132),"")</f>
        <v/>
      </c>
      <c r="D132" s="2" t="str">
        <f>IF(A132&lt;&gt;"",(Exame!D1*Exame!C132)/Exame!C1, "")</f>
        <v/>
      </c>
    </row>
    <row r="133" spans="3:4" x14ac:dyDescent="0.3">
      <c r="C133" s="2" t="str">
        <f>IF(A133&lt;&gt;"",SUM(B133),"")</f>
        <v/>
      </c>
      <c r="D133" s="2" t="str">
        <f>IF(A133&lt;&gt;"",(Exame!D1*Exame!C133)/Exame!C1, "")</f>
        <v/>
      </c>
    </row>
    <row r="134" spans="3:4" x14ac:dyDescent="0.3">
      <c r="C134" s="2" t="str">
        <f>IF(A134&lt;&gt;"",SUM(B134),"")</f>
        <v/>
      </c>
      <c r="D134" s="2" t="str">
        <f>IF(A134&lt;&gt;"",(Exame!D1*Exame!C134)/Exame!C1, "")</f>
        <v/>
      </c>
    </row>
    <row r="135" spans="3:4" x14ac:dyDescent="0.3">
      <c r="C135" s="2" t="str">
        <f>IF(A135&lt;&gt;"",SUM(B135),"")</f>
        <v/>
      </c>
      <c r="D135" s="2" t="str">
        <f>IF(A135&lt;&gt;"",(Exame!D1*Exame!C135)/Exame!C1, "")</f>
        <v/>
      </c>
    </row>
    <row r="136" spans="3:4" x14ac:dyDescent="0.3">
      <c r="C136" s="2" t="str">
        <f>IF(A136&lt;&gt;"",SUM(B136),"")</f>
        <v/>
      </c>
      <c r="D136" s="2" t="str">
        <f>IF(A136&lt;&gt;"",(Exame!D1*Exame!C136)/Exame!C1, "")</f>
        <v/>
      </c>
    </row>
    <row r="137" spans="3:4" x14ac:dyDescent="0.3">
      <c r="C137" s="2" t="str">
        <f>IF(A137&lt;&gt;"",SUM(B137),"")</f>
        <v/>
      </c>
      <c r="D137" s="2" t="str">
        <f>IF(A137&lt;&gt;"",(Exame!D1*Exame!C137)/Exame!C1, "")</f>
        <v/>
      </c>
    </row>
    <row r="138" spans="3:4" x14ac:dyDescent="0.3">
      <c r="C138" s="2" t="str">
        <f>IF(A138&lt;&gt;"",SUM(B138),"")</f>
        <v/>
      </c>
      <c r="D138" s="2" t="str">
        <f>IF(A138&lt;&gt;"",(Exame!D1*Exame!C138)/Exame!C1, "")</f>
        <v/>
      </c>
    </row>
    <row r="139" spans="3:4" x14ac:dyDescent="0.3">
      <c r="C139" s="2" t="str">
        <f>IF(A139&lt;&gt;"",SUM(B139),"")</f>
        <v/>
      </c>
      <c r="D139" s="2" t="str">
        <f>IF(A139&lt;&gt;"",(Exame!D1*Exame!C139)/Exame!C1, "")</f>
        <v/>
      </c>
    </row>
    <row r="140" spans="3:4" x14ac:dyDescent="0.3">
      <c r="C140" s="2" t="str">
        <f>IF(A140&lt;&gt;"",SUM(B140),"")</f>
        <v/>
      </c>
      <c r="D140" s="2" t="str">
        <f>IF(A140&lt;&gt;"",(Exame!D1*Exame!C140)/Exame!C1, "")</f>
        <v/>
      </c>
    </row>
    <row r="141" spans="3:4" x14ac:dyDescent="0.3">
      <c r="C141" s="2" t="str">
        <f>IF(A141&lt;&gt;"",SUM(B141),"")</f>
        <v/>
      </c>
      <c r="D141" s="2" t="str">
        <f>IF(A141&lt;&gt;"",(Exame!D1*Exame!C141)/Exame!C1, "")</f>
        <v/>
      </c>
    </row>
    <row r="142" spans="3:4" x14ac:dyDescent="0.3">
      <c r="C142" s="2" t="str">
        <f>IF(A142&lt;&gt;"",SUM(B142),"")</f>
        <v/>
      </c>
      <c r="D142" s="2" t="str">
        <f>IF(A142&lt;&gt;"",(Exame!D1*Exame!C142)/Exame!C1, "")</f>
        <v/>
      </c>
    </row>
    <row r="143" spans="3:4" x14ac:dyDescent="0.3">
      <c r="C143" s="2" t="str">
        <f>IF(A143&lt;&gt;"",SUM(B143),"")</f>
        <v/>
      </c>
      <c r="D143" s="2" t="str">
        <f>IF(A143&lt;&gt;"",(Exame!D1*Exame!C143)/Exame!C1, "")</f>
        <v/>
      </c>
    </row>
    <row r="144" spans="3:4" x14ac:dyDescent="0.3">
      <c r="C144" s="2" t="str">
        <f>IF(A144&lt;&gt;"",SUM(B144),"")</f>
        <v/>
      </c>
      <c r="D144" s="2" t="str">
        <f>IF(A144&lt;&gt;"",(Exame!D1*Exame!C144)/Exame!C1, "")</f>
        <v/>
      </c>
    </row>
    <row r="145" spans="3:4" x14ac:dyDescent="0.3">
      <c r="C145" s="2" t="str">
        <f>IF(A145&lt;&gt;"",SUM(B145),"")</f>
        <v/>
      </c>
      <c r="D145" s="2" t="str">
        <f>IF(A145&lt;&gt;"",(Exame!D1*Exame!C145)/Exame!C1, "")</f>
        <v/>
      </c>
    </row>
    <row r="146" spans="3:4" x14ac:dyDescent="0.3">
      <c r="C146" s="2" t="str">
        <f>IF(A146&lt;&gt;"",SUM(B146),"")</f>
        <v/>
      </c>
      <c r="D146" s="2" t="str">
        <f>IF(A146&lt;&gt;"",(Exame!D1*Exame!C146)/Exame!C1, "")</f>
        <v/>
      </c>
    </row>
    <row r="147" spans="3:4" x14ac:dyDescent="0.3">
      <c r="C147" s="2" t="str">
        <f>IF(A147&lt;&gt;"",SUM(B147),"")</f>
        <v/>
      </c>
      <c r="D147" s="2" t="str">
        <f>IF(A147&lt;&gt;"",(Exame!D1*Exame!C147)/Exame!C1, "")</f>
        <v/>
      </c>
    </row>
    <row r="148" spans="3:4" x14ac:dyDescent="0.3">
      <c r="C148" s="2" t="str">
        <f>IF(A148&lt;&gt;"",SUM(B148),"")</f>
        <v/>
      </c>
      <c r="D148" s="2" t="str">
        <f>IF(A148&lt;&gt;"",(Exame!D1*Exame!C148)/Exame!C1, "")</f>
        <v/>
      </c>
    </row>
    <row r="149" spans="3:4" x14ac:dyDescent="0.3">
      <c r="C149" s="2" t="str">
        <f>IF(A149&lt;&gt;"",SUM(B149),"")</f>
        <v/>
      </c>
      <c r="D149" s="2" t="str">
        <f>IF(A149&lt;&gt;"",(Exame!D1*Exame!C149)/Exame!C1, "")</f>
        <v/>
      </c>
    </row>
    <row r="150" spans="3:4" x14ac:dyDescent="0.3">
      <c r="C150" s="2" t="str">
        <f>IF(A150&lt;&gt;"",SUM(B150),"")</f>
        <v/>
      </c>
      <c r="D150" s="2" t="str">
        <f>IF(A150&lt;&gt;"",(Exame!D1*Exame!C150)/Exame!C1, "")</f>
        <v/>
      </c>
    </row>
    <row r="151" spans="3:4" x14ac:dyDescent="0.3">
      <c r="C151" s="2" t="str">
        <f>IF(A151&lt;&gt;"",SUM(B151),"")</f>
        <v/>
      </c>
      <c r="D151" s="2" t="str">
        <f>IF(A151&lt;&gt;"",(Exame!D1*Exame!C151)/Exame!C1, "")</f>
        <v/>
      </c>
    </row>
    <row r="152" spans="3:4" x14ac:dyDescent="0.3">
      <c r="C152" s="2" t="str">
        <f>IF(A152&lt;&gt;"",SUM(B152),"")</f>
        <v/>
      </c>
      <c r="D152" s="2" t="str">
        <f>IF(A152&lt;&gt;"",(Exame!D1*Exame!C152)/Exame!C1, "")</f>
        <v/>
      </c>
    </row>
    <row r="153" spans="3:4" x14ac:dyDescent="0.3">
      <c r="C153" s="2" t="str">
        <f>IF(A153&lt;&gt;"",SUM(B153),"")</f>
        <v/>
      </c>
      <c r="D153" s="2" t="str">
        <f>IF(A153&lt;&gt;"",(Exame!D1*Exame!C153)/Exame!C1, "")</f>
        <v/>
      </c>
    </row>
    <row r="154" spans="3:4" x14ac:dyDescent="0.3">
      <c r="C154" s="2" t="str">
        <f>IF(A154&lt;&gt;"",SUM(B154),"")</f>
        <v/>
      </c>
      <c r="D154" s="2" t="str">
        <f>IF(A154&lt;&gt;"",(Exame!D1*Exame!C154)/Exame!C1, "")</f>
        <v/>
      </c>
    </row>
    <row r="155" spans="3:4" x14ac:dyDescent="0.3">
      <c r="C155" s="2" t="str">
        <f>IF(A155&lt;&gt;"",SUM(B155),"")</f>
        <v/>
      </c>
      <c r="D155" s="2" t="str">
        <f>IF(A155&lt;&gt;"",(Exame!D1*Exame!C155)/Exame!C1, "")</f>
        <v/>
      </c>
    </row>
    <row r="156" spans="3:4" x14ac:dyDescent="0.3">
      <c r="C156" s="2" t="str">
        <f>IF(A156&lt;&gt;"",SUM(B156),"")</f>
        <v/>
      </c>
      <c r="D156" s="2" t="str">
        <f>IF(A156&lt;&gt;"",(Exame!D1*Exame!C156)/Exame!C1, "")</f>
        <v/>
      </c>
    </row>
    <row r="157" spans="3:4" x14ac:dyDescent="0.3">
      <c r="C157" s="2" t="str">
        <f>IF(A157&lt;&gt;"",SUM(B157),"")</f>
        <v/>
      </c>
      <c r="D157" s="2" t="str">
        <f>IF(A157&lt;&gt;"",(Exame!D1*Exame!C157)/Exame!C1, "")</f>
        <v/>
      </c>
    </row>
    <row r="158" spans="3:4" x14ac:dyDescent="0.3">
      <c r="C158" s="2" t="str">
        <f>IF(A158&lt;&gt;"",SUM(B158),"")</f>
        <v/>
      </c>
      <c r="D158" s="2" t="str">
        <f>IF(A158&lt;&gt;"",(Exame!D1*Exame!C158)/Exame!C1, "")</f>
        <v/>
      </c>
    </row>
    <row r="159" spans="3:4" x14ac:dyDescent="0.3">
      <c r="C159" s="2" t="str">
        <f>IF(A159&lt;&gt;"",SUM(B159),"")</f>
        <v/>
      </c>
      <c r="D159" s="2" t="str">
        <f>IF(A159&lt;&gt;"",(Exame!D1*Exame!C159)/Exame!C1, "")</f>
        <v/>
      </c>
    </row>
    <row r="160" spans="3:4" x14ac:dyDescent="0.3">
      <c r="C160" s="2" t="str">
        <f>IF(A160&lt;&gt;"",SUM(B160),"")</f>
        <v/>
      </c>
      <c r="D160" s="2" t="str">
        <f>IF(A160&lt;&gt;"",(Exame!D1*Exame!C160)/Exame!C1, "")</f>
        <v/>
      </c>
    </row>
    <row r="161" spans="3:4" x14ac:dyDescent="0.3">
      <c r="C161" s="2" t="str">
        <f>IF(A161&lt;&gt;"",SUM(B161),"")</f>
        <v/>
      </c>
      <c r="D161" s="2" t="str">
        <f>IF(A161&lt;&gt;"",(Exame!D1*Exame!C161)/Exame!C1, "")</f>
        <v/>
      </c>
    </row>
    <row r="162" spans="3:4" x14ac:dyDescent="0.3">
      <c r="C162" s="2" t="str">
        <f>IF(A162&lt;&gt;"",SUM(B162),"")</f>
        <v/>
      </c>
      <c r="D162" s="2" t="str">
        <f>IF(A162&lt;&gt;"",(Exame!D1*Exame!C162)/Exame!C1, "")</f>
        <v/>
      </c>
    </row>
    <row r="163" spans="3:4" x14ac:dyDescent="0.3">
      <c r="C163" s="2" t="str">
        <f>IF(A163&lt;&gt;"",SUM(B163),"")</f>
        <v/>
      </c>
      <c r="D163" s="2" t="str">
        <f>IF(A163&lt;&gt;"",(Exame!D1*Exame!C163)/Exame!C1, "")</f>
        <v/>
      </c>
    </row>
    <row r="164" spans="3:4" x14ac:dyDescent="0.3">
      <c r="C164" s="2" t="str">
        <f>IF(A164&lt;&gt;"",SUM(B164),"")</f>
        <v/>
      </c>
      <c r="D164" s="2" t="str">
        <f>IF(A164&lt;&gt;"",(Exame!D1*Exame!C164)/Exame!C1, "")</f>
        <v/>
      </c>
    </row>
    <row r="165" spans="3:4" x14ac:dyDescent="0.3">
      <c r="C165" s="2" t="str">
        <f>IF(A165&lt;&gt;"",SUM(B165),"")</f>
        <v/>
      </c>
      <c r="D165" s="2" t="str">
        <f>IF(A165&lt;&gt;"",(Exame!D1*Exame!C165)/Exame!C1, "")</f>
        <v/>
      </c>
    </row>
    <row r="166" spans="3:4" x14ac:dyDescent="0.3">
      <c r="C166" s="2" t="str">
        <f>IF(A166&lt;&gt;"",SUM(B166),"")</f>
        <v/>
      </c>
      <c r="D166" s="2" t="str">
        <f>IF(A166&lt;&gt;"",(Exame!D1*Exame!C166)/Exame!C1, "")</f>
        <v/>
      </c>
    </row>
    <row r="167" spans="3:4" x14ac:dyDescent="0.3">
      <c r="C167" s="2" t="str">
        <f>IF(A167&lt;&gt;"",SUM(B167),"")</f>
        <v/>
      </c>
      <c r="D167" s="2" t="str">
        <f>IF(A167&lt;&gt;"",(Exame!D1*Exame!C167)/Exame!C1, "")</f>
        <v/>
      </c>
    </row>
    <row r="168" spans="3:4" x14ac:dyDescent="0.3">
      <c r="C168" s="2" t="str">
        <f>IF(A168&lt;&gt;"",SUM(B168),"")</f>
        <v/>
      </c>
      <c r="D168" s="2" t="str">
        <f>IF(A168&lt;&gt;"",(Exame!D1*Exame!C168)/Exame!C1, "")</f>
        <v/>
      </c>
    </row>
    <row r="169" spans="3:4" x14ac:dyDescent="0.3">
      <c r="C169" s="2" t="str">
        <f>IF(A169&lt;&gt;"",SUM(B169),"")</f>
        <v/>
      </c>
      <c r="D169" s="2" t="str">
        <f>IF(A169&lt;&gt;"",(Exame!D1*Exame!C169)/Exame!C1, "")</f>
        <v/>
      </c>
    </row>
    <row r="170" spans="3:4" x14ac:dyDescent="0.3">
      <c r="C170" s="2" t="str">
        <f>IF(A170&lt;&gt;"",SUM(B170),"")</f>
        <v/>
      </c>
      <c r="D170" s="2" t="str">
        <f>IF(A170&lt;&gt;"",(Exame!D1*Exame!C170)/Exame!C1, "")</f>
        <v/>
      </c>
    </row>
    <row r="171" spans="3:4" x14ac:dyDescent="0.3">
      <c r="C171" s="2" t="str">
        <f>IF(A171&lt;&gt;"",SUM(B171),"")</f>
        <v/>
      </c>
      <c r="D171" s="2" t="str">
        <f>IF(A171&lt;&gt;"",(Exame!D1*Exame!C171)/Exame!C1, "")</f>
        <v/>
      </c>
    </row>
    <row r="172" spans="3:4" x14ac:dyDescent="0.3">
      <c r="C172" s="2" t="str">
        <f>IF(A172&lt;&gt;"",SUM(B172),"")</f>
        <v/>
      </c>
      <c r="D172" s="2" t="str">
        <f>IF(A172&lt;&gt;"",(Exame!D1*Exame!C172)/Exame!C1, "")</f>
        <v/>
      </c>
    </row>
    <row r="173" spans="3:4" x14ac:dyDescent="0.3">
      <c r="C173" s="2" t="str">
        <f>IF(A173&lt;&gt;"",SUM(B173),"")</f>
        <v/>
      </c>
      <c r="D173" s="2" t="str">
        <f>IF(A173&lt;&gt;"",(Exame!D1*Exame!C173)/Exame!C1, "")</f>
        <v/>
      </c>
    </row>
    <row r="174" spans="3:4" x14ac:dyDescent="0.3">
      <c r="C174" s="2" t="str">
        <f>IF(A174&lt;&gt;"",SUM(B174),"")</f>
        <v/>
      </c>
      <c r="D174" s="2" t="str">
        <f>IF(A174&lt;&gt;"",(Exame!D1*Exame!C174)/Exame!C1, "")</f>
        <v/>
      </c>
    </row>
    <row r="175" spans="3:4" x14ac:dyDescent="0.3">
      <c r="C175" s="2" t="str">
        <f>IF(A175&lt;&gt;"",SUM(B175),"")</f>
        <v/>
      </c>
      <c r="D175" s="2" t="str">
        <f>IF(A175&lt;&gt;"",(Exame!D1*Exame!C175)/Exame!C1, "")</f>
        <v/>
      </c>
    </row>
    <row r="176" spans="3:4" x14ac:dyDescent="0.3">
      <c r="C176" s="2" t="str">
        <f>IF(A176&lt;&gt;"",SUM(B176),"")</f>
        <v/>
      </c>
      <c r="D176" s="2" t="str">
        <f>IF(A176&lt;&gt;"",(Exame!D1*Exame!C176)/Exame!C1, "")</f>
        <v/>
      </c>
    </row>
    <row r="177" spans="3:4" x14ac:dyDescent="0.3">
      <c r="C177" s="2" t="str">
        <f>IF(A177&lt;&gt;"",SUM(B177),"")</f>
        <v/>
      </c>
      <c r="D177" s="2" t="str">
        <f>IF(A177&lt;&gt;"",(Exame!D1*Exame!C177)/Exame!C1, "")</f>
        <v/>
      </c>
    </row>
    <row r="178" spans="3:4" x14ac:dyDescent="0.3">
      <c r="C178" s="2" t="str">
        <f>IF(A178&lt;&gt;"",SUM(B178),"")</f>
        <v/>
      </c>
      <c r="D178" s="2" t="str">
        <f>IF(A178&lt;&gt;"",(Exame!D1*Exame!C178)/Exame!C1, "")</f>
        <v/>
      </c>
    </row>
    <row r="179" spans="3:4" x14ac:dyDescent="0.3">
      <c r="C179" s="2" t="str">
        <f>IF(A179&lt;&gt;"",SUM(B179),"")</f>
        <v/>
      </c>
      <c r="D179" s="2" t="str">
        <f>IF(A179&lt;&gt;"",(Exame!D1*Exame!C179)/Exame!C1, "")</f>
        <v/>
      </c>
    </row>
    <row r="180" spans="3:4" x14ac:dyDescent="0.3">
      <c r="C180" s="2" t="str">
        <f>IF(A180&lt;&gt;"",SUM(B180),"")</f>
        <v/>
      </c>
      <c r="D180" s="2" t="str">
        <f>IF(A180&lt;&gt;"",(Exame!D1*Exame!C180)/Exame!C1, "")</f>
        <v/>
      </c>
    </row>
    <row r="181" spans="3:4" x14ac:dyDescent="0.3">
      <c r="C181" s="2" t="str">
        <f>IF(A181&lt;&gt;"",SUM(B181),"")</f>
        <v/>
      </c>
      <c r="D181" s="2" t="str">
        <f>IF(A181&lt;&gt;"",(Exame!D1*Exame!C181)/Exame!C1, "")</f>
        <v/>
      </c>
    </row>
    <row r="182" spans="3:4" x14ac:dyDescent="0.3">
      <c r="C182" s="2" t="str">
        <f>IF(A182&lt;&gt;"",SUM(B182),"")</f>
        <v/>
      </c>
      <c r="D182" s="2" t="str">
        <f>IF(A182&lt;&gt;"",(Exame!D1*Exame!C182)/Exame!C1, "")</f>
        <v/>
      </c>
    </row>
    <row r="183" spans="3:4" x14ac:dyDescent="0.3">
      <c r="C183" s="2" t="str">
        <f>IF(A183&lt;&gt;"",SUM(B183),"")</f>
        <v/>
      </c>
      <c r="D183" s="2" t="str">
        <f>IF(A183&lt;&gt;"",(Exame!D1*Exame!C183)/Exame!C1, "")</f>
        <v/>
      </c>
    </row>
    <row r="184" spans="3:4" x14ac:dyDescent="0.3">
      <c r="C184" s="2" t="str">
        <f>IF(A184&lt;&gt;"",SUM(B184),"")</f>
        <v/>
      </c>
      <c r="D184" s="2" t="str">
        <f>IF(A184&lt;&gt;"",(Exame!D1*Exame!C184)/Exame!C1, "")</f>
        <v/>
      </c>
    </row>
    <row r="185" spans="3:4" x14ac:dyDescent="0.3">
      <c r="C185" s="2" t="str">
        <f>IF(A185&lt;&gt;"",SUM(B185),"")</f>
        <v/>
      </c>
      <c r="D185" s="2" t="str">
        <f>IF(A185&lt;&gt;"",(Exame!D1*Exame!C185)/Exame!C1, "")</f>
        <v/>
      </c>
    </row>
    <row r="186" spans="3:4" x14ac:dyDescent="0.3">
      <c r="C186" s="2" t="str">
        <f>IF(A186&lt;&gt;"",SUM(B186),"")</f>
        <v/>
      </c>
      <c r="D186" s="2" t="str">
        <f>IF(A186&lt;&gt;"",(Exame!D1*Exame!C186)/Exame!C1, "")</f>
        <v/>
      </c>
    </row>
    <row r="187" spans="3:4" x14ac:dyDescent="0.3">
      <c r="C187" s="2" t="str">
        <f>IF(A187&lt;&gt;"",SUM(B187),"")</f>
        <v/>
      </c>
      <c r="D187" s="2" t="str">
        <f>IF(A187&lt;&gt;"",(Exame!D1*Exame!C187)/Exame!C1, "")</f>
        <v/>
      </c>
    </row>
    <row r="188" spans="3:4" x14ac:dyDescent="0.3">
      <c r="C188" s="2" t="str">
        <f>IF(A188&lt;&gt;"",SUM(B188),"")</f>
        <v/>
      </c>
      <c r="D188" s="2" t="str">
        <f>IF(A188&lt;&gt;"",(Exame!D1*Exame!C188)/Exame!C1, "")</f>
        <v/>
      </c>
    </row>
    <row r="189" spans="3:4" x14ac:dyDescent="0.3">
      <c r="C189" s="2" t="str">
        <f>IF(A189&lt;&gt;"",SUM(B189),"")</f>
        <v/>
      </c>
      <c r="D189" s="2" t="str">
        <f>IF(A189&lt;&gt;"",(Exame!D1*Exame!C189)/Exame!C1, "")</f>
        <v/>
      </c>
    </row>
    <row r="190" spans="3:4" x14ac:dyDescent="0.3">
      <c r="C190" s="2" t="str">
        <f>IF(A190&lt;&gt;"",SUM(B190),"")</f>
        <v/>
      </c>
      <c r="D190" s="2" t="str">
        <f>IF(A190&lt;&gt;"",(Exame!D1*Exame!C190)/Exame!C1, "")</f>
        <v/>
      </c>
    </row>
    <row r="191" spans="3:4" x14ac:dyDescent="0.3">
      <c r="C191" s="2" t="str">
        <f>IF(A191&lt;&gt;"",SUM(B191),"")</f>
        <v/>
      </c>
      <c r="D191" s="2" t="str">
        <f>IF(A191&lt;&gt;"",(Exame!D1*Exame!C191)/Exame!C1, "")</f>
        <v/>
      </c>
    </row>
    <row r="192" spans="3:4" x14ac:dyDescent="0.3">
      <c r="C192" s="2" t="str">
        <f>IF(A192&lt;&gt;"",SUM(B192),"")</f>
        <v/>
      </c>
      <c r="D192" s="2" t="str">
        <f>IF(A192&lt;&gt;"",(Exame!D1*Exame!C192)/Exame!C1, "")</f>
        <v/>
      </c>
    </row>
    <row r="193" spans="3:4" x14ac:dyDescent="0.3">
      <c r="C193" s="2" t="str">
        <f>IF(A193&lt;&gt;"",SUM(B193),"")</f>
        <v/>
      </c>
      <c r="D193" s="2" t="str">
        <f>IF(A193&lt;&gt;"",(Exame!D1*Exame!C193)/Exame!C1, "")</f>
        <v/>
      </c>
    </row>
    <row r="194" spans="3:4" x14ac:dyDescent="0.3">
      <c r="C194" s="2" t="str">
        <f>IF(A194&lt;&gt;"",SUM(B194),"")</f>
        <v/>
      </c>
      <c r="D194" s="2" t="str">
        <f>IF(A194&lt;&gt;"",(Exame!D1*Exame!C194)/Exame!C1, "")</f>
        <v/>
      </c>
    </row>
    <row r="195" spans="3:4" x14ac:dyDescent="0.3">
      <c r="C195" s="2" t="str">
        <f>IF(A195&lt;&gt;"",SUM(B195),"")</f>
        <v/>
      </c>
      <c r="D195" s="2" t="str">
        <f>IF(A195&lt;&gt;"",(Exame!D1*Exame!C195)/Exame!C1, "")</f>
        <v/>
      </c>
    </row>
    <row r="196" spans="3:4" x14ac:dyDescent="0.3">
      <c r="C196" s="2" t="str">
        <f>IF(A196&lt;&gt;"",SUM(B196),"")</f>
        <v/>
      </c>
      <c r="D196" s="2" t="str">
        <f>IF(A196&lt;&gt;"",(Exame!D1*Exame!C196)/Exame!C1, "")</f>
        <v/>
      </c>
    </row>
    <row r="197" spans="3:4" x14ac:dyDescent="0.3">
      <c r="C197" s="2" t="str">
        <f>IF(A197&lt;&gt;"",SUM(B197),"")</f>
        <v/>
      </c>
      <c r="D197" s="2" t="str">
        <f>IF(A197&lt;&gt;"",(Exame!D1*Exame!C197)/Exame!C1, "")</f>
        <v/>
      </c>
    </row>
    <row r="198" spans="3:4" x14ac:dyDescent="0.3">
      <c r="C198" s="2" t="str">
        <f>IF(A198&lt;&gt;"",SUM(B198),"")</f>
        <v/>
      </c>
      <c r="D198" s="2" t="str">
        <f>IF(A198&lt;&gt;"",(Exame!D1*Exame!C198)/Exame!C1, "")</f>
        <v/>
      </c>
    </row>
    <row r="199" spans="3:4" x14ac:dyDescent="0.3">
      <c r="C199" s="2" t="str">
        <f>IF(A199&lt;&gt;"",SUM(B199),"")</f>
        <v/>
      </c>
      <c r="D199" s="2" t="str">
        <f>IF(A199&lt;&gt;"",(Exame!D1*Exame!C199)/Exame!C1, "")</f>
        <v/>
      </c>
    </row>
    <row r="200" spans="3:4" x14ac:dyDescent="0.3">
      <c r="C200" s="2" t="str">
        <f>IF(A200&lt;&gt;"",SUM(B200),"")</f>
        <v/>
      </c>
      <c r="D200" s="2" t="str">
        <f>IF(A200&lt;&gt;"",(Exame!D1*Exame!C200)/Exame!C1, "")</f>
        <v/>
      </c>
    </row>
    <row r="201" spans="3:4" x14ac:dyDescent="0.3">
      <c r="C201" s="2" t="str">
        <f>IF(A201&lt;&gt;"",SUM(B201),"")</f>
        <v/>
      </c>
      <c r="D201" s="2" t="str">
        <f>IF(A201&lt;&gt;"",(Exame!D1*Exame!C201)/Exame!C1, "")</f>
        <v/>
      </c>
    </row>
    <row r="202" spans="3:4" x14ac:dyDescent="0.3">
      <c r="C202" s="2" t="str">
        <f>IF(A202&lt;&gt;"",SUM(B202),"")</f>
        <v/>
      </c>
      <c r="D202" s="2" t="str">
        <f>IF(A202&lt;&gt;"",(Exame!D1*Exame!C202)/Exame!C1, "")</f>
        <v/>
      </c>
    </row>
    <row r="203" spans="3:4" x14ac:dyDescent="0.3">
      <c r="C203" s="2" t="str">
        <f>IF(A203&lt;&gt;"",SUM(B203),"")</f>
        <v/>
      </c>
      <c r="D203" s="2" t="str">
        <f>IF(A203&lt;&gt;"",(Exame!D1*Exame!C203)/Exame!C1, "")</f>
        <v/>
      </c>
    </row>
    <row r="204" spans="3:4" x14ac:dyDescent="0.3">
      <c r="C204" s="2" t="str">
        <f>IF(A204&lt;&gt;"",SUM(B204),"")</f>
        <v/>
      </c>
      <c r="D204" s="2" t="str">
        <f>IF(A204&lt;&gt;"",(Exame!D1*Exame!C204)/Exame!C1, "")</f>
        <v/>
      </c>
    </row>
    <row r="205" spans="3:4" x14ac:dyDescent="0.3">
      <c r="C205" s="2" t="str">
        <f>IF(A205&lt;&gt;"",SUM(B205),"")</f>
        <v/>
      </c>
      <c r="D205" s="2" t="str">
        <f>IF(A205&lt;&gt;"",(Exame!D1*Exame!C205)/Exame!C1, "")</f>
        <v/>
      </c>
    </row>
    <row r="206" spans="3:4" x14ac:dyDescent="0.3">
      <c r="C206" s="2" t="str">
        <f>IF(A206&lt;&gt;"",SUM(B206),"")</f>
        <v/>
      </c>
      <c r="D206" s="2" t="str">
        <f>IF(A206&lt;&gt;"",(Exame!D1*Exame!C206)/Exame!C1, "")</f>
        <v/>
      </c>
    </row>
    <row r="207" spans="3:4" x14ac:dyDescent="0.3">
      <c r="C207" s="2" t="str">
        <f>IF(A207&lt;&gt;"",SUM(B207),"")</f>
        <v/>
      </c>
      <c r="D207" s="2" t="str">
        <f>IF(A207&lt;&gt;"",(Exame!D1*Exame!C207)/Exame!C1, "")</f>
        <v/>
      </c>
    </row>
    <row r="208" spans="3:4" x14ac:dyDescent="0.3">
      <c r="C208" s="2" t="str">
        <f>IF(A208&lt;&gt;"",SUM(B208),"")</f>
        <v/>
      </c>
      <c r="D208" s="2" t="str">
        <f>IF(A208&lt;&gt;"",(Exame!D1*Exame!C208)/Exame!C1, "")</f>
        <v/>
      </c>
    </row>
    <row r="209" spans="3:4" x14ac:dyDescent="0.3">
      <c r="C209" s="2" t="str">
        <f>IF(A209&lt;&gt;"",SUM(B209),"")</f>
        <v/>
      </c>
      <c r="D209" s="2" t="str">
        <f>IF(A209&lt;&gt;"",(Exame!D1*Exame!C209)/Exame!C1, "")</f>
        <v/>
      </c>
    </row>
    <row r="210" spans="3:4" x14ac:dyDescent="0.3">
      <c r="C210" s="2" t="str">
        <f>IF(A210&lt;&gt;"",SUM(B210),"")</f>
        <v/>
      </c>
      <c r="D210" s="2" t="str">
        <f>IF(A210&lt;&gt;"",(Exame!D1*Exame!C210)/Exame!C1, "")</f>
        <v/>
      </c>
    </row>
    <row r="211" spans="3:4" x14ac:dyDescent="0.3">
      <c r="C211" s="2" t="str">
        <f>IF(A211&lt;&gt;"",SUM(B211),"")</f>
        <v/>
      </c>
      <c r="D211" s="2" t="str">
        <f>IF(A211&lt;&gt;"",(Exame!D1*Exame!C211)/Exame!C1, "")</f>
        <v/>
      </c>
    </row>
    <row r="212" spans="3:4" x14ac:dyDescent="0.3">
      <c r="C212" s="2" t="str">
        <f>IF(A212&lt;&gt;"",SUM(B212),"")</f>
        <v/>
      </c>
      <c r="D212" s="2" t="str">
        <f>IF(A212&lt;&gt;"",(Exame!D1*Exame!C212)/Exame!C1, "")</f>
        <v/>
      </c>
    </row>
    <row r="213" spans="3:4" x14ac:dyDescent="0.3">
      <c r="C213" s="2" t="str">
        <f>IF(A213&lt;&gt;"",SUM(B213),"")</f>
        <v/>
      </c>
      <c r="D213" s="2" t="str">
        <f>IF(A213&lt;&gt;"",(Exame!D1*Exame!C213)/Exame!C1, "")</f>
        <v/>
      </c>
    </row>
    <row r="214" spans="3:4" x14ac:dyDescent="0.3">
      <c r="C214" s="2" t="str">
        <f>IF(A214&lt;&gt;"",SUM(B214),"")</f>
        <v/>
      </c>
      <c r="D214" s="2" t="str">
        <f>IF(A214&lt;&gt;"",(Exame!D1*Exame!C214)/Exame!C1, "")</f>
        <v/>
      </c>
    </row>
    <row r="215" spans="3:4" x14ac:dyDescent="0.3">
      <c r="C215" s="2" t="str">
        <f>IF(A215&lt;&gt;"",SUM(B215),"")</f>
        <v/>
      </c>
      <c r="D215" s="2" t="str">
        <f>IF(A215&lt;&gt;"",(Exame!D1*Exame!C215)/Exame!C1, "")</f>
        <v/>
      </c>
    </row>
    <row r="216" spans="3:4" x14ac:dyDescent="0.3">
      <c r="C216" s="2" t="str">
        <f>IF(A216&lt;&gt;"",SUM(B216),"")</f>
        <v/>
      </c>
      <c r="D216" s="2" t="str">
        <f>IF(A216&lt;&gt;"",(Exame!D1*Exame!C216)/Exame!C1, "")</f>
        <v/>
      </c>
    </row>
    <row r="217" spans="3:4" x14ac:dyDescent="0.3">
      <c r="C217" s="2" t="str">
        <f>IF(A217&lt;&gt;"",SUM(B217),"")</f>
        <v/>
      </c>
      <c r="D217" s="2" t="str">
        <f>IF(A217&lt;&gt;"",(Exame!D1*Exame!C217)/Exame!C1, "")</f>
        <v/>
      </c>
    </row>
    <row r="218" spans="3:4" x14ac:dyDescent="0.3">
      <c r="C218" s="2" t="str">
        <f>IF(A218&lt;&gt;"",SUM(B218),"")</f>
        <v/>
      </c>
      <c r="D218" s="2" t="str">
        <f>IF(A218&lt;&gt;"",(Exame!D1*Exame!C218)/Exame!C1, "")</f>
        <v/>
      </c>
    </row>
    <row r="219" spans="3:4" x14ac:dyDescent="0.3">
      <c r="C219" s="2" t="str">
        <f>IF(A219&lt;&gt;"",SUM(B219),"")</f>
        <v/>
      </c>
      <c r="D219" s="2" t="str">
        <f>IF(A219&lt;&gt;"",(Exame!D1*Exame!C219)/Exame!C1, "")</f>
        <v/>
      </c>
    </row>
    <row r="220" spans="3:4" x14ac:dyDescent="0.3">
      <c r="C220" s="2" t="str">
        <f>IF(A220&lt;&gt;"",SUM(B220),"")</f>
        <v/>
      </c>
      <c r="D220" s="2" t="str">
        <f>IF(A220&lt;&gt;"",(Exame!D1*Exame!C220)/Exame!C1, "")</f>
        <v/>
      </c>
    </row>
    <row r="221" spans="3:4" x14ac:dyDescent="0.3">
      <c r="C221" s="2" t="str">
        <f>IF(A221&lt;&gt;"",SUM(B221),"")</f>
        <v/>
      </c>
      <c r="D221" s="2" t="str">
        <f>IF(A221&lt;&gt;"",(Exame!D1*Exame!C221)/Exame!C1, "")</f>
        <v/>
      </c>
    </row>
    <row r="222" spans="3:4" x14ac:dyDescent="0.3">
      <c r="C222" s="2" t="str">
        <f>IF(A222&lt;&gt;"",SUM(B222),"")</f>
        <v/>
      </c>
      <c r="D222" s="2" t="str">
        <f>IF(A222&lt;&gt;"",(Exame!D1*Exame!C222)/Exame!C1, "")</f>
        <v/>
      </c>
    </row>
    <row r="223" spans="3:4" x14ac:dyDescent="0.3">
      <c r="C223" s="2" t="str">
        <f>IF(A223&lt;&gt;"",SUM(B223),"")</f>
        <v/>
      </c>
      <c r="D223" s="2" t="str">
        <f>IF(A223&lt;&gt;"",(Exame!D1*Exame!C223)/Exame!C1, "")</f>
        <v/>
      </c>
    </row>
    <row r="224" spans="3:4" x14ac:dyDescent="0.3">
      <c r="C224" s="2" t="str">
        <f>IF(A224&lt;&gt;"",SUM(B224),"")</f>
        <v/>
      </c>
      <c r="D224" s="2" t="str">
        <f>IF(A224&lt;&gt;"",(Exame!D1*Exame!C224)/Exame!C1, "")</f>
        <v/>
      </c>
    </row>
    <row r="225" spans="3:4" x14ac:dyDescent="0.3">
      <c r="C225" s="2" t="str">
        <f>IF(A225&lt;&gt;"",SUM(B225),"")</f>
        <v/>
      </c>
      <c r="D225" s="2" t="str">
        <f>IF(A225&lt;&gt;"",(Exame!D1*Exame!C225)/Exame!C1, "")</f>
        <v/>
      </c>
    </row>
    <row r="226" spans="3:4" x14ac:dyDescent="0.3">
      <c r="C226" s="2" t="str">
        <f>IF(A226&lt;&gt;"",SUM(B226),"")</f>
        <v/>
      </c>
      <c r="D226" s="2" t="str">
        <f>IF(A226&lt;&gt;"",(Exame!D1*Exame!C226)/Exame!C1, "")</f>
        <v/>
      </c>
    </row>
    <row r="227" spans="3:4" x14ac:dyDescent="0.3">
      <c r="C227" s="2" t="str">
        <f>IF(A227&lt;&gt;"",SUM(B227),"")</f>
        <v/>
      </c>
      <c r="D227" s="2" t="str">
        <f>IF(A227&lt;&gt;"",(Exame!D1*Exame!C227)/Exame!C1, "")</f>
        <v/>
      </c>
    </row>
    <row r="228" spans="3:4" x14ac:dyDescent="0.3">
      <c r="C228" s="2" t="str">
        <f>IF(A228&lt;&gt;"",SUM(B228),"")</f>
        <v/>
      </c>
      <c r="D228" s="2" t="str">
        <f>IF(A228&lt;&gt;"",(Exame!D1*Exame!C228)/Exame!C1, "")</f>
        <v/>
      </c>
    </row>
    <row r="229" spans="3:4" x14ac:dyDescent="0.3">
      <c r="C229" s="2" t="str">
        <f>IF(A229&lt;&gt;"",SUM(B229),"")</f>
        <v/>
      </c>
      <c r="D229" s="2" t="str">
        <f>IF(A229&lt;&gt;"",(Exame!D1*Exame!C229)/Exame!C1, "")</f>
        <v/>
      </c>
    </row>
    <row r="230" spans="3:4" x14ac:dyDescent="0.3">
      <c r="C230" s="2" t="str">
        <f>IF(A230&lt;&gt;"",SUM(B230),"")</f>
        <v/>
      </c>
      <c r="D230" s="2" t="str">
        <f>IF(A230&lt;&gt;"",(Exame!D1*Exame!C230)/Exame!C1, "")</f>
        <v/>
      </c>
    </row>
    <row r="231" spans="3:4" x14ac:dyDescent="0.3">
      <c r="C231" s="2" t="str">
        <f>IF(A231&lt;&gt;"",SUM(B231),"")</f>
        <v/>
      </c>
      <c r="D231" s="2" t="str">
        <f>IF(A231&lt;&gt;"",(Exame!D1*Exame!C231)/Exame!C1, "")</f>
        <v/>
      </c>
    </row>
    <row r="232" spans="3:4" x14ac:dyDescent="0.3">
      <c r="C232" s="2" t="str">
        <f>IF(A232&lt;&gt;"",SUM(B232),"")</f>
        <v/>
      </c>
      <c r="D232" s="2" t="str">
        <f>IF(A232&lt;&gt;"",(Exame!D1*Exame!C232)/Exame!C1, "")</f>
        <v/>
      </c>
    </row>
    <row r="233" spans="3:4" x14ac:dyDescent="0.3">
      <c r="C233" s="2" t="str">
        <f>IF(A233&lt;&gt;"",SUM(B233),"")</f>
        <v/>
      </c>
      <c r="D233" s="2" t="str">
        <f>IF(A233&lt;&gt;"",(Exame!D1*Exame!C233)/Exame!C1, "")</f>
        <v/>
      </c>
    </row>
    <row r="234" spans="3:4" x14ac:dyDescent="0.3">
      <c r="C234" s="2" t="str">
        <f>IF(A234&lt;&gt;"",SUM(B234),"")</f>
        <v/>
      </c>
      <c r="D234" s="2" t="str">
        <f>IF(A234&lt;&gt;"",(Exame!D1*Exame!C234)/Exame!C1, "")</f>
        <v/>
      </c>
    </row>
    <row r="235" spans="3:4" x14ac:dyDescent="0.3">
      <c r="C235" s="2" t="str">
        <f>IF(A235&lt;&gt;"",SUM(B235),"")</f>
        <v/>
      </c>
      <c r="D235" s="2" t="str">
        <f>IF(A235&lt;&gt;"",(Exame!D1*Exame!C235)/Exame!C1, "")</f>
        <v/>
      </c>
    </row>
    <row r="236" spans="3:4" x14ac:dyDescent="0.3">
      <c r="C236" s="2" t="str">
        <f>IF(A236&lt;&gt;"",SUM(B236),"")</f>
        <v/>
      </c>
      <c r="D236" s="2" t="str">
        <f>IF(A236&lt;&gt;"",(Exame!D1*Exame!C236)/Exame!C1, "")</f>
        <v/>
      </c>
    </row>
    <row r="237" spans="3:4" x14ac:dyDescent="0.3">
      <c r="C237" s="2" t="str">
        <f>IF(A237&lt;&gt;"",SUM(B237),"")</f>
        <v/>
      </c>
      <c r="D237" s="2" t="str">
        <f>IF(A237&lt;&gt;"",(Exame!D1*Exame!C237)/Exame!C1, "")</f>
        <v/>
      </c>
    </row>
    <row r="238" spans="3:4" x14ac:dyDescent="0.3">
      <c r="C238" s="2" t="str">
        <f>IF(A238&lt;&gt;"",SUM(B238),"")</f>
        <v/>
      </c>
      <c r="D238" s="2" t="str">
        <f>IF(A238&lt;&gt;"",(Exame!D1*Exame!C238)/Exame!C1, "")</f>
        <v/>
      </c>
    </row>
    <row r="239" spans="3:4" x14ac:dyDescent="0.3">
      <c r="C239" s="2" t="str">
        <f>IF(A239&lt;&gt;"",SUM(B239),"")</f>
        <v/>
      </c>
      <c r="D239" s="2" t="str">
        <f>IF(A239&lt;&gt;"",(Exame!D1*Exame!C239)/Exame!C1, "")</f>
        <v/>
      </c>
    </row>
    <row r="240" spans="3:4" x14ac:dyDescent="0.3">
      <c r="C240" s="2" t="str">
        <f>IF(A240&lt;&gt;"",SUM(B240),"")</f>
        <v/>
      </c>
      <c r="D240" s="2" t="str">
        <f>IF(A240&lt;&gt;"",(Exame!D1*Exame!C240)/Exame!C1, "")</f>
        <v/>
      </c>
    </row>
    <row r="241" spans="3:4" x14ac:dyDescent="0.3">
      <c r="C241" s="2" t="str">
        <f>IF(A241&lt;&gt;"",SUM(B241),"")</f>
        <v/>
      </c>
      <c r="D241" s="2" t="str">
        <f>IF(A241&lt;&gt;"",(Exame!D1*Exame!C241)/Exame!C1, "")</f>
        <v/>
      </c>
    </row>
    <row r="242" spans="3:4" x14ac:dyDescent="0.3">
      <c r="C242" s="2" t="str">
        <f>IF(A242&lt;&gt;"",SUM(B242),"")</f>
        <v/>
      </c>
      <c r="D242" s="2" t="str">
        <f>IF(A242&lt;&gt;"",(Exame!D1*Exame!C242)/Exame!C1, "")</f>
        <v/>
      </c>
    </row>
    <row r="243" spans="3:4" x14ac:dyDescent="0.3">
      <c r="C243" s="2" t="str">
        <f>IF(A243&lt;&gt;"",SUM(B243),"")</f>
        <v/>
      </c>
      <c r="D243" s="2" t="str">
        <f>IF(A243&lt;&gt;"",(Exame!D1*Exame!C243)/Exame!C1, "")</f>
        <v/>
      </c>
    </row>
    <row r="244" spans="3:4" x14ac:dyDescent="0.3">
      <c r="C244" s="2" t="str">
        <f>IF(A244&lt;&gt;"",SUM(B244),"")</f>
        <v/>
      </c>
      <c r="D244" s="2" t="str">
        <f>IF(A244&lt;&gt;"",(Exame!D1*Exame!C244)/Exame!C1, "")</f>
        <v/>
      </c>
    </row>
    <row r="245" spans="3:4" x14ac:dyDescent="0.3">
      <c r="C245" s="2" t="str">
        <f>IF(A245&lt;&gt;"",SUM(B245),"")</f>
        <v/>
      </c>
      <c r="D245" s="2" t="str">
        <f>IF(A245&lt;&gt;"",(Exame!D1*Exame!C245)/Exame!C1, "")</f>
        <v/>
      </c>
    </row>
    <row r="246" spans="3:4" x14ac:dyDescent="0.3">
      <c r="C246" s="2" t="str">
        <f>IF(A246&lt;&gt;"",SUM(B246),"")</f>
        <v/>
      </c>
      <c r="D246" s="2" t="str">
        <f>IF(A246&lt;&gt;"",(Exame!D1*Exame!C246)/Exame!C1, "")</f>
        <v/>
      </c>
    </row>
    <row r="247" spans="3:4" x14ac:dyDescent="0.3">
      <c r="C247" s="2" t="str">
        <f>IF(A247&lt;&gt;"",SUM(B247),"")</f>
        <v/>
      </c>
      <c r="D247" s="2" t="str">
        <f>IF(A247&lt;&gt;"",(Exame!D1*Exame!C247)/Exame!C1, "")</f>
        <v/>
      </c>
    </row>
    <row r="248" spans="3:4" x14ac:dyDescent="0.3">
      <c r="C248" s="2" t="str">
        <f>IF(A248&lt;&gt;"",SUM(B248),"")</f>
        <v/>
      </c>
      <c r="D248" s="2" t="str">
        <f>IF(A248&lt;&gt;"",(Exame!D1*Exame!C248)/Exame!C1, "")</f>
        <v/>
      </c>
    </row>
    <row r="249" spans="3:4" x14ac:dyDescent="0.3">
      <c r="C249" s="2" t="str">
        <f>IF(A249&lt;&gt;"",SUM(B249),"")</f>
        <v/>
      </c>
      <c r="D249" s="2" t="str">
        <f>IF(A249&lt;&gt;"",(Exame!D1*Exame!C249)/Exame!C1, "")</f>
        <v/>
      </c>
    </row>
    <row r="250" spans="3:4" x14ac:dyDescent="0.3">
      <c r="C250" s="2" t="str">
        <f>IF(A250&lt;&gt;"",SUM(B250),"")</f>
        <v/>
      </c>
      <c r="D250" s="2" t="str">
        <f>IF(A250&lt;&gt;"",(Exame!D1*Exame!C250)/Exame!C1, "")</f>
        <v/>
      </c>
    </row>
    <row r="251" spans="3:4" x14ac:dyDescent="0.3">
      <c r="C251" s="2" t="str">
        <f>IF(A251&lt;&gt;"",SUM(B251),"")</f>
        <v/>
      </c>
      <c r="D251" s="2" t="str">
        <f>IF(A251&lt;&gt;"",(Exame!D1*Exame!C251)/Exame!C1, "")</f>
        <v/>
      </c>
    </row>
    <row r="252" spans="3:4" x14ac:dyDescent="0.3">
      <c r="C252" s="2" t="str">
        <f>IF(A252&lt;&gt;"",SUM(B252),"")</f>
        <v/>
      </c>
      <c r="D252" s="2" t="str">
        <f>IF(A252&lt;&gt;"",(Exame!D1*Exame!C252)/Exame!C1, "")</f>
        <v/>
      </c>
    </row>
    <row r="253" spans="3:4" x14ac:dyDescent="0.3">
      <c r="C253" s="2" t="str">
        <f>IF(A253&lt;&gt;"",SUM(B253),"")</f>
        <v/>
      </c>
      <c r="D253" s="2" t="str">
        <f>IF(A253&lt;&gt;"",(Exame!D1*Exame!C253)/Exame!C1, "")</f>
        <v/>
      </c>
    </row>
    <row r="254" spans="3:4" x14ac:dyDescent="0.3">
      <c r="C254" s="2" t="str">
        <f>IF(A254&lt;&gt;"",SUM(B254),"")</f>
        <v/>
      </c>
      <c r="D254" s="2" t="str">
        <f>IF(A254&lt;&gt;"",(Exame!D1*Exame!C254)/Exame!C1, "")</f>
        <v/>
      </c>
    </row>
    <row r="255" spans="3:4" x14ac:dyDescent="0.3">
      <c r="C255" s="2" t="str">
        <f>IF(A255&lt;&gt;"",SUM(B255),"")</f>
        <v/>
      </c>
      <c r="D255" s="2" t="str">
        <f>IF(A255&lt;&gt;"",(Exame!D1*Exame!C255)/Exame!C1, "")</f>
        <v/>
      </c>
    </row>
    <row r="256" spans="3:4" x14ac:dyDescent="0.3">
      <c r="C256" s="2" t="str">
        <f>IF(A256&lt;&gt;"",SUM(B256),"")</f>
        <v/>
      </c>
      <c r="D256" s="2" t="str">
        <f>IF(A256&lt;&gt;"",(Exame!D1*Exame!C256)/Exame!C1, "")</f>
        <v/>
      </c>
    </row>
    <row r="257" spans="3:4" x14ac:dyDescent="0.3">
      <c r="C257" s="2" t="str">
        <f>IF(A257&lt;&gt;"",SUM(B257),"")</f>
        <v/>
      </c>
      <c r="D257" s="2" t="str">
        <f>IF(A257&lt;&gt;"",(Exame!D1*Exame!C257)/Exame!C1, "")</f>
        <v/>
      </c>
    </row>
    <row r="258" spans="3:4" x14ac:dyDescent="0.3">
      <c r="C258" s="2" t="str">
        <f>IF(A258&lt;&gt;"",SUM(B258),"")</f>
        <v/>
      </c>
      <c r="D258" s="2" t="str">
        <f>IF(A258&lt;&gt;"",(Exame!D1*Exame!C258)/Exame!C1, "")</f>
        <v/>
      </c>
    </row>
    <row r="259" spans="3:4" x14ac:dyDescent="0.3">
      <c r="C259" s="2" t="str">
        <f>IF(A259&lt;&gt;"",SUM(B259),"")</f>
        <v/>
      </c>
      <c r="D259" s="2" t="str">
        <f>IF(A259&lt;&gt;"",(Exame!D1*Exame!C259)/Exame!C1, "")</f>
        <v/>
      </c>
    </row>
    <row r="260" spans="3:4" x14ac:dyDescent="0.3">
      <c r="C260" s="2" t="str">
        <f>IF(A260&lt;&gt;"",SUM(B260),"")</f>
        <v/>
      </c>
      <c r="D260" s="2" t="str">
        <f>IF(A260&lt;&gt;"",(Exame!D1*Exame!C260)/Exame!C1, "")</f>
        <v/>
      </c>
    </row>
    <row r="261" spans="3:4" x14ac:dyDescent="0.3">
      <c r="C261" s="2" t="str">
        <f>IF(A261&lt;&gt;"",SUM(B261),"")</f>
        <v/>
      </c>
      <c r="D261" s="2" t="str">
        <f>IF(A261&lt;&gt;"",(Exame!D1*Exame!C261)/Exame!C1, "")</f>
        <v/>
      </c>
    </row>
    <row r="262" spans="3:4" x14ac:dyDescent="0.3">
      <c r="C262" s="2" t="str">
        <f>IF(A262&lt;&gt;"",SUM(B262),"")</f>
        <v/>
      </c>
      <c r="D262" s="2" t="str">
        <f>IF(A262&lt;&gt;"",(Exame!D1*Exame!C262)/Exame!C1, "")</f>
        <v/>
      </c>
    </row>
    <row r="263" spans="3:4" x14ac:dyDescent="0.3">
      <c r="C263" s="2" t="str">
        <f>IF(A263&lt;&gt;"",SUM(B263),"")</f>
        <v/>
      </c>
      <c r="D263" s="2" t="str">
        <f>IF(A263&lt;&gt;"",(Exame!D1*Exame!C263)/Exame!C1, "")</f>
        <v/>
      </c>
    </row>
    <row r="264" spans="3:4" x14ac:dyDescent="0.3">
      <c r="C264" s="2" t="str">
        <f>IF(A264&lt;&gt;"",SUM(B264),"")</f>
        <v/>
      </c>
      <c r="D264" s="2" t="str">
        <f>IF(A264&lt;&gt;"",(Exame!D1*Exame!C264)/Exame!C1, "")</f>
        <v/>
      </c>
    </row>
    <row r="265" spans="3:4" x14ac:dyDescent="0.3">
      <c r="C265" s="2" t="str">
        <f>IF(A265&lt;&gt;"",SUM(B265),"")</f>
        <v/>
      </c>
      <c r="D265" s="2" t="str">
        <f>IF(A265&lt;&gt;"",(Exame!D1*Exame!C265)/Exame!C1, "")</f>
        <v/>
      </c>
    </row>
    <row r="266" spans="3:4" x14ac:dyDescent="0.3">
      <c r="C266" s="2" t="str">
        <f>IF(A266&lt;&gt;"",SUM(B266),"")</f>
        <v/>
      </c>
      <c r="D266" s="2" t="str">
        <f>IF(A266&lt;&gt;"",(Exame!D1*Exame!C266)/Exame!C1, "")</f>
        <v/>
      </c>
    </row>
    <row r="267" spans="3:4" x14ac:dyDescent="0.3">
      <c r="C267" s="2" t="str">
        <f>IF(A267&lt;&gt;"",SUM(B267),"")</f>
        <v/>
      </c>
      <c r="D267" s="2" t="str">
        <f>IF(A267&lt;&gt;"",(Exame!D1*Exame!C267)/Exame!C1, "")</f>
        <v/>
      </c>
    </row>
    <row r="268" spans="3:4" x14ac:dyDescent="0.3">
      <c r="C268" s="2" t="str">
        <f>IF(A268&lt;&gt;"",SUM(B268),"")</f>
        <v/>
      </c>
      <c r="D268" s="2" t="str">
        <f>IF(A268&lt;&gt;"",(Exame!D1*Exame!C268)/Exame!C1, "")</f>
        <v/>
      </c>
    </row>
    <row r="269" spans="3:4" x14ac:dyDescent="0.3">
      <c r="C269" s="2" t="str">
        <f>IF(A269&lt;&gt;"",SUM(B269),"")</f>
        <v/>
      </c>
      <c r="D269" s="2" t="str">
        <f>IF(A269&lt;&gt;"",(Exame!D1*Exame!C269)/Exame!C1, "")</f>
        <v/>
      </c>
    </row>
    <row r="270" spans="3:4" x14ac:dyDescent="0.3">
      <c r="C270" s="2" t="str">
        <f>IF(A270&lt;&gt;"",SUM(B270),"")</f>
        <v/>
      </c>
      <c r="D270" s="2" t="str">
        <f>IF(A270&lt;&gt;"",(Exame!D1*Exame!C270)/Exame!C1, "")</f>
        <v/>
      </c>
    </row>
    <row r="271" spans="3:4" x14ac:dyDescent="0.3">
      <c r="C271" s="2" t="str">
        <f>IF(A271&lt;&gt;"",SUM(B271),"")</f>
        <v/>
      </c>
      <c r="D271" s="2" t="str">
        <f>IF(A271&lt;&gt;"",(Exame!D1*Exame!C271)/Exame!C1, "")</f>
        <v/>
      </c>
    </row>
    <row r="272" spans="3:4" x14ac:dyDescent="0.3">
      <c r="C272" s="2" t="str">
        <f>IF(A272&lt;&gt;"",SUM(B272),"")</f>
        <v/>
      </c>
      <c r="D272" s="2" t="str">
        <f>IF(A272&lt;&gt;"",(Exame!D1*Exame!C272)/Exame!C1, "")</f>
        <v/>
      </c>
    </row>
    <row r="273" spans="3:4" x14ac:dyDescent="0.3">
      <c r="C273" s="2" t="str">
        <f>IF(A273&lt;&gt;"",SUM(B273),"")</f>
        <v/>
      </c>
      <c r="D273" s="2" t="str">
        <f>IF(A273&lt;&gt;"",(Exame!D1*Exame!C273)/Exame!C1, "")</f>
        <v/>
      </c>
    </row>
    <row r="274" spans="3:4" x14ac:dyDescent="0.3">
      <c r="C274" s="2" t="str">
        <f>IF(A274&lt;&gt;"",SUM(B274),"")</f>
        <v/>
      </c>
      <c r="D274" s="2" t="str">
        <f>IF(A274&lt;&gt;"",(Exame!D1*Exame!C274)/Exame!C1, "")</f>
        <v/>
      </c>
    </row>
    <row r="275" spans="3:4" x14ac:dyDescent="0.3">
      <c r="C275" s="2" t="str">
        <f>IF(A275&lt;&gt;"",SUM(B275),"")</f>
        <v/>
      </c>
      <c r="D275" s="2" t="str">
        <f>IF(A275&lt;&gt;"",(Exame!D1*Exame!C275)/Exame!C1, "")</f>
        <v/>
      </c>
    </row>
    <row r="276" spans="3:4" x14ac:dyDescent="0.3">
      <c r="C276" s="2" t="str">
        <f>IF(A276&lt;&gt;"",SUM(B276),"")</f>
        <v/>
      </c>
      <c r="D276" s="2" t="str">
        <f>IF(A276&lt;&gt;"",(Exame!D1*Exame!C276)/Exame!C1, "")</f>
        <v/>
      </c>
    </row>
    <row r="277" spans="3:4" x14ac:dyDescent="0.3">
      <c r="C277" s="2" t="str">
        <f>IF(A277&lt;&gt;"",SUM(B277),"")</f>
        <v/>
      </c>
      <c r="D277" s="2" t="str">
        <f>IF(A277&lt;&gt;"",(Exame!D1*Exame!C277)/Exame!C1, "")</f>
        <v/>
      </c>
    </row>
    <row r="278" spans="3:4" x14ac:dyDescent="0.3">
      <c r="C278" s="2" t="str">
        <f>IF(A278&lt;&gt;"",SUM(B278),"")</f>
        <v/>
      </c>
      <c r="D278" s="2" t="str">
        <f>IF(A278&lt;&gt;"",(Exame!D1*Exame!C278)/Exame!C1, "")</f>
        <v/>
      </c>
    </row>
    <row r="279" spans="3:4" x14ac:dyDescent="0.3">
      <c r="C279" s="2" t="str">
        <f>IF(A279&lt;&gt;"",SUM(B279),"")</f>
        <v/>
      </c>
      <c r="D279" s="2" t="str">
        <f>IF(A279&lt;&gt;"",(Exame!D1*Exame!C279)/Exame!C1, "")</f>
        <v/>
      </c>
    </row>
    <row r="280" spans="3:4" x14ac:dyDescent="0.3">
      <c r="C280" s="2" t="str">
        <f>IF(A280&lt;&gt;"",SUM(B280),"")</f>
        <v/>
      </c>
      <c r="D280" s="2" t="str">
        <f>IF(A280&lt;&gt;"",(Exame!D1*Exame!C280)/Exame!C1, "")</f>
        <v/>
      </c>
    </row>
    <row r="281" spans="3:4" x14ac:dyDescent="0.3">
      <c r="C281" s="2" t="str">
        <f>IF(A281&lt;&gt;"",SUM(B281),"")</f>
        <v/>
      </c>
      <c r="D281" s="2" t="str">
        <f>IF(A281&lt;&gt;"",(Exame!D1*Exame!C281)/Exame!C1, "")</f>
        <v/>
      </c>
    </row>
    <row r="282" spans="3:4" x14ac:dyDescent="0.3">
      <c r="C282" s="2" t="str">
        <f>IF(A282&lt;&gt;"",SUM(B282),"")</f>
        <v/>
      </c>
      <c r="D282" s="2" t="str">
        <f>IF(A282&lt;&gt;"",(Exame!D1*Exame!C282)/Exame!C1, "")</f>
        <v/>
      </c>
    </row>
    <row r="283" spans="3:4" x14ac:dyDescent="0.3">
      <c r="C283" s="2" t="str">
        <f>IF(A283&lt;&gt;"",SUM(B283),"")</f>
        <v/>
      </c>
      <c r="D283" s="2" t="str">
        <f>IF(A283&lt;&gt;"",(Exame!D1*Exame!C283)/Exame!C1, "")</f>
        <v/>
      </c>
    </row>
    <row r="284" spans="3:4" x14ac:dyDescent="0.3">
      <c r="C284" s="2" t="str">
        <f>IF(A284&lt;&gt;"",SUM(B284),"")</f>
        <v/>
      </c>
      <c r="D284" s="2" t="str">
        <f>IF(A284&lt;&gt;"",(Exame!D1*Exame!C284)/Exame!C1, "")</f>
        <v/>
      </c>
    </row>
    <row r="285" spans="3:4" x14ac:dyDescent="0.3">
      <c r="C285" s="2" t="str">
        <f>IF(A285&lt;&gt;"",SUM(B285),"")</f>
        <v/>
      </c>
      <c r="D285" s="2" t="str">
        <f>IF(A285&lt;&gt;"",(Exame!D1*Exame!C285)/Exame!C1, "")</f>
        <v/>
      </c>
    </row>
    <row r="286" spans="3:4" x14ac:dyDescent="0.3">
      <c r="C286" s="2" t="str">
        <f>IF(A286&lt;&gt;"",SUM(B286),"")</f>
        <v/>
      </c>
      <c r="D286" s="2" t="str">
        <f>IF(A286&lt;&gt;"",(Exame!D1*Exame!C286)/Exame!C1, "")</f>
        <v/>
      </c>
    </row>
    <row r="287" spans="3:4" x14ac:dyDescent="0.3">
      <c r="C287" s="2" t="str">
        <f>IF(A287&lt;&gt;"",SUM(B287),"")</f>
        <v/>
      </c>
      <c r="D287" s="2" t="str">
        <f>IF(A287&lt;&gt;"",(Exame!D1*Exame!C287)/Exame!C1, "")</f>
        <v/>
      </c>
    </row>
    <row r="288" spans="3:4" x14ac:dyDescent="0.3">
      <c r="C288" s="2" t="str">
        <f>IF(A288&lt;&gt;"",SUM(B288),"")</f>
        <v/>
      </c>
      <c r="D288" s="2" t="str">
        <f>IF(A288&lt;&gt;"",(Exame!D1*Exame!C288)/Exame!C1, "")</f>
        <v/>
      </c>
    </row>
    <row r="289" spans="3:4" x14ac:dyDescent="0.3">
      <c r="C289" s="2" t="str">
        <f>IF(A289&lt;&gt;"",SUM(B289),"")</f>
        <v/>
      </c>
      <c r="D289" s="2" t="str">
        <f>IF(A289&lt;&gt;"",(Exame!D1*Exame!C289)/Exame!C1, "")</f>
        <v/>
      </c>
    </row>
    <row r="290" spans="3:4" x14ac:dyDescent="0.3">
      <c r="C290" s="2" t="str">
        <f>IF(A290&lt;&gt;"",SUM(B290),"")</f>
        <v/>
      </c>
      <c r="D290" s="2" t="str">
        <f>IF(A290&lt;&gt;"",(Exame!D1*Exame!C290)/Exame!C1, "")</f>
        <v/>
      </c>
    </row>
    <row r="291" spans="3:4" x14ac:dyDescent="0.3">
      <c r="C291" s="2" t="str">
        <f>IF(A291&lt;&gt;"",SUM(B291),"")</f>
        <v/>
      </c>
      <c r="D291" s="2" t="str">
        <f>IF(A291&lt;&gt;"",(Exame!D1*Exame!C291)/Exame!C1, "")</f>
        <v/>
      </c>
    </row>
    <row r="292" spans="3:4" x14ac:dyDescent="0.3">
      <c r="C292" s="2" t="str">
        <f>IF(A292&lt;&gt;"",SUM(B292),"")</f>
        <v/>
      </c>
      <c r="D292" s="2" t="str">
        <f>IF(A292&lt;&gt;"",(Exame!D1*Exame!C292)/Exame!C1, "")</f>
        <v/>
      </c>
    </row>
    <row r="293" spans="3:4" x14ac:dyDescent="0.3">
      <c r="C293" s="2" t="str">
        <f>IF(A293&lt;&gt;"",SUM(B293),"")</f>
        <v/>
      </c>
      <c r="D293" s="2" t="str">
        <f>IF(A293&lt;&gt;"",(Exame!D1*Exame!C293)/Exame!C1, "")</f>
        <v/>
      </c>
    </row>
    <row r="294" spans="3:4" x14ac:dyDescent="0.3">
      <c r="C294" s="2" t="str">
        <f>IF(A294&lt;&gt;"",SUM(B294),"")</f>
        <v/>
      </c>
      <c r="D294" s="2" t="str">
        <f>IF(A294&lt;&gt;"",(Exame!D1*Exame!C294)/Exame!C1, "")</f>
        <v/>
      </c>
    </row>
    <row r="295" spans="3:4" x14ac:dyDescent="0.3">
      <c r="C295" s="2" t="str">
        <f>IF(A295&lt;&gt;"",SUM(B295),"")</f>
        <v/>
      </c>
      <c r="D295" s="2" t="str">
        <f>IF(A295&lt;&gt;"",(Exame!D1*Exame!C295)/Exame!C1, "")</f>
        <v/>
      </c>
    </row>
    <row r="296" spans="3:4" x14ac:dyDescent="0.3">
      <c r="C296" s="2" t="str">
        <f>IF(A296&lt;&gt;"",SUM(B296),"")</f>
        <v/>
      </c>
      <c r="D296" s="2" t="str">
        <f>IF(A296&lt;&gt;"",(Exame!D1*Exame!C296)/Exame!C1, "")</f>
        <v/>
      </c>
    </row>
    <row r="297" spans="3:4" x14ac:dyDescent="0.3">
      <c r="C297" s="2" t="str">
        <f>IF(A297&lt;&gt;"",SUM(B297),"")</f>
        <v/>
      </c>
      <c r="D297" s="2" t="str">
        <f>IF(A297&lt;&gt;"",(Exame!D1*Exame!C297)/Exame!C1, "")</f>
        <v/>
      </c>
    </row>
    <row r="298" spans="3:4" x14ac:dyDescent="0.3">
      <c r="C298" s="2" t="str">
        <f>IF(A298&lt;&gt;"",SUM(B298),"")</f>
        <v/>
      </c>
      <c r="D298" s="2" t="str">
        <f>IF(A298&lt;&gt;"",(Exame!D1*Exame!C298)/Exame!C1, "")</f>
        <v/>
      </c>
    </row>
    <row r="299" spans="3:4" x14ac:dyDescent="0.3">
      <c r="C299" s="2" t="str">
        <f>IF(A299&lt;&gt;"",SUM(B299),"")</f>
        <v/>
      </c>
      <c r="D299" s="2" t="str">
        <f>IF(A299&lt;&gt;"",(Exame!D1*Exame!C299)/Exame!C1, "")</f>
        <v/>
      </c>
    </row>
    <row r="300" spans="3:4" x14ac:dyDescent="0.3">
      <c r="C300" s="2" t="str">
        <f>IF(A300&lt;&gt;"",SUM(B300),"")</f>
        <v/>
      </c>
      <c r="D300" s="2" t="str">
        <f>IF(A300&lt;&gt;"",(Exame!D1*Exame!C300)/Exame!C1, "")</f>
        <v/>
      </c>
    </row>
    <row r="301" spans="3:4" x14ac:dyDescent="0.3">
      <c r="C301" s="2" t="str">
        <f>IF(A301&lt;&gt;"",SUM(B301),"")</f>
        <v/>
      </c>
      <c r="D301" s="2" t="str">
        <f>IF(A301&lt;&gt;"",(Exame!D1*Exame!C301)/Exame!C1, "")</f>
        <v/>
      </c>
    </row>
    <row r="302" spans="3:4" x14ac:dyDescent="0.3">
      <c r="C302" s="2" t="str">
        <f>IF(A302&lt;&gt;"",SUM(B302),"")</f>
        <v/>
      </c>
      <c r="D302" s="2" t="str">
        <f>IF(A302&lt;&gt;"",(Exame!D1*Exame!C302)/Exame!C1, "")</f>
        <v/>
      </c>
    </row>
    <row r="303" spans="3:4" x14ac:dyDescent="0.3">
      <c r="C303" s="2" t="str">
        <f>IF(A303&lt;&gt;"",SUM(B303),"")</f>
        <v/>
      </c>
      <c r="D303" s="2" t="str">
        <f>IF(A303&lt;&gt;"",(Exame!D1*Exame!C303)/Exame!C1, "")</f>
        <v/>
      </c>
    </row>
    <row r="304" spans="3:4" x14ac:dyDescent="0.3">
      <c r="C304" s="2" t="str">
        <f>IF(A304&lt;&gt;"",SUM(B304),"")</f>
        <v/>
      </c>
      <c r="D304" s="2" t="str">
        <f>IF(A304&lt;&gt;"",(Exame!D1*Exame!C304)/Exame!C1, "")</f>
        <v/>
      </c>
    </row>
    <row r="305" spans="3:4" x14ac:dyDescent="0.3">
      <c r="C305" s="2" t="str">
        <f>IF(A305&lt;&gt;"",SUM(B305),"")</f>
        <v/>
      </c>
      <c r="D305" s="2" t="str">
        <f>IF(A305&lt;&gt;"",(Exame!D1*Exame!C305)/Exame!C1, "")</f>
        <v/>
      </c>
    </row>
    <row r="306" spans="3:4" x14ac:dyDescent="0.3">
      <c r="C306" s="2" t="str">
        <f>IF(A306&lt;&gt;"",SUM(B306),"")</f>
        <v/>
      </c>
      <c r="D306" s="2" t="str">
        <f>IF(A306&lt;&gt;"",(Exame!D1*Exame!C306)/Exame!C1, "")</f>
        <v/>
      </c>
    </row>
    <row r="307" spans="3:4" x14ac:dyDescent="0.3">
      <c r="C307" s="2" t="str">
        <f>IF(A307&lt;&gt;"",SUM(B307),"")</f>
        <v/>
      </c>
      <c r="D307" s="2" t="str">
        <f>IF(A307&lt;&gt;"",(Exame!D1*Exame!C307)/Exame!C1, "")</f>
        <v/>
      </c>
    </row>
    <row r="308" spans="3:4" x14ac:dyDescent="0.3">
      <c r="C308" s="2" t="str">
        <f>IF(A308&lt;&gt;"",SUM(B308),"")</f>
        <v/>
      </c>
      <c r="D308" s="2" t="str">
        <f>IF(A308&lt;&gt;"",(Exame!D1*Exame!C308)/Exame!C1, "")</f>
        <v/>
      </c>
    </row>
    <row r="309" spans="3:4" x14ac:dyDescent="0.3">
      <c r="C309" s="2" t="str">
        <f>IF(A309&lt;&gt;"",SUM(B309),"")</f>
        <v/>
      </c>
      <c r="D309" s="2" t="str">
        <f>IF(A309&lt;&gt;"",(Exame!D1*Exame!C309)/Exame!C1, "")</f>
        <v/>
      </c>
    </row>
    <row r="310" spans="3:4" x14ac:dyDescent="0.3">
      <c r="C310" s="2" t="str">
        <f>IF(A310&lt;&gt;"",SUM(B310),"")</f>
        <v/>
      </c>
      <c r="D310" s="2" t="str">
        <f>IF(A310&lt;&gt;"",(Exame!D1*Exame!C310)/Exame!C1, "")</f>
        <v/>
      </c>
    </row>
    <row r="311" spans="3:4" x14ac:dyDescent="0.3">
      <c r="C311" s="2" t="str">
        <f>IF(A311&lt;&gt;"",SUM(B311),"")</f>
        <v/>
      </c>
      <c r="D311" s="2" t="str">
        <f>IF(A311&lt;&gt;"",(Exame!D1*Exame!C311)/Exame!C1, "")</f>
        <v/>
      </c>
    </row>
    <row r="312" spans="3:4" x14ac:dyDescent="0.3">
      <c r="C312" s="2" t="str">
        <f>IF(A312&lt;&gt;"",SUM(B312),"")</f>
        <v/>
      </c>
      <c r="D312" s="2" t="str">
        <f>IF(A312&lt;&gt;"",(Exame!D1*Exame!C312)/Exame!C1, "")</f>
        <v/>
      </c>
    </row>
    <row r="313" spans="3:4" x14ac:dyDescent="0.3">
      <c r="C313" s="2" t="str">
        <f>IF(A313&lt;&gt;"",SUM(B313),"")</f>
        <v/>
      </c>
      <c r="D313" s="2" t="str">
        <f>IF(A313&lt;&gt;"",(Exame!D1*Exame!C313)/Exame!C1, "")</f>
        <v/>
      </c>
    </row>
    <row r="314" spans="3:4" x14ac:dyDescent="0.3">
      <c r="C314" s="2" t="str">
        <f>IF(A314&lt;&gt;"",SUM(B314),"")</f>
        <v/>
      </c>
      <c r="D314" s="2" t="str">
        <f>IF(A314&lt;&gt;"",(Exame!D1*Exame!C314)/Exame!C1, "")</f>
        <v/>
      </c>
    </row>
    <row r="315" spans="3:4" x14ac:dyDescent="0.3">
      <c r="C315" s="2" t="str">
        <f>IF(A315&lt;&gt;"",SUM(B315),"")</f>
        <v/>
      </c>
      <c r="D315" s="2" t="str">
        <f>IF(A315&lt;&gt;"",(Exame!D1*Exame!C315)/Exame!C1, "")</f>
        <v/>
      </c>
    </row>
    <row r="316" spans="3:4" x14ac:dyDescent="0.3">
      <c r="C316" s="2" t="str">
        <f>IF(A316&lt;&gt;"",SUM(B316),"")</f>
        <v/>
      </c>
      <c r="D316" s="2" t="str">
        <f>IF(A316&lt;&gt;"",(Exame!D1*Exame!C316)/Exame!C1, "")</f>
        <v/>
      </c>
    </row>
    <row r="317" spans="3:4" x14ac:dyDescent="0.3">
      <c r="C317" s="2" t="str">
        <f>IF(A317&lt;&gt;"",SUM(B317),"")</f>
        <v/>
      </c>
      <c r="D317" s="2" t="str">
        <f>IF(A317&lt;&gt;"",(Exame!D1*Exame!C317)/Exame!C1, "")</f>
        <v/>
      </c>
    </row>
    <row r="318" spans="3:4" x14ac:dyDescent="0.3">
      <c r="C318" s="2" t="str">
        <f>IF(A318&lt;&gt;"",SUM(B318),"")</f>
        <v/>
      </c>
      <c r="D318" s="2" t="str">
        <f>IF(A318&lt;&gt;"",(Exame!D1*Exame!C318)/Exame!C1, "")</f>
        <v/>
      </c>
    </row>
    <row r="319" spans="3:4" x14ac:dyDescent="0.3">
      <c r="C319" s="2" t="str">
        <f>IF(A319&lt;&gt;"",SUM(B319),"")</f>
        <v/>
      </c>
      <c r="D319" s="2" t="str">
        <f>IF(A319&lt;&gt;"",(Exame!D1*Exame!C319)/Exame!C1, "")</f>
        <v/>
      </c>
    </row>
    <row r="320" spans="3:4" x14ac:dyDescent="0.3">
      <c r="C320" s="2" t="str">
        <f>IF(A320&lt;&gt;"",SUM(B320),"")</f>
        <v/>
      </c>
      <c r="D320" s="2" t="str">
        <f>IF(A320&lt;&gt;"",(Exame!D1*Exame!C320)/Exame!C1, "")</f>
        <v/>
      </c>
    </row>
    <row r="321" spans="3:4" x14ac:dyDescent="0.3">
      <c r="C321" s="2" t="str">
        <f>IF(A321&lt;&gt;"",SUM(B321),"")</f>
        <v/>
      </c>
      <c r="D321" s="2" t="str">
        <f>IF(A321&lt;&gt;"",(Exame!D1*Exame!C321)/Exame!C1, "")</f>
        <v/>
      </c>
    </row>
    <row r="322" spans="3:4" x14ac:dyDescent="0.3">
      <c r="C322" s="2" t="str">
        <f>IF(A322&lt;&gt;"",SUM(B322),"")</f>
        <v/>
      </c>
      <c r="D322" s="2" t="str">
        <f>IF(A322&lt;&gt;"",(Exame!D1*Exame!C322)/Exame!C1, "")</f>
        <v/>
      </c>
    </row>
    <row r="323" spans="3:4" x14ac:dyDescent="0.3">
      <c r="C323" s="2" t="str">
        <f>IF(A323&lt;&gt;"",SUM(B323),"")</f>
        <v/>
      </c>
      <c r="D323" s="2" t="str">
        <f>IF(A323&lt;&gt;"",(Exame!D1*Exame!C323)/Exame!C1, "")</f>
        <v/>
      </c>
    </row>
    <row r="324" spans="3:4" x14ac:dyDescent="0.3">
      <c r="C324" s="2" t="str">
        <f>IF(A324&lt;&gt;"",SUM(B324),"")</f>
        <v/>
      </c>
      <c r="D324" s="2" t="str">
        <f>IF(A324&lt;&gt;"",(Exame!D1*Exame!C324)/Exame!C1, "")</f>
        <v/>
      </c>
    </row>
    <row r="325" spans="3:4" x14ac:dyDescent="0.3">
      <c r="C325" s="2" t="str">
        <f>IF(A325&lt;&gt;"",SUM(B325),"")</f>
        <v/>
      </c>
      <c r="D325" s="2" t="str">
        <f>IF(A325&lt;&gt;"",(Exame!D1*Exame!C325)/Exame!C1, "")</f>
        <v/>
      </c>
    </row>
    <row r="326" spans="3:4" x14ac:dyDescent="0.3">
      <c r="C326" s="2" t="str">
        <f>IF(A326&lt;&gt;"",SUM(B326),"")</f>
        <v/>
      </c>
      <c r="D326" s="2" t="str">
        <f>IF(A326&lt;&gt;"",(Exame!D1*Exame!C326)/Exame!C1, "")</f>
        <v/>
      </c>
    </row>
    <row r="327" spans="3:4" x14ac:dyDescent="0.3">
      <c r="C327" s="2" t="str">
        <f>IF(A327&lt;&gt;"",SUM(B327),"")</f>
        <v/>
      </c>
      <c r="D327" s="2" t="str">
        <f>IF(A327&lt;&gt;"",(Exame!D1*Exame!C327)/Exame!C1, "")</f>
        <v/>
      </c>
    </row>
    <row r="328" spans="3:4" x14ac:dyDescent="0.3">
      <c r="C328" s="2" t="str">
        <f>IF(A328&lt;&gt;"",SUM(B328),"")</f>
        <v/>
      </c>
      <c r="D328" s="2" t="str">
        <f>IF(A328&lt;&gt;"",(Exame!D1*Exame!C328)/Exame!C1, "")</f>
        <v/>
      </c>
    </row>
    <row r="329" spans="3:4" x14ac:dyDescent="0.3">
      <c r="C329" s="2" t="str">
        <f>IF(A329&lt;&gt;"",SUM(B329),"")</f>
        <v/>
      </c>
      <c r="D329" s="2" t="str">
        <f>IF(A329&lt;&gt;"",(Exame!D1*Exame!C329)/Exame!C1, "")</f>
        <v/>
      </c>
    </row>
    <row r="330" spans="3:4" x14ac:dyDescent="0.3">
      <c r="C330" s="2" t="str">
        <f>IF(A330&lt;&gt;"",SUM(B330),"")</f>
        <v/>
      </c>
      <c r="D330" s="2" t="str">
        <f>IF(A330&lt;&gt;"",(Exame!D1*Exame!C330)/Exame!C1, "")</f>
        <v/>
      </c>
    </row>
    <row r="331" spans="3:4" x14ac:dyDescent="0.3">
      <c r="C331" s="2" t="str">
        <f>IF(A331&lt;&gt;"",SUM(B331),"")</f>
        <v/>
      </c>
      <c r="D331" s="2" t="str">
        <f>IF(A331&lt;&gt;"",(Exame!D1*Exame!C331)/Exame!C1, "")</f>
        <v/>
      </c>
    </row>
    <row r="332" spans="3:4" x14ac:dyDescent="0.3">
      <c r="C332" s="2" t="str">
        <f>IF(A332&lt;&gt;"",SUM(B332),"")</f>
        <v/>
      </c>
      <c r="D332" s="2" t="str">
        <f>IF(A332&lt;&gt;"",(Exame!D1*Exame!C332)/Exame!C1, "")</f>
        <v/>
      </c>
    </row>
    <row r="333" spans="3:4" x14ac:dyDescent="0.3">
      <c r="C333" s="2" t="str">
        <f>IF(A333&lt;&gt;"",SUM(B333),"")</f>
        <v/>
      </c>
      <c r="D333" s="2" t="str">
        <f>IF(A333&lt;&gt;"",(Exame!D1*Exame!C333)/Exame!C1, "")</f>
        <v/>
      </c>
    </row>
    <row r="334" spans="3:4" x14ac:dyDescent="0.3">
      <c r="C334" s="2" t="str">
        <f>IF(A334&lt;&gt;"",SUM(B334),"")</f>
        <v/>
      </c>
      <c r="D334" s="2" t="str">
        <f>IF(A334&lt;&gt;"",(Exame!D1*Exame!C334)/Exame!C1, "")</f>
        <v/>
      </c>
    </row>
    <row r="335" spans="3:4" x14ac:dyDescent="0.3">
      <c r="C335" s="2" t="str">
        <f>IF(A335&lt;&gt;"",SUM(B335),"")</f>
        <v/>
      </c>
      <c r="D335" s="2" t="str">
        <f>IF(A335&lt;&gt;"",(Exame!D1*Exame!C335)/Exame!C1, "")</f>
        <v/>
      </c>
    </row>
    <row r="336" spans="3:4" x14ac:dyDescent="0.3">
      <c r="C336" s="2" t="str">
        <f>IF(A336&lt;&gt;"",SUM(B336),"")</f>
        <v/>
      </c>
      <c r="D336" s="2" t="str">
        <f>IF(A336&lt;&gt;"",(Exame!D1*Exame!C336)/Exame!C1, "")</f>
        <v/>
      </c>
    </row>
    <row r="337" spans="3:4" x14ac:dyDescent="0.3">
      <c r="C337" s="2" t="str">
        <f>IF(A337&lt;&gt;"",SUM(B337),"")</f>
        <v/>
      </c>
      <c r="D337" s="2" t="str">
        <f>IF(A337&lt;&gt;"",(Exame!D1*Exame!C337)/Exame!C1, "")</f>
        <v/>
      </c>
    </row>
    <row r="338" spans="3:4" x14ac:dyDescent="0.3">
      <c r="C338" s="2" t="str">
        <f>IF(A338&lt;&gt;"",SUM(B338),"")</f>
        <v/>
      </c>
      <c r="D338" s="2" t="str">
        <f>IF(A338&lt;&gt;"",(Exame!D1*Exame!C338)/Exame!C1, "")</f>
        <v/>
      </c>
    </row>
    <row r="339" spans="3:4" x14ac:dyDescent="0.3">
      <c r="C339" s="2" t="str">
        <f>IF(A339&lt;&gt;"",SUM(B339),"")</f>
        <v/>
      </c>
      <c r="D339" s="2" t="str">
        <f>IF(A339&lt;&gt;"",(Exame!D1*Exame!C339)/Exame!C1, "")</f>
        <v/>
      </c>
    </row>
    <row r="340" spans="3:4" x14ac:dyDescent="0.3">
      <c r="C340" s="2" t="str">
        <f>IF(A340&lt;&gt;"",SUM(B340),"")</f>
        <v/>
      </c>
      <c r="D340" s="2" t="str">
        <f>IF(A340&lt;&gt;"",(Exame!D1*Exame!C340)/Exame!C1, "")</f>
        <v/>
      </c>
    </row>
    <row r="341" spans="3:4" x14ac:dyDescent="0.3">
      <c r="C341" s="2" t="str">
        <f>IF(A341&lt;&gt;"",SUM(B341),"")</f>
        <v/>
      </c>
      <c r="D341" s="2" t="str">
        <f>IF(A341&lt;&gt;"",(Exame!D1*Exame!C341)/Exame!C1, "")</f>
        <v/>
      </c>
    </row>
    <row r="342" spans="3:4" x14ac:dyDescent="0.3">
      <c r="C342" s="2" t="str">
        <f>IF(A342&lt;&gt;"",SUM(B342),"")</f>
        <v/>
      </c>
      <c r="D342" s="2" t="str">
        <f>IF(A342&lt;&gt;"",(Exame!D1*Exame!C342)/Exame!C1, "")</f>
        <v/>
      </c>
    </row>
    <row r="343" spans="3:4" x14ac:dyDescent="0.3">
      <c r="C343" s="2" t="str">
        <f>IF(A343&lt;&gt;"",SUM(B343),"")</f>
        <v/>
      </c>
      <c r="D343" s="2" t="str">
        <f>IF(A343&lt;&gt;"",(Exame!D1*Exame!C343)/Exame!C1, "")</f>
        <v/>
      </c>
    </row>
    <row r="344" spans="3:4" x14ac:dyDescent="0.3">
      <c r="C344" s="2" t="str">
        <f>IF(A344&lt;&gt;"",SUM(B344),"")</f>
        <v/>
      </c>
      <c r="D344" s="2" t="str">
        <f>IF(A344&lt;&gt;"",(Exame!D1*Exame!C344)/Exame!C1, "")</f>
        <v/>
      </c>
    </row>
    <row r="345" spans="3:4" x14ac:dyDescent="0.3">
      <c r="C345" s="2" t="str">
        <f>IF(A345&lt;&gt;"",SUM(B345),"")</f>
        <v/>
      </c>
      <c r="D345" s="2" t="str">
        <f>IF(A345&lt;&gt;"",(Exame!D1*Exame!C345)/Exame!C1, "")</f>
        <v/>
      </c>
    </row>
    <row r="346" spans="3:4" x14ac:dyDescent="0.3">
      <c r="C346" s="2" t="str">
        <f>IF(A346&lt;&gt;"",SUM(B346),"")</f>
        <v/>
      </c>
      <c r="D346" s="2" t="str">
        <f>IF(A346&lt;&gt;"",(Exame!D1*Exame!C346)/Exame!C1, "")</f>
        <v/>
      </c>
    </row>
    <row r="347" spans="3:4" x14ac:dyDescent="0.3">
      <c r="C347" s="2" t="str">
        <f>IF(A347&lt;&gt;"",SUM(B347),"")</f>
        <v/>
      </c>
      <c r="D347" s="2" t="str">
        <f>IF(A347&lt;&gt;"",(Exame!D1*Exame!C347)/Exame!C1, "")</f>
        <v/>
      </c>
    </row>
    <row r="348" spans="3:4" x14ac:dyDescent="0.3">
      <c r="C348" s="2" t="str">
        <f>IF(A348&lt;&gt;"",SUM(B348),"")</f>
        <v/>
      </c>
      <c r="D348" s="2" t="str">
        <f>IF(A348&lt;&gt;"",(Exame!D1*Exame!C348)/Exame!C1, "")</f>
        <v/>
      </c>
    </row>
    <row r="349" spans="3:4" x14ac:dyDescent="0.3">
      <c r="C349" s="2" t="str">
        <f>IF(A349&lt;&gt;"",SUM(B349),"")</f>
        <v/>
      </c>
      <c r="D349" s="2" t="str">
        <f>IF(A349&lt;&gt;"",(Exame!D1*Exame!C349)/Exame!C1, "")</f>
        <v/>
      </c>
    </row>
    <row r="350" spans="3:4" x14ac:dyDescent="0.3">
      <c r="C350" s="2" t="str">
        <f>IF(A350&lt;&gt;"",SUM(B350),"")</f>
        <v/>
      </c>
      <c r="D350" s="2" t="str">
        <f>IF(A350&lt;&gt;"",(Exame!D1*Exame!C350)/Exame!C1, "")</f>
        <v/>
      </c>
    </row>
    <row r="351" spans="3:4" x14ac:dyDescent="0.3">
      <c r="C351" s="2" t="str">
        <f>IF(A351&lt;&gt;"",SUM(B351),"")</f>
        <v/>
      </c>
      <c r="D351" s="2" t="str">
        <f>IF(A351&lt;&gt;"",(Exame!D1*Exame!C351)/Exame!C1, "")</f>
        <v/>
      </c>
    </row>
    <row r="352" spans="3:4" x14ac:dyDescent="0.3">
      <c r="C352" s="2" t="str">
        <f>IF(A352&lt;&gt;"",SUM(B352),"")</f>
        <v/>
      </c>
      <c r="D352" s="2" t="str">
        <f>IF(A352&lt;&gt;"",(Exame!D1*Exame!C352)/Exame!C1, "")</f>
        <v/>
      </c>
    </row>
    <row r="353" spans="3:4" x14ac:dyDescent="0.3">
      <c r="C353" s="2" t="str">
        <f>IF(A353&lt;&gt;"",SUM(B353),"")</f>
        <v/>
      </c>
      <c r="D353" s="2" t="str">
        <f>IF(A353&lt;&gt;"",(Exame!D1*Exame!C353)/Exame!C1, "")</f>
        <v/>
      </c>
    </row>
    <row r="354" spans="3:4" x14ac:dyDescent="0.3">
      <c r="C354" s="2" t="str">
        <f>IF(A354&lt;&gt;"",SUM(B354),"")</f>
        <v/>
      </c>
      <c r="D354" s="2" t="str">
        <f>IF(A354&lt;&gt;"",(Exame!D1*Exame!C354)/Exame!C1, "")</f>
        <v/>
      </c>
    </row>
    <row r="355" spans="3:4" x14ac:dyDescent="0.3">
      <c r="C355" s="2" t="str">
        <f>IF(A355&lt;&gt;"",SUM(B355),"")</f>
        <v/>
      </c>
      <c r="D355" s="2" t="str">
        <f>IF(A355&lt;&gt;"",(Exame!D1*Exame!C355)/Exame!C1, "")</f>
        <v/>
      </c>
    </row>
    <row r="356" spans="3:4" x14ac:dyDescent="0.3">
      <c r="C356" s="2" t="str">
        <f>IF(A356&lt;&gt;"",SUM(B356),"")</f>
        <v/>
      </c>
      <c r="D356" s="2" t="str">
        <f>IF(A356&lt;&gt;"",(Exame!D1*Exame!C356)/Exame!C1, "")</f>
        <v/>
      </c>
    </row>
    <row r="357" spans="3:4" x14ac:dyDescent="0.3">
      <c r="C357" s="2" t="str">
        <f>IF(A357&lt;&gt;"",SUM(B357),"")</f>
        <v/>
      </c>
      <c r="D357" s="2" t="str">
        <f>IF(A357&lt;&gt;"",(Exame!D1*Exame!C357)/Exame!C1, "")</f>
        <v/>
      </c>
    </row>
    <row r="358" spans="3:4" x14ac:dyDescent="0.3">
      <c r="C358" s="2" t="str">
        <f>IF(A358&lt;&gt;"",SUM(B358),"")</f>
        <v/>
      </c>
      <c r="D358" s="2" t="str">
        <f>IF(A358&lt;&gt;"",(Exame!D1*Exame!C358)/Exame!C1, "")</f>
        <v/>
      </c>
    </row>
    <row r="359" spans="3:4" x14ac:dyDescent="0.3">
      <c r="C359" s="2" t="str">
        <f>IF(A359&lt;&gt;"",SUM(B359),"")</f>
        <v/>
      </c>
      <c r="D359" s="2" t="str">
        <f>IF(A359&lt;&gt;"",(Exame!D1*Exame!C359)/Exame!C1, "")</f>
        <v/>
      </c>
    </row>
    <row r="360" spans="3:4" x14ac:dyDescent="0.3">
      <c r="C360" s="2" t="str">
        <f>IF(A360&lt;&gt;"",SUM(B360),"")</f>
        <v/>
      </c>
      <c r="D360" s="2" t="str">
        <f>IF(A360&lt;&gt;"",(Exame!D1*Exame!C360)/Exame!C1, "")</f>
        <v/>
      </c>
    </row>
    <row r="361" spans="3:4" x14ac:dyDescent="0.3">
      <c r="C361" s="2" t="str">
        <f>IF(A361&lt;&gt;"",SUM(B361),"")</f>
        <v/>
      </c>
      <c r="D361" s="2" t="str">
        <f>IF(A361&lt;&gt;"",(Exame!D1*Exame!C361)/Exame!C1, "")</f>
        <v/>
      </c>
    </row>
    <row r="362" spans="3:4" x14ac:dyDescent="0.3">
      <c r="C362" s="2" t="str">
        <f>IF(A362&lt;&gt;"",SUM(B362),"")</f>
        <v/>
      </c>
      <c r="D362" s="2" t="str">
        <f>IF(A362&lt;&gt;"",(Exame!D1*Exame!C362)/Exame!C1, "")</f>
        <v/>
      </c>
    </row>
    <row r="363" spans="3:4" x14ac:dyDescent="0.3">
      <c r="C363" s="2" t="str">
        <f>IF(A363&lt;&gt;"",SUM(B363),"")</f>
        <v/>
      </c>
      <c r="D363" s="2" t="str">
        <f>IF(A363&lt;&gt;"",(Exame!D1*Exame!C363)/Exame!C1, "")</f>
        <v/>
      </c>
    </row>
    <row r="364" spans="3:4" x14ac:dyDescent="0.3">
      <c r="C364" s="2" t="str">
        <f>IF(A364&lt;&gt;"",SUM(B364),"")</f>
        <v/>
      </c>
      <c r="D364" s="2" t="str">
        <f>IF(A364&lt;&gt;"",(Exame!D1*Exame!C364)/Exame!C1, "")</f>
        <v/>
      </c>
    </row>
    <row r="365" spans="3:4" x14ac:dyDescent="0.3">
      <c r="C365" s="2" t="str">
        <f>IF(A365&lt;&gt;"",SUM(B365),"")</f>
        <v/>
      </c>
      <c r="D365" s="2" t="str">
        <f>IF(A365&lt;&gt;"",(Exame!D1*Exame!C365)/Exame!C1, "")</f>
        <v/>
      </c>
    </row>
    <row r="366" spans="3:4" x14ac:dyDescent="0.3">
      <c r="C366" s="2" t="str">
        <f>IF(A366&lt;&gt;"",SUM(B366),"")</f>
        <v/>
      </c>
      <c r="D366" s="2" t="str">
        <f>IF(A366&lt;&gt;"",(Exame!D1*Exame!C366)/Exame!C1, "")</f>
        <v/>
      </c>
    </row>
    <row r="367" spans="3:4" x14ac:dyDescent="0.3">
      <c r="C367" s="2" t="str">
        <f>IF(A367&lt;&gt;"",SUM(B367),"")</f>
        <v/>
      </c>
      <c r="D367" s="2" t="str">
        <f>IF(A367&lt;&gt;"",(Exame!D1*Exame!C367)/Exame!C1, "")</f>
        <v/>
      </c>
    </row>
    <row r="368" spans="3:4" x14ac:dyDescent="0.3">
      <c r="C368" s="2" t="str">
        <f>IF(A368&lt;&gt;"",SUM(B368),"")</f>
        <v/>
      </c>
      <c r="D368" s="2" t="str">
        <f>IF(A368&lt;&gt;"",(Exame!D1*Exame!C368)/Exame!C1, "")</f>
        <v/>
      </c>
    </row>
    <row r="369" spans="3:4" x14ac:dyDescent="0.3">
      <c r="C369" s="2" t="str">
        <f>IF(A369&lt;&gt;"",SUM(B369),"")</f>
        <v/>
      </c>
      <c r="D369" s="2" t="str">
        <f>IF(A369&lt;&gt;"",(Exame!D1*Exame!C369)/Exame!C1, "")</f>
        <v/>
      </c>
    </row>
    <row r="370" spans="3:4" x14ac:dyDescent="0.3">
      <c r="C370" s="2" t="str">
        <f>IF(A370&lt;&gt;"",SUM(B370),"")</f>
        <v/>
      </c>
      <c r="D370" s="2" t="str">
        <f>IF(A370&lt;&gt;"",(Exame!D1*Exame!C370)/Exame!C1, "")</f>
        <v/>
      </c>
    </row>
    <row r="371" spans="3:4" x14ac:dyDescent="0.3">
      <c r="C371" s="2" t="str">
        <f>IF(A371&lt;&gt;"",SUM(B371),"")</f>
        <v/>
      </c>
      <c r="D371" s="2" t="str">
        <f>IF(A371&lt;&gt;"",(Exame!D1*Exame!C371)/Exame!C1, "")</f>
        <v/>
      </c>
    </row>
    <row r="372" spans="3:4" x14ac:dyDescent="0.3">
      <c r="C372" s="2" t="str">
        <f>IF(A372&lt;&gt;"",SUM(B372),"")</f>
        <v/>
      </c>
      <c r="D372" s="2" t="str">
        <f>IF(A372&lt;&gt;"",(Exame!D1*Exame!C372)/Exame!C1, "")</f>
        <v/>
      </c>
    </row>
    <row r="373" spans="3:4" x14ac:dyDescent="0.3">
      <c r="C373" s="2" t="str">
        <f>IF(A373&lt;&gt;"",SUM(B373),"")</f>
        <v/>
      </c>
      <c r="D373" s="2" t="str">
        <f>IF(A373&lt;&gt;"",(Exame!D1*Exame!C373)/Exame!C1, "")</f>
        <v/>
      </c>
    </row>
    <row r="374" spans="3:4" x14ac:dyDescent="0.3">
      <c r="C374" s="2" t="str">
        <f>IF(A374&lt;&gt;"",SUM(B374),"")</f>
        <v/>
      </c>
      <c r="D374" s="2" t="str">
        <f>IF(A374&lt;&gt;"",(Exame!D1*Exame!C374)/Exame!C1, "")</f>
        <v/>
      </c>
    </row>
    <row r="375" spans="3:4" x14ac:dyDescent="0.3">
      <c r="C375" s="2" t="str">
        <f>IF(A375&lt;&gt;"",SUM(B375),"")</f>
        <v/>
      </c>
      <c r="D375" s="2" t="str">
        <f>IF(A375&lt;&gt;"",(Exame!D1*Exame!C375)/Exame!C1, "")</f>
        <v/>
      </c>
    </row>
    <row r="376" spans="3:4" x14ac:dyDescent="0.3">
      <c r="C376" s="2" t="str">
        <f>IF(A376&lt;&gt;"",SUM(B376),"")</f>
        <v/>
      </c>
      <c r="D376" s="2" t="str">
        <f>IF(A376&lt;&gt;"",(Exame!D1*Exame!C376)/Exame!C1, "")</f>
        <v/>
      </c>
    </row>
    <row r="377" spans="3:4" x14ac:dyDescent="0.3">
      <c r="C377" s="2" t="str">
        <f>IF(A377&lt;&gt;"",SUM(B377),"")</f>
        <v/>
      </c>
      <c r="D377" s="2" t="str">
        <f>IF(A377&lt;&gt;"",(Exame!D1*Exame!C377)/Exame!C1, "")</f>
        <v/>
      </c>
    </row>
    <row r="378" spans="3:4" x14ac:dyDescent="0.3">
      <c r="C378" s="2" t="str">
        <f>IF(A378&lt;&gt;"",SUM(B378),"")</f>
        <v/>
      </c>
      <c r="D378" s="2" t="str">
        <f>IF(A378&lt;&gt;"",(Exame!D1*Exame!C378)/Exame!C1, "")</f>
        <v/>
      </c>
    </row>
    <row r="379" spans="3:4" x14ac:dyDescent="0.3">
      <c r="C379" s="2" t="str">
        <f>IF(A379&lt;&gt;"",SUM(B379),"")</f>
        <v/>
      </c>
      <c r="D379" s="2" t="str">
        <f>IF(A379&lt;&gt;"",(Exame!D1*Exame!C379)/Exame!C1, "")</f>
        <v/>
      </c>
    </row>
    <row r="380" spans="3:4" x14ac:dyDescent="0.3">
      <c r="C380" s="2" t="str">
        <f>IF(A380&lt;&gt;"",SUM(B380),"")</f>
        <v/>
      </c>
      <c r="D380" s="2" t="str">
        <f>IF(A380&lt;&gt;"",(Exame!D1*Exame!C380)/Exame!C1, "")</f>
        <v/>
      </c>
    </row>
    <row r="381" spans="3:4" x14ac:dyDescent="0.3">
      <c r="C381" s="2" t="str">
        <f>IF(A381&lt;&gt;"",SUM(B381),"")</f>
        <v/>
      </c>
      <c r="D381" s="2" t="str">
        <f>IF(A381&lt;&gt;"",(Exame!D1*Exame!C381)/Exame!C1, "")</f>
        <v/>
      </c>
    </row>
    <row r="382" spans="3:4" x14ac:dyDescent="0.3">
      <c r="C382" s="2" t="str">
        <f>IF(A382&lt;&gt;"",SUM(B382),"")</f>
        <v/>
      </c>
      <c r="D382" s="2" t="str">
        <f>IF(A382&lt;&gt;"",(Exame!D1*Exame!C382)/Exame!C1, "")</f>
        <v/>
      </c>
    </row>
    <row r="383" spans="3:4" x14ac:dyDescent="0.3">
      <c r="C383" s="2" t="str">
        <f>IF(A383&lt;&gt;"",SUM(B383),"")</f>
        <v/>
      </c>
      <c r="D383" s="2" t="str">
        <f>IF(A383&lt;&gt;"",(Exame!D1*Exame!C383)/Exame!C1, "")</f>
        <v/>
      </c>
    </row>
    <row r="384" spans="3:4" x14ac:dyDescent="0.3">
      <c r="C384" s="2" t="str">
        <f>IF(A384&lt;&gt;"",SUM(B384),"")</f>
        <v/>
      </c>
      <c r="D384" s="2" t="str">
        <f>IF(A384&lt;&gt;"",(Exame!D1*Exame!C384)/Exame!C1, "")</f>
        <v/>
      </c>
    </row>
    <row r="385" spans="3:4" x14ac:dyDescent="0.3">
      <c r="C385" s="2" t="str">
        <f>IF(A385&lt;&gt;"",SUM(B385),"")</f>
        <v/>
      </c>
      <c r="D385" s="2" t="str">
        <f>IF(A385&lt;&gt;"",(Exame!D1*Exame!C385)/Exame!C1, "")</f>
        <v/>
      </c>
    </row>
    <row r="386" spans="3:4" x14ac:dyDescent="0.3">
      <c r="C386" s="2" t="str">
        <f>IF(A386&lt;&gt;"",SUM(B386),"")</f>
        <v/>
      </c>
      <c r="D386" s="2" t="str">
        <f>IF(A386&lt;&gt;"",(Exame!D1*Exame!C386)/Exame!C1, "")</f>
        <v/>
      </c>
    </row>
    <row r="387" spans="3:4" x14ac:dyDescent="0.3">
      <c r="C387" s="2" t="str">
        <f>IF(A387&lt;&gt;"",SUM(B387),"")</f>
        <v/>
      </c>
      <c r="D387" s="2" t="str">
        <f>IF(A387&lt;&gt;"",(Exame!D1*Exame!C387)/Exame!C1, "")</f>
        <v/>
      </c>
    </row>
    <row r="388" spans="3:4" x14ac:dyDescent="0.3">
      <c r="C388" s="2" t="str">
        <f>IF(A388&lt;&gt;"",SUM(B388),"")</f>
        <v/>
      </c>
      <c r="D388" s="2" t="str">
        <f>IF(A388&lt;&gt;"",(Exame!D1*Exame!C388)/Exame!C1, "")</f>
        <v/>
      </c>
    </row>
    <row r="389" spans="3:4" x14ac:dyDescent="0.3">
      <c r="C389" s="2" t="str">
        <f>IF(A389&lt;&gt;"",SUM(B389),"")</f>
        <v/>
      </c>
      <c r="D389" s="2" t="str">
        <f>IF(A389&lt;&gt;"",(Exame!D1*Exame!C389)/Exame!C1, "")</f>
        <v/>
      </c>
    </row>
    <row r="390" spans="3:4" x14ac:dyDescent="0.3">
      <c r="C390" s="2" t="str">
        <f>IF(A390&lt;&gt;"",SUM(B390),"")</f>
        <v/>
      </c>
      <c r="D390" s="2" t="str">
        <f>IF(A390&lt;&gt;"",(Exame!D1*Exame!C390)/Exame!C1, "")</f>
        <v/>
      </c>
    </row>
    <row r="391" spans="3:4" x14ac:dyDescent="0.3">
      <c r="C391" s="2" t="str">
        <f>IF(A391&lt;&gt;"",SUM(B391),"")</f>
        <v/>
      </c>
      <c r="D391" s="2" t="str">
        <f>IF(A391&lt;&gt;"",(Exame!D1*Exame!C391)/Exame!C1, "")</f>
        <v/>
      </c>
    </row>
    <row r="392" spans="3:4" x14ac:dyDescent="0.3">
      <c r="C392" s="2" t="str">
        <f>IF(A392&lt;&gt;"",SUM(B392),"")</f>
        <v/>
      </c>
      <c r="D392" s="2" t="str">
        <f>IF(A392&lt;&gt;"",(Exame!D1*Exame!C392)/Exame!C1, "")</f>
        <v/>
      </c>
    </row>
    <row r="393" spans="3:4" x14ac:dyDescent="0.3">
      <c r="C393" s="2" t="str">
        <f>IF(A393&lt;&gt;"",SUM(B393),"")</f>
        <v/>
      </c>
      <c r="D393" s="2" t="str">
        <f>IF(A393&lt;&gt;"",(Exame!D1*Exame!C393)/Exame!C1, "")</f>
        <v/>
      </c>
    </row>
    <row r="394" spans="3:4" x14ac:dyDescent="0.3">
      <c r="C394" s="2" t="str">
        <f>IF(A394&lt;&gt;"",SUM(B394),"")</f>
        <v/>
      </c>
      <c r="D394" s="2" t="str">
        <f>IF(A394&lt;&gt;"",(Exame!D1*Exame!C394)/Exame!C1, "")</f>
        <v/>
      </c>
    </row>
    <row r="395" spans="3:4" x14ac:dyDescent="0.3">
      <c r="C395" s="2" t="str">
        <f>IF(A395&lt;&gt;"",SUM(B395),"")</f>
        <v/>
      </c>
      <c r="D395" s="2" t="str">
        <f>IF(A395&lt;&gt;"",(Exame!D1*Exame!C395)/Exame!C1, "")</f>
        <v/>
      </c>
    </row>
    <row r="396" spans="3:4" x14ac:dyDescent="0.3">
      <c r="C396" s="2" t="str">
        <f>IF(A396&lt;&gt;"",SUM(B396),"")</f>
        <v/>
      </c>
      <c r="D396" s="2" t="str">
        <f>IF(A396&lt;&gt;"",(Exame!D1*Exame!C396)/Exame!C1, "")</f>
        <v/>
      </c>
    </row>
    <row r="397" spans="3:4" x14ac:dyDescent="0.3">
      <c r="C397" s="2" t="str">
        <f>IF(A397&lt;&gt;"",SUM(B397),"")</f>
        <v/>
      </c>
      <c r="D397" s="2" t="str">
        <f>IF(A397&lt;&gt;"",(Exame!D1*Exame!C397)/Exame!C1, "")</f>
        <v/>
      </c>
    </row>
    <row r="398" spans="3:4" x14ac:dyDescent="0.3">
      <c r="C398" s="2" t="str">
        <f>IF(A398&lt;&gt;"",SUM(B398),"")</f>
        <v/>
      </c>
      <c r="D398" s="2" t="str">
        <f>IF(A398&lt;&gt;"",(Exame!D1*Exame!C398)/Exame!C1, "")</f>
        <v/>
      </c>
    </row>
    <row r="399" spans="3:4" x14ac:dyDescent="0.3">
      <c r="C399" s="2" t="str">
        <f>IF(A399&lt;&gt;"",SUM(B399),"")</f>
        <v/>
      </c>
      <c r="D399" s="2" t="str">
        <f>IF(A399&lt;&gt;"",(Exame!D1*Exame!C399)/Exame!C1, "")</f>
        <v/>
      </c>
    </row>
    <row r="400" spans="3:4" x14ac:dyDescent="0.3">
      <c r="C400" s="2" t="str">
        <f>IF(A400&lt;&gt;"",SUM(B400),"")</f>
        <v/>
      </c>
      <c r="D400" s="2" t="str">
        <f>IF(A400&lt;&gt;"",(Exame!D1*Exame!C400)/Exame!C1, "")</f>
        <v/>
      </c>
    </row>
    <row r="401" spans="3:4" x14ac:dyDescent="0.3">
      <c r="C401" s="2" t="str">
        <f>IF(A401&lt;&gt;"",SUM(B401),"")</f>
        <v/>
      </c>
      <c r="D401" s="2" t="str">
        <f>IF(A401&lt;&gt;"",(Exame!D1*Exame!C401)/Exame!C1, "")</f>
        <v/>
      </c>
    </row>
    <row r="402" spans="3:4" x14ac:dyDescent="0.3">
      <c r="C402" s="2" t="str">
        <f>IF(A402&lt;&gt;"",SUM(B402),"")</f>
        <v/>
      </c>
      <c r="D402" s="2" t="str">
        <f>IF(A402&lt;&gt;"",(Exame!D1*Exame!C402)/Exame!C1, "")</f>
        <v/>
      </c>
    </row>
    <row r="403" spans="3:4" x14ac:dyDescent="0.3">
      <c r="C403" s="2" t="str">
        <f>IF(A403&lt;&gt;"",SUM(B403),"")</f>
        <v/>
      </c>
      <c r="D403" s="2" t="str">
        <f>IF(A403&lt;&gt;"",(Exame!D1*Exame!C403)/Exame!C1, "")</f>
        <v/>
      </c>
    </row>
    <row r="404" spans="3:4" x14ac:dyDescent="0.3">
      <c r="C404" s="2" t="str">
        <f>IF(A404&lt;&gt;"",SUM(B404),"")</f>
        <v/>
      </c>
      <c r="D404" s="2" t="str">
        <f>IF(A404&lt;&gt;"",(Exame!D1*Exame!C404)/Exame!C1, "")</f>
        <v/>
      </c>
    </row>
    <row r="405" spans="3:4" x14ac:dyDescent="0.3">
      <c r="C405" s="2" t="str">
        <f>IF(A405&lt;&gt;"",SUM(B405),"")</f>
        <v/>
      </c>
      <c r="D405" s="2" t="str">
        <f>IF(A405&lt;&gt;"",(Exame!D1*Exame!C405)/Exame!C1, "")</f>
        <v/>
      </c>
    </row>
    <row r="406" spans="3:4" x14ac:dyDescent="0.3">
      <c r="C406" s="2" t="str">
        <f>IF(A406&lt;&gt;"",SUM(B406),"")</f>
        <v/>
      </c>
      <c r="D406" s="2" t="str">
        <f>IF(A406&lt;&gt;"",(Exame!D1*Exame!C406)/Exame!C1, "")</f>
        <v/>
      </c>
    </row>
    <row r="407" spans="3:4" x14ac:dyDescent="0.3">
      <c r="C407" s="2" t="str">
        <f>IF(A407&lt;&gt;"",SUM(B407),"")</f>
        <v/>
      </c>
      <c r="D407" s="2" t="str">
        <f>IF(A407&lt;&gt;"",(Exame!D1*Exame!C407)/Exame!C1, "")</f>
        <v/>
      </c>
    </row>
    <row r="408" spans="3:4" x14ac:dyDescent="0.3">
      <c r="C408" s="2" t="str">
        <f>IF(A408&lt;&gt;"",SUM(B408),"")</f>
        <v/>
      </c>
      <c r="D408" s="2" t="str">
        <f>IF(A408&lt;&gt;"",(Exame!D1*Exame!C408)/Exame!C1, "")</f>
        <v/>
      </c>
    </row>
    <row r="409" spans="3:4" x14ac:dyDescent="0.3">
      <c r="C409" s="2" t="str">
        <f>IF(A409&lt;&gt;"",SUM(B409),"")</f>
        <v/>
      </c>
      <c r="D409" s="2" t="str">
        <f>IF(A409&lt;&gt;"",(Exame!D1*Exame!C409)/Exame!C1, "")</f>
        <v/>
      </c>
    </row>
    <row r="410" spans="3:4" x14ac:dyDescent="0.3">
      <c r="C410" s="2" t="str">
        <f>IF(A410&lt;&gt;"",SUM(B410),"")</f>
        <v/>
      </c>
      <c r="D410" s="2" t="str">
        <f>IF(A410&lt;&gt;"",(Exame!D1*Exame!C410)/Exame!C1, "")</f>
        <v/>
      </c>
    </row>
    <row r="411" spans="3:4" x14ac:dyDescent="0.3">
      <c r="C411" s="2" t="str">
        <f>IF(A411&lt;&gt;"",SUM(B411),"")</f>
        <v/>
      </c>
      <c r="D411" s="2" t="str">
        <f>IF(A411&lt;&gt;"",(Exame!D1*Exame!C411)/Exame!C1, "")</f>
        <v/>
      </c>
    </row>
    <row r="412" spans="3:4" x14ac:dyDescent="0.3">
      <c r="C412" s="2" t="str">
        <f>IF(A412&lt;&gt;"",SUM(B412),"")</f>
        <v/>
      </c>
      <c r="D412" s="2" t="str">
        <f>IF(A412&lt;&gt;"",(Exame!D1*Exame!C412)/Exame!C1, "")</f>
        <v/>
      </c>
    </row>
    <row r="413" spans="3:4" x14ac:dyDescent="0.3">
      <c r="C413" s="2" t="str">
        <f>IF(A413&lt;&gt;"",SUM(B413),"")</f>
        <v/>
      </c>
      <c r="D413" s="2" t="str">
        <f>IF(A413&lt;&gt;"",(Exame!D1*Exame!C413)/Exame!C1, "")</f>
        <v/>
      </c>
    </row>
    <row r="414" spans="3:4" x14ac:dyDescent="0.3">
      <c r="C414" s="2" t="str">
        <f>IF(A414&lt;&gt;"",SUM(B414),"")</f>
        <v/>
      </c>
      <c r="D414" s="2" t="str">
        <f>IF(A414&lt;&gt;"",(Exame!D1*Exame!C414)/Exame!C1, "")</f>
        <v/>
      </c>
    </row>
    <row r="415" spans="3:4" x14ac:dyDescent="0.3">
      <c r="C415" s="2" t="str">
        <f>IF(A415&lt;&gt;"",SUM(B415),"")</f>
        <v/>
      </c>
      <c r="D415" s="2" t="str">
        <f>IF(A415&lt;&gt;"",(Exame!D1*Exame!C415)/Exame!C1, "")</f>
        <v/>
      </c>
    </row>
    <row r="416" spans="3:4" x14ac:dyDescent="0.3">
      <c r="C416" s="2" t="str">
        <f>IF(A416&lt;&gt;"",SUM(B416),"")</f>
        <v/>
      </c>
      <c r="D416" s="2" t="str">
        <f>IF(A416&lt;&gt;"",(Exame!D1*Exame!C416)/Exame!C1, "")</f>
        <v/>
      </c>
    </row>
    <row r="417" spans="3:4" x14ac:dyDescent="0.3">
      <c r="C417" s="2" t="str">
        <f>IF(A417&lt;&gt;"",SUM(B417),"")</f>
        <v/>
      </c>
      <c r="D417" s="2" t="str">
        <f>IF(A417&lt;&gt;"",(Exame!D1*Exame!C417)/Exame!C1, "")</f>
        <v/>
      </c>
    </row>
    <row r="418" spans="3:4" x14ac:dyDescent="0.3">
      <c r="C418" s="2" t="str">
        <f>IF(A418&lt;&gt;"",SUM(B418),"")</f>
        <v/>
      </c>
      <c r="D418" s="2" t="str">
        <f>IF(A418&lt;&gt;"",(Exame!D1*Exame!C418)/Exame!C1, "")</f>
        <v/>
      </c>
    </row>
    <row r="419" spans="3:4" x14ac:dyDescent="0.3">
      <c r="C419" s="2" t="str">
        <f>IF(A419&lt;&gt;"",SUM(B419),"")</f>
        <v/>
      </c>
      <c r="D419" s="2" t="str">
        <f>IF(A419&lt;&gt;"",(Exame!D1*Exame!C419)/Exame!C1, "")</f>
        <v/>
      </c>
    </row>
    <row r="420" spans="3:4" x14ac:dyDescent="0.3">
      <c r="C420" s="2" t="str">
        <f>IF(A420&lt;&gt;"",SUM(B420),"")</f>
        <v/>
      </c>
      <c r="D420" s="2" t="str">
        <f>IF(A420&lt;&gt;"",(Exame!D1*Exame!C420)/Exame!C1, "")</f>
        <v/>
      </c>
    </row>
    <row r="421" spans="3:4" x14ac:dyDescent="0.3">
      <c r="C421" s="2" t="str">
        <f>IF(A421&lt;&gt;"",SUM(B421),"")</f>
        <v/>
      </c>
      <c r="D421" s="2" t="str">
        <f>IF(A421&lt;&gt;"",(Exame!D1*Exame!C421)/Exame!C1, "")</f>
        <v/>
      </c>
    </row>
    <row r="422" spans="3:4" x14ac:dyDescent="0.3">
      <c r="C422" s="2" t="str">
        <f>IF(A422&lt;&gt;"",SUM(B422),"")</f>
        <v/>
      </c>
      <c r="D422" s="2" t="str">
        <f>IF(A422&lt;&gt;"",(Exame!D1*Exame!C422)/Exame!C1, "")</f>
        <v/>
      </c>
    </row>
    <row r="423" spans="3:4" x14ac:dyDescent="0.3">
      <c r="C423" s="2" t="str">
        <f>IF(A423&lt;&gt;"",SUM(B423),"")</f>
        <v/>
      </c>
      <c r="D423" s="2" t="str">
        <f>IF(A423&lt;&gt;"",(Exame!D1*Exame!C423)/Exame!C1, "")</f>
        <v/>
      </c>
    </row>
    <row r="424" spans="3:4" x14ac:dyDescent="0.3">
      <c r="C424" s="2" t="str">
        <f>IF(A424&lt;&gt;"",SUM(B424),"")</f>
        <v/>
      </c>
      <c r="D424" s="2" t="str">
        <f>IF(A424&lt;&gt;"",(Exame!D1*Exame!C424)/Exame!C1, "")</f>
        <v/>
      </c>
    </row>
    <row r="425" spans="3:4" x14ac:dyDescent="0.3">
      <c r="C425" s="2" t="str">
        <f>IF(A425&lt;&gt;"",SUM(B425),"")</f>
        <v/>
      </c>
      <c r="D425" s="2" t="str">
        <f>IF(A425&lt;&gt;"",(Exame!D1*Exame!C425)/Exame!C1, "")</f>
        <v/>
      </c>
    </row>
    <row r="426" spans="3:4" x14ac:dyDescent="0.3">
      <c r="C426" s="2" t="str">
        <f>IF(A426&lt;&gt;"",SUM(B426),"")</f>
        <v/>
      </c>
      <c r="D426" s="2" t="str">
        <f>IF(A426&lt;&gt;"",(Exame!D1*Exame!C426)/Exame!C1, "")</f>
        <v/>
      </c>
    </row>
    <row r="427" spans="3:4" x14ac:dyDescent="0.3">
      <c r="C427" s="2" t="str">
        <f>IF(A427&lt;&gt;"",SUM(B427),"")</f>
        <v/>
      </c>
      <c r="D427" s="2" t="str">
        <f>IF(A427&lt;&gt;"",(Exame!D1*Exame!C427)/Exame!C1, "")</f>
        <v/>
      </c>
    </row>
    <row r="428" spans="3:4" x14ac:dyDescent="0.3">
      <c r="C428" s="2" t="str">
        <f>IF(A428&lt;&gt;"",SUM(B428),"")</f>
        <v/>
      </c>
      <c r="D428" s="2" t="str">
        <f>IF(A428&lt;&gt;"",(Exame!D1*Exame!C428)/Exame!C1, "")</f>
        <v/>
      </c>
    </row>
    <row r="429" spans="3:4" x14ac:dyDescent="0.3">
      <c r="C429" s="2" t="str">
        <f>IF(A429&lt;&gt;"",SUM(B429),"")</f>
        <v/>
      </c>
      <c r="D429" s="2" t="str">
        <f>IF(A429&lt;&gt;"",(Exame!D1*Exame!C429)/Exame!C1, "")</f>
        <v/>
      </c>
    </row>
    <row r="430" spans="3:4" x14ac:dyDescent="0.3">
      <c r="C430" s="2" t="str">
        <f>IF(A430&lt;&gt;"",SUM(B430),"")</f>
        <v/>
      </c>
      <c r="D430" s="2" t="str">
        <f>IF(A430&lt;&gt;"",(Exame!D1*Exame!C430)/Exame!C1, "")</f>
        <v/>
      </c>
    </row>
    <row r="431" spans="3:4" x14ac:dyDescent="0.3">
      <c r="C431" s="2" t="str">
        <f>IF(A431&lt;&gt;"",SUM(B431),"")</f>
        <v/>
      </c>
      <c r="D431" s="2" t="str">
        <f>IF(A431&lt;&gt;"",(Exame!D1*Exame!C431)/Exame!C1, "")</f>
        <v/>
      </c>
    </row>
    <row r="432" spans="3:4" x14ac:dyDescent="0.3">
      <c r="C432" s="2" t="str">
        <f>IF(A432&lt;&gt;"",SUM(B432),"")</f>
        <v/>
      </c>
      <c r="D432" s="2" t="str">
        <f>IF(A432&lt;&gt;"",(Exame!D1*Exame!C432)/Exame!C1, "")</f>
        <v/>
      </c>
    </row>
    <row r="433" spans="3:4" x14ac:dyDescent="0.3">
      <c r="C433" s="2" t="str">
        <f>IF(A433&lt;&gt;"",SUM(B433),"")</f>
        <v/>
      </c>
      <c r="D433" s="2" t="str">
        <f>IF(A433&lt;&gt;"",(Exame!D1*Exame!C433)/Exame!C1, "")</f>
        <v/>
      </c>
    </row>
    <row r="434" spans="3:4" x14ac:dyDescent="0.3">
      <c r="C434" s="2" t="str">
        <f>IF(A434&lt;&gt;"",SUM(B434),"")</f>
        <v/>
      </c>
      <c r="D434" s="2" t="str">
        <f>IF(A434&lt;&gt;"",(Exame!D1*Exame!C434)/Exame!C1, "")</f>
        <v/>
      </c>
    </row>
    <row r="435" spans="3:4" x14ac:dyDescent="0.3">
      <c r="C435" s="2" t="str">
        <f>IF(A435&lt;&gt;"",SUM(B435),"")</f>
        <v/>
      </c>
      <c r="D435" s="2" t="str">
        <f>IF(A435&lt;&gt;"",(Exame!D1*Exame!C435)/Exame!C1, "")</f>
        <v/>
      </c>
    </row>
    <row r="436" spans="3:4" x14ac:dyDescent="0.3">
      <c r="C436" s="2" t="str">
        <f>IF(A436&lt;&gt;"",SUM(B436),"")</f>
        <v/>
      </c>
      <c r="D436" s="2" t="str">
        <f>IF(A436&lt;&gt;"",(Exame!D1*Exame!C436)/Exame!C1, "")</f>
        <v/>
      </c>
    </row>
    <row r="437" spans="3:4" x14ac:dyDescent="0.3">
      <c r="C437" s="2" t="str">
        <f>IF(A437&lt;&gt;"",SUM(B437),"")</f>
        <v/>
      </c>
      <c r="D437" s="2" t="str">
        <f>IF(A437&lt;&gt;"",(Exame!D1*Exame!C437)/Exame!C1, "")</f>
        <v/>
      </c>
    </row>
    <row r="438" spans="3:4" x14ac:dyDescent="0.3">
      <c r="C438" s="2" t="str">
        <f>IF(A438&lt;&gt;"",SUM(B438),"")</f>
        <v/>
      </c>
      <c r="D438" s="2" t="str">
        <f>IF(A438&lt;&gt;"",(Exame!D1*Exame!C438)/Exame!C1, "")</f>
        <v/>
      </c>
    </row>
    <row r="439" spans="3:4" x14ac:dyDescent="0.3">
      <c r="C439" s="2" t="str">
        <f>IF(A439&lt;&gt;"",SUM(B439),"")</f>
        <v/>
      </c>
      <c r="D439" s="2" t="str">
        <f>IF(A439&lt;&gt;"",(Exame!D1*Exame!C439)/Exame!C1, "")</f>
        <v/>
      </c>
    </row>
    <row r="440" spans="3:4" x14ac:dyDescent="0.3">
      <c r="C440" s="2" t="str">
        <f>IF(A440&lt;&gt;"",SUM(B440),"")</f>
        <v/>
      </c>
      <c r="D440" s="2" t="str">
        <f>IF(A440&lt;&gt;"",(Exame!D1*Exame!C440)/Exame!C1, "")</f>
        <v/>
      </c>
    </row>
    <row r="441" spans="3:4" x14ac:dyDescent="0.3">
      <c r="C441" s="2" t="str">
        <f>IF(A441&lt;&gt;"",SUM(B441),"")</f>
        <v/>
      </c>
      <c r="D441" s="2" t="str">
        <f>IF(A441&lt;&gt;"",(Exame!D1*Exame!C441)/Exame!C1, "")</f>
        <v/>
      </c>
    </row>
    <row r="442" spans="3:4" x14ac:dyDescent="0.3">
      <c r="C442" s="2" t="str">
        <f>IF(A442&lt;&gt;"",SUM(B442),"")</f>
        <v/>
      </c>
      <c r="D442" s="2" t="str">
        <f>IF(A442&lt;&gt;"",(Exame!D1*Exame!C442)/Exame!C1, "")</f>
        <v/>
      </c>
    </row>
    <row r="443" spans="3:4" x14ac:dyDescent="0.3">
      <c r="C443" s="2" t="str">
        <f>IF(A443&lt;&gt;"",SUM(B443),"")</f>
        <v/>
      </c>
      <c r="D443" s="2" t="str">
        <f>IF(A443&lt;&gt;"",(Exame!D1*Exame!C443)/Exame!C1, "")</f>
        <v/>
      </c>
    </row>
    <row r="444" spans="3:4" x14ac:dyDescent="0.3">
      <c r="C444" s="2" t="str">
        <f>IF(A444&lt;&gt;"",SUM(B444),"")</f>
        <v/>
      </c>
      <c r="D444" s="2" t="str">
        <f>IF(A444&lt;&gt;"",(Exame!D1*Exame!C444)/Exame!C1, "")</f>
        <v/>
      </c>
    </row>
    <row r="445" spans="3:4" x14ac:dyDescent="0.3">
      <c r="C445" s="2" t="str">
        <f>IF(A445&lt;&gt;"",SUM(B445),"")</f>
        <v/>
      </c>
      <c r="D445" s="2" t="str">
        <f>IF(A445&lt;&gt;"",(Exame!D1*Exame!C445)/Exame!C1, "")</f>
        <v/>
      </c>
    </row>
    <row r="446" spans="3:4" x14ac:dyDescent="0.3">
      <c r="C446" s="2" t="str">
        <f>IF(A446&lt;&gt;"",SUM(B446),"")</f>
        <v/>
      </c>
      <c r="D446" s="2" t="str">
        <f>IF(A446&lt;&gt;"",(Exame!D1*Exame!C446)/Exame!C1, "")</f>
        <v/>
      </c>
    </row>
    <row r="447" spans="3:4" x14ac:dyDescent="0.3">
      <c r="C447" s="2" t="str">
        <f>IF(A447&lt;&gt;"",SUM(B447),"")</f>
        <v/>
      </c>
      <c r="D447" s="2" t="str">
        <f>IF(A447&lt;&gt;"",(Exame!D1*Exame!C447)/Exame!C1, "")</f>
        <v/>
      </c>
    </row>
    <row r="448" spans="3:4" x14ac:dyDescent="0.3">
      <c r="C448" s="2" t="str">
        <f>IF(A448&lt;&gt;"",SUM(B448),"")</f>
        <v/>
      </c>
      <c r="D448" s="2" t="str">
        <f>IF(A448&lt;&gt;"",(Exame!D1*Exame!C448)/Exame!C1, "")</f>
        <v/>
      </c>
    </row>
    <row r="449" spans="3:4" x14ac:dyDescent="0.3">
      <c r="C449" s="2" t="str">
        <f>IF(A449&lt;&gt;"",SUM(B449),"")</f>
        <v/>
      </c>
      <c r="D449" s="2" t="str">
        <f>IF(A449&lt;&gt;"",(Exame!D1*Exame!C449)/Exame!C1, "")</f>
        <v/>
      </c>
    </row>
    <row r="450" spans="3:4" x14ac:dyDescent="0.3">
      <c r="C450" s="2" t="str">
        <f>IF(A450&lt;&gt;"",SUM(B450),"")</f>
        <v/>
      </c>
      <c r="D450" s="2" t="str">
        <f>IF(A450&lt;&gt;"",(Exame!D1*Exame!C450)/Exame!C1, "")</f>
        <v/>
      </c>
    </row>
    <row r="451" spans="3:4" x14ac:dyDescent="0.3">
      <c r="C451" s="2" t="str">
        <f>IF(A451&lt;&gt;"",SUM(B451),"")</f>
        <v/>
      </c>
      <c r="D451" s="2" t="str">
        <f>IF(A451&lt;&gt;"",(Exame!D1*Exame!C451)/Exame!C1, "")</f>
        <v/>
      </c>
    </row>
    <row r="452" spans="3:4" x14ac:dyDescent="0.3">
      <c r="C452" s="2" t="str">
        <f>IF(A452&lt;&gt;"",SUM(B452),"")</f>
        <v/>
      </c>
      <c r="D452" s="2" t="str">
        <f>IF(A452&lt;&gt;"",(Exame!D1*Exame!C452)/Exame!C1, "")</f>
        <v/>
      </c>
    </row>
    <row r="453" spans="3:4" x14ac:dyDescent="0.3">
      <c r="C453" s="2" t="str">
        <f>IF(A453&lt;&gt;"",SUM(B453),"")</f>
        <v/>
      </c>
      <c r="D453" s="2" t="str">
        <f>IF(A453&lt;&gt;"",(Exame!D1*Exame!C453)/Exame!C1, "")</f>
        <v/>
      </c>
    </row>
    <row r="454" spans="3:4" x14ac:dyDescent="0.3">
      <c r="C454" s="2" t="str">
        <f>IF(A454&lt;&gt;"",SUM(B454),"")</f>
        <v/>
      </c>
      <c r="D454" s="2" t="str">
        <f>IF(A454&lt;&gt;"",(Exame!D1*Exame!C454)/Exame!C1, "")</f>
        <v/>
      </c>
    </row>
    <row r="455" spans="3:4" x14ac:dyDescent="0.3">
      <c r="C455" s="2" t="str">
        <f>IF(A455&lt;&gt;"",SUM(B455),"")</f>
        <v/>
      </c>
      <c r="D455" s="2" t="str">
        <f>IF(A455&lt;&gt;"",(Exame!D1*Exame!C455)/Exame!C1, "")</f>
        <v/>
      </c>
    </row>
    <row r="456" spans="3:4" x14ac:dyDescent="0.3">
      <c r="C456" s="2" t="str">
        <f>IF(A456&lt;&gt;"",SUM(B456),"")</f>
        <v/>
      </c>
      <c r="D456" s="2" t="str">
        <f>IF(A456&lt;&gt;"",(Exame!D1*Exame!C456)/Exame!C1, "")</f>
        <v/>
      </c>
    </row>
    <row r="457" spans="3:4" x14ac:dyDescent="0.3">
      <c r="C457" s="2" t="str">
        <f>IF(A457&lt;&gt;"",SUM(B457),"")</f>
        <v/>
      </c>
      <c r="D457" s="2" t="str">
        <f>IF(A457&lt;&gt;"",(Exame!D1*Exame!C457)/Exame!C1, "")</f>
        <v/>
      </c>
    </row>
    <row r="458" spans="3:4" x14ac:dyDescent="0.3">
      <c r="C458" s="2" t="str">
        <f>IF(A458&lt;&gt;"",SUM(B458),"")</f>
        <v/>
      </c>
      <c r="D458" s="2" t="str">
        <f>IF(A458&lt;&gt;"",(Exame!D1*Exame!C458)/Exame!C1, "")</f>
        <v/>
      </c>
    </row>
    <row r="459" spans="3:4" x14ac:dyDescent="0.3">
      <c r="C459" s="2" t="str">
        <f>IF(A459&lt;&gt;"",SUM(B459),"")</f>
        <v/>
      </c>
      <c r="D459" s="2" t="str">
        <f>IF(A459&lt;&gt;"",(Exame!D1*Exame!C459)/Exame!C1, "")</f>
        <v/>
      </c>
    </row>
    <row r="460" spans="3:4" x14ac:dyDescent="0.3">
      <c r="C460" s="2" t="str">
        <f>IF(A460&lt;&gt;"",SUM(B460),"")</f>
        <v/>
      </c>
      <c r="D460" s="2" t="str">
        <f>IF(A460&lt;&gt;"",(Exame!D1*Exame!C460)/Exame!C1, "")</f>
        <v/>
      </c>
    </row>
    <row r="461" spans="3:4" x14ac:dyDescent="0.3">
      <c r="C461" s="2" t="str">
        <f>IF(A461&lt;&gt;"",SUM(B461),"")</f>
        <v/>
      </c>
      <c r="D461" s="2" t="str">
        <f>IF(A461&lt;&gt;"",(Exame!D1*Exame!C461)/Exame!C1, "")</f>
        <v/>
      </c>
    </row>
    <row r="462" spans="3:4" x14ac:dyDescent="0.3">
      <c r="C462" s="2" t="str">
        <f>IF(A462&lt;&gt;"",SUM(B462),"")</f>
        <v/>
      </c>
      <c r="D462" s="2" t="str">
        <f>IF(A462&lt;&gt;"",(Exame!D1*Exame!C462)/Exame!C1, "")</f>
        <v/>
      </c>
    </row>
    <row r="463" spans="3:4" x14ac:dyDescent="0.3">
      <c r="C463" s="2" t="str">
        <f>IF(A463&lt;&gt;"",SUM(B463),"")</f>
        <v/>
      </c>
      <c r="D463" s="2" t="str">
        <f>IF(A463&lt;&gt;"",(Exame!D1*Exame!C463)/Exame!C1, "")</f>
        <v/>
      </c>
    </row>
    <row r="464" spans="3:4" x14ac:dyDescent="0.3">
      <c r="C464" s="2" t="str">
        <f>IF(A464&lt;&gt;"",SUM(B464),"")</f>
        <v/>
      </c>
      <c r="D464" s="2" t="str">
        <f>IF(A464&lt;&gt;"",(Exame!D1*Exame!C464)/Exame!C1, "")</f>
        <v/>
      </c>
    </row>
    <row r="465" spans="3:4" x14ac:dyDescent="0.3">
      <c r="C465" s="2" t="str">
        <f>IF(A465&lt;&gt;"",SUM(B465),"")</f>
        <v/>
      </c>
      <c r="D465" s="2" t="str">
        <f>IF(A465&lt;&gt;"",(Exame!D1*Exame!C465)/Exame!C1, "")</f>
        <v/>
      </c>
    </row>
    <row r="466" spans="3:4" x14ac:dyDescent="0.3">
      <c r="C466" s="2" t="str">
        <f>IF(A466&lt;&gt;"",SUM(B466),"")</f>
        <v/>
      </c>
      <c r="D466" s="2" t="str">
        <f>IF(A466&lt;&gt;"",(Exame!D1*Exame!C466)/Exame!C1, "")</f>
        <v/>
      </c>
    </row>
    <row r="467" spans="3:4" x14ac:dyDescent="0.3">
      <c r="C467" s="2" t="str">
        <f>IF(A467&lt;&gt;"",SUM(B467),"")</f>
        <v/>
      </c>
      <c r="D467" s="2" t="str">
        <f>IF(A467&lt;&gt;"",(Exame!D1*Exame!C467)/Exame!C1, "")</f>
        <v/>
      </c>
    </row>
    <row r="468" spans="3:4" x14ac:dyDescent="0.3">
      <c r="C468" s="2" t="str">
        <f>IF(A468&lt;&gt;"",SUM(B468),"")</f>
        <v/>
      </c>
      <c r="D468" s="2" t="str">
        <f>IF(A468&lt;&gt;"",(Exame!D1*Exame!C468)/Exame!C1, "")</f>
        <v/>
      </c>
    </row>
    <row r="469" spans="3:4" x14ac:dyDescent="0.3">
      <c r="C469" s="2" t="str">
        <f>IF(A469&lt;&gt;"",SUM(B469),"")</f>
        <v/>
      </c>
      <c r="D469" s="2" t="str">
        <f>IF(A469&lt;&gt;"",(Exame!D1*Exame!C469)/Exame!C1, "")</f>
        <v/>
      </c>
    </row>
    <row r="470" spans="3:4" x14ac:dyDescent="0.3">
      <c r="C470" s="2" t="str">
        <f>IF(A470&lt;&gt;"",SUM(B470),"")</f>
        <v/>
      </c>
      <c r="D470" s="2" t="str">
        <f>IF(A470&lt;&gt;"",(Exame!D1*Exame!C470)/Exame!C1, "")</f>
        <v/>
      </c>
    </row>
    <row r="471" spans="3:4" x14ac:dyDescent="0.3">
      <c r="C471" s="2" t="str">
        <f>IF(A471&lt;&gt;"",SUM(B471),"")</f>
        <v/>
      </c>
      <c r="D471" s="2" t="str">
        <f>IF(A471&lt;&gt;"",(Exame!D1*Exame!C471)/Exame!C1, "")</f>
        <v/>
      </c>
    </row>
    <row r="472" spans="3:4" x14ac:dyDescent="0.3">
      <c r="C472" s="2" t="str">
        <f>IF(A472&lt;&gt;"",SUM(B472),"")</f>
        <v/>
      </c>
      <c r="D472" s="2" t="str">
        <f>IF(A472&lt;&gt;"",(Exame!D1*Exame!C472)/Exame!C1, "")</f>
        <v/>
      </c>
    </row>
    <row r="473" spans="3:4" x14ac:dyDescent="0.3">
      <c r="C473" s="2" t="str">
        <f>IF(A473&lt;&gt;"",SUM(B473),"")</f>
        <v/>
      </c>
      <c r="D473" s="2" t="str">
        <f>IF(A473&lt;&gt;"",(Exame!D1*Exame!C473)/Exame!C1, "")</f>
        <v/>
      </c>
    </row>
    <row r="474" spans="3:4" x14ac:dyDescent="0.3">
      <c r="C474" s="2" t="str">
        <f>IF(A474&lt;&gt;"",SUM(B474),"")</f>
        <v/>
      </c>
      <c r="D474" s="2" t="str">
        <f>IF(A474&lt;&gt;"",(Exame!D1*Exame!C474)/Exame!C1, "")</f>
        <v/>
      </c>
    </row>
    <row r="475" spans="3:4" x14ac:dyDescent="0.3">
      <c r="C475" s="2" t="str">
        <f>IF(A475&lt;&gt;"",SUM(B475),"")</f>
        <v/>
      </c>
      <c r="D475" s="2" t="str">
        <f>IF(A475&lt;&gt;"",(Exame!D1*Exame!C475)/Exame!C1, "")</f>
        <v/>
      </c>
    </row>
    <row r="476" spans="3:4" x14ac:dyDescent="0.3">
      <c r="C476" s="2" t="str">
        <f>IF(A476&lt;&gt;"",SUM(B476),"")</f>
        <v/>
      </c>
      <c r="D476" s="2" t="str">
        <f>IF(A476&lt;&gt;"",(Exame!D1*Exame!C476)/Exame!C1, "")</f>
        <v/>
      </c>
    </row>
    <row r="477" spans="3:4" x14ac:dyDescent="0.3">
      <c r="C477" s="2" t="str">
        <f>IF(A477&lt;&gt;"",SUM(B477),"")</f>
        <v/>
      </c>
      <c r="D477" s="2" t="str">
        <f>IF(A477&lt;&gt;"",(Exame!D1*Exame!C477)/Exame!C1, "")</f>
        <v/>
      </c>
    </row>
    <row r="478" spans="3:4" x14ac:dyDescent="0.3">
      <c r="C478" s="2" t="str">
        <f>IF(A478&lt;&gt;"",SUM(B478),"")</f>
        <v/>
      </c>
      <c r="D478" s="2" t="str">
        <f>IF(A478&lt;&gt;"",(Exame!D1*Exame!C478)/Exame!C1, "")</f>
        <v/>
      </c>
    </row>
    <row r="479" spans="3:4" x14ac:dyDescent="0.3">
      <c r="C479" s="2" t="str">
        <f>IF(A479&lt;&gt;"",SUM(B479),"")</f>
        <v/>
      </c>
      <c r="D479" s="2" t="str">
        <f>IF(A479&lt;&gt;"",(Exame!D1*Exame!C479)/Exame!C1, "")</f>
        <v/>
      </c>
    </row>
    <row r="480" spans="3:4" x14ac:dyDescent="0.3">
      <c r="C480" s="2" t="str">
        <f>IF(A480&lt;&gt;"",SUM(B480),"")</f>
        <v/>
      </c>
      <c r="D480" s="2" t="str">
        <f>IF(A480&lt;&gt;"",(Exame!D1*Exame!C480)/Exame!C1, "")</f>
        <v/>
      </c>
    </row>
    <row r="481" spans="3:4" x14ac:dyDescent="0.3">
      <c r="C481" s="2" t="str">
        <f>IF(A481&lt;&gt;"",SUM(B481),"")</f>
        <v/>
      </c>
      <c r="D481" s="2" t="str">
        <f>IF(A481&lt;&gt;"",(Exame!D1*Exame!C481)/Exame!C1, "")</f>
        <v/>
      </c>
    </row>
    <row r="482" spans="3:4" x14ac:dyDescent="0.3">
      <c r="C482" s="2" t="str">
        <f>IF(A482&lt;&gt;"",SUM(B482),"")</f>
        <v/>
      </c>
      <c r="D482" s="2" t="str">
        <f>IF(A482&lt;&gt;"",(Exame!D1*Exame!C482)/Exame!C1, "")</f>
        <v/>
      </c>
    </row>
    <row r="483" spans="3:4" x14ac:dyDescent="0.3">
      <c r="C483" s="2" t="str">
        <f>IF(A483&lt;&gt;"",SUM(B483),"")</f>
        <v/>
      </c>
      <c r="D483" s="2" t="str">
        <f>IF(A483&lt;&gt;"",(Exame!D1*Exame!C483)/Exame!C1, "")</f>
        <v/>
      </c>
    </row>
    <row r="484" spans="3:4" x14ac:dyDescent="0.3">
      <c r="C484" s="2" t="str">
        <f>IF(A484&lt;&gt;"",SUM(B484),"")</f>
        <v/>
      </c>
      <c r="D484" s="2" t="str">
        <f>IF(A484&lt;&gt;"",(Exame!D1*Exame!C484)/Exame!C1, "")</f>
        <v/>
      </c>
    </row>
    <row r="485" spans="3:4" x14ac:dyDescent="0.3">
      <c r="C485" s="2" t="str">
        <f>IF(A485&lt;&gt;"",SUM(B485),"")</f>
        <v/>
      </c>
      <c r="D485" s="2" t="str">
        <f>IF(A485&lt;&gt;"",(Exame!D1*Exame!C485)/Exame!C1, "")</f>
        <v/>
      </c>
    </row>
    <row r="486" spans="3:4" x14ac:dyDescent="0.3">
      <c r="C486" s="2" t="str">
        <f>IF(A486&lt;&gt;"",SUM(B486),"")</f>
        <v/>
      </c>
      <c r="D486" s="2" t="str">
        <f>IF(A486&lt;&gt;"",(Exame!D1*Exame!C486)/Exame!C1, "")</f>
        <v/>
      </c>
    </row>
    <row r="487" spans="3:4" x14ac:dyDescent="0.3">
      <c r="C487" s="2" t="str">
        <f>IF(A487&lt;&gt;"",SUM(B487),"")</f>
        <v/>
      </c>
      <c r="D487" s="2" t="str">
        <f>IF(A487&lt;&gt;"",(Exame!D1*Exame!C487)/Exame!C1, "")</f>
        <v/>
      </c>
    </row>
    <row r="488" spans="3:4" x14ac:dyDescent="0.3">
      <c r="C488" s="2" t="str">
        <f>IF(A488&lt;&gt;"",SUM(B488),"")</f>
        <v/>
      </c>
      <c r="D488" s="2" t="str">
        <f>IF(A488&lt;&gt;"",(Exame!D1*Exame!C488)/Exame!C1, "")</f>
        <v/>
      </c>
    </row>
    <row r="489" spans="3:4" x14ac:dyDescent="0.3">
      <c r="C489" s="2" t="str">
        <f>IF(A489&lt;&gt;"",SUM(B489),"")</f>
        <v/>
      </c>
      <c r="D489" s="2" t="str">
        <f>IF(A489&lt;&gt;"",(Exame!D1*Exame!C489)/Exame!C1, "")</f>
        <v/>
      </c>
    </row>
    <row r="490" spans="3:4" x14ac:dyDescent="0.3">
      <c r="C490" s="2" t="str">
        <f>IF(A490&lt;&gt;"",SUM(B490),"")</f>
        <v/>
      </c>
      <c r="D490" s="2" t="str">
        <f>IF(A490&lt;&gt;"",(Exame!D1*Exame!C490)/Exame!C1, "")</f>
        <v/>
      </c>
    </row>
    <row r="491" spans="3:4" x14ac:dyDescent="0.3">
      <c r="C491" s="2" t="str">
        <f>IF(A491&lt;&gt;"",SUM(B491),"")</f>
        <v/>
      </c>
      <c r="D491" s="2" t="str">
        <f>IF(A491&lt;&gt;"",(Exame!D1*Exame!C491)/Exame!C1, "")</f>
        <v/>
      </c>
    </row>
    <row r="492" spans="3:4" x14ac:dyDescent="0.3">
      <c r="C492" s="2" t="str">
        <f>IF(A492&lt;&gt;"",SUM(B492),"")</f>
        <v/>
      </c>
      <c r="D492" s="2" t="str">
        <f>IF(A492&lt;&gt;"",(Exame!D1*Exame!C492)/Exame!C1, "")</f>
        <v/>
      </c>
    </row>
    <row r="493" spans="3:4" x14ac:dyDescent="0.3">
      <c r="C493" s="2" t="str">
        <f>IF(A493&lt;&gt;"",SUM(B493),"")</f>
        <v/>
      </c>
      <c r="D493" s="2" t="str">
        <f>IF(A493&lt;&gt;"",(Exame!D1*Exame!C493)/Exame!C1, "")</f>
        <v/>
      </c>
    </row>
    <row r="494" spans="3:4" x14ac:dyDescent="0.3">
      <c r="C494" s="2" t="str">
        <f>IF(A494&lt;&gt;"",SUM(B494),"")</f>
        <v/>
      </c>
      <c r="D494" s="2" t="str">
        <f>IF(A494&lt;&gt;"",(Exame!D1*Exame!C494)/Exame!C1, "")</f>
        <v/>
      </c>
    </row>
    <row r="495" spans="3:4" x14ac:dyDescent="0.3">
      <c r="C495" s="2" t="str">
        <f>IF(A495&lt;&gt;"",SUM(B495),"")</f>
        <v/>
      </c>
      <c r="D495" s="2" t="str">
        <f>IF(A495&lt;&gt;"",(Exame!D1*Exame!C495)/Exame!C1, "")</f>
        <v/>
      </c>
    </row>
    <row r="496" spans="3:4" x14ac:dyDescent="0.3">
      <c r="C496" s="2" t="str">
        <f>IF(A496&lt;&gt;"",SUM(B496),"")</f>
        <v/>
      </c>
      <c r="D496" s="2" t="str">
        <f>IF(A496&lt;&gt;"",(Exame!D1*Exame!C496)/Exame!C1, "")</f>
        <v/>
      </c>
    </row>
    <row r="497" spans="3:4" x14ac:dyDescent="0.3">
      <c r="C497" s="2" t="str">
        <f>IF(A497&lt;&gt;"",SUM(B497),"")</f>
        <v/>
      </c>
      <c r="D497" s="2" t="str">
        <f>IF(A497&lt;&gt;"",(Exame!D1*Exame!C497)/Exame!C1, "")</f>
        <v/>
      </c>
    </row>
    <row r="498" spans="3:4" x14ac:dyDescent="0.3">
      <c r="C498" s="2" t="str">
        <f>IF(A498&lt;&gt;"",SUM(B498),"")</f>
        <v/>
      </c>
      <c r="D498" s="2" t="str">
        <f>IF(A498&lt;&gt;"",(Exame!D1*Exame!C498)/Exame!C1, "")</f>
        <v/>
      </c>
    </row>
    <row r="499" spans="3:4" x14ac:dyDescent="0.3">
      <c r="C499" s="2" t="str">
        <f>IF(A499&lt;&gt;"",SUM(B499),"")</f>
        <v/>
      </c>
      <c r="D499" s="2" t="str">
        <f>IF(A499&lt;&gt;"",(Exame!D1*Exame!C499)/Exame!C1, "")</f>
        <v/>
      </c>
    </row>
    <row r="500" spans="3:4" x14ac:dyDescent="0.3">
      <c r="C500" s="2" t="str">
        <f>IF(A500&lt;&gt;"",SUM(B500),"")</f>
        <v/>
      </c>
      <c r="D500" s="2" t="str">
        <f>IF(A500&lt;&gt;"",(Exame!D1*Exame!C500)/Exame!C1, "")</f>
        <v/>
      </c>
    </row>
    <row r="501" spans="3:4" x14ac:dyDescent="0.3">
      <c r="C501" s="2" t="str">
        <f>IF(A501&lt;&gt;"",SUM(B501),"")</f>
        <v/>
      </c>
      <c r="D501" s="2" t="str">
        <f>IF(A501&lt;&gt;"",(Exame!D1*Exame!C501)/Exame!C1, "")</f>
        <v/>
      </c>
    </row>
    <row r="502" spans="3:4" x14ac:dyDescent="0.3">
      <c r="C502" s="2" t="str">
        <f>IF(A502&lt;&gt;"",SUM(B502),"")</f>
        <v/>
      </c>
      <c r="D502" s="2" t="str">
        <f>IF(A502&lt;&gt;"",(Exame!D1*Exame!C502)/Exame!C1, "")</f>
        <v/>
      </c>
    </row>
    <row r="503" spans="3:4" x14ac:dyDescent="0.3">
      <c r="C503" s="2" t="str">
        <f>IF(A503&lt;&gt;"",SUM(B503),"")</f>
        <v/>
      </c>
      <c r="D503" s="2" t="str">
        <f>IF(A503&lt;&gt;"",(Exame!D1*Exame!C503)/Exame!C1, "")</f>
        <v/>
      </c>
    </row>
    <row r="504" spans="3:4" x14ac:dyDescent="0.3">
      <c r="C504" s="2" t="str">
        <f>IF(A504&lt;&gt;"",SUM(B504),"")</f>
        <v/>
      </c>
      <c r="D504" s="2" t="str">
        <f>IF(A504&lt;&gt;"",(Exame!D1*Exame!C504)/Exame!C1, "")</f>
        <v/>
      </c>
    </row>
    <row r="505" spans="3:4" x14ac:dyDescent="0.3">
      <c r="C505" s="2" t="str">
        <f>IF(A505&lt;&gt;"",SUM(B505),"")</f>
        <v/>
      </c>
      <c r="D505" s="2" t="str">
        <f>IF(A505&lt;&gt;"",(Exame!D1*Exame!C505)/Exame!C1, "")</f>
        <v/>
      </c>
    </row>
    <row r="506" spans="3:4" x14ac:dyDescent="0.3">
      <c r="C506" s="2" t="str">
        <f>IF(A506&lt;&gt;"",SUM(B506),"")</f>
        <v/>
      </c>
      <c r="D506" s="2" t="str">
        <f>IF(A506&lt;&gt;"",(Exame!D1*Exame!C506)/Exame!C1, "")</f>
        <v/>
      </c>
    </row>
    <row r="507" spans="3:4" x14ac:dyDescent="0.3">
      <c r="C507" s="2" t="str">
        <f>IF(A507&lt;&gt;"",SUM(B507),"")</f>
        <v/>
      </c>
      <c r="D507" s="2" t="str">
        <f>IF(A507&lt;&gt;"",(Exame!D1*Exame!C507)/Exame!C1, "")</f>
        <v/>
      </c>
    </row>
    <row r="508" spans="3:4" x14ac:dyDescent="0.3">
      <c r="C508" s="2" t="str">
        <f>IF(A508&lt;&gt;"",SUM(B508),"")</f>
        <v/>
      </c>
      <c r="D508" s="2" t="str">
        <f>IF(A508&lt;&gt;"",(Exame!D1*Exame!C508)/Exame!C1, "")</f>
        <v/>
      </c>
    </row>
    <row r="509" spans="3:4" x14ac:dyDescent="0.3">
      <c r="C509" s="2" t="str">
        <f>IF(A509&lt;&gt;"",SUM(B509),"")</f>
        <v/>
      </c>
      <c r="D509" s="2" t="str">
        <f>IF(A509&lt;&gt;"",(Exame!D1*Exame!C509)/Exame!C1, "")</f>
        <v/>
      </c>
    </row>
    <row r="510" spans="3:4" x14ac:dyDescent="0.3">
      <c r="C510" s="2" t="str">
        <f>IF(A510&lt;&gt;"",SUM(B510),"")</f>
        <v/>
      </c>
      <c r="D510" s="2" t="str">
        <f>IF(A510&lt;&gt;"",(Exame!D1*Exame!C510)/Exame!C1, "")</f>
        <v/>
      </c>
    </row>
    <row r="511" spans="3:4" x14ac:dyDescent="0.3">
      <c r="C511" s="2" t="str">
        <f>IF(A511&lt;&gt;"",SUM(B511),"")</f>
        <v/>
      </c>
      <c r="D511" s="2" t="str">
        <f>IF(A511&lt;&gt;"",(Exame!D1*Exame!C511)/Exame!C1, "")</f>
        <v/>
      </c>
    </row>
    <row r="512" spans="3:4" x14ac:dyDescent="0.3">
      <c r="C512" s="2" t="str">
        <f>IF(A512&lt;&gt;"",SUM(B512),"")</f>
        <v/>
      </c>
      <c r="D512" s="2" t="str">
        <f>IF(A512&lt;&gt;"",(Exame!D1*Exame!C512)/Exame!C1, "")</f>
        <v/>
      </c>
    </row>
    <row r="513" spans="3:4" x14ac:dyDescent="0.3">
      <c r="C513" s="2" t="str">
        <f>IF(A513&lt;&gt;"",SUM(B513),"")</f>
        <v/>
      </c>
      <c r="D513" s="2" t="str">
        <f>IF(A513&lt;&gt;"",(Exame!D1*Exame!C513)/Exame!C1, "")</f>
        <v/>
      </c>
    </row>
    <row r="514" spans="3:4" x14ac:dyDescent="0.3">
      <c r="C514" s="2" t="str">
        <f>IF(A514&lt;&gt;"",SUM(B514),"")</f>
        <v/>
      </c>
      <c r="D514" s="2" t="str">
        <f>IF(A514&lt;&gt;"",(Exame!D1*Exame!C514)/Exame!C1, "")</f>
        <v/>
      </c>
    </row>
    <row r="515" spans="3:4" x14ac:dyDescent="0.3">
      <c r="C515" s="2" t="str">
        <f>IF(A515&lt;&gt;"",SUM(B515),"")</f>
        <v/>
      </c>
      <c r="D515" s="2" t="str">
        <f>IF(A515&lt;&gt;"",(Exame!D1*Exame!C515)/Exame!C1, "")</f>
        <v/>
      </c>
    </row>
    <row r="516" spans="3:4" x14ac:dyDescent="0.3">
      <c r="C516" s="2" t="str">
        <f>IF(A516&lt;&gt;"",SUM(B516),"")</f>
        <v/>
      </c>
      <c r="D516" s="2" t="str">
        <f>IF(A516&lt;&gt;"",(Exame!D1*Exame!C516)/Exame!C1, "")</f>
        <v/>
      </c>
    </row>
    <row r="517" spans="3:4" x14ac:dyDescent="0.3">
      <c r="C517" s="2" t="str">
        <f>IF(A517&lt;&gt;"",SUM(B517),"")</f>
        <v/>
      </c>
      <c r="D517" s="2" t="str">
        <f>IF(A517&lt;&gt;"",(Exame!D1*Exame!C517)/Exame!C1, "")</f>
        <v/>
      </c>
    </row>
    <row r="518" spans="3:4" x14ac:dyDescent="0.3">
      <c r="C518" s="2" t="str">
        <f>IF(A518&lt;&gt;"",SUM(B518),"")</f>
        <v/>
      </c>
      <c r="D518" s="2" t="str">
        <f>IF(A518&lt;&gt;"",(Exame!D1*Exame!C518)/Exame!C1, "")</f>
        <v/>
      </c>
    </row>
    <row r="519" spans="3:4" x14ac:dyDescent="0.3">
      <c r="C519" s="2" t="str">
        <f>IF(A519&lt;&gt;"",SUM(B519),"")</f>
        <v/>
      </c>
      <c r="D519" s="2" t="str">
        <f>IF(A519&lt;&gt;"",(Exame!D1*Exame!C519)/Exame!C1, "")</f>
        <v/>
      </c>
    </row>
    <row r="520" spans="3:4" x14ac:dyDescent="0.3">
      <c r="C520" s="2" t="str">
        <f>IF(A520&lt;&gt;"",SUM(B520),"")</f>
        <v/>
      </c>
      <c r="D520" s="2" t="str">
        <f>IF(A520&lt;&gt;"",(Exame!D1*Exame!C520)/Exame!C1, "")</f>
        <v/>
      </c>
    </row>
    <row r="521" spans="3:4" x14ac:dyDescent="0.3">
      <c r="C521" s="2" t="str">
        <f>IF(A521&lt;&gt;"",SUM(B521),"")</f>
        <v/>
      </c>
      <c r="D521" s="2" t="str">
        <f>IF(A521&lt;&gt;"",(Exame!D1*Exame!C521)/Exame!C1, "")</f>
        <v/>
      </c>
    </row>
    <row r="522" spans="3:4" x14ac:dyDescent="0.3">
      <c r="C522" s="2" t="str">
        <f>IF(A522&lt;&gt;"",SUM(B522),"")</f>
        <v/>
      </c>
      <c r="D522" s="2" t="str">
        <f>IF(A522&lt;&gt;"",(Exame!D1*Exame!C522)/Exame!C1, "")</f>
        <v/>
      </c>
    </row>
    <row r="523" spans="3:4" x14ac:dyDescent="0.3">
      <c r="C523" s="2" t="str">
        <f>IF(A523&lt;&gt;"",SUM(B523),"")</f>
        <v/>
      </c>
      <c r="D523" s="2" t="str">
        <f>IF(A523&lt;&gt;"",(Exame!D1*Exame!C523)/Exame!C1, "")</f>
        <v/>
      </c>
    </row>
    <row r="524" spans="3:4" x14ac:dyDescent="0.3">
      <c r="C524" s="2" t="str">
        <f>IF(A524&lt;&gt;"",SUM(B524),"")</f>
        <v/>
      </c>
      <c r="D524" s="2" t="str">
        <f>IF(A524&lt;&gt;"",(Exame!D1*Exame!C524)/Exame!C1, "")</f>
        <v/>
      </c>
    </row>
    <row r="525" spans="3:4" x14ac:dyDescent="0.3">
      <c r="C525" s="2" t="str">
        <f>IF(A525&lt;&gt;"",SUM(B525),"")</f>
        <v/>
      </c>
      <c r="D525" s="2" t="str">
        <f>IF(A525&lt;&gt;"",(Exame!D1*Exame!C525)/Exame!C1, "")</f>
        <v/>
      </c>
    </row>
    <row r="526" spans="3:4" x14ac:dyDescent="0.3">
      <c r="C526" s="2" t="str">
        <f>IF(A526&lt;&gt;"",SUM(B526),"")</f>
        <v/>
      </c>
      <c r="D526" s="2" t="str">
        <f>IF(A526&lt;&gt;"",(Exame!D1*Exame!C526)/Exame!C1, "")</f>
        <v/>
      </c>
    </row>
    <row r="527" spans="3:4" x14ac:dyDescent="0.3">
      <c r="C527" s="2" t="str">
        <f>IF(A527&lt;&gt;"",SUM(B527),"")</f>
        <v/>
      </c>
      <c r="D527" s="2" t="str">
        <f>IF(A527&lt;&gt;"",(Exame!D1*Exame!C527)/Exame!C1, "")</f>
        <v/>
      </c>
    </row>
    <row r="528" spans="3:4" x14ac:dyDescent="0.3">
      <c r="C528" s="2" t="str">
        <f>IF(A528&lt;&gt;"",SUM(B528),"")</f>
        <v/>
      </c>
      <c r="D528" s="2" t="str">
        <f>IF(A528&lt;&gt;"",(Exame!D1*Exame!C528)/Exame!C1, "")</f>
        <v/>
      </c>
    </row>
    <row r="529" spans="3:4" x14ac:dyDescent="0.3">
      <c r="C529" s="2" t="str">
        <f>IF(A529&lt;&gt;"",SUM(B529),"")</f>
        <v/>
      </c>
      <c r="D529" s="2" t="str">
        <f>IF(A529&lt;&gt;"",(Exame!D1*Exame!C529)/Exame!C1, "")</f>
        <v/>
      </c>
    </row>
    <row r="530" spans="3:4" x14ac:dyDescent="0.3">
      <c r="C530" s="2" t="str">
        <f>IF(A530&lt;&gt;"",SUM(B530),"")</f>
        <v/>
      </c>
      <c r="D530" s="2" t="str">
        <f>IF(A530&lt;&gt;"",(Exame!D1*Exame!C530)/Exame!C1, "")</f>
        <v/>
      </c>
    </row>
    <row r="531" spans="3:4" x14ac:dyDescent="0.3">
      <c r="C531" s="2" t="str">
        <f>IF(A531&lt;&gt;"",SUM(B531),"")</f>
        <v/>
      </c>
      <c r="D531" s="2" t="str">
        <f>IF(A531&lt;&gt;"",(Exame!D1*Exame!C531)/Exame!C1, "")</f>
        <v/>
      </c>
    </row>
    <row r="532" spans="3:4" x14ac:dyDescent="0.3">
      <c r="C532" s="2" t="str">
        <f>IF(A532&lt;&gt;"",SUM(B532),"")</f>
        <v/>
      </c>
      <c r="D532" s="2" t="str">
        <f>IF(A532&lt;&gt;"",(Exame!D1*Exame!C532)/Exame!C1, "")</f>
        <v/>
      </c>
    </row>
    <row r="533" spans="3:4" x14ac:dyDescent="0.3">
      <c r="C533" s="2" t="str">
        <f>IF(A533&lt;&gt;"",SUM(B533),"")</f>
        <v/>
      </c>
      <c r="D533" s="2" t="str">
        <f>IF(A533&lt;&gt;"",(Exame!D1*Exame!C533)/Exame!C1, "")</f>
        <v/>
      </c>
    </row>
    <row r="534" spans="3:4" x14ac:dyDescent="0.3">
      <c r="C534" s="2" t="str">
        <f>IF(A534&lt;&gt;"",SUM(B534),"")</f>
        <v/>
      </c>
      <c r="D534" s="2" t="str">
        <f>IF(A534&lt;&gt;"",(Exame!D1*Exame!C534)/Exame!C1, "")</f>
        <v/>
      </c>
    </row>
    <row r="535" spans="3:4" x14ac:dyDescent="0.3">
      <c r="C535" s="2" t="str">
        <f>IF(A535&lt;&gt;"",SUM(B535),"")</f>
        <v/>
      </c>
      <c r="D535" s="2" t="str">
        <f>IF(A535&lt;&gt;"",(Exame!D1*Exame!C535)/Exame!C1, "")</f>
        <v/>
      </c>
    </row>
    <row r="536" spans="3:4" x14ac:dyDescent="0.3">
      <c r="C536" s="2" t="str">
        <f>IF(A536&lt;&gt;"",SUM(B536),"")</f>
        <v/>
      </c>
      <c r="D536" s="2" t="str">
        <f>IF(A536&lt;&gt;"",(Exame!D1*Exame!C536)/Exame!C1, "")</f>
        <v/>
      </c>
    </row>
    <row r="537" spans="3:4" x14ac:dyDescent="0.3">
      <c r="C537" s="2" t="str">
        <f>IF(A537&lt;&gt;"",SUM(B537),"")</f>
        <v/>
      </c>
      <c r="D537" s="2" t="str">
        <f>IF(A537&lt;&gt;"",(Exame!D1*Exame!C537)/Exame!C1, "")</f>
        <v/>
      </c>
    </row>
    <row r="538" spans="3:4" x14ac:dyDescent="0.3">
      <c r="C538" s="2" t="str">
        <f>IF(A538&lt;&gt;"",SUM(B538),"")</f>
        <v/>
      </c>
      <c r="D538" s="2" t="str">
        <f>IF(A538&lt;&gt;"",(Exame!D1*Exame!C538)/Exame!C1, "")</f>
        <v/>
      </c>
    </row>
    <row r="539" spans="3:4" x14ac:dyDescent="0.3">
      <c r="C539" s="2" t="str">
        <f>IF(A539&lt;&gt;"",SUM(B539),"")</f>
        <v/>
      </c>
      <c r="D539" s="2" t="str">
        <f>IF(A539&lt;&gt;"",(Exame!D1*Exame!C539)/Exame!C1, "")</f>
        <v/>
      </c>
    </row>
    <row r="540" spans="3:4" x14ac:dyDescent="0.3">
      <c r="C540" s="2" t="str">
        <f>IF(A540&lt;&gt;"",SUM(B540),"")</f>
        <v/>
      </c>
      <c r="D540" s="2" t="str">
        <f>IF(A540&lt;&gt;"",(Exame!D1*Exame!C540)/Exame!C1, "")</f>
        <v/>
      </c>
    </row>
    <row r="541" spans="3:4" x14ac:dyDescent="0.3">
      <c r="C541" s="2" t="str">
        <f>IF(A541&lt;&gt;"",SUM(B541),"")</f>
        <v/>
      </c>
      <c r="D541" s="2" t="str">
        <f>IF(A541&lt;&gt;"",(Exame!D1*Exame!C541)/Exame!C1, "")</f>
        <v/>
      </c>
    </row>
    <row r="542" spans="3:4" x14ac:dyDescent="0.3">
      <c r="C542" s="2" t="str">
        <f>IF(A542&lt;&gt;"",SUM(B542),"")</f>
        <v/>
      </c>
      <c r="D542" s="2" t="str">
        <f>IF(A542&lt;&gt;"",(Exame!D1*Exame!C542)/Exame!C1, "")</f>
        <v/>
      </c>
    </row>
    <row r="543" spans="3:4" x14ac:dyDescent="0.3">
      <c r="C543" s="2" t="str">
        <f>IF(A543&lt;&gt;"",SUM(B543),"")</f>
        <v/>
      </c>
      <c r="D543" s="2" t="str">
        <f>IF(A543&lt;&gt;"",(Exame!D1*Exame!C543)/Exame!C1, "")</f>
        <v/>
      </c>
    </row>
    <row r="544" spans="3:4" x14ac:dyDescent="0.3">
      <c r="C544" s="2" t="str">
        <f>IF(A544&lt;&gt;"",SUM(B544),"")</f>
        <v/>
      </c>
      <c r="D544" s="2" t="str">
        <f>IF(A544&lt;&gt;"",(Exame!D1*Exame!C544)/Exame!C1, "")</f>
        <v/>
      </c>
    </row>
    <row r="545" spans="3:4" x14ac:dyDescent="0.3">
      <c r="C545" s="2" t="str">
        <f>IF(A545&lt;&gt;"",SUM(B545),"")</f>
        <v/>
      </c>
      <c r="D545" s="2" t="str">
        <f>IF(A545&lt;&gt;"",(Exame!D1*Exame!C545)/Exame!C1, "")</f>
        <v/>
      </c>
    </row>
    <row r="546" spans="3:4" x14ac:dyDescent="0.3">
      <c r="C546" s="2" t="str">
        <f>IF(A546&lt;&gt;"",SUM(B546),"")</f>
        <v/>
      </c>
      <c r="D546" s="2" t="str">
        <f>IF(A546&lt;&gt;"",(Exame!D1*Exame!C546)/Exame!C1, "")</f>
        <v/>
      </c>
    </row>
    <row r="547" spans="3:4" x14ac:dyDescent="0.3">
      <c r="C547" s="2" t="str">
        <f>IF(A547&lt;&gt;"",SUM(B547),"")</f>
        <v/>
      </c>
      <c r="D547" s="2" t="str">
        <f>IF(A547&lt;&gt;"",(Exame!D1*Exame!C547)/Exame!C1, "")</f>
        <v/>
      </c>
    </row>
    <row r="548" spans="3:4" x14ac:dyDescent="0.3">
      <c r="C548" s="2" t="str">
        <f>IF(A548&lt;&gt;"",SUM(B548),"")</f>
        <v/>
      </c>
      <c r="D548" s="2" t="str">
        <f>IF(A548&lt;&gt;"",(Exame!D1*Exame!C548)/Exame!C1, "")</f>
        <v/>
      </c>
    </row>
    <row r="549" spans="3:4" x14ac:dyDescent="0.3">
      <c r="C549" s="2" t="str">
        <f>IF(A549&lt;&gt;"",SUM(B549),"")</f>
        <v/>
      </c>
      <c r="D549" s="2" t="str">
        <f>IF(A549&lt;&gt;"",(Exame!D1*Exame!C549)/Exame!C1, "")</f>
        <v/>
      </c>
    </row>
    <row r="550" spans="3:4" x14ac:dyDescent="0.3">
      <c r="C550" s="2" t="str">
        <f>IF(A550&lt;&gt;"",SUM(B550),"")</f>
        <v/>
      </c>
      <c r="D550" s="2" t="str">
        <f>IF(A550&lt;&gt;"",(Exame!D1*Exame!C550)/Exame!C1, "")</f>
        <v/>
      </c>
    </row>
    <row r="551" spans="3:4" x14ac:dyDescent="0.3">
      <c r="C551" s="2" t="str">
        <f>IF(A551&lt;&gt;"",SUM(B551),"")</f>
        <v/>
      </c>
      <c r="D551" s="2" t="str">
        <f>IF(A551&lt;&gt;"",(Exame!D1*Exame!C551)/Exame!C1, "")</f>
        <v/>
      </c>
    </row>
    <row r="552" spans="3:4" x14ac:dyDescent="0.3">
      <c r="C552" s="2" t="str">
        <f>IF(A552&lt;&gt;"",SUM(B552),"")</f>
        <v/>
      </c>
      <c r="D552" s="2" t="str">
        <f>IF(A552&lt;&gt;"",(Exame!D1*Exame!C552)/Exame!C1, "")</f>
        <v/>
      </c>
    </row>
    <row r="553" spans="3:4" x14ac:dyDescent="0.3">
      <c r="C553" s="2" t="str">
        <f>IF(A553&lt;&gt;"",SUM(B553),"")</f>
        <v/>
      </c>
      <c r="D553" s="2" t="str">
        <f>IF(A553&lt;&gt;"",(Exame!D1*Exame!C553)/Exame!C1, "")</f>
        <v/>
      </c>
    </row>
    <row r="554" spans="3:4" x14ac:dyDescent="0.3">
      <c r="C554" s="2" t="str">
        <f>IF(A554&lt;&gt;"",SUM(B554),"")</f>
        <v/>
      </c>
      <c r="D554" s="2" t="str">
        <f>IF(A554&lt;&gt;"",(Exame!D1*Exame!C554)/Exame!C1, "")</f>
        <v/>
      </c>
    </row>
    <row r="555" spans="3:4" x14ac:dyDescent="0.3">
      <c r="C555" s="2" t="str">
        <f>IF(A555&lt;&gt;"",SUM(B555),"")</f>
        <v/>
      </c>
      <c r="D555" s="2" t="str">
        <f>IF(A555&lt;&gt;"",(Exame!D1*Exame!C555)/Exame!C1, "")</f>
        <v/>
      </c>
    </row>
    <row r="556" spans="3:4" x14ac:dyDescent="0.3">
      <c r="C556" s="2" t="str">
        <f>IF(A556&lt;&gt;"",SUM(B556),"")</f>
        <v/>
      </c>
      <c r="D556" s="2" t="str">
        <f>IF(A556&lt;&gt;"",(Exame!D1*Exame!C556)/Exame!C1, "")</f>
        <v/>
      </c>
    </row>
    <row r="557" spans="3:4" x14ac:dyDescent="0.3">
      <c r="C557" s="2" t="str">
        <f>IF(A557&lt;&gt;"",SUM(B557),"")</f>
        <v/>
      </c>
      <c r="D557" s="2" t="str">
        <f>IF(A557&lt;&gt;"",(Exame!D1*Exame!C557)/Exame!C1, "")</f>
        <v/>
      </c>
    </row>
    <row r="558" spans="3:4" x14ac:dyDescent="0.3">
      <c r="C558" s="2" t="str">
        <f>IF(A558&lt;&gt;"",SUM(B558),"")</f>
        <v/>
      </c>
      <c r="D558" s="2" t="str">
        <f>IF(A558&lt;&gt;"",(Exame!D1*Exame!C558)/Exame!C1, "")</f>
        <v/>
      </c>
    </row>
    <row r="559" spans="3:4" x14ac:dyDescent="0.3">
      <c r="C559" s="2" t="str">
        <f>IF(A559&lt;&gt;"",SUM(B559),"")</f>
        <v/>
      </c>
      <c r="D559" s="2" t="str">
        <f>IF(A559&lt;&gt;"",(Exame!D1*Exame!C559)/Exame!C1, "")</f>
        <v/>
      </c>
    </row>
    <row r="560" spans="3:4" x14ac:dyDescent="0.3">
      <c r="C560" s="2" t="str">
        <f>IF(A560&lt;&gt;"",SUM(B560),"")</f>
        <v/>
      </c>
      <c r="D560" s="2" t="str">
        <f>IF(A560&lt;&gt;"",(Exame!D1*Exame!C560)/Exame!C1, "")</f>
        <v/>
      </c>
    </row>
    <row r="561" spans="3:4" x14ac:dyDescent="0.3">
      <c r="C561" s="2" t="str">
        <f>IF(A561&lt;&gt;"",SUM(B561),"")</f>
        <v/>
      </c>
      <c r="D561" s="2" t="str">
        <f>IF(A561&lt;&gt;"",(Exame!D1*Exame!C561)/Exame!C1, "")</f>
        <v/>
      </c>
    </row>
    <row r="562" spans="3:4" x14ac:dyDescent="0.3">
      <c r="C562" s="2" t="str">
        <f>IF(A562&lt;&gt;"",SUM(B562),"")</f>
        <v/>
      </c>
      <c r="D562" s="2" t="str">
        <f>IF(A562&lt;&gt;"",(Exame!D1*Exame!C562)/Exame!C1, "")</f>
        <v/>
      </c>
    </row>
    <row r="563" spans="3:4" x14ac:dyDescent="0.3">
      <c r="C563" s="2" t="str">
        <f>IF(A563&lt;&gt;"",SUM(B563),"")</f>
        <v/>
      </c>
      <c r="D563" s="2" t="str">
        <f>IF(A563&lt;&gt;"",(Exame!D1*Exame!C563)/Exame!C1, "")</f>
        <v/>
      </c>
    </row>
    <row r="564" spans="3:4" x14ac:dyDescent="0.3">
      <c r="C564" s="2" t="str">
        <f>IF(A564&lt;&gt;"",SUM(B564),"")</f>
        <v/>
      </c>
      <c r="D564" s="2" t="str">
        <f>IF(A564&lt;&gt;"",(Exame!D1*Exame!C564)/Exame!C1, "")</f>
        <v/>
      </c>
    </row>
    <row r="565" spans="3:4" x14ac:dyDescent="0.3">
      <c r="C565" s="2" t="str">
        <f>IF(A565&lt;&gt;"",SUM(B565),"")</f>
        <v/>
      </c>
      <c r="D565" s="2" t="str">
        <f>IF(A565&lt;&gt;"",(Exame!D1*Exame!C565)/Exame!C1, "")</f>
        <v/>
      </c>
    </row>
    <row r="566" spans="3:4" x14ac:dyDescent="0.3">
      <c r="C566" s="2" t="str">
        <f>IF(A566&lt;&gt;"",SUM(B566),"")</f>
        <v/>
      </c>
      <c r="D566" s="2" t="str">
        <f>IF(A566&lt;&gt;"",(Exame!D1*Exame!C566)/Exame!C1, "")</f>
        <v/>
      </c>
    </row>
    <row r="567" spans="3:4" x14ac:dyDescent="0.3">
      <c r="C567" s="2" t="str">
        <f>IF(A567&lt;&gt;"",SUM(B567),"")</f>
        <v/>
      </c>
      <c r="D567" s="2" t="str">
        <f>IF(A567&lt;&gt;"",(Exame!D1*Exame!C567)/Exame!C1, "")</f>
        <v/>
      </c>
    </row>
    <row r="568" spans="3:4" x14ac:dyDescent="0.3">
      <c r="C568" s="2" t="str">
        <f>IF(A568&lt;&gt;"",SUM(B568),"")</f>
        <v/>
      </c>
      <c r="D568" s="2" t="str">
        <f>IF(A568&lt;&gt;"",(Exame!D1*Exame!C568)/Exame!C1, "")</f>
        <v/>
      </c>
    </row>
    <row r="569" spans="3:4" x14ac:dyDescent="0.3">
      <c r="C569" s="2" t="str">
        <f>IF(A569&lt;&gt;"",SUM(B569),"")</f>
        <v/>
      </c>
      <c r="D569" s="2" t="str">
        <f>IF(A569&lt;&gt;"",(Exame!D1*Exame!C569)/Exame!C1, "")</f>
        <v/>
      </c>
    </row>
    <row r="570" spans="3:4" x14ac:dyDescent="0.3">
      <c r="C570" s="2" t="str">
        <f>IF(A570&lt;&gt;"",SUM(B570),"")</f>
        <v/>
      </c>
      <c r="D570" s="2" t="str">
        <f>IF(A570&lt;&gt;"",(Exame!D1*Exame!C570)/Exame!C1, "")</f>
        <v/>
      </c>
    </row>
    <row r="571" spans="3:4" x14ac:dyDescent="0.3">
      <c r="C571" s="2" t="str">
        <f>IF(A571&lt;&gt;"",SUM(B571),"")</f>
        <v/>
      </c>
      <c r="D571" s="2" t="str">
        <f>IF(A571&lt;&gt;"",(Exame!D1*Exame!C571)/Exame!C1, "")</f>
        <v/>
      </c>
    </row>
    <row r="572" spans="3:4" x14ac:dyDescent="0.3">
      <c r="C572" s="2" t="str">
        <f>IF(A572&lt;&gt;"",SUM(B572),"")</f>
        <v/>
      </c>
      <c r="D572" s="2" t="str">
        <f>IF(A572&lt;&gt;"",(Exame!D1*Exame!C572)/Exame!C1, "")</f>
        <v/>
      </c>
    </row>
    <row r="573" spans="3:4" x14ac:dyDescent="0.3">
      <c r="C573" s="2" t="str">
        <f>IF(A573&lt;&gt;"",SUM(B573),"")</f>
        <v/>
      </c>
      <c r="D573" s="2" t="str">
        <f>IF(A573&lt;&gt;"",(Exame!D1*Exame!C573)/Exame!C1, "")</f>
        <v/>
      </c>
    </row>
    <row r="574" spans="3:4" x14ac:dyDescent="0.3">
      <c r="C574" s="2" t="str">
        <f>IF(A574&lt;&gt;"",SUM(B574),"")</f>
        <v/>
      </c>
      <c r="D574" s="2" t="str">
        <f>IF(A574&lt;&gt;"",(Exame!D1*Exame!C574)/Exame!C1, "")</f>
        <v/>
      </c>
    </row>
    <row r="575" spans="3:4" x14ac:dyDescent="0.3">
      <c r="C575" s="2" t="str">
        <f>IF(A575&lt;&gt;"",SUM(B575),"")</f>
        <v/>
      </c>
      <c r="D575" s="2" t="str">
        <f>IF(A575&lt;&gt;"",(Exame!D1*Exame!C575)/Exame!C1, "")</f>
        <v/>
      </c>
    </row>
    <row r="576" spans="3:4" x14ac:dyDescent="0.3">
      <c r="C576" s="2" t="str">
        <f>IF(A576&lt;&gt;"",SUM(B576),"")</f>
        <v/>
      </c>
      <c r="D576" s="2" t="str">
        <f>IF(A576&lt;&gt;"",(Exame!D1*Exame!C576)/Exame!C1, "")</f>
        <v/>
      </c>
    </row>
    <row r="577" spans="3:4" x14ac:dyDescent="0.3">
      <c r="C577" s="2" t="str">
        <f>IF(A577&lt;&gt;"",SUM(B577),"")</f>
        <v/>
      </c>
      <c r="D577" s="2" t="str">
        <f>IF(A577&lt;&gt;"",(Exame!D1*Exame!C577)/Exame!C1, "")</f>
        <v/>
      </c>
    </row>
    <row r="578" spans="3:4" x14ac:dyDescent="0.3">
      <c r="C578" s="2" t="str">
        <f>IF(A578&lt;&gt;"",SUM(B578),"")</f>
        <v/>
      </c>
      <c r="D578" s="2" t="str">
        <f>IF(A578&lt;&gt;"",(Exame!D1*Exame!C578)/Exame!C1, "")</f>
        <v/>
      </c>
    </row>
    <row r="579" spans="3:4" x14ac:dyDescent="0.3">
      <c r="C579" s="2" t="str">
        <f>IF(A579&lt;&gt;"",SUM(B579),"")</f>
        <v/>
      </c>
      <c r="D579" s="2" t="str">
        <f>IF(A579&lt;&gt;"",(Exame!D1*Exame!C579)/Exame!C1, "")</f>
        <v/>
      </c>
    </row>
    <row r="580" spans="3:4" x14ac:dyDescent="0.3">
      <c r="C580" s="2" t="str">
        <f>IF(A580&lt;&gt;"",SUM(B580),"")</f>
        <v/>
      </c>
      <c r="D580" s="2" t="str">
        <f>IF(A580&lt;&gt;"",(Exame!D1*Exame!C580)/Exame!C1, "")</f>
        <v/>
      </c>
    </row>
    <row r="581" spans="3:4" x14ac:dyDescent="0.3">
      <c r="C581" s="2" t="str">
        <f>IF(A581&lt;&gt;"",SUM(B581),"")</f>
        <v/>
      </c>
      <c r="D581" s="2" t="str">
        <f>IF(A581&lt;&gt;"",(Exame!D1*Exame!C581)/Exame!C1, "")</f>
        <v/>
      </c>
    </row>
    <row r="582" spans="3:4" x14ac:dyDescent="0.3">
      <c r="C582" s="2" t="str">
        <f>IF(A582&lt;&gt;"",SUM(B582),"")</f>
        <v/>
      </c>
      <c r="D582" s="2" t="str">
        <f>IF(A582&lt;&gt;"",(Exame!D1*Exame!C582)/Exame!C1, "")</f>
        <v/>
      </c>
    </row>
    <row r="583" spans="3:4" x14ac:dyDescent="0.3">
      <c r="C583" s="2" t="str">
        <f>IF(A583&lt;&gt;"",SUM(B583),"")</f>
        <v/>
      </c>
      <c r="D583" s="2" t="str">
        <f>IF(A583&lt;&gt;"",(Exame!D1*Exame!C583)/Exame!C1, "")</f>
        <v/>
      </c>
    </row>
    <row r="584" spans="3:4" x14ac:dyDescent="0.3">
      <c r="C584" s="2" t="str">
        <f>IF(A584&lt;&gt;"",SUM(B584),"")</f>
        <v/>
      </c>
      <c r="D584" s="2" t="str">
        <f>IF(A584&lt;&gt;"",(Exame!D1*Exame!C584)/Exame!C1, "")</f>
        <v/>
      </c>
    </row>
    <row r="585" spans="3:4" x14ac:dyDescent="0.3">
      <c r="C585" s="2" t="str">
        <f>IF(A585&lt;&gt;"",SUM(B585),"")</f>
        <v/>
      </c>
      <c r="D585" s="2" t="str">
        <f>IF(A585&lt;&gt;"",(Exame!D1*Exame!C585)/Exame!C1, "")</f>
        <v/>
      </c>
    </row>
    <row r="586" spans="3:4" x14ac:dyDescent="0.3">
      <c r="C586" s="2" t="str">
        <f>IF(A586&lt;&gt;"",SUM(B586),"")</f>
        <v/>
      </c>
      <c r="D586" s="2" t="str">
        <f>IF(A586&lt;&gt;"",(Exame!D1*Exame!C586)/Exame!C1, "")</f>
        <v/>
      </c>
    </row>
    <row r="587" spans="3:4" x14ac:dyDescent="0.3">
      <c r="C587" s="2" t="str">
        <f>IF(A587&lt;&gt;"",SUM(B587),"")</f>
        <v/>
      </c>
      <c r="D587" s="2" t="str">
        <f>IF(A587&lt;&gt;"",(Exame!D1*Exame!C587)/Exame!C1, "")</f>
        <v/>
      </c>
    </row>
    <row r="588" spans="3:4" x14ac:dyDescent="0.3">
      <c r="C588" s="2" t="str">
        <f>IF(A588&lt;&gt;"",SUM(B588),"")</f>
        <v/>
      </c>
      <c r="D588" s="2" t="str">
        <f>IF(A588&lt;&gt;"",(Exame!D1*Exame!C588)/Exame!C1, "")</f>
        <v/>
      </c>
    </row>
    <row r="589" spans="3:4" x14ac:dyDescent="0.3">
      <c r="C589" s="2" t="str">
        <f>IF(A589&lt;&gt;"",SUM(B589),"")</f>
        <v/>
      </c>
      <c r="D589" s="2" t="str">
        <f>IF(A589&lt;&gt;"",(Exame!D1*Exame!C589)/Exame!C1, "")</f>
        <v/>
      </c>
    </row>
    <row r="590" spans="3:4" x14ac:dyDescent="0.3">
      <c r="C590" s="2" t="str">
        <f>IF(A590&lt;&gt;"",SUM(B590),"")</f>
        <v/>
      </c>
      <c r="D590" s="2" t="str">
        <f>IF(A590&lt;&gt;"",(Exame!D1*Exame!C590)/Exame!C1, "")</f>
        <v/>
      </c>
    </row>
    <row r="591" spans="3:4" x14ac:dyDescent="0.3">
      <c r="C591" s="2" t="str">
        <f>IF(A591&lt;&gt;"",SUM(B591),"")</f>
        <v/>
      </c>
      <c r="D591" s="2" t="str">
        <f>IF(A591&lt;&gt;"",(Exame!D1*Exame!C591)/Exame!C1, "")</f>
        <v/>
      </c>
    </row>
    <row r="592" spans="3:4" x14ac:dyDescent="0.3">
      <c r="C592" s="2" t="str">
        <f>IF(A592&lt;&gt;"",SUM(B592),"")</f>
        <v/>
      </c>
      <c r="D592" s="2" t="str">
        <f>IF(A592&lt;&gt;"",(Exame!D1*Exame!C592)/Exame!C1, "")</f>
        <v/>
      </c>
    </row>
    <row r="593" spans="3:4" x14ac:dyDescent="0.3">
      <c r="C593" s="2" t="str">
        <f>IF(A593&lt;&gt;"",SUM(B593),"")</f>
        <v/>
      </c>
      <c r="D593" s="2" t="str">
        <f>IF(A593&lt;&gt;"",(Exame!D1*Exame!C593)/Exame!C1, "")</f>
        <v/>
      </c>
    </row>
    <row r="594" spans="3:4" x14ac:dyDescent="0.3">
      <c r="C594" s="2" t="str">
        <f>IF(A594&lt;&gt;"",SUM(B594),"")</f>
        <v/>
      </c>
      <c r="D594" s="2" t="str">
        <f>IF(A594&lt;&gt;"",(Exame!D1*Exame!C594)/Exame!C1, "")</f>
        <v/>
      </c>
    </row>
    <row r="595" spans="3:4" x14ac:dyDescent="0.3">
      <c r="C595" s="2" t="str">
        <f>IF(A595&lt;&gt;"",SUM(B595),"")</f>
        <v/>
      </c>
      <c r="D595" s="2" t="str">
        <f>IF(A595&lt;&gt;"",(Exame!D1*Exame!C595)/Exame!C1, "")</f>
        <v/>
      </c>
    </row>
    <row r="596" spans="3:4" x14ac:dyDescent="0.3">
      <c r="C596" s="2" t="str">
        <f>IF(A596&lt;&gt;"",SUM(B596),"")</f>
        <v/>
      </c>
      <c r="D596" s="2" t="str">
        <f>IF(A596&lt;&gt;"",(Exame!D1*Exame!C596)/Exame!C1, "")</f>
        <v/>
      </c>
    </row>
    <row r="597" spans="3:4" x14ac:dyDescent="0.3">
      <c r="C597" s="2" t="str">
        <f>IF(A597&lt;&gt;"",SUM(B597),"")</f>
        <v/>
      </c>
      <c r="D597" s="2" t="str">
        <f>IF(A597&lt;&gt;"",(Exame!D1*Exame!C597)/Exame!C1, "")</f>
        <v/>
      </c>
    </row>
    <row r="598" spans="3:4" x14ac:dyDescent="0.3">
      <c r="C598" s="2" t="str">
        <f>IF(A598&lt;&gt;"",SUM(B598),"")</f>
        <v/>
      </c>
      <c r="D598" s="2" t="str">
        <f>IF(A598&lt;&gt;"",(Exame!D1*Exame!C598)/Exame!C1, "")</f>
        <v/>
      </c>
    </row>
    <row r="599" spans="3:4" x14ac:dyDescent="0.3">
      <c r="C599" s="2" t="str">
        <f>IF(A599&lt;&gt;"",SUM(B599),"")</f>
        <v/>
      </c>
      <c r="D599" s="2" t="str">
        <f>IF(A599&lt;&gt;"",(Exame!D1*Exame!C599)/Exame!C1, "")</f>
        <v/>
      </c>
    </row>
    <row r="600" spans="3:4" x14ac:dyDescent="0.3">
      <c r="C600" s="2" t="str">
        <f>IF(A600&lt;&gt;"",SUM(B600),"")</f>
        <v/>
      </c>
      <c r="D600" s="2" t="str">
        <f>IF(A600&lt;&gt;"",(Exame!D1*Exame!C600)/Exame!C1, "")</f>
        <v/>
      </c>
    </row>
    <row r="601" spans="3:4" x14ac:dyDescent="0.3">
      <c r="C601" s="2" t="str">
        <f>IF(A601&lt;&gt;"",SUM(B601),"")</f>
        <v/>
      </c>
      <c r="D601" s="2" t="str">
        <f>IF(A601&lt;&gt;"",(Exame!D1*Exame!C601)/Exame!C1, "")</f>
        <v/>
      </c>
    </row>
    <row r="602" spans="3:4" x14ac:dyDescent="0.3">
      <c r="C602" s="2" t="str">
        <f>IF(A602&lt;&gt;"",SUM(B602),"")</f>
        <v/>
      </c>
      <c r="D602" s="2" t="str">
        <f>IF(A602&lt;&gt;"",(Exame!D1*Exame!C602)/Exame!C1, "")</f>
        <v/>
      </c>
    </row>
    <row r="603" spans="3:4" x14ac:dyDescent="0.3">
      <c r="C603" s="2" t="str">
        <f>IF(A603&lt;&gt;"",SUM(B603),"")</f>
        <v/>
      </c>
      <c r="D603" s="2" t="str">
        <f>IF(A603&lt;&gt;"",(Exame!D1*Exame!C603)/Exame!C1, "")</f>
        <v/>
      </c>
    </row>
    <row r="604" spans="3:4" x14ac:dyDescent="0.3">
      <c r="C604" s="2" t="str">
        <f>IF(A604&lt;&gt;"",SUM(B604),"")</f>
        <v/>
      </c>
      <c r="D604" s="2" t="str">
        <f>IF(A604&lt;&gt;"",(Exame!D1*Exame!C604)/Exame!C1, "")</f>
        <v/>
      </c>
    </row>
    <row r="605" spans="3:4" x14ac:dyDescent="0.3">
      <c r="C605" s="2" t="str">
        <f>IF(A605&lt;&gt;"",SUM(B605),"")</f>
        <v/>
      </c>
      <c r="D605" s="2" t="str">
        <f>IF(A605&lt;&gt;"",(Exame!D1*Exame!C605)/Exame!C1, "")</f>
        <v/>
      </c>
    </row>
    <row r="606" spans="3:4" x14ac:dyDescent="0.3">
      <c r="C606" s="2" t="str">
        <f>IF(A606&lt;&gt;"",SUM(B606),"")</f>
        <v/>
      </c>
      <c r="D606" s="2" t="str">
        <f>IF(A606&lt;&gt;"",(Exame!D1*Exame!C606)/Exame!C1, "")</f>
        <v/>
      </c>
    </row>
    <row r="607" spans="3:4" x14ac:dyDescent="0.3">
      <c r="C607" s="2" t="str">
        <f>IF(A607&lt;&gt;"",SUM(B607),"")</f>
        <v/>
      </c>
      <c r="D607" s="2" t="str">
        <f>IF(A607&lt;&gt;"",(Exame!D1*Exame!C607)/Exame!C1, "")</f>
        <v/>
      </c>
    </row>
    <row r="608" spans="3:4" x14ac:dyDescent="0.3">
      <c r="C608" s="2" t="str">
        <f>IF(A608&lt;&gt;"",SUM(B608),"")</f>
        <v/>
      </c>
      <c r="D608" s="2" t="str">
        <f>IF(A608&lt;&gt;"",(Exame!D1*Exame!C608)/Exame!C1, "")</f>
        <v/>
      </c>
    </row>
    <row r="609" spans="3:4" x14ac:dyDescent="0.3">
      <c r="C609" s="2" t="str">
        <f>IF(A609&lt;&gt;"",SUM(B609),"")</f>
        <v/>
      </c>
      <c r="D609" s="2" t="str">
        <f>IF(A609&lt;&gt;"",(Exame!D1*Exame!C609)/Exame!C1, "")</f>
        <v/>
      </c>
    </row>
    <row r="610" spans="3:4" x14ac:dyDescent="0.3">
      <c r="C610" s="2" t="str">
        <f>IF(A610&lt;&gt;"",SUM(B610),"")</f>
        <v/>
      </c>
      <c r="D610" s="2" t="str">
        <f>IF(A610&lt;&gt;"",(Exame!D1*Exame!C610)/Exame!C1, "")</f>
        <v/>
      </c>
    </row>
    <row r="611" spans="3:4" x14ac:dyDescent="0.3">
      <c r="C611" s="2" t="str">
        <f>IF(A611&lt;&gt;"",SUM(B611),"")</f>
        <v/>
      </c>
      <c r="D611" s="2" t="str">
        <f>IF(A611&lt;&gt;"",(Exame!D1*Exame!C611)/Exame!C1, "")</f>
        <v/>
      </c>
    </row>
    <row r="612" spans="3:4" x14ac:dyDescent="0.3">
      <c r="C612" s="2" t="str">
        <f>IF(A612&lt;&gt;"",SUM(B612),"")</f>
        <v/>
      </c>
      <c r="D612" s="2" t="str">
        <f>IF(A612&lt;&gt;"",(Exame!D1*Exame!C612)/Exame!C1, "")</f>
        <v/>
      </c>
    </row>
    <row r="613" spans="3:4" x14ac:dyDescent="0.3">
      <c r="C613" s="2" t="str">
        <f>IF(A613&lt;&gt;"",SUM(B613),"")</f>
        <v/>
      </c>
      <c r="D613" s="2" t="str">
        <f>IF(A613&lt;&gt;"",(Exame!D1*Exame!C613)/Exame!C1, "")</f>
        <v/>
      </c>
    </row>
    <row r="614" spans="3:4" x14ac:dyDescent="0.3">
      <c r="C614" s="2" t="str">
        <f>IF(A614&lt;&gt;"",SUM(B614),"")</f>
        <v/>
      </c>
      <c r="D614" s="2" t="str">
        <f>IF(A614&lt;&gt;"",(Exame!D1*Exame!C614)/Exame!C1, "")</f>
        <v/>
      </c>
    </row>
    <row r="615" spans="3:4" x14ac:dyDescent="0.3">
      <c r="C615" s="2" t="str">
        <f>IF(A615&lt;&gt;"",SUM(B615),"")</f>
        <v/>
      </c>
      <c r="D615" s="2" t="str">
        <f>IF(A615&lt;&gt;"",(Exame!D1*Exame!C615)/Exame!C1, "")</f>
        <v/>
      </c>
    </row>
    <row r="616" spans="3:4" x14ac:dyDescent="0.3">
      <c r="C616" s="2" t="str">
        <f>IF(A616&lt;&gt;"",SUM(B616),"")</f>
        <v/>
      </c>
      <c r="D616" s="2" t="str">
        <f>IF(A616&lt;&gt;"",(Exame!D1*Exame!C616)/Exame!C1, "")</f>
        <v/>
      </c>
    </row>
    <row r="617" spans="3:4" x14ac:dyDescent="0.3">
      <c r="C617" s="2" t="str">
        <f>IF(A617&lt;&gt;"",SUM(B617),"")</f>
        <v/>
      </c>
      <c r="D617" s="2" t="str">
        <f>IF(A617&lt;&gt;"",(Exame!D1*Exame!C617)/Exame!C1, "")</f>
        <v/>
      </c>
    </row>
    <row r="618" spans="3:4" x14ac:dyDescent="0.3">
      <c r="C618" s="2" t="str">
        <f>IF(A618&lt;&gt;"",SUM(B618),"")</f>
        <v/>
      </c>
      <c r="D618" s="2" t="str">
        <f>IF(A618&lt;&gt;"",(Exame!D1*Exame!C618)/Exame!C1, "")</f>
        <v/>
      </c>
    </row>
    <row r="619" spans="3:4" x14ac:dyDescent="0.3">
      <c r="C619" s="2" t="str">
        <f>IF(A619&lt;&gt;"",SUM(B619),"")</f>
        <v/>
      </c>
      <c r="D619" s="2" t="str">
        <f>IF(A619&lt;&gt;"",(Exame!D1*Exame!C619)/Exame!C1, "")</f>
        <v/>
      </c>
    </row>
    <row r="620" spans="3:4" x14ac:dyDescent="0.3">
      <c r="C620" s="2" t="str">
        <f>IF(A620&lt;&gt;"",SUM(B620),"")</f>
        <v/>
      </c>
      <c r="D620" s="2" t="str">
        <f>IF(A620&lt;&gt;"",(Exame!D1*Exame!C620)/Exame!C1, "")</f>
        <v/>
      </c>
    </row>
    <row r="621" spans="3:4" x14ac:dyDescent="0.3">
      <c r="C621" s="2" t="str">
        <f>IF(A621&lt;&gt;"",SUM(B621),"")</f>
        <v/>
      </c>
      <c r="D621" s="2" t="str">
        <f>IF(A621&lt;&gt;"",(Exame!D1*Exame!C621)/Exame!C1, "")</f>
        <v/>
      </c>
    </row>
    <row r="622" spans="3:4" x14ac:dyDescent="0.3">
      <c r="C622" s="2" t="str">
        <f>IF(A622&lt;&gt;"",SUM(B622),"")</f>
        <v/>
      </c>
      <c r="D622" s="2" t="str">
        <f>IF(A622&lt;&gt;"",(Exame!D1*Exame!C622)/Exame!C1, "")</f>
        <v/>
      </c>
    </row>
    <row r="623" spans="3:4" x14ac:dyDescent="0.3">
      <c r="C623" s="2" t="str">
        <f>IF(A623&lt;&gt;"",SUM(B623),"")</f>
        <v/>
      </c>
      <c r="D623" s="2" t="str">
        <f>IF(A623&lt;&gt;"",(Exame!D1*Exame!C623)/Exame!C1, "")</f>
        <v/>
      </c>
    </row>
    <row r="624" spans="3:4" x14ac:dyDescent="0.3">
      <c r="C624" s="2" t="str">
        <f>IF(A624&lt;&gt;"",SUM(B624),"")</f>
        <v/>
      </c>
      <c r="D624" s="2" t="str">
        <f>IF(A624&lt;&gt;"",(Exame!D1*Exame!C624)/Exame!C1, "")</f>
        <v/>
      </c>
    </row>
    <row r="625" spans="3:4" x14ac:dyDescent="0.3">
      <c r="C625" s="2" t="str">
        <f>IF(A625&lt;&gt;"",SUM(B625),"")</f>
        <v/>
      </c>
      <c r="D625" s="2" t="str">
        <f>IF(A625&lt;&gt;"",(Exame!D1*Exame!C625)/Exame!C1, "")</f>
        <v/>
      </c>
    </row>
    <row r="626" spans="3:4" x14ac:dyDescent="0.3">
      <c r="C626" s="2" t="str">
        <f>IF(A626&lt;&gt;"",SUM(B626),"")</f>
        <v/>
      </c>
      <c r="D626" s="2" t="str">
        <f>IF(A626&lt;&gt;"",(Exame!D1*Exame!C626)/Exame!C1, "")</f>
        <v/>
      </c>
    </row>
    <row r="627" spans="3:4" x14ac:dyDescent="0.3">
      <c r="C627" s="2" t="str">
        <f>IF(A627&lt;&gt;"",SUM(B627),"")</f>
        <v/>
      </c>
      <c r="D627" s="2" t="str">
        <f>IF(A627&lt;&gt;"",(Exame!D1*Exame!C627)/Exame!C1, "")</f>
        <v/>
      </c>
    </row>
    <row r="628" spans="3:4" x14ac:dyDescent="0.3">
      <c r="C628" s="2" t="str">
        <f>IF(A628&lt;&gt;"",SUM(B628),"")</f>
        <v/>
      </c>
      <c r="D628" s="2" t="str">
        <f>IF(A628&lt;&gt;"",(Exame!D1*Exame!C628)/Exame!C1, "")</f>
        <v/>
      </c>
    </row>
    <row r="629" spans="3:4" x14ac:dyDescent="0.3">
      <c r="C629" s="2" t="str">
        <f>IF(A629&lt;&gt;"",SUM(B629),"")</f>
        <v/>
      </c>
      <c r="D629" s="2" t="str">
        <f>IF(A629&lt;&gt;"",(Exame!D1*Exame!C629)/Exame!C1, "")</f>
        <v/>
      </c>
    </row>
    <row r="630" spans="3:4" x14ac:dyDescent="0.3">
      <c r="C630" s="2" t="str">
        <f>IF(A630&lt;&gt;"",SUM(B630),"")</f>
        <v/>
      </c>
      <c r="D630" s="2" t="str">
        <f>IF(A630&lt;&gt;"",(Exame!D1*Exame!C630)/Exame!C1, "")</f>
        <v/>
      </c>
    </row>
    <row r="631" spans="3:4" x14ac:dyDescent="0.3">
      <c r="C631" s="2" t="str">
        <f>IF(A631&lt;&gt;"",SUM(B631),"")</f>
        <v/>
      </c>
      <c r="D631" s="2" t="str">
        <f>IF(A631&lt;&gt;"",(Exame!D1*Exame!C631)/Exame!C1, "")</f>
        <v/>
      </c>
    </row>
    <row r="632" spans="3:4" x14ac:dyDescent="0.3">
      <c r="C632" s="2" t="str">
        <f>IF(A632&lt;&gt;"",SUM(B632),"")</f>
        <v/>
      </c>
      <c r="D632" s="2" t="str">
        <f>IF(A632&lt;&gt;"",(Exame!D1*Exame!C632)/Exame!C1, "")</f>
        <v/>
      </c>
    </row>
    <row r="633" spans="3:4" x14ac:dyDescent="0.3">
      <c r="C633" s="2" t="str">
        <f>IF(A633&lt;&gt;"",SUM(B633),"")</f>
        <v/>
      </c>
      <c r="D633" s="2" t="str">
        <f>IF(A633&lt;&gt;"",(Exame!D1*Exame!C633)/Exame!C1, "")</f>
        <v/>
      </c>
    </row>
    <row r="634" spans="3:4" x14ac:dyDescent="0.3">
      <c r="C634" s="2" t="str">
        <f>IF(A634&lt;&gt;"",SUM(B634),"")</f>
        <v/>
      </c>
      <c r="D634" s="2" t="str">
        <f>IF(A634&lt;&gt;"",(Exame!D1*Exame!C634)/Exame!C1, "")</f>
        <v/>
      </c>
    </row>
    <row r="635" spans="3:4" x14ac:dyDescent="0.3">
      <c r="C635" s="2" t="str">
        <f>IF(A635&lt;&gt;"",SUM(B635),"")</f>
        <v/>
      </c>
      <c r="D635" s="2" t="str">
        <f>IF(A635&lt;&gt;"",(Exame!D1*Exame!C635)/Exame!C1, "")</f>
        <v/>
      </c>
    </row>
    <row r="636" spans="3:4" x14ac:dyDescent="0.3">
      <c r="C636" s="2" t="str">
        <f>IF(A636&lt;&gt;"",SUM(B636),"")</f>
        <v/>
      </c>
      <c r="D636" s="2" t="str">
        <f>IF(A636&lt;&gt;"",(Exame!D1*Exame!C636)/Exame!C1, "")</f>
        <v/>
      </c>
    </row>
    <row r="637" spans="3:4" x14ac:dyDescent="0.3">
      <c r="C637" s="2" t="str">
        <f>IF(A637&lt;&gt;"",SUM(B637),"")</f>
        <v/>
      </c>
      <c r="D637" s="2" t="str">
        <f>IF(A637&lt;&gt;"",(Exame!D1*Exame!C637)/Exame!C1, "")</f>
        <v/>
      </c>
    </row>
    <row r="638" spans="3:4" x14ac:dyDescent="0.3">
      <c r="C638" s="2" t="str">
        <f>IF(A638&lt;&gt;"",SUM(B638),"")</f>
        <v/>
      </c>
      <c r="D638" s="2" t="str">
        <f>IF(A638&lt;&gt;"",(Exame!D1*Exame!C638)/Exame!C1, "")</f>
        <v/>
      </c>
    </row>
    <row r="639" spans="3:4" x14ac:dyDescent="0.3">
      <c r="C639" s="2" t="str">
        <f>IF(A639&lt;&gt;"",SUM(B639),"")</f>
        <v/>
      </c>
      <c r="D639" s="2" t="str">
        <f>IF(A639&lt;&gt;"",(Exame!D1*Exame!C639)/Exame!C1, "")</f>
        <v/>
      </c>
    </row>
    <row r="640" spans="3:4" x14ac:dyDescent="0.3">
      <c r="C640" s="2" t="str">
        <f>IF(A640&lt;&gt;"",SUM(B640),"")</f>
        <v/>
      </c>
      <c r="D640" s="2" t="str">
        <f>IF(A640&lt;&gt;"",(Exame!D1*Exame!C640)/Exame!C1, "")</f>
        <v/>
      </c>
    </row>
    <row r="641" spans="3:4" x14ac:dyDescent="0.3">
      <c r="C641" s="2" t="str">
        <f>IF(A641&lt;&gt;"",SUM(B641),"")</f>
        <v/>
      </c>
      <c r="D641" s="2" t="str">
        <f>IF(A641&lt;&gt;"",(Exame!D1*Exame!C641)/Exame!C1, "")</f>
        <v/>
      </c>
    </row>
    <row r="642" spans="3:4" x14ac:dyDescent="0.3">
      <c r="C642" s="2" t="str">
        <f>IF(A642&lt;&gt;"",SUM(B642),"")</f>
        <v/>
      </c>
      <c r="D642" s="2" t="str">
        <f>IF(A642&lt;&gt;"",(Exame!D1*Exame!C642)/Exame!C1, "")</f>
        <v/>
      </c>
    </row>
    <row r="643" spans="3:4" x14ac:dyDescent="0.3">
      <c r="C643" s="2" t="str">
        <f>IF(A643&lt;&gt;"",SUM(B643),"")</f>
        <v/>
      </c>
      <c r="D643" s="2" t="str">
        <f>IF(A643&lt;&gt;"",(Exame!D1*Exame!C643)/Exame!C1, "")</f>
        <v/>
      </c>
    </row>
    <row r="644" spans="3:4" x14ac:dyDescent="0.3">
      <c r="C644" s="2" t="str">
        <f>IF(A644&lt;&gt;"",SUM(B644),"")</f>
        <v/>
      </c>
      <c r="D644" s="2" t="str">
        <f>IF(A644&lt;&gt;"",(Exame!D1*Exame!C644)/Exame!C1, "")</f>
        <v/>
      </c>
    </row>
    <row r="645" spans="3:4" x14ac:dyDescent="0.3">
      <c r="C645" s="2" t="str">
        <f>IF(A645&lt;&gt;"",SUM(B645),"")</f>
        <v/>
      </c>
      <c r="D645" s="2" t="str">
        <f>IF(A645&lt;&gt;"",(Exame!D1*Exame!C645)/Exame!C1, "")</f>
        <v/>
      </c>
    </row>
    <row r="646" spans="3:4" x14ac:dyDescent="0.3">
      <c r="C646" s="2" t="str">
        <f>IF(A646&lt;&gt;"",SUM(B646),"")</f>
        <v/>
      </c>
      <c r="D646" s="2" t="str">
        <f>IF(A646&lt;&gt;"",(Exame!D1*Exame!C646)/Exame!C1, "")</f>
        <v/>
      </c>
    </row>
    <row r="647" spans="3:4" x14ac:dyDescent="0.3">
      <c r="C647" s="2" t="str">
        <f>IF(A647&lt;&gt;"",SUM(B647),"")</f>
        <v/>
      </c>
      <c r="D647" s="2" t="str">
        <f>IF(A647&lt;&gt;"",(Exame!D1*Exame!C647)/Exame!C1, "")</f>
        <v/>
      </c>
    </row>
    <row r="648" spans="3:4" x14ac:dyDescent="0.3">
      <c r="C648" s="2" t="str">
        <f>IF(A648&lt;&gt;"",SUM(B648),"")</f>
        <v/>
      </c>
      <c r="D648" s="2" t="str">
        <f>IF(A648&lt;&gt;"",(Exame!D1*Exame!C648)/Exame!C1, "")</f>
        <v/>
      </c>
    </row>
    <row r="649" spans="3:4" x14ac:dyDescent="0.3">
      <c r="C649" s="2" t="str">
        <f>IF(A649&lt;&gt;"",SUM(B649),"")</f>
        <v/>
      </c>
      <c r="D649" s="2" t="str">
        <f>IF(A649&lt;&gt;"",(Exame!D1*Exame!C649)/Exame!C1, "")</f>
        <v/>
      </c>
    </row>
    <row r="650" spans="3:4" x14ac:dyDescent="0.3">
      <c r="C650" s="2" t="str">
        <f>IF(A650&lt;&gt;"",SUM(B650),"")</f>
        <v/>
      </c>
      <c r="D650" s="2" t="str">
        <f>IF(A650&lt;&gt;"",(Exame!D1*Exame!C650)/Exame!C1, "")</f>
        <v/>
      </c>
    </row>
    <row r="651" spans="3:4" x14ac:dyDescent="0.3">
      <c r="C651" s="2" t="str">
        <f>IF(A651&lt;&gt;"",SUM(B651),"")</f>
        <v/>
      </c>
      <c r="D651" s="2" t="str">
        <f>IF(A651&lt;&gt;"",(Exame!D1*Exame!C651)/Exame!C1, "")</f>
        <v/>
      </c>
    </row>
    <row r="652" spans="3:4" x14ac:dyDescent="0.3">
      <c r="C652" s="2" t="str">
        <f>IF(A652&lt;&gt;"",SUM(B652),"")</f>
        <v/>
      </c>
      <c r="D652" s="2" t="str">
        <f>IF(A652&lt;&gt;"",(Exame!D1*Exame!C652)/Exame!C1, "")</f>
        <v/>
      </c>
    </row>
    <row r="653" spans="3:4" x14ac:dyDescent="0.3">
      <c r="C653" s="2" t="str">
        <f>IF(A653&lt;&gt;"",SUM(B653),"")</f>
        <v/>
      </c>
      <c r="D653" s="2" t="str">
        <f>IF(A653&lt;&gt;"",(Exame!D1*Exame!C653)/Exame!C1, "")</f>
        <v/>
      </c>
    </row>
    <row r="654" spans="3:4" x14ac:dyDescent="0.3">
      <c r="C654" s="2" t="str">
        <f>IF(A654&lt;&gt;"",SUM(B654),"")</f>
        <v/>
      </c>
      <c r="D654" s="2" t="str">
        <f>IF(A654&lt;&gt;"",(Exame!D1*Exame!C654)/Exame!C1, "")</f>
        <v/>
      </c>
    </row>
    <row r="655" spans="3:4" x14ac:dyDescent="0.3">
      <c r="C655" s="2" t="str">
        <f>IF(A655&lt;&gt;"",SUM(B655),"")</f>
        <v/>
      </c>
      <c r="D655" s="2" t="str">
        <f>IF(A655&lt;&gt;"",(Exame!D1*Exame!C655)/Exame!C1, "")</f>
        <v/>
      </c>
    </row>
    <row r="656" spans="3:4" x14ac:dyDescent="0.3">
      <c r="C656" s="2" t="str">
        <f>IF(A656&lt;&gt;"",SUM(B656),"")</f>
        <v/>
      </c>
      <c r="D656" s="2" t="str">
        <f>IF(A656&lt;&gt;"",(Exame!D1*Exame!C656)/Exame!C1, "")</f>
        <v/>
      </c>
    </row>
    <row r="657" spans="3:4" x14ac:dyDescent="0.3">
      <c r="C657" s="2" t="str">
        <f>IF(A657&lt;&gt;"",SUM(B657),"")</f>
        <v/>
      </c>
      <c r="D657" s="2" t="str">
        <f>IF(A657&lt;&gt;"",(Exame!D1*Exame!C657)/Exame!C1, "")</f>
        <v/>
      </c>
    </row>
    <row r="658" spans="3:4" x14ac:dyDescent="0.3">
      <c r="C658" s="2" t="str">
        <f>IF(A658&lt;&gt;"",SUM(B658),"")</f>
        <v/>
      </c>
      <c r="D658" s="2" t="str">
        <f>IF(A658&lt;&gt;"",(Exame!D1*Exame!C658)/Exame!C1, "")</f>
        <v/>
      </c>
    </row>
    <row r="659" spans="3:4" x14ac:dyDescent="0.3">
      <c r="C659" s="2" t="str">
        <f>IF(A659&lt;&gt;"",SUM(B659),"")</f>
        <v/>
      </c>
      <c r="D659" s="2" t="str">
        <f>IF(A659&lt;&gt;"",(Exame!D1*Exame!C659)/Exame!C1, "")</f>
        <v/>
      </c>
    </row>
    <row r="660" spans="3:4" x14ac:dyDescent="0.3">
      <c r="C660" s="2" t="str">
        <f>IF(A660&lt;&gt;"",SUM(B660),"")</f>
        <v/>
      </c>
      <c r="D660" s="2" t="str">
        <f>IF(A660&lt;&gt;"",(Exame!D1*Exame!C660)/Exame!C1, "")</f>
        <v/>
      </c>
    </row>
    <row r="661" spans="3:4" x14ac:dyDescent="0.3">
      <c r="C661" s="2" t="str">
        <f>IF(A661&lt;&gt;"",SUM(B661),"")</f>
        <v/>
      </c>
      <c r="D661" s="2" t="str">
        <f>IF(A661&lt;&gt;"",(Exame!D1*Exame!C661)/Exame!C1, "")</f>
        <v/>
      </c>
    </row>
    <row r="662" spans="3:4" x14ac:dyDescent="0.3">
      <c r="C662" s="2" t="str">
        <f>IF(A662&lt;&gt;"",SUM(B662),"")</f>
        <v/>
      </c>
      <c r="D662" s="2" t="str">
        <f>IF(A662&lt;&gt;"",(Exame!D1*Exame!C662)/Exame!C1, "")</f>
        <v/>
      </c>
    </row>
    <row r="663" spans="3:4" x14ac:dyDescent="0.3">
      <c r="C663" s="2" t="str">
        <f>IF(A663&lt;&gt;"",SUM(B663),"")</f>
        <v/>
      </c>
      <c r="D663" s="2" t="str">
        <f>IF(A663&lt;&gt;"",(Exame!D1*Exame!C663)/Exame!C1, "")</f>
        <v/>
      </c>
    </row>
    <row r="664" spans="3:4" x14ac:dyDescent="0.3">
      <c r="C664" s="2" t="str">
        <f>IF(A664&lt;&gt;"",SUM(B664),"")</f>
        <v/>
      </c>
      <c r="D664" s="2" t="str">
        <f>IF(A664&lt;&gt;"",(Exame!D1*Exame!C664)/Exame!C1, "")</f>
        <v/>
      </c>
    </row>
    <row r="665" spans="3:4" x14ac:dyDescent="0.3">
      <c r="C665" s="2" t="str">
        <f>IF(A665&lt;&gt;"",SUM(B665),"")</f>
        <v/>
      </c>
      <c r="D665" s="2" t="str">
        <f>IF(A665&lt;&gt;"",(Exame!D1*Exame!C665)/Exame!C1, "")</f>
        <v/>
      </c>
    </row>
    <row r="666" spans="3:4" x14ac:dyDescent="0.3">
      <c r="C666" s="2" t="str">
        <f>IF(A666&lt;&gt;"",SUM(B666),"")</f>
        <v/>
      </c>
      <c r="D666" s="2" t="str">
        <f>IF(A666&lt;&gt;"",(Exame!D1*Exame!C666)/Exame!C1, "")</f>
        <v/>
      </c>
    </row>
    <row r="667" spans="3:4" x14ac:dyDescent="0.3">
      <c r="C667" s="2" t="str">
        <f>IF(A667&lt;&gt;"",SUM(B667),"")</f>
        <v/>
      </c>
      <c r="D667" s="2" t="str">
        <f>IF(A667&lt;&gt;"",(Exame!D1*Exame!C667)/Exame!C1, "")</f>
        <v/>
      </c>
    </row>
    <row r="668" spans="3:4" x14ac:dyDescent="0.3">
      <c r="C668" s="2" t="str">
        <f>IF(A668&lt;&gt;"",SUM(B668),"")</f>
        <v/>
      </c>
      <c r="D668" s="2" t="str">
        <f>IF(A668&lt;&gt;"",(Exame!D1*Exame!C668)/Exame!C1, "")</f>
        <v/>
      </c>
    </row>
    <row r="669" spans="3:4" x14ac:dyDescent="0.3">
      <c r="C669" s="2" t="str">
        <f>IF(A669&lt;&gt;"",SUM(B669),"")</f>
        <v/>
      </c>
      <c r="D669" s="2" t="str">
        <f>IF(A669&lt;&gt;"",(Exame!D1*Exame!C669)/Exame!C1, "")</f>
        <v/>
      </c>
    </row>
    <row r="670" spans="3:4" x14ac:dyDescent="0.3">
      <c r="C670" s="2" t="str">
        <f>IF(A670&lt;&gt;"",SUM(B670),"")</f>
        <v/>
      </c>
      <c r="D670" s="2" t="str">
        <f>IF(A670&lt;&gt;"",(Exame!D1*Exame!C670)/Exame!C1, "")</f>
        <v/>
      </c>
    </row>
    <row r="671" spans="3:4" x14ac:dyDescent="0.3">
      <c r="C671" s="2" t="str">
        <f>IF(A671&lt;&gt;"",SUM(B671),"")</f>
        <v/>
      </c>
      <c r="D671" s="2" t="str">
        <f>IF(A671&lt;&gt;"",(Exame!D1*Exame!C671)/Exame!C1, "")</f>
        <v/>
      </c>
    </row>
    <row r="672" spans="3:4" x14ac:dyDescent="0.3">
      <c r="C672" s="2" t="str">
        <f>IF(A672&lt;&gt;"",SUM(B672),"")</f>
        <v/>
      </c>
      <c r="D672" s="2" t="str">
        <f>IF(A672&lt;&gt;"",(Exame!D1*Exame!C672)/Exame!C1, "")</f>
        <v/>
      </c>
    </row>
    <row r="673" spans="3:4" x14ac:dyDescent="0.3">
      <c r="C673" s="2" t="str">
        <f>IF(A673&lt;&gt;"",SUM(B673),"")</f>
        <v/>
      </c>
      <c r="D673" s="2" t="str">
        <f>IF(A673&lt;&gt;"",(Exame!D1*Exame!C673)/Exame!C1, "")</f>
        <v/>
      </c>
    </row>
    <row r="674" spans="3:4" x14ac:dyDescent="0.3">
      <c r="C674" s="2" t="str">
        <f>IF(A674&lt;&gt;"",SUM(B674),"")</f>
        <v/>
      </c>
      <c r="D674" s="2" t="str">
        <f>IF(A674&lt;&gt;"",(Exame!D1*Exame!C674)/Exame!C1, "")</f>
        <v/>
      </c>
    </row>
    <row r="675" spans="3:4" x14ac:dyDescent="0.3">
      <c r="C675" s="2" t="str">
        <f>IF(A675&lt;&gt;"",SUM(B675),"")</f>
        <v/>
      </c>
      <c r="D675" s="2" t="str">
        <f>IF(A675&lt;&gt;"",(Exame!D1*Exame!C675)/Exame!C1, "")</f>
        <v/>
      </c>
    </row>
    <row r="676" spans="3:4" x14ac:dyDescent="0.3">
      <c r="C676" s="2" t="str">
        <f>IF(A676&lt;&gt;"",SUM(B676),"")</f>
        <v/>
      </c>
      <c r="D676" s="2" t="str">
        <f>IF(A676&lt;&gt;"",(Exame!D1*Exame!C676)/Exame!C1, "")</f>
        <v/>
      </c>
    </row>
    <row r="677" spans="3:4" x14ac:dyDescent="0.3">
      <c r="C677" s="2" t="str">
        <f>IF(A677&lt;&gt;"",SUM(B677),"")</f>
        <v/>
      </c>
      <c r="D677" s="2" t="str">
        <f>IF(A677&lt;&gt;"",(Exame!D1*Exame!C677)/Exame!C1, "")</f>
        <v/>
      </c>
    </row>
    <row r="678" spans="3:4" x14ac:dyDescent="0.3">
      <c r="C678" s="2" t="str">
        <f>IF(A678&lt;&gt;"",SUM(B678),"")</f>
        <v/>
      </c>
      <c r="D678" s="2" t="str">
        <f>IF(A678&lt;&gt;"",(Exame!D1*Exame!C678)/Exame!C1, "")</f>
        <v/>
      </c>
    </row>
    <row r="679" spans="3:4" x14ac:dyDescent="0.3">
      <c r="C679" s="2" t="str">
        <f>IF(A679&lt;&gt;"",SUM(B679),"")</f>
        <v/>
      </c>
      <c r="D679" s="2" t="str">
        <f>IF(A679&lt;&gt;"",(Exame!D1*Exame!C679)/Exame!C1, "")</f>
        <v/>
      </c>
    </row>
    <row r="680" spans="3:4" x14ac:dyDescent="0.3">
      <c r="C680" s="2" t="str">
        <f>IF(A680&lt;&gt;"",SUM(B680),"")</f>
        <v/>
      </c>
      <c r="D680" s="2" t="str">
        <f>IF(A680&lt;&gt;"",(Exame!D1*Exame!C680)/Exame!C1, "")</f>
        <v/>
      </c>
    </row>
    <row r="681" spans="3:4" x14ac:dyDescent="0.3">
      <c r="C681" s="2" t="str">
        <f>IF(A681&lt;&gt;"",SUM(B681),"")</f>
        <v/>
      </c>
      <c r="D681" s="2" t="str">
        <f>IF(A681&lt;&gt;"",(Exame!D1*Exame!C681)/Exame!C1, "")</f>
        <v/>
      </c>
    </row>
    <row r="682" spans="3:4" x14ac:dyDescent="0.3">
      <c r="C682" s="2" t="str">
        <f>IF(A682&lt;&gt;"",SUM(B682),"")</f>
        <v/>
      </c>
      <c r="D682" s="2" t="str">
        <f>IF(A682&lt;&gt;"",(Exame!D1*Exame!C682)/Exame!C1, "")</f>
        <v/>
      </c>
    </row>
    <row r="683" spans="3:4" x14ac:dyDescent="0.3">
      <c r="C683" s="2" t="str">
        <f>IF(A683&lt;&gt;"",SUM(B683),"")</f>
        <v/>
      </c>
      <c r="D683" s="2" t="str">
        <f>IF(A683&lt;&gt;"",(Exame!D1*Exame!C683)/Exame!C1, "")</f>
        <v/>
      </c>
    </row>
    <row r="684" spans="3:4" x14ac:dyDescent="0.3">
      <c r="C684" s="2" t="str">
        <f>IF(A684&lt;&gt;"",SUM(B684),"")</f>
        <v/>
      </c>
      <c r="D684" s="2" t="str">
        <f>IF(A684&lt;&gt;"",(Exame!D1*Exame!C684)/Exame!C1, "")</f>
        <v/>
      </c>
    </row>
    <row r="685" spans="3:4" x14ac:dyDescent="0.3">
      <c r="C685" s="2" t="str">
        <f>IF(A685&lt;&gt;"",SUM(B685),"")</f>
        <v/>
      </c>
      <c r="D685" s="2" t="str">
        <f>IF(A685&lt;&gt;"",(Exame!D1*Exame!C685)/Exame!C1, "")</f>
        <v/>
      </c>
    </row>
    <row r="686" spans="3:4" x14ac:dyDescent="0.3">
      <c r="C686" s="2" t="str">
        <f>IF(A686&lt;&gt;"",SUM(B686),"")</f>
        <v/>
      </c>
      <c r="D686" s="2" t="str">
        <f>IF(A686&lt;&gt;"",(Exame!D1*Exame!C686)/Exame!C1, "")</f>
        <v/>
      </c>
    </row>
    <row r="687" spans="3:4" x14ac:dyDescent="0.3">
      <c r="C687" s="2" t="str">
        <f>IF(A687&lt;&gt;"",SUM(B687),"")</f>
        <v/>
      </c>
      <c r="D687" s="2" t="str">
        <f>IF(A687&lt;&gt;"",(Exame!D1*Exame!C687)/Exame!C1, "")</f>
        <v/>
      </c>
    </row>
    <row r="688" spans="3:4" x14ac:dyDescent="0.3">
      <c r="C688" s="2" t="str">
        <f>IF(A688&lt;&gt;"",SUM(B688),"")</f>
        <v/>
      </c>
      <c r="D688" s="2" t="str">
        <f>IF(A688&lt;&gt;"",(Exame!D1*Exame!C688)/Exame!C1, "")</f>
        <v/>
      </c>
    </row>
    <row r="689" spans="3:4" x14ac:dyDescent="0.3">
      <c r="C689" s="2" t="str">
        <f>IF(A689&lt;&gt;"",SUM(B689),"")</f>
        <v/>
      </c>
      <c r="D689" s="2" t="str">
        <f>IF(A689&lt;&gt;"",(Exame!D1*Exame!C689)/Exame!C1, "")</f>
        <v/>
      </c>
    </row>
    <row r="690" spans="3:4" x14ac:dyDescent="0.3">
      <c r="C690" s="2" t="str">
        <f>IF(A690&lt;&gt;"",SUM(B690),"")</f>
        <v/>
      </c>
      <c r="D690" s="2" t="str">
        <f>IF(A690&lt;&gt;"",(Exame!D1*Exame!C690)/Exame!C1, "")</f>
        <v/>
      </c>
    </row>
    <row r="691" spans="3:4" x14ac:dyDescent="0.3">
      <c r="C691" s="2" t="str">
        <f>IF(A691&lt;&gt;"",SUM(B691),"")</f>
        <v/>
      </c>
      <c r="D691" s="2" t="str">
        <f>IF(A691&lt;&gt;"",(Exame!D1*Exame!C691)/Exame!C1, "")</f>
        <v/>
      </c>
    </row>
    <row r="692" spans="3:4" x14ac:dyDescent="0.3">
      <c r="C692" s="2" t="str">
        <f>IF(A692&lt;&gt;"",SUM(B692),"")</f>
        <v/>
      </c>
      <c r="D692" s="2" t="str">
        <f>IF(A692&lt;&gt;"",(Exame!D1*Exame!C692)/Exame!C1, "")</f>
        <v/>
      </c>
    </row>
    <row r="693" spans="3:4" x14ac:dyDescent="0.3">
      <c r="C693" s="2" t="str">
        <f>IF(A693&lt;&gt;"",SUM(B693),"")</f>
        <v/>
      </c>
      <c r="D693" s="2" t="str">
        <f>IF(A693&lt;&gt;"",(Exame!D1*Exame!C693)/Exame!C1, "")</f>
        <v/>
      </c>
    </row>
    <row r="694" spans="3:4" x14ac:dyDescent="0.3">
      <c r="C694" s="2" t="str">
        <f>IF(A694&lt;&gt;"",SUM(B694),"")</f>
        <v/>
      </c>
      <c r="D694" s="2" t="str">
        <f>IF(A694&lt;&gt;"",(Exame!D1*Exame!C694)/Exame!C1, "")</f>
        <v/>
      </c>
    </row>
    <row r="695" spans="3:4" x14ac:dyDescent="0.3">
      <c r="C695" s="2" t="str">
        <f>IF(A695&lt;&gt;"",SUM(B695),"")</f>
        <v/>
      </c>
      <c r="D695" s="2" t="str">
        <f>IF(A695&lt;&gt;"",(Exame!D1*Exame!C695)/Exame!C1, "")</f>
        <v/>
      </c>
    </row>
    <row r="696" spans="3:4" x14ac:dyDescent="0.3">
      <c r="C696" s="2" t="str">
        <f>IF(A696&lt;&gt;"",SUM(B696),"")</f>
        <v/>
      </c>
      <c r="D696" s="2" t="str">
        <f>IF(A696&lt;&gt;"",(Exame!D1*Exame!C696)/Exame!C1, "")</f>
        <v/>
      </c>
    </row>
    <row r="697" spans="3:4" x14ac:dyDescent="0.3">
      <c r="C697" s="2" t="str">
        <f>IF(A697&lt;&gt;"",SUM(B697),"")</f>
        <v/>
      </c>
      <c r="D697" s="2" t="str">
        <f>IF(A697&lt;&gt;"",(Exame!D1*Exame!C697)/Exame!C1, "")</f>
        <v/>
      </c>
    </row>
    <row r="698" spans="3:4" x14ac:dyDescent="0.3">
      <c r="C698" s="2" t="str">
        <f>IF(A698&lt;&gt;"",SUM(B698),"")</f>
        <v/>
      </c>
      <c r="D698" s="2" t="str">
        <f>IF(A698&lt;&gt;"",(Exame!D1*Exame!C698)/Exame!C1, "")</f>
        <v/>
      </c>
    </row>
    <row r="699" spans="3:4" x14ac:dyDescent="0.3">
      <c r="C699" s="2" t="str">
        <f>IF(A699&lt;&gt;"",SUM(B699),"")</f>
        <v/>
      </c>
      <c r="D699" s="2" t="str">
        <f>IF(A699&lt;&gt;"",(Exame!D1*Exame!C699)/Exame!C1, "")</f>
        <v/>
      </c>
    </row>
    <row r="700" spans="3:4" x14ac:dyDescent="0.3">
      <c r="C700" s="2" t="str">
        <f>IF(A700&lt;&gt;"",SUM(B700),"")</f>
        <v/>
      </c>
      <c r="D700" s="2" t="str">
        <f>IF(A700&lt;&gt;"",(Exame!D1*Exame!C700)/Exame!C1, "")</f>
        <v/>
      </c>
    </row>
    <row r="701" spans="3:4" x14ac:dyDescent="0.3">
      <c r="C701" s="2" t="str">
        <f>IF(A701&lt;&gt;"",SUM(B701),"")</f>
        <v/>
      </c>
      <c r="D701" s="2" t="str">
        <f>IF(A701&lt;&gt;"",(Exame!D1*Exame!C701)/Exame!C1, "")</f>
        <v/>
      </c>
    </row>
    <row r="702" spans="3:4" x14ac:dyDescent="0.3">
      <c r="C702" s="2" t="str">
        <f>IF(A702&lt;&gt;"",SUM(B702),"")</f>
        <v/>
      </c>
      <c r="D702" s="2" t="str">
        <f>IF(A702&lt;&gt;"",(Exame!D1*Exame!C702)/Exame!C1, "")</f>
        <v/>
      </c>
    </row>
    <row r="703" spans="3:4" x14ac:dyDescent="0.3">
      <c r="C703" s="2" t="str">
        <f>IF(A703&lt;&gt;"",SUM(B703),"")</f>
        <v/>
      </c>
      <c r="D703" s="2" t="str">
        <f>IF(A703&lt;&gt;"",(Exame!D1*Exame!C703)/Exame!C1, "")</f>
        <v/>
      </c>
    </row>
    <row r="704" spans="3:4" x14ac:dyDescent="0.3">
      <c r="C704" s="2" t="str">
        <f>IF(A704&lt;&gt;"",SUM(B704),"")</f>
        <v/>
      </c>
      <c r="D704" s="2" t="str">
        <f>IF(A704&lt;&gt;"",(Exame!D1*Exame!C704)/Exame!C1, "")</f>
        <v/>
      </c>
    </row>
    <row r="705" spans="3:4" x14ac:dyDescent="0.3">
      <c r="C705" s="2" t="str">
        <f>IF(A705&lt;&gt;"",SUM(B705),"")</f>
        <v/>
      </c>
      <c r="D705" s="2" t="str">
        <f>IF(A705&lt;&gt;"",(Exame!D1*Exame!C705)/Exame!C1, "")</f>
        <v/>
      </c>
    </row>
    <row r="706" spans="3:4" x14ac:dyDescent="0.3">
      <c r="C706" s="2" t="str">
        <f>IF(A706&lt;&gt;"",SUM(B706),"")</f>
        <v/>
      </c>
      <c r="D706" s="2" t="str">
        <f>IF(A706&lt;&gt;"",(Exame!D1*Exame!C706)/Exame!C1, "")</f>
        <v/>
      </c>
    </row>
    <row r="707" spans="3:4" x14ac:dyDescent="0.3">
      <c r="C707" s="2" t="str">
        <f>IF(A707&lt;&gt;"",SUM(B707),"")</f>
        <v/>
      </c>
      <c r="D707" s="2" t="str">
        <f>IF(A707&lt;&gt;"",(Exame!D1*Exame!C707)/Exame!C1, "")</f>
        <v/>
      </c>
    </row>
    <row r="708" spans="3:4" x14ac:dyDescent="0.3">
      <c r="C708" s="2" t="str">
        <f>IF(A708&lt;&gt;"",SUM(B708),"")</f>
        <v/>
      </c>
      <c r="D708" s="2" t="str">
        <f>IF(A708&lt;&gt;"",(Exame!D1*Exame!C708)/Exame!C1, "")</f>
        <v/>
      </c>
    </row>
    <row r="709" spans="3:4" x14ac:dyDescent="0.3">
      <c r="C709" s="2" t="str">
        <f>IF(A709&lt;&gt;"",SUM(B709),"")</f>
        <v/>
      </c>
      <c r="D709" s="2" t="str">
        <f>IF(A709&lt;&gt;"",(Exame!D1*Exame!C709)/Exame!C1, "")</f>
        <v/>
      </c>
    </row>
    <row r="710" spans="3:4" x14ac:dyDescent="0.3">
      <c r="C710" s="2" t="str">
        <f>IF(A710&lt;&gt;"",SUM(B710),"")</f>
        <v/>
      </c>
      <c r="D710" s="2" t="str">
        <f>IF(A710&lt;&gt;"",(Exame!D1*Exame!C710)/Exame!C1, "")</f>
        <v/>
      </c>
    </row>
    <row r="711" spans="3:4" x14ac:dyDescent="0.3">
      <c r="C711" s="2" t="str">
        <f>IF(A711&lt;&gt;"",SUM(B711),"")</f>
        <v/>
      </c>
      <c r="D711" s="2" t="str">
        <f>IF(A711&lt;&gt;"",(Exame!D1*Exame!C711)/Exame!C1, "")</f>
        <v/>
      </c>
    </row>
    <row r="712" spans="3:4" x14ac:dyDescent="0.3">
      <c r="C712" s="2" t="str">
        <f>IF(A712&lt;&gt;"",SUM(B712),"")</f>
        <v/>
      </c>
      <c r="D712" s="2" t="str">
        <f>IF(A712&lt;&gt;"",(Exame!D1*Exame!C712)/Exame!C1, "")</f>
        <v/>
      </c>
    </row>
    <row r="713" spans="3:4" x14ac:dyDescent="0.3">
      <c r="C713" s="2" t="str">
        <f>IF(A713&lt;&gt;"",SUM(B713),"")</f>
        <v/>
      </c>
      <c r="D713" s="2" t="str">
        <f>IF(A713&lt;&gt;"",(Exame!D1*Exame!C713)/Exame!C1, "")</f>
        <v/>
      </c>
    </row>
    <row r="714" spans="3:4" x14ac:dyDescent="0.3">
      <c r="C714" s="2" t="str">
        <f>IF(A714&lt;&gt;"",SUM(B714),"")</f>
        <v/>
      </c>
      <c r="D714" s="2" t="str">
        <f>IF(A714&lt;&gt;"",(Exame!D1*Exame!C714)/Exame!C1, "")</f>
        <v/>
      </c>
    </row>
    <row r="715" spans="3:4" x14ac:dyDescent="0.3">
      <c r="C715" s="2" t="str">
        <f>IF(A715&lt;&gt;"",SUM(B715),"")</f>
        <v/>
      </c>
      <c r="D715" s="2" t="str">
        <f>IF(A715&lt;&gt;"",(Exame!D1*Exame!C715)/Exame!C1, "")</f>
        <v/>
      </c>
    </row>
    <row r="716" spans="3:4" x14ac:dyDescent="0.3">
      <c r="C716" s="2" t="str">
        <f>IF(A716&lt;&gt;"",SUM(B716),"")</f>
        <v/>
      </c>
      <c r="D716" s="2" t="str">
        <f>IF(A716&lt;&gt;"",(Exame!D1*Exame!C716)/Exame!C1, "")</f>
        <v/>
      </c>
    </row>
    <row r="717" spans="3:4" x14ac:dyDescent="0.3">
      <c r="C717" s="2" t="str">
        <f>IF(A717&lt;&gt;"",SUM(B717),"")</f>
        <v/>
      </c>
      <c r="D717" s="2" t="str">
        <f>IF(A717&lt;&gt;"",(Exame!D1*Exame!C717)/Exame!C1, "")</f>
        <v/>
      </c>
    </row>
    <row r="718" spans="3:4" x14ac:dyDescent="0.3">
      <c r="C718" s="2" t="str">
        <f>IF(A718&lt;&gt;"",SUM(B718),"")</f>
        <v/>
      </c>
      <c r="D718" s="2" t="str">
        <f>IF(A718&lt;&gt;"",(Exame!D1*Exame!C718)/Exame!C1, "")</f>
        <v/>
      </c>
    </row>
    <row r="719" spans="3:4" x14ac:dyDescent="0.3">
      <c r="C719" s="2" t="str">
        <f>IF(A719&lt;&gt;"",SUM(B719),"")</f>
        <v/>
      </c>
      <c r="D719" s="2" t="str">
        <f>IF(A719&lt;&gt;"",(Exame!D1*Exame!C719)/Exame!C1, "")</f>
        <v/>
      </c>
    </row>
    <row r="720" spans="3:4" x14ac:dyDescent="0.3">
      <c r="C720" s="2" t="str">
        <f>IF(A720&lt;&gt;"",SUM(B720),"")</f>
        <v/>
      </c>
      <c r="D720" s="2" t="str">
        <f>IF(A720&lt;&gt;"",(Exame!D1*Exame!C720)/Exame!C1, "")</f>
        <v/>
      </c>
    </row>
    <row r="721" spans="3:4" x14ac:dyDescent="0.3">
      <c r="C721" s="2" t="str">
        <f>IF(A721&lt;&gt;"",SUM(B721),"")</f>
        <v/>
      </c>
      <c r="D721" s="2" t="str">
        <f>IF(A721&lt;&gt;"",(Exame!D1*Exame!C721)/Exame!C1, "")</f>
        <v/>
      </c>
    </row>
    <row r="722" spans="3:4" x14ac:dyDescent="0.3">
      <c r="C722" s="2" t="str">
        <f>IF(A722&lt;&gt;"",SUM(B722),"")</f>
        <v/>
      </c>
      <c r="D722" s="2" t="str">
        <f>IF(A722&lt;&gt;"",(Exame!D1*Exame!C722)/Exame!C1, "")</f>
        <v/>
      </c>
    </row>
    <row r="723" spans="3:4" x14ac:dyDescent="0.3">
      <c r="C723" s="2" t="str">
        <f>IF(A723&lt;&gt;"",SUM(B723),"")</f>
        <v/>
      </c>
      <c r="D723" s="2" t="str">
        <f>IF(A723&lt;&gt;"",(Exame!D1*Exame!C723)/Exame!C1, "")</f>
        <v/>
      </c>
    </row>
    <row r="724" spans="3:4" x14ac:dyDescent="0.3">
      <c r="C724" s="2" t="str">
        <f>IF(A724&lt;&gt;"",SUM(B724),"")</f>
        <v/>
      </c>
      <c r="D724" s="2" t="str">
        <f>IF(A724&lt;&gt;"",(Exame!D1*Exame!C724)/Exame!C1, "")</f>
        <v/>
      </c>
    </row>
    <row r="725" spans="3:4" x14ac:dyDescent="0.3">
      <c r="C725" s="2" t="str">
        <f>IF(A725&lt;&gt;"",SUM(B725),"")</f>
        <v/>
      </c>
      <c r="D725" s="2" t="str">
        <f>IF(A725&lt;&gt;"",(Exame!D1*Exame!C725)/Exame!C1, "")</f>
        <v/>
      </c>
    </row>
    <row r="726" spans="3:4" x14ac:dyDescent="0.3">
      <c r="C726" s="2" t="str">
        <f>IF(A726&lt;&gt;"",SUM(B726),"")</f>
        <v/>
      </c>
      <c r="D726" s="2" t="str">
        <f>IF(A726&lt;&gt;"",(Exame!D1*Exame!C726)/Exame!C1, "")</f>
        <v/>
      </c>
    </row>
    <row r="727" spans="3:4" x14ac:dyDescent="0.3">
      <c r="C727" s="2" t="str">
        <f>IF(A727&lt;&gt;"",SUM(B727),"")</f>
        <v/>
      </c>
      <c r="D727" s="2" t="str">
        <f>IF(A727&lt;&gt;"",(Exame!D1*Exame!C727)/Exame!C1, "")</f>
        <v/>
      </c>
    </row>
    <row r="728" spans="3:4" x14ac:dyDescent="0.3">
      <c r="C728" s="2" t="str">
        <f>IF(A728&lt;&gt;"",SUM(B728),"")</f>
        <v/>
      </c>
      <c r="D728" s="2" t="str">
        <f>IF(A728&lt;&gt;"",(Exame!D1*Exame!C728)/Exame!C1, "")</f>
        <v/>
      </c>
    </row>
    <row r="729" spans="3:4" x14ac:dyDescent="0.3">
      <c r="C729" s="2" t="str">
        <f>IF(A729&lt;&gt;"",SUM(B729),"")</f>
        <v/>
      </c>
      <c r="D729" s="2" t="str">
        <f>IF(A729&lt;&gt;"",(Exame!D1*Exame!C729)/Exame!C1, "")</f>
        <v/>
      </c>
    </row>
    <row r="730" spans="3:4" x14ac:dyDescent="0.3">
      <c r="C730" s="2" t="str">
        <f>IF(A730&lt;&gt;"",SUM(B730),"")</f>
        <v/>
      </c>
      <c r="D730" s="2" t="str">
        <f>IF(A730&lt;&gt;"",(Exame!D1*Exame!C730)/Exame!C1, "")</f>
        <v/>
      </c>
    </row>
    <row r="731" spans="3:4" x14ac:dyDescent="0.3">
      <c r="C731" s="2" t="str">
        <f>IF(A731&lt;&gt;"",SUM(B731),"")</f>
        <v/>
      </c>
      <c r="D731" s="2" t="str">
        <f>IF(A731&lt;&gt;"",(Exame!D1*Exame!C731)/Exame!C1, "")</f>
        <v/>
      </c>
    </row>
    <row r="732" spans="3:4" x14ac:dyDescent="0.3">
      <c r="C732" s="2" t="str">
        <f>IF(A732&lt;&gt;"",SUM(B732),"")</f>
        <v/>
      </c>
      <c r="D732" s="2" t="str">
        <f>IF(A732&lt;&gt;"",(Exame!D1*Exame!C732)/Exame!C1, "")</f>
        <v/>
      </c>
    </row>
    <row r="733" spans="3:4" x14ac:dyDescent="0.3">
      <c r="C733" s="2" t="str">
        <f>IF(A733&lt;&gt;"",SUM(B733),"")</f>
        <v/>
      </c>
      <c r="D733" s="2" t="str">
        <f>IF(A733&lt;&gt;"",(Exame!D1*Exame!C733)/Exame!C1, "")</f>
        <v/>
      </c>
    </row>
    <row r="734" spans="3:4" x14ac:dyDescent="0.3">
      <c r="C734" s="2" t="str">
        <f>IF(A734&lt;&gt;"",SUM(B734),"")</f>
        <v/>
      </c>
      <c r="D734" s="2" t="str">
        <f>IF(A734&lt;&gt;"",(Exame!D1*Exame!C734)/Exame!C1, "")</f>
        <v/>
      </c>
    </row>
    <row r="735" spans="3:4" x14ac:dyDescent="0.3">
      <c r="C735" s="2" t="str">
        <f>IF(A735&lt;&gt;"",SUM(B735),"")</f>
        <v/>
      </c>
      <c r="D735" s="2" t="str">
        <f>IF(A735&lt;&gt;"",(Exame!D1*Exame!C735)/Exame!C1, "")</f>
        <v/>
      </c>
    </row>
    <row r="736" spans="3:4" x14ac:dyDescent="0.3">
      <c r="C736" s="2" t="str">
        <f>IF(A736&lt;&gt;"",SUM(B736),"")</f>
        <v/>
      </c>
      <c r="D736" s="2" t="str">
        <f>IF(A736&lt;&gt;"",(Exame!D1*Exame!C736)/Exame!C1, "")</f>
        <v/>
      </c>
    </row>
    <row r="737" spans="3:4" x14ac:dyDescent="0.3">
      <c r="C737" s="2" t="str">
        <f>IF(A737&lt;&gt;"",SUM(B737),"")</f>
        <v/>
      </c>
      <c r="D737" s="2" t="str">
        <f>IF(A737&lt;&gt;"",(Exame!D1*Exame!C737)/Exame!C1, "")</f>
        <v/>
      </c>
    </row>
    <row r="738" spans="3:4" x14ac:dyDescent="0.3">
      <c r="C738" s="2" t="str">
        <f>IF(A738&lt;&gt;"",SUM(B738),"")</f>
        <v/>
      </c>
      <c r="D738" s="2" t="str">
        <f>IF(A738&lt;&gt;"",(Exame!D1*Exame!C738)/Exame!C1, "")</f>
        <v/>
      </c>
    </row>
    <row r="739" spans="3:4" x14ac:dyDescent="0.3">
      <c r="C739" s="2" t="str">
        <f>IF(A739&lt;&gt;"",SUM(B739),"")</f>
        <v/>
      </c>
      <c r="D739" s="2" t="str">
        <f>IF(A739&lt;&gt;"",(Exame!D1*Exame!C739)/Exame!C1, "")</f>
        <v/>
      </c>
    </row>
    <row r="740" spans="3:4" x14ac:dyDescent="0.3">
      <c r="C740" s="2" t="str">
        <f>IF(A740&lt;&gt;"",SUM(B740),"")</f>
        <v/>
      </c>
      <c r="D740" s="2" t="str">
        <f>IF(A740&lt;&gt;"",(Exame!D1*Exame!C740)/Exame!C1, "")</f>
        <v/>
      </c>
    </row>
    <row r="741" spans="3:4" x14ac:dyDescent="0.3">
      <c r="C741" s="2" t="str">
        <f>IF(A741&lt;&gt;"",SUM(B741),"")</f>
        <v/>
      </c>
      <c r="D741" s="2" t="str">
        <f>IF(A741&lt;&gt;"",(Exame!D1*Exame!C741)/Exame!C1, "")</f>
        <v/>
      </c>
    </row>
    <row r="742" spans="3:4" x14ac:dyDescent="0.3">
      <c r="C742" s="2" t="str">
        <f>IF(A742&lt;&gt;"",SUM(B742),"")</f>
        <v/>
      </c>
      <c r="D742" s="2" t="str">
        <f>IF(A742&lt;&gt;"",(Exame!D1*Exame!C742)/Exame!C1, "")</f>
        <v/>
      </c>
    </row>
    <row r="743" spans="3:4" x14ac:dyDescent="0.3">
      <c r="C743" s="2" t="str">
        <f>IF(A743&lt;&gt;"",SUM(B743),"")</f>
        <v/>
      </c>
      <c r="D743" s="2" t="str">
        <f>IF(A743&lt;&gt;"",(Exame!D1*Exame!C743)/Exame!C1, "")</f>
        <v/>
      </c>
    </row>
    <row r="744" spans="3:4" x14ac:dyDescent="0.3">
      <c r="C744" s="2" t="str">
        <f>IF(A744&lt;&gt;"",SUM(B744),"")</f>
        <v/>
      </c>
      <c r="D744" s="2" t="str">
        <f>IF(A744&lt;&gt;"",(Exame!D1*Exame!C744)/Exame!C1, "")</f>
        <v/>
      </c>
    </row>
    <row r="745" spans="3:4" x14ac:dyDescent="0.3">
      <c r="C745" s="2" t="str">
        <f>IF(A745&lt;&gt;"",SUM(B745),"")</f>
        <v/>
      </c>
      <c r="D745" s="2" t="str">
        <f>IF(A745&lt;&gt;"",(Exame!D1*Exame!C745)/Exame!C1, "")</f>
        <v/>
      </c>
    </row>
    <row r="746" spans="3:4" x14ac:dyDescent="0.3">
      <c r="C746" s="2" t="str">
        <f>IF(A746&lt;&gt;"",SUM(B746),"")</f>
        <v/>
      </c>
      <c r="D746" s="2" t="str">
        <f>IF(A746&lt;&gt;"",(Exame!D1*Exame!C746)/Exame!C1, "")</f>
        <v/>
      </c>
    </row>
    <row r="747" spans="3:4" x14ac:dyDescent="0.3">
      <c r="C747" s="2" t="str">
        <f>IF(A747&lt;&gt;"",SUM(B747),"")</f>
        <v/>
      </c>
      <c r="D747" s="2" t="str">
        <f>IF(A747&lt;&gt;"",(Exame!D1*Exame!C747)/Exame!C1, "")</f>
        <v/>
      </c>
    </row>
    <row r="748" spans="3:4" x14ac:dyDescent="0.3">
      <c r="C748" s="2" t="str">
        <f>IF(A748&lt;&gt;"",SUM(B748),"")</f>
        <v/>
      </c>
      <c r="D748" s="2" t="str">
        <f>IF(A748&lt;&gt;"",(Exame!D1*Exame!C748)/Exame!C1, "")</f>
        <v/>
      </c>
    </row>
    <row r="749" spans="3:4" x14ac:dyDescent="0.3">
      <c r="C749" s="2" t="str">
        <f>IF(A749&lt;&gt;"",SUM(B749),"")</f>
        <v/>
      </c>
      <c r="D749" s="2" t="str">
        <f>IF(A749&lt;&gt;"",(Exame!D1*Exame!C749)/Exame!C1, "")</f>
        <v/>
      </c>
    </row>
    <row r="750" spans="3:4" x14ac:dyDescent="0.3">
      <c r="C750" s="2" t="str">
        <f>IF(A750&lt;&gt;"",SUM(B750),"")</f>
        <v/>
      </c>
      <c r="D750" s="2" t="str">
        <f>IF(A750&lt;&gt;"",(Exame!D1*Exame!C750)/Exame!C1, "")</f>
        <v/>
      </c>
    </row>
    <row r="751" spans="3:4" x14ac:dyDescent="0.3">
      <c r="C751" s="2" t="str">
        <f>IF(A751&lt;&gt;"",SUM(B751),"")</f>
        <v/>
      </c>
      <c r="D751" s="2" t="str">
        <f>IF(A751&lt;&gt;"",(Exame!D1*Exame!C751)/Exame!C1, "")</f>
        <v/>
      </c>
    </row>
    <row r="752" spans="3:4" x14ac:dyDescent="0.3">
      <c r="C752" s="2" t="str">
        <f>IF(A752&lt;&gt;"",SUM(B752),"")</f>
        <v/>
      </c>
      <c r="D752" s="2" t="str">
        <f>IF(A752&lt;&gt;"",(Exame!D1*Exame!C752)/Exame!C1, "")</f>
        <v/>
      </c>
    </row>
    <row r="753" spans="3:4" x14ac:dyDescent="0.3">
      <c r="C753" s="2" t="str">
        <f>IF(A753&lt;&gt;"",SUM(B753),"")</f>
        <v/>
      </c>
      <c r="D753" s="2" t="str">
        <f>IF(A753&lt;&gt;"",(Exame!D1*Exame!C753)/Exame!C1, "")</f>
        <v/>
      </c>
    </row>
    <row r="754" spans="3:4" x14ac:dyDescent="0.3">
      <c r="C754" s="2" t="str">
        <f>IF(A754&lt;&gt;"",SUM(B754),"")</f>
        <v/>
      </c>
      <c r="D754" s="2" t="str">
        <f>IF(A754&lt;&gt;"",(Exame!D1*Exame!C754)/Exame!C1, "")</f>
        <v/>
      </c>
    </row>
    <row r="755" spans="3:4" x14ac:dyDescent="0.3">
      <c r="C755" s="2" t="str">
        <f>IF(A755&lt;&gt;"",SUM(B755),"")</f>
        <v/>
      </c>
      <c r="D755" s="2" t="str">
        <f>IF(A755&lt;&gt;"",(Exame!D1*Exame!C755)/Exame!C1, "")</f>
        <v/>
      </c>
    </row>
    <row r="756" spans="3:4" x14ac:dyDescent="0.3">
      <c r="C756" s="2" t="str">
        <f>IF(A756&lt;&gt;"",SUM(B756),"")</f>
        <v/>
      </c>
      <c r="D756" s="2" t="str">
        <f>IF(A756&lt;&gt;"",(Exame!D1*Exame!C756)/Exame!C1, "")</f>
        <v/>
      </c>
    </row>
    <row r="757" spans="3:4" x14ac:dyDescent="0.3">
      <c r="C757" s="2" t="str">
        <f>IF(A757&lt;&gt;"",SUM(B757),"")</f>
        <v/>
      </c>
      <c r="D757" s="2" t="str">
        <f>IF(A757&lt;&gt;"",(Exame!D1*Exame!C757)/Exame!C1, "")</f>
        <v/>
      </c>
    </row>
    <row r="758" spans="3:4" x14ac:dyDescent="0.3">
      <c r="C758" s="2" t="str">
        <f>IF(A758&lt;&gt;"",SUM(B758),"")</f>
        <v/>
      </c>
      <c r="D758" s="2" t="str">
        <f>IF(A758&lt;&gt;"",(Exame!D1*Exame!C758)/Exame!C1, "")</f>
        <v/>
      </c>
    </row>
    <row r="759" spans="3:4" x14ac:dyDescent="0.3">
      <c r="C759" s="2" t="str">
        <f>IF(A759&lt;&gt;"",SUM(B759),"")</f>
        <v/>
      </c>
      <c r="D759" s="2" t="str">
        <f>IF(A759&lt;&gt;"",(Exame!D1*Exame!C759)/Exame!C1, "")</f>
        <v/>
      </c>
    </row>
    <row r="760" spans="3:4" x14ac:dyDescent="0.3">
      <c r="C760" s="2" t="str">
        <f>IF(A760&lt;&gt;"",SUM(B760),"")</f>
        <v/>
      </c>
      <c r="D760" s="2" t="str">
        <f>IF(A760&lt;&gt;"",(Exame!D1*Exame!C760)/Exame!C1, "")</f>
        <v/>
      </c>
    </row>
    <row r="761" spans="3:4" x14ac:dyDescent="0.3">
      <c r="C761" s="2" t="str">
        <f>IF(A761&lt;&gt;"",SUM(B761),"")</f>
        <v/>
      </c>
      <c r="D761" s="2" t="str">
        <f>IF(A761&lt;&gt;"",(Exame!D1*Exame!C761)/Exame!C1, "")</f>
        <v/>
      </c>
    </row>
    <row r="762" spans="3:4" x14ac:dyDescent="0.3">
      <c r="C762" s="2" t="str">
        <f>IF(A762&lt;&gt;"",SUM(B762),"")</f>
        <v/>
      </c>
      <c r="D762" s="2" t="str">
        <f>IF(A762&lt;&gt;"",(Exame!D1*Exame!C762)/Exame!C1, "")</f>
        <v/>
      </c>
    </row>
    <row r="763" spans="3:4" x14ac:dyDescent="0.3">
      <c r="C763" s="2" t="str">
        <f>IF(A763&lt;&gt;"",SUM(B763),"")</f>
        <v/>
      </c>
      <c r="D763" s="2" t="str">
        <f>IF(A763&lt;&gt;"",(Exame!D1*Exame!C763)/Exame!C1, "")</f>
        <v/>
      </c>
    </row>
    <row r="764" spans="3:4" x14ac:dyDescent="0.3">
      <c r="C764" s="2" t="str">
        <f>IF(A764&lt;&gt;"",SUM(B764),"")</f>
        <v/>
      </c>
      <c r="D764" s="2" t="str">
        <f>IF(A764&lt;&gt;"",(Exame!D1*Exame!C764)/Exame!C1, "")</f>
        <v/>
      </c>
    </row>
    <row r="765" spans="3:4" x14ac:dyDescent="0.3">
      <c r="C765" s="2" t="str">
        <f>IF(A765&lt;&gt;"",SUM(B765),"")</f>
        <v/>
      </c>
      <c r="D765" s="2" t="str">
        <f>IF(A765&lt;&gt;"",(Exame!D1*Exame!C765)/Exame!C1, "")</f>
        <v/>
      </c>
    </row>
    <row r="766" spans="3:4" x14ac:dyDescent="0.3">
      <c r="C766" s="2" t="str">
        <f>IF(A766&lt;&gt;"",SUM(B766),"")</f>
        <v/>
      </c>
      <c r="D766" s="2" t="str">
        <f>IF(A766&lt;&gt;"",(Exame!D1*Exame!C766)/Exame!C1, "")</f>
        <v/>
      </c>
    </row>
    <row r="767" spans="3:4" x14ac:dyDescent="0.3">
      <c r="C767" s="2" t="str">
        <f>IF(A767&lt;&gt;"",SUM(B767),"")</f>
        <v/>
      </c>
      <c r="D767" s="2" t="str">
        <f>IF(A767&lt;&gt;"",(Exame!D1*Exame!C767)/Exame!C1, "")</f>
        <v/>
      </c>
    </row>
    <row r="768" spans="3:4" x14ac:dyDescent="0.3">
      <c r="C768" s="2" t="str">
        <f>IF(A768&lt;&gt;"",SUM(B768),"")</f>
        <v/>
      </c>
      <c r="D768" s="2" t="str">
        <f>IF(A768&lt;&gt;"",(Exame!D1*Exame!C768)/Exame!C1, "")</f>
        <v/>
      </c>
    </row>
    <row r="769" spans="3:4" x14ac:dyDescent="0.3">
      <c r="C769" s="2" t="str">
        <f>IF(A769&lt;&gt;"",SUM(B769),"")</f>
        <v/>
      </c>
      <c r="D769" s="2" t="str">
        <f>IF(A769&lt;&gt;"",(Exame!D1*Exame!C769)/Exame!C1, "")</f>
        <v/>
      </c>
    </row>
    <row r="770" spans="3:4" x14ac:dyDescent="0.3">
      <c r="C770" s="2" t="str">
        <f>IF(A770&lt;&gt;"",SUM(B770),"")</f>
        <v/>
      </c>
      <c r="D770" s="2" t="str">
        <f>IF(A770&lt;&gt;"",(Exame!D1*Exame!C770)/Exame!C1, "")</f>
        <v/>
      </c>
    </row>
    <row r="771" spans="3:4" x14ac:dyDescent="0.3">
      <c r="C771" s="2" t="str">
        <f>IF(A771&lt;&gt;"",SUM(B771),"")</f>
        <v/>
      </c>
      <c r="D771" s="2" t="str">
        <f>IF(A771&lt;&gt;"",(Exame!D1*Exame!C771)/Exame!C1, "")</f>
        <v/>
      </c>
    </row>
    <row r="772" spans="3:4" x14ac:dyDescent="0.3">
      <c r="C772" s="2" t="str">
        <f>IF(A772&lt;&gt;"",SUM(B772),"")</f>
        <v/>
      </c>
      <c r="D772" s="2" t="str">
        <f>IF(A772&lt;&gt;"",(Exame!D1*Exame!C772)/Exame!C1, "")</f>
        <v/>
      </c>
    </row>
    <row r="773" spans="3:4" x14ac:dyDescent="0.3">
      <c r="C773" s="2" t="str">
        <f>IF(A773&lt;&gt;"",SUM(B773),"")</f>
        <v/>
      </c>
      <c r="D773" s="2" t="str">
        <f>IF(A773&lt;&gt;"",(Exame!D1*Exame!C773)/Exame!C1, "")</f>
        <v/>
      </c>
    </row>
    <row r="774" spans="3:4" x14ac:dyDescent="0.3">
      <c r="C774" s="2" t="str">
        <f>IF(A774&lt;&gt;"",SUM(B774),"")</f>
        <v/>
      </c>
      <c r="D774" s="2" t="str">
        <f>IF(A774&lt;&gt;"",(Exame!D1*Exame!C774)/Exame!C1, "")</f>
        <v/>
      </c>
    </row>
    <row r="775" spans="3:4" x14ac:dyDescent="0.3">
      <c r="C775" s="2" t="str">
        <f>IF(A775&lt;&gt;"",SUM(B775),"")</f>
        <v/>
      </c>
      <c r="D775" s="2" t="str">
        <f>IF(A775&lt;&gt;"",(Exame!D1*Exame!C775)/Exame!C1, "")</f>
        <v/>
      </c>
    </row>
    <row r="776" spans="3:4" x14ac:dyDescent="0.3">
      <c r="C776" s="2" t="str">
        <f>IF(A776&lt;&gt;"",SUM(B776),"")</f>
        <v/>
      </c>
      <c r="D776" s="2" t="str">
        <f>IF(A776&lt;&gt;"",(Exame!D1*Exame!C776)/Exame!C1, "")</f>
        <v/>
      </c>
    </row>
    <row r="777" spans="3:4" x14ac:dyDescent="0.3">
      <c r="C777" s="2" t="str">
        <f>IF(A777&lt;&gt;"",SUM(B777),"")</f>
        <v/>
      </c>
      <c r="D777" s="2" t="str">
        <f>IF(A777&lt;&gt;"",(Exame!D1*Exame!C777)/Exame!C1, "")</f>
        <v/>
      </c>
    </row>
    <row r="778" spans="3:4" x14ac:dyDescent="0.3">
      <c r="C778" s="2" t="str">
        <f>IF(A778&lt;&gt;"",SUM(B778),"")</f>
        <v/>
      </c>
      <c r="D778" s="2" t="str">
        <f>IF(A778&lt;&gt;"",(Exame!D1*Exame!C778)/Exame!C1, "")</f>
        <v/>
      </c>
    </row>
    <row r="779" spans="3:4" x14ac:dyDescent="0.3">
      <c r="C779" s="2" t="str">
        <f>IF(A779&lt;&gt;"",SUM(B779),"")</f>
        <v/>
      </c>
      <c r="D779" s="2" t="str">
        <f>IF(A779&lt;&gt;"",(Exame!D1*Exame!C779)/Exame!C1, "")</f>
        <v/>
      </c>
    </row>
    <row r="780" spans="3:4" x14ac:dyDescent="0.3">
      <c r="C780" s="2" t="str">
        <f>IF(A780&lt;&gt;"",SUM(B780),"")</f>
        <v/>
      </c>
      <c r="D780" s="2" t="str">
        <f>IF(A780&lt;&gt;"",(Exame!D1*Exame!C780)/Exame!C1, "")</f>
        <v/>
      </c>
    </row>
    <row r="781" spans="3:4" x14ac:dyDescent="0.3">
      <c r="C781" s="2" t="str">
        <f>IF(A781&lt;&gt;"",SUM(B781),"")</f>
        <v/>
      </c>
      <c r="D781" s="2" t="str">
        <f>IF(A781&lt;&gt;"",(Exame!D1*Exame!C781)/Exame!C1, "")</f>
        <v/>
      </c>
    </row>
    <row r="782" spans="3:4" x14ac:dyDescent="0.3">
      <c r="C782" s="2" t="str">
        <f>IF(A782&lt;&gt;"",SUM(B782),"")</f>
        <v/>
      </c>
      <c r="D782" s="2" t="str">
        <f>IF(A782&lt;&gt;"",(Exame!D1*Exame!C782)/Exame!C1, "")</f>
        <v/>
      </c>
    </row>
    <row r="783" spans="3:4" x14ac:dyDescent="0.3">
      <c r="C783" s="2" t="str">
        <f>IF(A783&lt;&gt;"",SUM(B783),"")</f>
        <v/>
      </c>
      <c r="D783" s="2" t="str">
        <f>IF(A783&lt;&gt;"",(Exame!D1*Exame!C783)/Exame!C1, "")</f>
        <v/>
      </c>
    </row>
    <row r="784" spans="3:4" x14ac:dyDescent="0.3">
      <c r="C784" s="2" t="str">
        <f>IF(A784&lt;&gt;"",SUM(B784),"")</f>
        <v/>
      </c>
      <c r="D784" s="2" t="str">
        <f>IF(A784&lt;&gt;"",(Exame!D1*Exame!C784)/Exame!C1, "")</f>
        <v/>
      </c>
    </row>
    <row r="785" spans="3:4" x14ac:dyDescent="0.3">
      <c r="C785" s="2" t="str">
        <f>IF(A785&lt;&gt;"",SUM(B785),"")</f>
        <v/>
      </c>
      <c r="D785" s="2" t="str">
        <f>IF(A785&lt;&gt;"",(Exame!D1*Exame!C785)/Exame!C1, "")</f>
        <v/>
      </c>
    </row>
    <row r="786" spans="3:4" x14ac:dyDescent="0.3">
      <c r="C786" s="2" t="str">
        <f>IF(A786&lt;&gt;"",SUM(B786),"")</f>
        <v/>
      </c>
      <c r="D786" s="2" t="str">
        <f>IF(A786&lt;&gt;"",(Exame!D1*Exame!C786)/Exame!C1, "")</f>
        <v/>
      </c>
    </row>
    <row r="787" spans="3:4" x14ac:dyDescent="0.3">
      <c r="C787" s="2" t="str">
        <f>IF(A787&lt;&gt;"",SUM(B787),"")</f>
        <v/>
      </c>
      <c r="D787" s="2" t="str">
        <f>IF(A787&lt;&gt;"",(Exame!D1*Exame!C787)/Exame!C1, "")</f>
        <v/>
      </c>
    </row>
    <row r="788" spans="3:4" x14ac:dyDescent="0.3">
      <c r="C788" s="2" t="str">
        <f>IF(A788&lt;&gt;"",SUM(B788),"")</f>
        <v/>
      </c>
      <c r="D788" s="2" t="str">
        <f>IF(A788&lt;&gt;"",(Exame!D1*Exame!C788)/Exame!C1, "")</f>
        <v/>
      </c>
    </row>
    <row r="789" spans="3:4" x14ac:dyDescent="0.3">
      <c r="C789" s="2" t="str">
        <f>IF(A789&lt;&gt;"",SUM(B789),"")</f>
        <v/>
      </c>
      <c r="D789" s="2" t="str">
        <f>IF(A789&lt;&gt;"",(Exame!D1*Exame!C789)/Exame!C1, "")</f>
        <v/>
      </c>
    </row>
    <row r="790" spans="3:4" x14ac:dyDescent="0.3">
      <c r="C790" s="2" t="str">
        <f>IF(A790&lt;&gt;"",SUM(B790),"")</f>
        <v/>
      </c>
      <c r="D790" s="2" t="str">
        <f>IF(A790&lt;&gt;"",(Exame!D1*Exame!C790)/Exame!C1, "")</f>
        <v/>
      </c>
    </row>
    <row r="791" spans="3:4" x14ac:dyDescent="0.3">
      <c r="C791" s="2" t="str">
        <f>IF(A791&lt;&gt;"",SUM(B791),"")</f>
        <v/>
      </c>
      <c r="D791" s="2" t="str">
        <f>IF(A791&lt;&gt;"",(Exame!D1*Exame!C791)/Exame!C1, "")</f>
        <v/>
      </c>
    </row>
    <row r="792" spans="3:4" x14ac:dyDescent="0.3">
      <c r="C792" s="2" t="str">
        <f>IF(A792&lt;&gt;"",SUM(B792),"")</f>
        <v/>
      </c>
      <c r="D792" s="2" t="str">
        <f>IF(A792&lt;&gt;"",(Exame!D1*Exame!C792)/Exame!C1, "")</f>
        <v/>
      </c>
    </row>
    <row r="793" spans="3:4" x14ac:dyDescent="0.3">
      <c r="C793" s="2" t="str">
        <f>IF(A793&lt;&gt;"",SUM(B793),"")</f>
        <v/>
      </c>
      <c r="D793" s="2" t="str">
        <f>IF(A793&lt;&gt;"",(Exame!D1*Exame!C793)/Exame!C1, "")</f>
        <v/>
      </c>
    </row>
    <row r="794" spans="3:4" x14ac:dyDescent="0.3">
      <c r="C794" s="2" t="str">
        <f>IF(A794&lt;&gt;"",SUM(B794),"")</f>
        <v/>
      </c>
      <c r="D794" s="2" t="str">
        <f>IF(A794&lt;&gt;"",(Exame!D1*Exame!C794)/Exame!C1, "")</f>
        <v/>
      </c>
    </row>
    <row r="795" spans="3:4" x14ac:dyDescent="0.3">
      <c r="C795" s="2" t="str">
        <f>IF(A795&lt;&gt;"",SUM(B795),"")</f>
        <v/>
      </c>
      <c r="D795" s="2" t="str">
        <f>IF(A795&lt;&gt;"",(Exame!D1*Exame!C795)/Exame!C1, "")</f>
        <v/>
      </c>
    </row>
    <row r="796" spans="3:4" x14ac:dyDescent="0.3">
      <c r="C796" s="2" t="str">
        <f>IF(A796&lt;&gt;"",SUM(B796),"")</f>
        <v/>
      </c>
      <c r="D796" s="2" t="str">
        <f>IF(A796&lt;&gt;"",(Exame!D1*Exame!C796)/Exame!C1, "")</f>
        <v/>
      </c>
    </row>
    <row r="797" spans="3:4" x14ac:dyDescent="0.3">
      <c r="C797" s="2" t="str">
        <f>IF(A797&lt;&gt;"",SUM(B797),"")</f>
        <v/>
      </c>
      <c r="D797" s="2" t="str">
        <f>IF(A797&lt;&gt;"",(Exame!D1*Exame!C797)/Exame!C1, "")</f>
        <v/>
      </c>
    </row>
    <row r="798" spans="3:4" x14ac:dyDescent="0.3">
      <c r="C798" s="2" t="str">
        <f>IF(A798&lt;&gt;"",SUM(B798),"")</f>
        <v/>
      </c>
      <c r="D798" s="2" t="str">
        <f>IF(A798&lt;&gt;"",(Exame!D1*Exame!C798)/Exame!C1, "")</f>
        <v/>
      </c>
    </row>
    <row r="799" spans="3:4" x14ac:dyDescent="0.3">
      <c r="C799" s="2" t="str">
        <f>IF(A799&lt;&gt;"",SUM(B799),"")</f>
        <v/>
      </c>
      <c r="D799" s="2" t="str">
        <f>IF(A799&lt;&gt;"",(Exame!D1*Exame!C799)/Exame!C1, "")</f>
        <v/>
      </c>
    </row>
    <row r="800" spans="3:4" x14ac:dyDescent="0.3">
      <c r="C800" s="2" t="str">
        <f>IF(A800&lt;&gt;"",SUM(B800),"")</f>
        <v/>
      </c>
      <c r="D800" s="2" t="str">
        <f>IF(A800&lt;&gt;"",(Exame!D1*Exame!C800)/Exame!C1, "")</f>
        <v/>
      </c>
    </row>
    <row r="801" spans="3:4" x14ac:dyDescent="0.3">
      <c r="C801" s="2" t="str">
        <f>IF(A801&lt;&gt;"",SUM(B801),"")</f>
        <v/>
      </c>
      <c r="D801" s="2" t="str">
        <f>IF(A801&lt;&gt;"",(Exame!D1*Exame!C801)/Exame!C1, "")</f>
        <v/>
      </c>
    </row>
    <row r="802" spans="3:4" x14ac:dyDescent="0.3">
      <c r="C802" s="2" t="str">
        <f>IF(A802&lt;&gt;"",SUM(B802),"")</f>
        <v/>
      </c>
      <c r="D802" s="2" t="str">
        <f>IF(A802&lt;&gt;"",(Exame!D1*Exame!C802)/Exame!C1, "")</f>
        <v/>
      </c>
    </row>
    <row r="803" spans="3:4" x14ac:dyDescent="0.3">
      <c r="C803" s="2" t="str">
        <f>IF(A803&lt;&gt;"",SUM(B803),"")</f>
        <v/>
      </c>
      <c r="D803" s="2" t="str">
        <f>IF(A803&lt;&gt;"",(Exame!D1*Exame!C803)/Exame!C1, "")</f>
        <v/>
      </c>
    </row>
    <row r="804" spans="3:4" x14ac:dyDescent="0.3">
      <c r="C804" s="2" t="str">
        <f>IF(A804&lt;&gt;"",SUM(B804),"")</f>
        <v/>
      </c>
      <c r="D804" s="2" t="str">
        <f>IF(A804&lt;&gt;"",(Exame!D1*Exame!C804)/Exame!C1, "")</f>
        <v/>
      </c>
    </row>
    <row r="805" spans="3:4" x14ac:dyDescent="0.3">
      <c r="C805" s="2" t="str">
        <f>IF(A805&lt;&gt;"",SUM(B805),"")</f>
        <v/>
      </c>
      <c r="D805" s="2" t="str">
        <f>IF(A805&lt;&gt;"",(Exame!D1*Exame!C805)/Exame!C1, "")</f>
        <v/>
      </c>
    </row>
    <row r="806" spans="3:4" x14ac:dyDescent="0.3">
      <c r="C806" s="2" t="str">
        <f>IF(A806&lt;&gt;"",SUM(B806),"")</f>
        <v/>
      </c>
      <c r="D806" s="2" t="str">
        <f>IF(A806&lt;&gt;"",(Exame!D1*Exame!C806)/Exame!C1, "")</f>
        <v/>
      </c>
    </row>
    <row r="807" spans="3:4" x14ac:dyDescent="0.3">
      <c r="C807" s="2" t="str">
        <f>IF(A807&lt;&gt;"",SUM(B807),"")</f>
        <v/>
      </c>
      <c r="D807" s="2" t="str">
        <f>IF(A807&lt;&gt;"",(Exame!D1*Exame!C807)/Exame!C1, "")</f>
        <v/>
      </c>
    </row>
    <row r="808" spans="3:4" x14ac:dyDescent="0.3">
      <c r="C808" s="2" t="str">
        <f>IF(A808&lt;&gt;"",SUM(B808),"")</f>
        <v/>
      </c>
      <c r="D808" s="2" t="str">
        <f>IF(A808&lt;&gt;"",(Exame!D1*Exame!C808)/Exame!C1, "")</f>
        <v/>
      </c>
    </row>
    <row r="809" spans="3:4" x14ac:dyDescent="0.3">
      <c r="C809" s="2" t="str">
        <f>IF(A809&lt;&gt;"",SUM(B809),"")</f>
        <v/>
      </c>
      <c r="D809" s="2" t="str">
        <f>IF(A809&lt;&gt;"",(Exame!D1*Exame!C809)/Exame!C1, "")</f>
        <v/>
      </c>
    </row>
    <row r="810" spans="3:4" x14ac:dyDescent="0.3">
      <c r="C810" s="2" t="str">
        <f>IF(A810&lt;&gt;"",SUM(B810),"")</f>
        <v/>
      </c>
      <c r="D810" s="2" t="str">
        <f>IF(A810&lt;&gt;"",(Exame!D1*Exame!C810)/Exame!C1, "")</f>
        <v/>
      </c>
    </row>
    <row r="811" spans="3:4" x14ac:dyDescent="0.3">
      <c r="C811" s="2" t="str">
        <f>IF(A811&lt;&gt;"",SUM(B811),"")</f>
        <v/>
      </c>
      <c r="D811" s="2" t="str">
        <f>IF(A811&lt;&gt;"",(Exame!D1*Exame!C811)/Exame!C1, "")</f>
        <v/>
      </c>
    </row>
    <row r="812" spans="3:4" x14ac:dyDescent="0.3">
      <c r="C812" s="2" t="str">
        <f>IF(A812&lt;&gt;"",SUM(B812),"")</f>
        <v/>
      </c>
      <c r="D812" s="2" t="str">
        <f>IF(A812&lt;&gt;"",(Exame!D1*Exame!C812)/Exame!C1, "")</f>
        <v/>
      </c>
    </row>
    <row r="813" spans="3:4" x14ac:dyDescent="0.3">
      <c r="C813" s="2" t="str">
        <f>IF(A813&lt;&gt;"",SUM(B813),"")</f>
        <v/>
      </c>
      <c r="D813" s="2" t="str">
        <f>IF(A813&lt;&gt;"",(Exame!D1*Exame!C813)/Exame!C1, "")</f>
        <v/>
      </c>
    </row>
    <row r="814" spans="3:4" x14ac:dyDescent="0.3">
      <c r="C814" s="2" t="str">
        <f>IF(A814&lt;&gt;"",SUM(B814),"")</f>
        <v/>
      </c>
      <c r="D814" s="2" t="str">
        <f>IF(A814&lt;&gt;"",(Exame!D1*Exame!C814)/Exame!C1, "")</f>
        <v/>
      </c>
    </row>
    <row r="815" spans="3:4" x14ac:dyDescent="0.3">
      <c r="C815" s="2" t="str">
        <f>IF(A815&lt;&gt;"",SUM(B815),"")</f>
        <v/>
      </c>
      <c r="D815" s="2" t="str">
        <f>IF(A815&lt;&gt;"",(Exame!D1*Exame!C815)/Exame!C1, "")</f>
        <v/>
      </c>
    </row>
    <row r="816" spans="3:4" x14ac:dyDescent="0.3">
      <c r="C816" s="2" t="str">
        <f>IF(A816&lt;&gt;"",SUM(B816),"")</f>
        <v/>
      </c>
      <c r="D816" s="2" t="str">
        <f>IF(A816&lt;&gt;"",(Exame!D1*Exame!C816)/Exame!C1, "")</f>
        <v/>
      </c>
    </row>
    <row r="817" spans="3:4" x14ac:dyDescent="0.3">
      <c r="C817" s="2" t="str">
        <f>IF(A817&lt;&gt;"",SUM(B817),"")</f>
        <v/>
      </c>
      <c r="D817" s="2" t="str">
        <f>IF(A817&lt;&gt;"",(Exame!D1*Exame!C817)/Exame!C1, "")</f>
        <v/>
      </c>
    </row>
    <row r="818" spans="3:4" x14ac:dyDescent="0.3">
      <c r="C818" s="2" t="str">
        <f>IF(A818&lt;&gt;"",SUM(B818),"")</f>
        <v/>
      </c>
      <c r="D818" s="2" t="str">
        <f>IF(A818&lt;&gt;"",(Exame!D1*Exame!C818)/Exame!C1, "")</f>
        <v/>
      </c>
    </row>
    <row r="819" spans="3:4" x14ac:dyDescent="0.3">
      <c r="C819" s="2" t="str">
        <f>IF(A819&lt;&gt;"",SUM(B819),"")</f>
        <v/>
      </c>
      <c r="D819" s="2" t="str">
        <f>IF(A819&lt;&gt;"",(Exame!D1*Exame!C819)/Exame!C1, "")</f>
        <v/>
      </c>
    </row>
    <row r="820" spans="3:4" x14ac:dyDescent="0.3">
      <c r="C820" s="2" t="str">
        <f>IF(A820&lt;&gt;"",SUM(B820),"")</f>
        <v/>
      </c>
      <c r="D820" s="2" t="str">
        <f>IF(A820&lt;&gt;"",(Exame!D1*Exame!C820)/Exame!C1, "")</f>
        <v/>
      </c>
    </row>
    <row r="821" spans="3:4" x14ac:dyDescent="0.3">
      <c r="C821" s="2" t="str">
        <f>IF(A821&lt;&gt;"",SUM(B821),"")</f>
        <v/>
      </c>
      <c r="D821" s="2" t="str">
        <f>IF(A821&lt;&gt;"",(Exame!D1*Exame!C821)/Exame!C1, "")</f>
        <v/>
      </c>
    </row>
    <row r="822" spans="3:4" x14ac:dyDescent="0.3">
      <c r="C822" s="2" t="str">
        <f>IF(A822&lt;&gt;"",SUM(B822),"")</f>
        <v/>
      </c>
      <c r="D822" s="2" t="str">
        <f>IF(A822&lt;&gt;"",(Exame!D1*Exame!C822)/Exame!C1, "")</f>
        <v/>
      </c>
    </row>
    <row r="823" spans="3:4" x14ac:dyDescent="0.3">
      <c r="C823" s="2" t="str">
        <f>IF(A823&lt;&gt;"",SUM(B823),"")</f>
        <v/>
      </c>
      <c r="D823" s="2" t="str">
        <f>IF(A823&lt;&gt;"",(Exame!D1*Exame!C823)/Exame!C1, "")</f>
        <v/>
      </c>
    </row>
    <row r="824" spans="3:4" x14ac:dyDescent="0.3">
      <c r="C824" s="2" t="str">
        <f>IF(A824&lt;&gt;"",SUM(B824),"")</f>
        <v/>
      </c>
      <c r="D824" s="2" t="str">
        <f>IF(A824&lt;&gt;"",(Exame!D1*Exame!C824)/Exame!C1, "")</f>
        <v/>
      </c>
    </row>
    <row r="825" spans="3:4" x14ac:dyDescent="0.3">
      <c r="C825" s="2" t="str">
        <f>IF(A825&lt;&gt;"",SUM(B825),"")</f>
        <v/>
      </c>
      <c r="D825" s="2" t="str">
        <f>IF(A825&lt;&gt;"",(Exame!D1*Exame!C825)/Exame!C1, "")</f>
        <v/>
      </c>
    </row>
    <row r="826" spans="3:4" x14ac:dyDescent="0.3">
      <c r="C826" s="2" t="str">
        <f>IF(A826&lt;&gt;"",SUM(B826),"")</f>
        <v/>
      </c>
      <c r="D826" s="2" t="str">
        <f>IF(A826&lt;&gt;"",(Exame!D1*Exame!C826)/Exame!C1, "")</f>
        <v/>
      </c>
    </row>
    <row r="827" spans="3:4" x14ac:dyDescent="0.3">
      <c r="C827" s="2" t="str">
        <f>IF(A827&lt;&gt;"",SUM(B827),"")</f>
        <v/>
      </c>
      <c r="D827" s="2" t="str">
        <f>IF(A827&lt;&gt;"",(Exame!D1*Exame!C827)/Exame!C1, "")</f>
        <v/>
      </c>
    </row>
    <row r="828" spans="3:4" x14ac:dyDescent="0.3">
      <c r="C828" s="2" t="str">
        <f>IF(A828&lt;&gt;"",SUM(B828),"")</f>
        <v/>
      </c>
      <c r="D828" s="2" t="str">
        <f>IF(A828&lt;&gt;"",(Exame!D1*Exame!C828)/Exame!C1, "")</f>
        <v/>
      </c>
    </row>
    <row r="829" spans="3:4" x14ac:dyDescent="0.3">
      <c r="C829" s="2" t="str">
        <f>IF(A829&lt;&gt;"",SUM(B829),"")</f>
        <v/>
      </c>
      <c r="D829" s="2" t="str">
        <f>IF(A829&lt;&gt;"",(Exame!D1*Exame!C829)/Exame!C1, "")</f>
        <v/>
      </c>
    </row>
    <row r="830" spans="3:4" x14ac:dyDescent="0.3">
      <c r="C830" s="2" t="str">
        <f>IF(A830&lt;&gt;"",SUM(B830),"")</f>
        <v/>
      </c>
      <c r="D830" s="2" t="str">
        <f>IF(A830&lt;&gt;"",(Exame!D1*Exame!C830)/Exame!C1, "")</f>
        <v/>
      </c>
    </row>
    <row r="831" spans="3:4" x14ac:dyDescent="0.3">
      <c r="C831" s="2" t="str">
        <f>IF(A831&lt;&gt;"",SUM(B831),"")</f>
        <v/>
      </c>
      <c r="D831" s="2" t="str">
        <f>IF(A831&lt;&gt;"",(Exame!D1*Exame!C831)/Exame!C1, "")</f>
        <v/>
      </c>
    </row>
    <row r="832" spans="3:4" x14ac:dyDescent="0.3">
      <c r="C832" s="2" t="str">
        <f>IF(A832&lt;&gt;"",SUM(B832),"")</f>
        <v/>
      </c>
      <c r="D832" s="2" t="str">
        <f>IF(A832&lt;&gt;"",(Exame!D1*Exame!C832)/Exame!C1, "")</f>
        <v/>
      </c>
    </row>
    <row r="833" spans="3:4" x14ac:dyDescent="0.3">
      <c r="C833" s="2" t="str">
        <f>IF(A833&lt;&gt;"",SUM(B833),"")</f>
        <v/>
      </c>
      <c r="D833" s="2" t="str">
        <f>IF(A833&lt;&gt;"",(Exame!D1*Exame!C833)/Exame!C1, "")</f>
        <v/>
      </c>
    </row>
    <row r="834" spans="3:4" x14ac:dyDescent="0.3">
      <c r="C834" s="2" t="str">
        <f>IF(A834&lt;&gt;"",SUM(B834),"")</f>
        <v/>
      </c>
      <c r="D834" s="2" t="str">
        <f>IF(A834&lt;&gt;"",(Exame!D1*Exame!C834)/Exame!C1, "")</f>
        <v/>
      </c>
    </row>
    <row r="835" spans="3:4" x14ac:dyDescent="0.3">
      <c r="C835" s="2" t="str">
        <f>IF(A835&lt;&gt;"",SUM(B835),"")</f>
        <v/>
      </c>
      <c r="D835" s="2" t="str">
        <f>IF(A835&lt;&gt;"",(Exame!D1*Exame!C835)/Exame!C1, "")</f>
        <v/>
      </c>
    </row>
    <row r="836" spans="3:4" x14ac:dyDescent="0.3">
      <c r="C836" s="2" t="str">
        <f>IF(A836&lt;&gt;"",SUM(B836),"")</f>
        <v/>
      </c>
      <c r="D836" s="2" t="str">
        <f>IF(A836&lt;&gt;"",(Exame!D1*Exame!C836)/Exame!C1, "")</f>
        <v/>
      </c>
    </row>
    <row r="837" spans="3:4" x14ac:dyDescent="0.3">
      <c r="C837" s="2" t="str">
        <f>IF(A837&lt;&gt;"",SUM(B837),"")</f>
        <v/>
      </c>
      <c r="D837" s="2" t="str">
        <f>IF(A837&lt;&gt;"",(Exame!D1*Exame!C837)/Exame!C1, "")</f>
        <v/>
      </c>
    </row>
    <row r="838" spans="3:4" x14ac:dyDescent="0.3">
      <c r="C838" s="2" t="str">
        <f>IF(A838&lt;&gt;"",SUM(B838),"")</f>
        <v/>
      </c>
      <c r="D838" s="2" t="str">
        <f>IF(A838&lt;&gt;"",(Exame!D1*Exame!C838)/Exame!C1, "")</f>
        <v/>
      </c>
    </row>
    <row r="839" spans="3:4" x14ac:dyDescent="0.3">
      <c r="C839" s="2" t="str">
        <f>IF(A839&lt;&gt;"",SUM(B839),"")</f>
        <v/>
      </c>
      <c r="D839" s="2" t="str">
        <f>IF(A839&lt;&gt;"",(Exame!D1*Exame!C839)/Exame!C1, "")</f>
        <v/>
      </c>
    </row>
    <row r="840" spans="3:4" x14ac:dyDescent="0.3">
      <c r="C840" s="2" t="str">
        <f>IF(A840&lt;&gt;"",SUM(B840),"")</f>
        <v/>
      </c>
      <c r="D840" s="2" t="str">
        <f>IF(A840&lt;&gt;"",(Exame!D1*Exame!C840)/Exame!C1, "")</f>
        <v/>
      </c>
    </row>
    <row r="841" spans="3:4" x14ac:dyDescent="0.3">
      <c r="C841" s="2" t="str">
        <f>IF(A841&lt;&gt;"",SUM(B841),"")</f>
        <v/>
      </c>
      <c r="D841" s="2" t="str">
        <f>IF(A841&lt;&gt;"",(Exame!D1*Exame!C841)/Exame!C1, "")</f>
        <v/>
      </c>
    </row>
    <row r="842" spans="3:4" x14ac:dyDescent="0.3">
      <c r="C842" s="2" t="str">
        <f>IF(A842&lt;&gt;"",SUM(B842),"")</f>
        <v/>
      </c>
      <c r="D842" s="2" t="str">
        <f>IF(A842&lt;&gt;"",(Exame!D1*Exame!C842)/Exame!C1, "")</f>
        <v/>
      </c>
    </row>
    <row r="843" spans="3:4" x14ac:dyDescent="0.3">
      <c r="C843" s="2" t="str">
        <f>IF(A843&lt;&gt;"",SUM(B843),"")</f>
        <v/>
      </c>
      <c r="D843" s="2" t="str">
        <f>IF(A843&lt;&gt;"",(Exame!D1*Exame!C843)/Exame!C1, "")</f>
        <v/>
      </c>
    </row>
    <row r="844" spans="3:4" x14ac:dyDescent="0.3">
      <c r="C844" s="2" t="str">
        <f>IF(A844&lt;&gt;"",SUM(B844),"")</f>
        <v/>
      </c>
      <c r="D844" s="2" t="str">
        <f>IF(A844&lt;&gt;"",(Exame!D1*Exame!C844)/Exame!C1, "")</f>
        <v/>
      </c>
    </row>
    <row r="845" spans="3:4" x14ac:dyDescent="0.3">
      <c r="C845" s="2" t="str">
        <f>IF(A845&lt;&gt;"",SUM(B845),"")</f>
        <v/>
      </c>
      <c r="D845" s="2" t="str">
        <f>IF(A845&lt;&gt;"",(Exame!D1*Exame!C845)/Exame!C1, "")</f>
        <v/>
      </c>
    </row>
    <row r="846" spans="3:4" x14ac:dyDescent="0.3">
      <c r="C846" s="2" t="str">
        <f>IF(A846&lt;&gt;"",SUM(B846),"")</f>
        <v/>
      </c>
      <c r="D846" s="2" t="str">
        <f>IF(A846&lt;&gt;"",(Exame!D1*Exame!C846)/Exame!C1, "")</f>
        <v/>
      </c>
    </row>
    <row r="847" spans="3:4" x14ac:dyDescent="0.3">
      <c r="C847" s="2" t="str">
        <f>IF(A847&lt;&gt;"",SUM(B847),"")</f>
        <v/>
      </c>
      <c r="D847" s="2" t="str">
        <f>IF(A847&lt;&gt;"",(Exame!D1*Exame!C847)/Exame!C1, "")</f>
        <v/>
      </c>
    </row>
    <row r="848" spans="3:4" x14ac:dyDescent="0.3">
      <c r="C848" s="2" t="str">
        <f>IF(A848&lt;&gt;"",SUM(B848),"")</f>
        <v/>
      </c>
      <c r="D848" s="2" t="str">
        <f>IF(A848&lt;&gt;"",(Exame!D1*Exame!C848)/Exame!C1, "")</f>
        <v/>
      </c>
    </row>
    <row r="849" spans="3:4" x14ac:dyDescent="0.3">
      <c r="C849" s="2" t="str">
        <f>IF(A849&lt;&gt;"",SUM(B849),"")</f>
        <v/>
      </c>
      <c r="D849" s="2" t="str">
        <f>IF(A849&lt;&gt;"",(Exame!D1*Exame!C849)/Exame!C1, "")</f>
        <v/>
      </c>
    </row>
    <row r="850" spans="3:4" x14ac:dyDescent="0.3">
      <c r="C850" s="2" t="str">
        <f>IF(A850&lt;&gt;"",SUM(B850),"")</f>
        <v/>
      </c>
      <c r="D850" s="2" t="str">
        <f>IF(A850&lt;&gt;"",(Exame!D1*Exame!C850)/Exame!C1, "")</f>
        <v/>
      </c>
    </row>
    <row r="851" spans="3:4" x14ac:dyDescent="0.3">
      <c r="C851" s="2" t="str">
        <f>IF(A851&lt;&gt;"",SUM(B851),"")</f>
        <v/>
      </c>
      <c r="D851" s="2" t="str">
        <f>IF(A851&lt;&gt;"",(Exame!D1*Exame!C851)/Exame!C1, "")</f>
        <v/>
      </c>
    </row>
    <row r="852" spans="3:4" x14ac:dyDescent="0.3">
      <c r="C852" s="2" t="str">
        <f>IF(A852&lt;&gt;"",SUM(B852),"")</f>
        <v/>
      </c>
      <c r="D852" s="2" t="str">
        <f>IF(A852&lt;&gt;"",(Exame!D1*Exame!C852)/Exame!C1, "")</f>
        <v/>
      </c>
    </row>
    <row r="853" spans="3:4" x14ac:dyDescent="0.3">
      <c r="C853" s="2" t="str">
        <f>IF(A853&lt;&gt;"",SUM(B853),"")</f>
        <v/>
      </c>
      <c r="D853" s="2" t="str">
        <f>IF(A853&lt;&gt;"",(Exame!D1*Exame!C853)/Exame!C1, "")</f>
        <v/>
      </c>
    </row>
    <row r="854" spans="3:4" x14ac:dyDescent="0.3">
      <c r="C854" s="2" t="str">
        <f>IF(A854&lt;&gt;"",SUM(B854),"")</f>
        <v/>
      </c>
      <c r="D854" s="2" t="str">
        <f>IF(A854&lt;&gt;"",(Exame!D1*Exame!C854)/Exame!C1, "")</f>
        <v/>
      </c>
    </row>
    <row r="855" spans="3:4" x14ac:dyDescent="0.3">
      <c r="C855" s="2" t="str">
        <f>IF(A855&lt;&gt;"",SUM(B855),"")</f>
        <v/>
      </c>
      <c r="D855" s="2" t="str">
        <f>IF(A855&lt;&gt;"",(Exame!D1*Exame!C855)/Exame!C1, "")</f>
        <v/>
      </c>
    </row>
    <row r="856" spans="3:4" x14ac:dyDescent="0.3">
      <c r="C856" s="2" t="str">
        <f>IF(A856&lt;&gt;"",SUM(B856),"")</f>
        <v/>
      </c>
      <c r="D856" s="2" t="str">
        <f>IF(A856&lt;&gt;"",(Exame!D1*Exame!C856)/Exame!C1, "")</f>
        <v/>
      </c>
    </row>
    <row r="857" spans="3:4" x14ac:dyDescent="0.3">
      <c r="C857" s="2" t="str">
        <f>IF(A857&lt;&gt;"",SUM(B857),"")</f>
        <v/>
      </c>
      <c r="D857" s="2" t="str">
        <f>IF(A857&lt;&gt;"",(Exame!D1*Exame!C857)/Exame!C1, "")</f>
        <v/>
      </c>
    </row>
    <row r="858" spans="3:4" x14ac:dyDescent="0.3">
      <c r="C858" s="2" t="str">
        <f>IF(A858&lt;&gt;"",SUM(B858),"")</f>
        <v/>
      </c>
      <c r="D858" s="2" t="str">
        <f>IF(A858&lt;&gt;"",(Exame!D1*Exame!C858)/Exame!C1, "")</f>
        <v/>
      </c>
    </row>
    <row r="859" spans="3:4" x14ac:dyDescent="0.3">
      <c r="C859" s="2" t="str">
        <f>IF(A859&lt;&gt;"",SUM(B859),"")</f>
        <v/>
      </c>
      <c r="D859" s="2" t="str">
        <f>IF(A859&lt;&gt;"",(Exame!D1*Exame!C859)/Exame!C1, "")</f>
        <v/>
      </c>
    </row>
    <row r="860" spans="3:4" x14ac:dyDescent="0.3">
      <c r="C860" s="2" t="str">
        <f>IF(A860&lt;&gt;"",SUM(B860),"")</f>
        <v/>
      </c>
      <c r="D860" s="2" t="str">
        <f>IF(A860&lt;&gt;"",(Exame!D1*Exame!C860)/Exame!C1, "")</f>
        <v/>
      </c>
    </row>
    <row r="861" spans="3:4" x14ac:dyDescent="0.3">
      <c r="C861" s="2" t="str">
        <f>IF(A861&lt;&gt;"",SUM(B861),"")</f>
        <v/>
      </c>
      <c r="D861" s="2" t="str">
        <f>IF(A861&lt;&gt;"",(Exame!D1*Exame!C861)/Exame!C1, "")</f>
        <v/>
      </c>
    </row>
    <row r="862" spans="3:4" x14ac:dyDescent="0.3">
      <c r="C862" s="2" t="str">
        <f>IF(A862&lt;&gt;"",SUM(B862),"")</f>
        <v/>
      </c>
      <c r="D862" s="2" t="str">
        <f>IF(A862&lt;&gt;"",(Exame!D1*Exame!C862)/Exame!C1, "")</f>
        <v/>
      </c>
    </row>
    <row r="863" spans="3:4" x14ac:dyDescent="0.3">
      <c r="C863" s="2" t="str">
        <f>IF(A863&lt;&gt;"",SUM(B863),"")</f>
        <v/>
      </c>
      <c r="D863" s="2" t="str">
        <f>IF(A863&lt;&gt;"",(Exame!D1*Exame!C863)/Exame!C1, "")</f>
        <v/>
      </c>
    </row>
    <row r="864" spans="3:4" x14ac:dyDescent="0.3">
      <c r="C864" s="2" t="str">
        <f>IF(A864&lt;&gt;"",SUM(B864),"")</f>
        <v/>
      </c>
      <c r="D864" s="2" t="str">
        <f>IF(A864&lt;&gt;"",(Exame!D1*Exame!C864)/Exame!C1, "")</f>
        <v/>
      </c>
    </row>
    <row r="865" spans="3:4" x14ac:dyDescent="0.3">
      <c r="C865" s="2" t="str">
        <f>IF(A865&lt;&gt;"",SUM(B865),"")</f>
        <v/>
      </c>
      <c r="D865" s="2" t="str">
        <f>IF(A865&lt;&gt;"",(Exame!D1*Exame!C865)/Exame!C1, "")</f>
        <v/>
      </c>
    </row>
    <row r="866" spans="3:4" x14ac:dyDescent="0.3">
      <c r="C866" s="2" t="str">
        <f>IF(A866&lt;&gt;"",SUM(B866),"")</f>
        <v/>
      </c>
      <c r="D866" s="2" t="str">
        <f>IF(A866&lt;&gt;"",(Exame!D1*Exame!C866)/Exame!C1, "")</f>
        <v/>
      </c>
    </row>
    <row r="867" spans="3:4" x14ac:dyDescent="0.3">
      <c r="C867" s="2" t="str">
        <f>IF(A867&lt;&gt;"",SUM(B867),"")</f>
        <v/>
      </c>
      <c r="D867" s="2" t="str">
        <f>IF(A867&lt;&gt;"",(Exame!D1*Exame!C867)/Exame!C1, "")</f>
        <v/>
      </c>
    </row>
    <row r="868" spans="3:4" x14ac:dyDescent="0.3">
      <c r="C868" s="2" t="str">
        <f>IF(A868&lt;&gt;"",SUM(B868),"")</f>
        <v/>
      </c>
      <c r="D868" s="2" t="str">
        <f>IF(A868&lt;&gt;"",(Exame!D1*Exame!C868)/Exame!C1, "")</f>
        <v/>
      </c>
    </row>
    <row r="869" spans="3:4" x14ac:dyDescent="0.3">
      <c r="C869" s="2" t="str">
        <f>IF(A869&lt;&gt;"",SUM(B869),"")</f>
        <v/>
      </c>
      <c r="D869" s="2" t="str">
        <f>IF(A869&lt;&gt;"",(Exame!D1*Exame!C869)/Exame!C1, "")</f>
        <v/>
      </c>
    </row>
    <row r="870" spans="3:4" x14ac:dyDescent="0.3">
      <c r="C870" s="2" t="str">
        <f>IF(A870&lt;&gt;"",SUM(B870),"")</f>
        <v/>
      </c>
      <c r="D870" s="2" t="str">
        <f>IF(A870&lt;&gt;"",(Exame!D1*Exame!C870)/Exame!C1, "")</f>
        <v/>
      </c>
    </row>
    <row r="871" spans="3:4" x14ac:dyDescent="0.3">
      <c r="C871" s="2" t="str">
        <f>IF(A871&lt;&gt;"",SUM(B871),"")</f>
        <v/>
      </c>
      <c r="D871" s="2" t="str">
        <f>IF(A871&lt;&gt;"",(Exame!D1*Exame!C871)/Exame!C1, "")</f>
        <v/>
      </c>
    </row>
    <row r="872" spans="3:4" x14ac:dyDescent="0.3">
      <c r="C872" s="2" t="str">
        <f>IF(A872&lt;&gt;"",SUM(B872),"")</f>
        <v/>
      </c>
      <c r="D872" s="2" t="str">
        <f>IF(A872&lt;&gt;"",(Exame!D1*Exame!C872)/Exame!C1, "")</f>
        <v/>
      </c>
    </row>
    <row r="873" spans="3:4" x14ac:dyDescent="0.3">
      <c r="C873" s="2" t="str">
        <f>IF(A873&lt;&gt;"",SUM(B873),"")</f>
        <v/>
      </c>
      <c r="D873" s="2" t="str">
        <f>IF(A873&lt;&gt;"",(Exame!D1*Exame!C873)/Exame!C1, "")</f>
        <v/>
      </c>
    </row>
    <row r="874" spans="3:4" x14ac:dyDescent="0.3">
      <c r="C874" s="2" t="str">
        <f>IF(A874&lt;&gt;"",SUM(B874),"")</f>
        <v/>
      </c>
      <c r="D874" s="2" t="str">
        <f>IF(A874&lt;&gt;"",(Exame!D1*Exame!C874)/Exame!C1, "")</f>
        <v/>
      </c>
    </row>
    <row r="875" spans="3:4" x14ac:dyDescent="0.3">
      <c r="C875" s="2" t="str">
        <f>IF(A875&lt;&gt;"",SUM(B875),"")</f>
        <v/>
      </c>
      <c r="D875" s="2" t="str">
        <f>IF(A875&lt;&gt;"",(Exame!D1*Exame!C875)/Exame!C1, "")</f>
        <v/>
      </c>
    </row>
    <row r="876" spans="3:4" x14ac:dyDescent="0.3">
      <c r="C876" s="2" t="str">
        <f>IF(A876&lt;&gt;"",SUM(B876),"")</f>
        <v/>
      </c>
      <c r="D876" s="2" t="str">
        <f>IF(A876&lt;&gt;"",(Exame!D1*Exame!C876)/Exame!C1, "")</f>
        <v/>
      </c>
    </row>
    <row r="877" spans="3:4" x14ac:dyDescent="0.3">
      <c r="C877" s="2" t="str">
        <f>IF(A877&lt;&gt;"",SUM(B877),"")</f>
        <v/>
      </c>
      <c r="D877" s="2" t="str">
        <f>IF(A877&lt;&gt;"",(Exame!D1*Exame!C877)/Exame!C1, "")</f>
        <v/>
      </c>
    </row>
    <row r="878" spans="3:4" x14ac:dyDescent="0.3">
      <c r="C878" s="2" t="str">
        <f>IF(A878&lt;&gt;"",SUM(B878),"")</f>
        <v/>
      </c>
      <c r="D878" s="2" t="str">
        <f>IF(A878&lt;&gt;"",(Exame!D1*Exame!C878)/Exame!C1, "")</f>
        <v/>
      </c>
    </row>
    <row r="879" spans="3:4" x14ac:dyDescent="0.3">
      <c r="C879" s="2" t="str">
        <f>IF(A879&lt;&gt;"",SUM(B879),"")</f>
        <v/>
      </c>
      <c r="D879" s="2" t="str">
        <f>IF(A879&lt;&gt;"",(Exame!D1*Exame!C879)/Exame!C1, "")</f>
        <v/>
      </c>
    </row>
    <row r="880" spans="3:4" x14ac:dyDescent="0.3">
      <c r="C880" s="2" t="str">
        <f>IF(A880&lt;&gt;"",SUM(B880),"")</f>
        <v/>
      </c>
      <c r="D880" s="2" t="str">
        <f>IF(A880&lt;&gt;"",(Exame!D1*Exame!C880)/Exame!C1, "")</f>
        <v/>
      </c>
    </row>
    <row r="881" spans="3:4" x14ac:dyDescent="0.3">
      <c r="C881" s="2" t="str">
        <f>IF(A881&lt;&gt;"",SUM(B881),"")</f>
        <v/>
      </c>
      <c r="D881" s="2" t="str">
        <f>IF(A881&lt;&gt;"",(Exame!D1*Exame!C881)/Exame!C1, "")</f>
        <v/>
      </c>
    </row>
    <row r="882" spans="3:4" x14ac:dyDescent="0.3">
      <c r="C882" s="2" t="str">
        <f>IF(A882&lt;&gt;"",SUM(B882),"")</f>
        <v/>
      </c>
      <c r="D882" s="2" t="str">
        <f>IF(A882&lt;&gt;"",(Exame!D1*Exame!C882)/Exame!C1, "")</f>
        <v/>
      </c>
    </row>
    <row r="883" spans="3:4" x14ac:dyDescent="0.3">
      <c r="C883" s="2" t="str">
        <f>IF(A883&lt;&gt;"",SUM(B883),"")</f>
        <v/>
      </c>
      <c r="D883" s="2" t="str">
        <f>IF(A883&lt;&gt;"",(Exame!D1*Exame!C883)/Exame!C1, "")</f>
        <v/>
      </c>
    </row>
    <row r="884" spans="3:4" x14ac:dyDescent="0.3">
      <c r="C884" s="2" t="str">
        <f>IF(A884&lt;&gt;"",SUM(B884),"")</f>
        <v/>
      </c>
      <c r="D884" s="2" t="str">
        <f>IF(A884&lt;&gt;"",(Exame!D1*Exame!C884)/Exame!C1, "")</f>
        <v/>
      </c>
    </row>
    <row r="885" spans="3:4" x14ac:dyDescent="0.3">
      <c r="C885" s="2" t="str">
        <f>IF(A885&lt;&gt;"",SUM(B885),"")</f>
        <v/>
      </c>
      <c r="D885" s="2" t="str">
        <f>IF(A885&lt;&gt;"",(Exame!D1*Exame!C885)/Exame!C1, "")</f>
        <v/>
      </c>
    </row>
    <row r="886" spans="3:4" x14ac:dyDescent="0.3">
      <c r="C886" s="2" t="str">
        <f>IF(A886&lt;&gt;"",SUM(B886),"")</f>
        <v/>
      </c>
      <c r="D886" s="2" t="str">
        <f>IF(A886&lt;&gt;"",(Exame!D1*Exame!C886)/Exame!C1, "")</f>
        <v/>
      </c>
    </row>
    <row r="887" spans="3:4" x14ac:dyDescent="0.3">
      <c r="C887" s="2" t="str">
        <f>IF(A887&lt;&gt;"",SUM(B887),"")</f>
        <v/>
      </c>
      <c r="D887" s="2" t="str">
        <f>IF(A887&lt;&gt;"",(Exame!D1*Exame!C887)/Exame!C1, "")</f>
        <v/>
      </c>
    </row>
    <row r="888" spans="3:4" x14ac:dyDescent="0.3">
      <c r="C888" s="2" t="str">
        <f>IF(A888&lt;&gt;"",SUM(B888),"")</f>
        <v/>
      </c>
      <c r="D888" s="2" t="str">
        <f>IF(A888&lt;&gt;"",(Exame!D1*Exame!C888)/Exame!C1, "")</f>
        <v/>
      </c>
    </row>
    <row r="889" spans="3:4" x14ac:dyDescent="0.3">
      <c r="C889" s="2" t="str">
        <f>IF(A889&lt;&gt;"",SUM(B889),"")</f>
        <v/>
      </c>
      <c r="D889" s="2" t="str">
        <f>IF(A889&lt;&gt;"",(Exame!D1*Exame!C889)/Exame!C1, "")</f>
        <v/>
      </c>
    </row>
    <row r="890" spans="3:4" x14ac:dyDescent="0.3">
      <c r="C890" s="2" t="str">
        <f>IF(A890&lt;&gt;"",SUM(B890),"")</f>
        <v/>
      </c>
      <c r="D890" s="2" t="str">
        <f>IF(A890&lt;&gt;"",(Exame!D1*Exame!C890)/Exame!C1, "")</f>
        <v/>
      </c>
    </row>
    <row r="891" spans="3:4" x14ac:dyDescent="0.3">
      <c r="C891" s="2" t="str">
        <f>IF(A891&lt;&gt;"",SUM(B891),"")</f>
        <v/>
      </c>
      <c r="D891" s="2" t="str">
        <f>IF(A891&lt;&gt;"",(Exame!D1*Exame!C891)/Exame!C1, "")</f>
        <v/>
      </c>
    </row>
    <row r="892" spans="3:4" x14ac:dyDescent="0.3">
      <c r="C892" s="2" t="str">
        <f>IF(A892&lt;&gt;"",SUM(B892),"")</f>
        <v/>
      </c>
      <c r="D892" s="2" t="str">
        <f>IF(A892&lt;&gt;"",(Exame!D1*Exame!C892)/Exame!C1, "")</f>
        <v/>
      </c>
    </row>
    <row r="893" spans="3:4" x14ac:dyDescent="0.3">
      <c r="C893" s="2" t="str">
        <f>IF(A893&lt;&gt;"",SUM(B893),"")</f>
        <v/>
      </c>
      <c r="D893" s="2" t="str">
        <f>IF(A893&lt;&gt;"",(Exame!D1*Exame!C893)/Exame!C1, "")</f>
        <v/>
      </c>
    </row>
    <row r="894" spans="3:4" x14ac:dyDescent="0.3">
      <c r="C894" s="2" t="str">
        <f>IF(A894&lt;&gt;"",SUM(B894),"")</f>
        <v/>
      </c>
      <c r="D894" s="2" t="str">
        <f>IF(A894&lt;&gt;"",(Exame!D1*Exame!C894)/Exame!C1, "")</f>
        <v/>
      </c>
    </row>
    <row r="895" spans="3:4" x14ac:dyDescent="0.3">
      <c r="C895" s="2" t="str">
        <f>IF(A895&lt;&gt;"",SUM(B895),"")</f>
        <v/>
      </c>
      <c r="D895" s="2" t="str">
        <f>IF(A895&lt;&gt;"",(Exame!D1*Exame!C895)/Exame!C1, "")</f>
        <v/>
      </c>
    </row>
    <row r="896" spans="3:4" x14ac:dyDescent="0.3">
      <c r="C896" s="2" t="str">
        <f>IF(A896&lt;&gt;"",SUM(B896),"")</f>
        <v/>
      </c>
      <c r="D896" s="2" t="str">
        <f>IF(A896&lt;&gt;"",(Exame!D1*Exame!C896)/Exame!C1, "")</f>
        <v/>
      </c>
    </row>
    <row r="897" spans="3:4" x14ac:dyDescent="0.3">
      <c r="C897" s="2" t="str">
        <f>IF(A897&lt;&gt;"",SUM(B897),"")</f>
        <v/>
      </c>
      <c r="D897" s="2" t="str">
        <f>IF(A897&lt;&gt;"",(Exame!D1*Exame!C897)/Exame!C1, "")</f>
        <v/>
      </c>
    </row>
    <row r="898" spans="3:4" x14ac:dyDescent="0.3">
      <c r="C898" s="2" t="str">
        <f>IF(A898&lt;&gt;"",SUM(B898),"")</f>
        <v/>
      </c>
      <c r="D898" s="2" t="str">
        <f>IF(A898&lt;&gt;"",(Exame!D1*Exame!C898)/Exame!C1, "")</f>
        <v/>
      </c>
    </row>
    <row r="899" spans="3:4" x14ac:dyDescent="0.3">
      <c r="C899" s="2" t="str">
        <f>IF(A899&lt;&gt;"",SUM(B899),"")</f>
        <v/>
      </c>
      <c r="D899" s="2" t="str">
        <f>IF(A899&lt;&gt;"",(Exame!D1*Exame!C899)/Exame!C1, "")</f>
        <v/>
      </c>
    </row>
    <row r="900" spans="3:4" x14ac:dyDescent="0.3">
      <c r="C900" s="2" t="str">
        <f>IF(A900&lt;&gt;"",SUM(B900),"")</f>
        <v/>
      </c>
      <c r="D900" s="2" t="str">
        <f>IF(A900&lt;&gt;"",(Exame!D1*Exame!C900)/Exame!C1, "")</f>
        <v/>
      </c>
    </row>
    <row r="901" spans="3:4" x14ac:dyDescent="0.3">
      <c r="C901" s="2" t="str">
        <f>IF(A901&lt;&gt;"",SUM(B901),"")</f>
        <v/>
      </c>
      <c r="D901" s="2" t="str">
        <f>IF(A901&lt;&gt;"",(Exame!D1*Exame!C901)/Exame!C1, "")</f>
        <v/>
      </c>
    </row>
    <row r="902" spans="3:4" x14ac:dyDescent="0.3">
      <c r="C902" s="2" t="str">
        <f>IF(A902&lt;&gt;"",SUM(B902),"")</f>
        <v/>
      </c>
      <c r="D902" s="2" t="str">
        <f>IF(A902&lt;&gt;"",(Exame!D1*Exame!C902)/Exame!C1, "")</f>
        <v/>
      </c>
    </row>
    <row r="903" spans="3:4" x14ac:dyDescent="0.3">
      <c r="C903" s="2" t="str">
        <f>IF(A903&lt;&gt;"",SUM(B903),"")</f>
        <v/>
      </c>
      <c r="D903" s="2" t="str">
        <f>IF(A903&lt;&gt;"",(Exame!D1*Exame!C903)/Exame!C1, "")</f>
        <v/>
      </c>
    </row>
    <row r="904" spans="3:4" x14ac:dyDescent="0.3">
      <c r="C904" s="2" t="str">
        <f>IF(A904&lt;&gt;"",SUM(B904),"")</f>
        <v/>
      </c>
      <c r="D904" s="2" t="str">
        <f>IF(A904&lt;&gt;"",(Exame!D1*Exame!C904)/Exame!C1, "")</f>
        <v/>
      </c>
    </row>
    <row r="905" spans="3:4" x14ac:dyDescent="0.3">
      <c r="C905" s="2" t="str">
        <f>IF(A905&lt;&gt;"",SUM(B905),"")</f>
        <v/>
      </c>
      <c r="D905" s="2" t="str">
        <f>IF(A905&lt;&gt;"",(Exame!D1*Exame!C905)/Exame!C1, "")</f>
        <v/>
      </c>
    </row>
    <row r="906" spans="3:4" x14ac:dyDescent="0.3">
      <c r="C906" s="2" t="str">
        <f>IF(A906&lt;&gt;"",SUM(B906),"")</f>
        <v/>
      </c>
      <c r="D906" s="2" t="str">
        <f>IF(A906&lt;&gt;"",(Exame!D1*Exame!C906)/Exame!C1, "")</f>
        <v/>
      </c>
    </row>
    <row r="907" spans="3:4" x14ac:dyDescent="0.3">
      <c r="C907" s="2" t="str">
        <f>IF(A907&lt;&gt;"",SUM(B907),"")</f>
        <v/>
      </c>
      <c r="D907" s="2" t="str">
        <f>IF(A907&lt;&gt;"",(Exame!D1*Exame!C907)/Exame!C1, "")</f>
        <v/>
      </c>
    </row>
    <row r="908" spans="3:4" x14ac:dyDescent="0.3">
      <c r="C908" s="2" t="str">
        <f>IF(A908&lt;&gt;"",SUM(B908),"")</f>
        <v/>
      </c>
      <c r="D908" s="2" t="str">
        <f>IF(A908&lt;&gt;"",(Exame!D1*Exame!C908)/Exame!C1, "")</f>
        <v/>
      </c>
    </row>
    <row r="909" spans="3:4" x14ac:dyDescent="0.3">
      <c r="C909" s="2" t="str">
        <f>IF(A909&lt;&gt;"",SUM(B909),"")</f>
        <v/>
      </c>
      <c r="D909" s="2" t="str">
        <f>IF(A909&lt;&gt;"",(Exame!D1*Exame!C909)/Exame!C1, "")</f>
        <v/>
      </c>
    </row>
    <row r="910" spans="3:4" x14ac:dyDescent="0.3">
      <c r="C910" s="2" t="str">
        <f>IF(A910&lt;&gt;"",SUM(B910),"")</f>
        <v/>
      </c>
      <c r="D910" s="2" t="str">
        <f>IF(A910&lt;&gt;"",(Exame!D1*Exame!C910)/Exame!C1, "")</f>
        <v/>
      </c>
    </row>
    <row r="911" spans="3:4" x14ac:dyDescent="0.3">
      <c r="C911" s="2" t="str">
        <f>IF(A911&lt;&gt;"",SUM(B911),"")</f>
        <v/>
      </c>
      <c r="D911" s="2" t="str">
        <f>IF(A911&lt;&gt;"",(Exame!D1*Exame!C911)/Exame!C1, "")</f>
        <v/>
      </c>
    </row>
    <row r="912" spans="3:4" x14ac:dyDescent="0.3">
      <c r="C912" s="2" t="str">
        <f>IF(A912&lt;&gt;"",SUM(B912),"")</f>
        <v/>
      </c>
      <c r="D912" s="2" t="str">
        <f>IF(A912&lt;&gt;"",(Exame!D1*Exame!C912)/Exame!C1, "")</f>
        <v/>
      </c>
    </row>
    <row r="913" spans="3:4" x14ac:dyDescent="0.3">
      <c r="C913" s="2" t="str">
        <f>IF(A913&lt;&gt;"",SUM(B913),"")</f>
        <v/>
      </c>
      <c r="D913" s="2" t="str">
        <f>IF(A913&lt;&gt;"",(Exame!D1*Exame!C913)/Exame!C1, "")</f>
        <v/>
      </c>
    </row>
    <row r="914" spans="3:4" x14ac:dyDescent="0.3">
      <c r="C914" s="2" t="str">
        <f>IF(A914&lt;&gt;"",SUM(B914),"")</f>
        <v/>
      </c>
      <c r="D914" s="2" t="str">
        <f>IF(A914&lt;&gt;"",(Exame!D1*Exame!C914)/Exame!C1, "")</f>
        <v/>
      </c>
    </row>
    <row r="915" spans="3:4" x14ac:dyDescent="0.3">
      <c r="C915" s="2" t="str">
        <f>IF(A915&lt;&gt;"",SUM(B915),"")</f>
        <v/>
      </c>
      <c r="D915" s="2" t="str">
        <f>IF(A915&lt;&gt;"",(Exame!D1*Exame!C915)/Exame!C1, "")</f>
        <v/>
      </c>
    </row>
    <row r="916" spans="3:4" x14ac:dyDescent="0.3">
      <c r="C916" s="2" t="str">
        <f>IF(A916&lt;&gt;"",SUM(B916),"")</f>
        <v/>
      </c>
      <c r="D916" s="2" t="str">
        <f>IF(A916&lt;&gt;"",(Exame!D1*Exame!C916)/Exame!C1, "")</f>
        <v/>
      </c>
    </row>
    <row r="917" spans="3:4" x14ac:dyDescent="0.3">
      <c r="C917" s="2" t="str">
        <f>IF(A917&lt;&gt;"",SUM(B917),"")</f>
        <v/>
      </c>
      <c r="D917" s="2" t="str">
        <f>IF(A917&lt;&gt;"",(Exame!D1*Exame!C917)/Exame!C1, "")</f>
        <v/>
      </c>
    </row>
    <row r="918" spans="3:4" x14ac:dyDescent="0.3">
      <c r="C918" s="2" t="str">
        <f>IF(A918&lt;&gt;"",SUM(B918),"")</f>
        <v/>
      </c>
      <c r="D918" s="2" t="str">
        <f>IF(A918&lt;&gt;"",(Exame!D1*Exame!C918)/Exame!C1, "")</f>
        <v/>
      </c>
    </row>
    <row r="919" spans="3:4" x14ac:dyDescent="0.3">
      <c r="C919" s="2" t="str">
        <f>IF(A919&lt;&gt;"",SUM(B919),"")</f>
        <v/>
      </c>
      <c r="D919" s="2" t="str">
        <f>IF(A919&lt;&gt;"",(Exame!D1*Exame!C919)/Exame!C1, "")</f>
        <v/>
      </c>
    </row>
    <row r="920" spans="3:4" x14ac:dyDescent="0.3">
      <c r="C920" s="2" t="str">
        <f>IF(A920&lt;&gt;"",SUM(B920),"")</f>
        <v/>
      </c>
      <c r="D920" s="2" t="str">
        <f>IF(A920&lt;&gt;"",(Exame!D1*Exame!C920)/Exame!C1, "")</f>
        <v/>
      </c>
    </row>
    <row r="921" spans="3:4" x14ac:dyDescent="0.3">
      <c r="C921" s="2" t="str">
        <f>IF(A921&lt;&gt;"",SUM(B921),"")</f>
        <v/>
      </c>
      <c r="D921" s="2" t="str">
        <f>IF(A921&lt;&gt;"",(Exame!D1*Exame!C921)/Exame!C1, "")</f>
        <v/>
      </c>
    </row>
    <row r="922" spans="3:4" x14ac:dyDescent="0.3">
      <c r="C922" s="2" t="str">
        <f>IF(A922&lt;&gt;"",SUM(B922),"")</f>
        <v/>
      </c>
      <c r="D922" s="2" t="str">
        <f>IF(A922&lt;&gt;"",(Exame!D1*Exame!C922)/Exame!C1, "")</f>
        <v/>
      </c>
    </row>
    <row r="923" spans="3:4" x14ac:dyDescent="0.3">
      <c r="C923" s="2" t="str">
        <f>IF(A923&lt;&gt;"",SUM(B923),"")</f>
        <v/>
      </c>
      <c r="D923" s="2" t="str">
        <f>IF(A923&lt;&gt;"",(Exame!D1*Exame!C923)/Exame!C1, "")</f>
        <v/>
      </c>
    </row>
    <row r="924" spans="3:4" x14ac:dyDescent="0.3">
      <c r="C924" s="2" t="str">
        <f>IF(A924&lt;&gt;"",SUM(B924),"")</f>
        <v/>
      </c>
      <c r="D924" s="2" t="str">
        <f>IF(A924&lt;&gt;"",(Exame!D1*Exame!C924)/Exame!C1, "")</f>
        <v/>
      </c>
    </row>
    <row r="925" spans="3:4" x14ac:dyDescent="0.3">
      <c r="C925" s="2" t="str">
        <f>IF(A925&lt;&gt;"",SUM(B925),"")</f>
        <v/>
      </c>
      <c r="D925" s="2" t="str">
        <f>IF(A925&lt;&gt;"",(Exame!D1*Exame!C925)/Exame!C1, "")</f>
        <v/>
      </c>
    </row>
    <row r="926" spans="3:4" x14ac:dyDescent="0.3">
      <c r="C926" s="2" t="str">
        <f>IF(A926&lt;&gt;"",SUM(B926),"")</f>
        <v/>
      </c>
      <c r="D926" s="2" t="str">
        <f>IF(A926&lt;&gt;"",(Exame!D1*Exame!C926)/Exame!C1, "")</f>
        <v/>
      </c>
    </row>
    <row r="927" spans="3:4" x14ac:dyDescent="0.3">
      <c r="C927" s="2" t="str">
        <f>IF(A927&lt;&gt;"",SUM(B927),"")</f>
        <v/>
      </c>
      <c r="D927" s="2" t="str">
        <f>IF(A927&lt;&gt;"",(Exame!D1*Exame!C927)/Exame!C1, "")</f>
        <v/>
      </c>
    </row>
    <row r="928" spans="3:4" x14ac:dyDescent="0.3">
      <c r="C928" s="2" t="str">
        <f>IF(A928&lt;&gt;"",SUM(B928),"")</f>
        <v/>
      </c>
      <c r="D928" s="2" t="str">
        <f>IF(A928&lt;&gt;"",(Exame!D1*Exame!C928)/Exame!C1, "")</f>
        <v/>
      </c>
    </row>
    <row r="929" spans="3:4" x14ac:dyDescent="0.3">
      <c r="C929" s="2" t="str">
        <f>IF(A929&lt;&gt;"",SUM(B929),"")</f>
        <v/>
      </c>
      <c r="D929" s="2" t="str">
        <f>IF(A929&lt;&gt;"",(Exame!D1*Exame!C929)/Exame!C1, "")</f>
        <v/>
      </c>
    </row>
    <row r="930" spans="3:4" x14ac:dyDescent="0.3">
      <c r="C930" s="2" t="str">
        <f>IF(A930&lt;&gt;"",SUM(B930),"")</f>
        <v/>
      </c>
      <c r="D930" s="2" t="str">
        <f>IF(A930&lt;&gt;"",(Exame!D1*Exame!C930)/Exame!C1, "")</f>
        <v/>
      </c>
    </row>
    <row r="931" spans="3:4" x14ac:dyDescent="0.3">
      <c r="C931" s="2" t="str">
        <f>IF(A931&lt;&gt;"",SUM(B931),"")</f>
        <v/>
      </c>
      <c r="D931" s="2" t="str">
        <f>IF(A931&lt;&gt;"",(Exame!D1*Exame!C931)/Exame!C1, "")</f>
        <v/>
      </c>
    </row>
    <row r="932" spans="3:4" x14ac:dyDescent="0.3">
      <c r="C932" s="2" t="str">
        <f>IF(A932&lt;&gt;"",SUM(B932),"")</f>
        <v/>
      </c>
      <c r="D932" s="2" t="str">
        <f>IF(A932&lt;&gt;"",(Exame!D1*Exame!C932)/Exame!C1, "")</f>
        <v/>
      </c>
    </row>
    <row r="933" spans="3:4" x14ac:dyDescent="0.3">
      <c r="C933" s="2" t="str">
        <f>IF(A933&lt;&gt;"",SUM(B933),"")</f>
        <v/>
      </c>
      <c r="D933" s="2" t="str">
        <f>IF(A933&lt;&gt;"",(Exame!D1*Exame!C933)/Exame!C1, "")</f>
        <v/>
      </c>
    </row>
    <row r="934" spans="3:4" x14ac:dyDescent="0.3">
      <c r="C934" s="2" t="str">
        <f>IF(A934&lt;&gt;"",SUM(B934),"")</f>
        <v/>
      </c>
      <c r="D934" s="2" t="str">
        <f>IF(A934&lt;&gt;"",(Exame!D1*Exame!C934)/Exame!C1, "")</f>
        <v/>
      </c>
    </row>
    <row r="935" spans="3:4" x14ac:dyDescent="0.3">
      <c r="C935" s="2" t="str">
        <f>IF(A935&lt;&gt;"",SUM(B935),"")</f>
        <v/>
      </c>
      <c r="D935" s="2" t="str">
        <f>IF(A935&lt;&gt;"",(Exame!D1*Exame!C935)/Exame!C1, "")</f>
        <v/>
      </c>
    </row>
    <row r="936" spans="3:4" x14ac:dyDescent="0.3">
      <c r="C936" s="2" t="str">
        <f>IF(A936&lt;&gt;"",SUM(B936),"")</f>
        <v/>
      </c>
      <c r="D936" s="2" t="str">
        <f>IF(A936&lt;&gt;"",(Exame!D1*Exame!C936)/Exame!C1, "")</f>
        <v/>
      </c>
    </row>
    <row r="937" spans="3:4" x14ac:dyDescent="0.3">
      <c r="C937" s="2" t="str">
        <f>IF(A937&lt;&gt;"",SUM(B937),"")</f>
        <v/>
      </c>
      <c r="D937" s="2" t="str">
        <f>IF(A937&lt;&gt;"",(Exame!D1*Exame!C937)/Exame!C1, "")</f>
        <v/>
      </c>
    </row>
    <row r="938" spans="3:4" x14ac:dyDescent="0.3">
      <c r="C938" s="2" t="str">
        <f>IF(A938&lt;&gt;"",SUM(B938),"")</f>
        <v/>
      </c>
      <c r="D938" s="2" t="str">
        <f>IF(A938&lt;&gt;"",(Exame!D1*Exame!C938)/Exame!C1, "")</f>
        <v/>
      </c>
    </row>
    <row r="939" spans="3:4" x14ac:dyDescent="0.3">
      <c r="C939" s="2" t="str">
        <f>IF(A939&lt;&gt;"",SUM(B939),"")</f>
        <v/>
      </c>
      <c r="D939" s="2" t="str">
        <f>IF(A939&lt;&gt;"",(Exame!D1*Exame!C939)/Exame!C1, "")</f>
        <v/>
      </c>
    </row>
    <row r="940" spans="3:4" x14ac:dyDescent="0.3">
      <c r="C940" s="2" t="str">
        <f>IF(A940&lt;&gt;"",SUM(B940),"")</f>
        <v/>
      </c>
      <c r="D940" s="2" t="str">
        <f>IF(A940&lt;&gt;"",(Exame!D1*Exame!C940)/Exame!C1, "")</f>
        <v/>
      </c>
    </row>
    <row r="941" spans="3:4" x14ac:dyDescent="0.3">
      <c r="C941" s="2" t="str">
        <f>IF(A941&lt;&gt;"",SUM(B941),"")</f>
        <v/>
      </c>
      <c r="D941" s="2" t="str">
        <f>IF(A941&lt;&gt;"",(Exame!D1*Exame!C941)/Exame!C1, "")</f>
        <v/>
      </c>
    </row>
    <row r="942" spans="3:4" x14ac:dyDescent="0.3">
      <c r="C942" s="2" t="str">
        <f>IF(A942&lt;&gt;"",SUM(B942),"")</f>
        <v/>
      </c>
      <c r="D942" s="2" t="str">
        <f>IF(A942&lt;&gt;"",(Exame!D1*Exame!C942)/Exame!C1, "")</f>
        <v/>
      </c>
    </row>
    <row r="943" spans="3:4" x14ac:dyDescent="0.3">
      <c r="C943" s="2" t="str">
        <f>IF(A943&lt;&gt;"",SUM(B943),"")</f>
        <v/>
      </c>
      <c r="D943" s="2" t="str">
        <f>IF(A943&lt;&gt;"",(Exame!D1*Exame!C943)/Exame!C1, "")</f>
        <v/>
      </c>
    </row>
    <row r="944" spans="3:4" x14ac:dyDescent="0.3">
      <c r="C944" s="2" t="str">
        <f>IF(A944&lt;&gt;"",SUM(B944),"")</f>
        <v/>
      </c>
      <c r="D944" s="2" t="str">
        <f>IF(A944&lt;&gt;"",(Exame!D1*Exame!C944)/Exame!C1, "")</f>
        <v/>
      </c>
    </row>
    <row r="945" spans="3:4" x14ac:dyDescent="0.3">
      <c r="C945" s="2" t="str">
        <f>IF(A945&lt;&gt;"",SUM(B945),"")</f>
        <v/>
      </c>
      <c r="D945" s="2" t="str">
        <f>IF(A945&lt;&gt;"",(Exame!D1*Exame!C945)/Exame!C1, "")</f>
        <v/>
      </c>
    </row>
    <row r="946" spans="3:4" x14ac:dyDescent="0.3">
      <c r="C946" s="2" t="str">
        <f>IF(A946&lt;&gt;"",SUM(B946),"")</f>
        <v/>
      </c>
      <c r="D946" s="2" t="str">
        <f>IF(A946&lt;&gt;"",(Exame!D1*Exame!C946)/Exame!C1, "")</f>
        <v/>
      </c>
    </row>
    <row r="947" spans="3:4" x14ac:dyDescent="0.3">
      <c r="C947" s="2" t="str">
        <f>IF(A947&lt;&gt;"",SUM(B947),"")</f>
        <v/>
      </c>
      <c r="D947" s="2" t="str">
        <f>IF(A947&lt;&gt;"",(Exame!D1*Exame!C947)/Exame!C1, "")</f>
        <v/>
      </c>
    </row>
    <row r="948" spans="3:4" x14ac:dyDescent="0.3">
      <c r="C948" s="2" t="str">
        <f>IF(A948&lt;&gt;"",SUM(B948),"")</f>
        <v/>
      </c>
      <c r="D948" s="2" t="str">
        <f>IF(A948&lt;&gt;"",(Exame!D1*Exame!C948)/Exame!C1, "")</f>
        <v/>
      </c>
    </row>
    <row r="949" spans="3:4" x14ac:dyDescent="0.3">
      <c r="C949" s="2" t="str">
        <f>IF(A949&lt;&gt;"",SUM(B949),"")</f>
        <v/>
      </c>
      <c r="D949" s="2" t="str">
        <f>IF(A949&lt;&gt;"",(Exame!D1*Exame!C949)/Exame!C1, "")</f>
        <v/>
      </c>
    </row>
    <row r="950" spans="3:4" x14ac:dyDescent="0.3">
      <c r="C950" s="2" t="str">
        <f>IF(A950&lt;&gt;"",SUM(B950),"")</f>
        <v/>
      </c>
      <c r="D950" s="2" t="str">
        <f>IF(A950&lt;&gt;"",(Exame!D1*Exame!C950)/Exame!C1, "")</f>
        <v/>
      </c>
    </row>
    <row r="951" spans="3:4" x14ac:dyDescent="0.3">
      <c r="C951" s="2" t="str">
        <f>IF(A951&lt;&gt;"",SUM(B951),"")</f>
        <v/>
      </c>
      <c r="D951" s="2" t="str">
        <f>IF(A951&lt;&gt;"",(Exame!D1*Exame!C951)/Exame!C1, "")</f>
        <v/>
      </c>
    </row>
    <row r="952" spans="3:4" x14ac:dyDescent="0.3">
      <c r="C952" s="2" t="str">
        <f>IF(A952&lt;&gt;"",SUM(B952),"")</f>
        <v/>
      </c>
      <c r="D952" s="2" t="str">
        <f>IF(A952&lt;&gt;"",(Exame!D1*Exame!C952)/Exame!C1, "")</f>
        <v/>
      </c>
    </row>
    <row r="953" spans="3:4" x14ac:dyDescent="0.3">
      <c r="C953" s="2" t="str">
        <f>IF(A953&lt;&gt;"",SUM(B953),"")</f>
        <v/>
      </c>
      <c r="D953" s="2" t="str">
        <f>IF(A953&lt;&gt;"",(Exame!D1*Exame!C953)/Exame!C1, "")</f>
        <v/>
      </c>
    </row>
    <row r="954" spans="3:4" x14ac:dyDescent="0.3">
      <c r="C954" s="2" t="str">
        <f>IF(A954&lt;&gt;"",SUM(B954),"")</f>
        <v/>
      </c>
      <c r="D954" s="2" t="str">
        <f>IF(A954&lt;&gt;"",(Exame!D1*Exame!C954)/Exame!C1, "")</f>
        <v/>
      </c>
    </row>
    <row r="955" spans="3:4" x14ac:dyDescent="0.3">
      <c r="C955" s="2" t="str">
        <f>IF(A955&lt;&gt;"",SUM(B955),"")</f>
        <v/>
      </c>
      <c r="D955" s="2" t="str">
        <f>IF(A955&lt;&gt;"",(Exame!D1*Exame!C955)/Exame!C1, "")</f>
        <v/>
      </c>
    </row>
    <row r="956" spans="3:4" x14ac:dyDescent="0.3">
      <c r="C956" s="2" t="str">
        <f>IF(A956&lt;&gt;"",SUM(B956),"")</f>
        <v/>
      </c>
      <c r="D956" s="2" t="str">
        <f>IF(A956&lt;&gt;"",(Exame!D1*Exame!C956)/Exame!C1, "")</f>
        <v/>
      </c>
    </row>
    <row r="957" spans="3:4" x14ac:dyDescent="0.3">
      <c r="C957" s="2" t="str">
        <f>IF(A957&lt;&gt;"",SUM(B957),"")</f>
        <v/>
      </c>
      <c r="D957" s="2" t="str">
        <f>IF(A957&lt;&gt;"",(Exame!D1*Exame!C957)/Exame!C1, "")</f>
        <v/>
      </c>
    </row>
    <row r="958" spans="3:4" x14ac:dyDescent="0.3">
      <c r="C958" s="2" t="str">
        <f>IF(A958&lt;&gt;"",SUM(B958),"")</f>
        <v/>
      </c>
      <c r="D958" s="2" t="str">
        <f>IF(A958&lt;&gt;"",(Exame!D1*Exame!C958)/Exame!C1, "")</f>
        <v/>
      </c>
    </row>
    <row r="959" spans="3:4" x14ac:dyDescent="0.3">
      <c r="C959" s="2" t="str">
        <f>IF(A959&lt;&gt;"",SUM(B959),"")</f>
        <v/>
      </c>
      <c r="D959" s="2" t="str">
        <f>IF(A959&lt;&gt;"",(Exame!D1*Exame!C959)/Exame!C1, "")</f>
        <v/>
      </c>
    </row>
    <row r="960" spans="3:4" x14ac:dyDescent="0.3">
      <c r="C960" s="2" t="str">
        <f>IF(A960&lt;&gt;"",SUM(B960),"")</f>
        <v/>
      </c>
      <c r="D960" s="2" t="str">
        <f>IF(A960&lt;&gt;"",(Exame!D1*Exame!C960)/Exame!C1, "")</f>
        <v/>
      </c>
    </row>
    <row r="961" spans="3:4" x14ac:dyDescent="0.3">
      <c r="C961" s="2" t="str">
        <f>IF(A961&lt;&gt;"",SUM(B961),"")</f>
        <v/>
      </c>
      <c r="D961" s="2" t="str">
        <f>IF(A961&lt;&gt;"",(Exame!D1*Exame!C961)/Exame!C1, "")</f>
        <v/>
      </c>
    </row>
    <row r="962" spans="3:4" x14ac:dyDescent="0.3">
      <c r="C962" s="2" t="str">
        <f>IF(A962&lt;&gt;"",SUM(B962),"")</f>
        <v/>
      </c>
      <c r="D962" s="2" t="str">
        <f>IF(A962&lt;&gt;"",(Exame!D1*Exame!C962)/Exame!C1, "")</f>
        <v/>
      </c>
    </row>
    <row r="963" spans="3:4" x14ac:dyDescent="0.3">
      <c r="C963" s="2" t="str">
        <f>IF(A963&lt;&gt;"",SUM(B963),"")</f>
        <v/>
      </c>
      <c r="D963" s="2" t="str">
        <f>IF(A963&lt;&gt;"",(Exame!D1*Exame!C963)/Exame!C1, "")</f>
        <v/>
      </c>
    </row>
    <row r="964" spans="3:4" x14ac:dyDescent="0.3">
      <c r="C964" s="2" t="str">
        <f>IF(A964&lt;&gt;"",SUM(B964),"")</f>
        <v/>
      </c>
      <c r="D964" s="2" t="str">
        <f>IF(A964&lt;&gt;"",(Exame!D1*Exame!C964)/Exame!C1, "")</f>
        <v/>
      </c>
    </row>
    <row r="965" spans="3:4" x14ac:dyDescent="0.3">
      <c r="C965" s="2" t="str">
        <f>IF(A965&lt;&gt;"",SUM(B965),"")</f>
        <v/>
      </c>
      <c r="D965" s="2" t="str">
        <f>IF(A965&lt;&gt;"",(Exame!D1*Exame!C965)/Exame!C1, "")</f>
        <v/>
      </c>
    </row>
    <row r="966" spans="3:4" x14ac:dyDescent="0.3">
      <c r="C966" s="2" t="str">
        <f>IF(A966&lt;&gt;"",SUM(B966),"")</f>
        <v/>
      </c>
      <c r="D966" s="2" t="str">
        <f>IF(A966&lt;&gt;"",(Exame!D1*Exame!C966)/Exame!C1, "")</f>
        <v/>
      </c>
    </row>
    <row r="967" spans="3:4" x14ac:dyDescent="0.3">
      <c r="C967" s="2" t="str">
        <f>IF(A967&lt;&gt;"",SUM(B967),"")</f>
        <v/>
      </c>
      <c r="D967" s="2" t="str">
        <f>IF(A967&lt;&gt;"",(Exame!D1*Exame!C967)/Exame!C1, "")</f>
        <v/>
      </c>
    </row>
    <row r="968" spans="3:4" x14ac:dyDescent="0.3">
      <c r="C968" s="2" t="str">
        <f>IF(A968&lt;&gt;"",SUM(B968),"")</f>
        <v/>
      </c>
      <c r="D968" s="2" t="str">
        <f>IF(A968&lt;&gt;"",(Exame!D1*Exame!C968)/Exame!C1, "")</f>
        <v/>
      </c>
    </row>
    <row r="969" spans="3:4" x14ac:dyDescent="0.3">
      <c r="C969" s="2" t="str">
        <f>IF(A969&lt;&gt;"",SUM(B969),"")</f>
        <v/>
      </c>
      <c r="D969" s="2" t="str">
        <f>IF(A969&lt;&gt;"",(Exame!D1*Exame!C969)/Exame!C1, "")</f>
        <v/>
      </c>
    </row>
    <row r="970" spans="3:4" x14ac:dyDescent="0.3">
      <c r="C970" s="2" t="str">
        <f>IF(A970&lt;&gt;"",SUM(B970),"")</f>
        <v/>
      </c>
      <c r="D970" s="2" t="str">
        <f>IF(A970&lt;&gt;"",(Exame!D1*Exame!C970)/Exame!C1, "")</f>
        <v/>
      </c>
    </row>
    <row r="971" spans="3:4" x14ac:dyDescent="0.3">
      <c r="C971" s="2" t="str">
        <f>IF(A971&lt;&gt;"",SUM(B971),"")</f>
        <v/>
      </c>
      <c r="D971" s="2" t="str">
        <f>IF(A971&lt;&gt;"",(Exame!D1*Exame!C971)/Exame!C1, "")</f>
        <v/>
      </c>
    </row>
    <row r="972" spans="3:4" x14ac:dyDescent="0.3">
      <c r="C972" s="2" t="str">
        <f>IF(A972&lt;&gt;"",SUM(B972),"")</f>
        <v/>
      </c>
      <c r="D972" s="2" t="str">
        <f>IF(A972&lt;&gt;"",(Exame!D1*Exame!C972)/Exame!C1, "")</f>
        <v/>
      </c>
    </row>
    <row r="973" spans="3:4" x14ac:dyDescent="0.3">
      <c r="C973" s="2" t="str">
        <f>IF(A973&lt;&gt;"",SUM(B973),"")</f>
        <v/>
      </c>
      <c r="D973" s="2" t="str">
        <f>IF(A973&lt;&gt;"",(Exame!D1*Exame!C973)/Exame!C1, "")</f>
        <v/>
      </c>
    </row>
    <row r="974" spans="3:4" x14ac:dyDescent="0.3">
      <c r="C974" s="2" t="str">
        <f>IF(A974&lt;&gt;"",SUM(B974),"")</f>
        <v/>
      </c>
      <c r="D974" s="2" t="str">
        <f>IF(A974&lt;&gt;"",(Exame!D1*Exame!C974)/Exame!C1, "")</f>
        <v/>
      </c>
    </row>
    <row r="975" spans="3:4" x14ac:dyDescent="0.3">
      <c r="C975" s="2" t="str">
        <f>IF(A975&lt;&gt;"",SUM(B975),"")</f>
        <v/>
      </c>
      <c r="D975" s="2" t="str">
        <f>IF(A975&lt;&gt;"",(Exame!D1*Exame!C975)/Exame!C1, "")</f>
        <v/>
      </c>
    </row>
    <row r="976" spans="3:4" x14ac:dyDescent="0.3">
      <c r="C976" s="2" t="str">
        <f>IF(A976&lt;&gt;"",SUM(B976),"")</f>
        <v/>
      </c>
      <c r="D976" s="2" t="str">
        <f>IF(A976&lt;&gt;"",(Exame!D1*Exame!C976)/Exame!C1, "")</f>
        <v/>
      </c>
    </row>
    <row r="977" spans="3:4" x14ac:dyDescent="0.3">
      <c r="C977" s="2" t="str">
        <f>IF(A977&lt;&gt;"",SUM(B977),"")</f>
        <v/>
      </c>
      <c r="D977" s="2" t="str">
        <f>IF(A977&lt;&gt;"",(Exame!D1*Exame!C977)/Exame!C1, "")</f>
        <v/>
      </c>
    </row>
    <row r="978" spans="3:4" x14ac:dyDescent="0.3">
      <c r="C978" s="2" t="str">
        <f>IF(A978&lt;&gt;"",SUM(B978),"")</f>
        <v/>
      </c>
      <c r="D978" s="2" t="str">
        <f>IF(A978&lt;&gt;"",(Exame!D1*Exame!C978)/Exame!C1, "")</f>
        <v/>
      </c>
    </row>
    <row r="979" spans="3:4" x14ac:dyDescent="0.3">
      <c r="C979" s="2" t="str">
        <f>IF(A979&lt;&gt;"",SUM(B979),"")</f>
        <v/>
      </c>
      <c r="D979" s="2" t="str">
        <f>IF(A979&lt;&gt;"",(Exame!D1*Exame!C979)/Exame!C1, "")</f>
        <v/>
      </c>
    </row>
    <row r="980" spans="3:4" x14ac:dyDescent="0.3">
      <c r="C980" s="2" t="str">
        <f>IF(A980&lt;&gt;"",SUM(B980),"")</f>
        <v/>
      </c>
      <c r="D980" s="2" t="str">
        <f>IF(A980&lt;&gt;"",(Exame!D1*Exame!C980)/Exame!C1, "")</f>
        <v/>
      </c>
    </row>
    <row r="981" spans="3:4" x14ac:dyDescent="0.3">
      <c r="C981" s="2" t="str">
        <f>IF(A981&lt;&gt;"",SUM(B981),"")</f>
        <v/>
      </c>
      <c r="D981" s="2" t="str">
        <f>IF(A981&lt;&gt;"",(Exame!D1*Exame!C981)/Exame!C1, "")</f>
        <v/>
      </c>
    </row>
    <row r="982" spans="3:4" x14ac:dyDescent="0.3">
      <c r="C982" s="2" t="str">
        <f>IF(A982&lt;&gt;"",SUM(B982),"")</f>
        <v/>
      </c>
      <c r="D982" s="2" t="str">
        <f>IF(A982&lt;&gt;"",(Exame!D1*Exame!C982)/Exame!C1, "")</f>
        <v/>
      </c>
    </row>
    <row r="983" spans="3:4" x14ac:dyDescent="0.3">
      <c r="C983" s="2" t="str">
        <f>IF(A983&lt;&gt;"",SUM(B983),"")</f>
        <v/>
      </c>
      <c r="D983" s="2" t="str">
        <f>IF(A983&lt;&gt;"",(Exame!D1*Exame!C983)/Exame!C1, "")</f>
        <v/>
      </c>
    </row>
    <row r="984" spans="3:4" x14ac:dyDescent="0.3">
      <c r="C984" s="2" t="str">
        <f>IF(A984&lt;&gt;"",SUM(B984),"")</f>
        <v/>
      </c>
      <c r="D984" s="2" t="str">
        <f>IF(A984&lt;&gt;"",(Exame!D1*Exame!C984)/Exame!C1, "")</f>
        <v/>
      </c>
    </row>
    <row r="985" spans="3:4" x14ac:dyDescent="0.3">
      <c r="C985" s="2" t="str">
        <f>IF(A985&lt;&gt;"",SUM(B985),"")</f>
        <v/>
      </c>
      <c r="D985" s="2" t="str">
        <f>IF(A985&lt;&gt;"",(Exame!D1*Exame!C985)/Exame!C1, "")</f>
        <v/>
      </c>
    </row>
    <row r="986" spans="3:4" x14ac:dyDescent="0.3">
      <c r="C986" s="2" t="str">
        <f>IF(A986&lt;&gt;"",SUM(B986),"")</f>
        <v/>
      </c>
      <c r="D986" s="2" t="str">
        <f>IF(A986&lt;&gt;"",(Exame!D1*Exame!C986)/Exame!C1, "")</f>
        <v/>
      </c>
    </row>
    <row r="987" spans="3:4" x14ac:dyDescent="0.3">
      <c r="C987" s="2" t="str">
        <f>IF(A987&lt;&gt;"",SUM(B987),"")</f>
        <v/>
      </c>
      <c r="D987" s="2" t="str">
        <f>IF(A987&lt;&gt;"",(Exame!D1*Exame!C987)/Exame!C1, "")</f>
        <v/>
      </c>
    </row>
    <row r="988" spans="3:4" x14ac:dyDescent="0.3">
      <c r="C988" s="2" t="str">
        <f>IF(A988&lt;&gt;"",SUM(B988),"")</f>
        <v/>
      </c>
      <c r="D988" s="2" t="str">
        <f>IF(A988&lt;&gt;"",(Exame!D1*Exame!C988)/Exame!C1, "")</f>
        <v/>
      </c>
    </row>
    <row r="989" spans="3:4" x14ac:dyDescent="0.3">
      <c r="C989" s="2" t="str">
        <f>IF(A989&lt;&gt;"",SUM(B989),"")</f>
        <v/>
      </c>
      <c r="D989" s="2" t="str">
        <f>IF(A989&lt;&gt;"",(Exame!D1*Exame!C989)/Exame!C1, "")</f>
        <v/>
      </c>
    </row>
    <row r="990" spans="3:4" x14ac:dyDescent="0.3">
      <c r="C990" s="2" t="str">
        <f>IF(A990&lt;&gt;"",SUM(B990),"")</f>
        <v/>
      </c>
      <c r="D990" s="2" t="str">
        <f>IF(A990&lt;&gt;"",(Exame!D1*Exame!C990)/Exame!C1, "")</f>
        <v/>
      </c>
    </row>
    <row r="991" spans="3:4" x14ac:dyDescent="0.3">
      <c r="C991" s="2" t="str">
        <f>IF(A991&lt;&gt;"",SUM(B991),"")</f>
        <v/>
      </c>
      <c r="D991" s="2" t="str">
        <f>IF(A991&lt;&gt;"",(Exame!D1*Exame!C991)/Exame!C1, "")</f>
        <v/>
      </c>
    </row>
    <row r="992" spans="3:4" x14ac:dyDescent="0.3">
      <c r="C992" s="2" t="str">
        <f>IF(A992&lt;&gt;"",SUM(B992),"")</f>
        <v/>
      </c>
      <c r="D992" s="2" t="str">
        <f>IF(A992&lt;&gt;"",(Exame!D1*Exame!C992)/Exame!C1, "")</f>
        <v/>
      </c>
    </row>
    <row r="993" spans="3:4" x14ac:dyDescent="0.3">
      <c r="C993" s="2" t="str">
        <f>IF(A993&lt;&gt;"",SUM(B993),"")</f>
        <v/>
      </c>
      <c r="D993" s="2" t="str">
        <f>IF(A993&lt;&gt;"",(Exame!D1*Exame!C993)/Exame!C1, "")</f>
        <v/>
      </c>
    </row>
    <row r="994" spans="3:4" x14ac:dyDescent="0.3">
      <c r="C994" s="2" t="str">
        <f>IF(A994&lt;&gt;"",SUM(B994),"")</f>
        <v/>
      </c>
      <c r="D994" s="2" t="str">
        <f>IF(A994&lt;&gt;"",(Exame!D1*Exame!C994)/Exame!C1, "")</f>
        <v/>
      </c>
    </row>
    <row r="995" spans="3:4" x14ac:dyDescent="0.3">
      <c r="C995" s="2" t="str">
        <f>IF(A995&lt;&gt;"",SUM(B995),"")</f>
        <v/>
      </c>
      <c r="D995" s="2" t="str">
        <f>IF(A995&lt;&gt;"",(Exame!D1*Exame!C995)/Exame!C1, "")</f>
        <v/>
      </c>
    </row>
    <row r="996" spans="3:4" x14ac:dyDescent="0.3">
      <c r="C996" s="2" t="str">
        <f>IF(A996&lt;&gt;"",SUM(B996),"")</f>
        <v/>
      </c>
      <c r="D996" s="2" t="str">
        <f>IF(A996&lt;&gt;"",(Exame!D1*Exame!C996)/Exame!C1, "")</f>
        <v/>
      </c>
    </row>
    <row r="997" spans="3:4" x14ac:dyDescent="0.3">
      <c r="C997" s="2" t="str">
        <f>IF(A997&lt;&gt;"",SUM(B997),"")</f>
        <v/>
      </c>
      <c r="D997" s="2" t="str">
        <f>IF(A997&lt;&gt;"",(Exame!D1*Exame!C997)/Exame!C1, "")</f>
        <v/>
      </c>
    </row>
    <row r="998" spans="3:4" x14ac:dyDescent="0.3">
      <c r="C998" s="2" t="str">
        <f>IF(A998&lt;&gt;"",SUM(B998),"")</f>
        <v/>
      </c>
      <c r="D998" s="2" t="str">
        <f>IF(A998&lt;&gt;"",(Exame!D1*Exame!C998)/Exame!C1, "")</f>
        <v/>
      </c>
    </row>
    <row r="999" spans="3:4" x14ac:dyDescent="0.3">
      <c r="C999" s="2" t="str">
        <f>IF(A999&lt;&gt;"",SUM(B999),"")</f>
        <v/>
      </c>
      <c r="D999" s="2" t="str">
        <f>IF(A999&lt;&gt;"",(Exame!D1*Exame!C999)/Exame!C1, "")</f>
        <v/>
      </c>
    </row>
    <row r="1000" spans="3:4" x14ac:dyDescent="0.3">
      <c r="C1000" s="2" t="str">
        <f>IF(A1000&lt;&gt;"",SUM(B1000),"")</f>
        <v/>
      </c>
      <c r="D1000" s="2" t="str">
        <f>IF(A1000&lt;&gt;"",(Exame!D1*Exame!C1000)/Exame!C1, 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C7902-258D-49F5-ABAC-5E91E879B53A}">
  <sheetPr codeName="Folha149"/>
  <dimension ref="A2:ZZ4"/>
  <sheetViews>
    <sheetView workbookViewId="0">
      <selection activeCell="C4" sqref="C4"/>
    </sheetView>
  </sheetViews>
  <sheetFormatPr defaultRowHeight="14.4" x14ac:dyDescent="0.3"/>
  <cols>
    <col min="1" max="1" width="35.77734375" style="2" customWidth="1"/>
    <col min="2" max="3" width="3.21875" style="2" bestFit="1" customWidth="1"/>
    <col min="4" max="702" width="8.88671875" style="2"/>
  </cols>
  <sheetData>
    <row r="2" spans="1:3" x14ac:dyDescent="0.3">
      <c r="A2" s="7" t="s">
        <v>12</v>
      </c>
      <c r="B2" s="7" t="s">
        <v>16</v>
      </c>
      <c r="C2" s="7" t="s">
        <v>15</v>
      </c>
    </row>
    <row r="3" spans="1:3" x14ac:dyDescent="0.3">
      <c r="A3" s="2" t="s">
        <v>17</v>
      </c>
      <c r="B3" s="2" t="s">
        <v>18</v>
      </c>
      <c r="C3" s="2" t="s">
        <v>20</v>
      </c>
    </row>
    <row r="4" spans="1:3" x14ac:dyDescent="0.3">
      <c r="A4" s="2" t="s">
        <v>19</v>
      </c>
      <c r="B4" s="2" t="s">
        <v>20</v>
      </c>
      <c r="C4" s="2" t="s">
        <v>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28946-E732-4062-834D-FF9D32311B2E}">
  <sheetPr codeName="Folha148"/>
  <dimension ref="A1:ZZ13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11" width="11.5546875" style="2" bestFit="1" customWidth="1"/>
    <col min="12" max="12" width="16" style="2" bestFit="1" customWidth="1"/>
    <col min="13" max="13" width="12" style="2" bestFit="1" customWidth="1"/>
    <col min="14" max="14" width="11.88671875" style="2" bestFit="1" customWidth="1"/>
    <col min="15" max="15" width="14.109375" style="2" bestFit="1" customWidth="1"/>
    <col min="16" max="16" width="11.5546875" style="2" bestFit="1" customWidth="1"/>
    <col min="17" max="17" width="16" style="2" bestFit="1" customWidth="1"/>
    <col min="18" max="18" width="12" style="2" bestFit="1" customWidth="1"/>
    <col min="19" max="19" width="11.88671875" style="2" bestFit="1" customWidth="1"/>
    <col min="20" max="20" width="14.109375" style="2" bestFit="1" customWidth="1"/>
    <col min="21" max="702" width="8.88671875" style="2"/>
  </cols>
  <sheetData>
    <row r="1" spans="1:20" x14ac:dyDescent="0.3">
      <c r="A1" s="7" t="s">
        <v>0</v>
      </c>
      <c r="B1" s="1"/>
      <c r="D1" s="3"/>
    </row>
    <row r="2" spans="1:20" x14ac:dyDescent="0.3">
      <c r="A2" s="7" t="s">
        <v>1</v>
      </c>
      <c r="B2" s="1">
        <f>COUNTA(Alunos!A:A)-1</f>
        <v>2</v>
      </c>
      <c r="D2" s="4"/>
    </row>
    <row r="3" spans="1:20" x14ac:dyDescent="0.3">
      <c r="A3" s="7" t="s">
        <v>2</v>
      </c>
      <c r="B3" s="1">
        <v>0</v>
      </c>
      <c r="D3" s="5"/>
    </row>
    <row r="4" spans="1:20" x14ac:dyDescent="0.3">
      <c r="D4" s="6"/>
    </row>
    <row r="10" spans="1:20" x14ac:dyDescent="0.3">
      <c r="A10" s="3" t="s">
        <v>3</v>
      </c>
      <c r="B10" s="4" t="s">
        <v>4</v>
      </c>
      <c r="C10" s="4" t="s">
        <v>5</v>
      </c>
      <c r="D10" s="4" t="s">
        <v>6</v>
      </c>
      <c r="E10" s="4" t="s">
        <v>7</v>
      </c>
      <c r="F10" s="3" t="s">
        <v>3</v>
      </c>
      <c r="G10" s="4" t="s">
        <v>4</v>
      </c>
      <c r="H10" s="4" t="s">
        <v>5</v>
      </c>
      <c r="I10" s="4" t="s">
        <v>6</v>
      </c>
      <c r="J10" s="4" t="s">
        <v>7</v>
      </c>
      <c r="K10" s="3" t="s">
        <v>3</v>
      </c>
      <c r="L10" s="4" t="s">
        <v>4</v>
      </c>
      <c r="M10" s="4" t="s">
        <v>5</v>
      </c>
      <c r="N10" s="4" t="s">
        <v>6</v>
      </c>
      <c r="O10" s="4" t="s">
        <v>7</v>
      </c>
      <c r="P10" s="3" t="s">
        <v>3</v>
      </c>
      <c r="Q10" s="4" t="s">
        <v>4</v>
      </c>
      <c r="R10" s="4" t="s">
        <v>5</v>
      </c>
      <c r="S10" s="4" t="s">
        <v>6</v>
      </c>
      <c r="T10" s="4" t="s">
        <v>7</v>
      </c>
    </row>
    <row r="11" spans="1:20" x14ac:dyDescent="0.3">
      <c r="A11" s="5" t="s">
        <v>10</v>
      </c>
      <c r="B11" s="5">
        <v>12</v>
      </c>
      <c r="C11" s="5"/>
      <c r="D11" s="5">
        <v>1</v>
      </c>
      <c r="E11" s="5"/>
      <c r="F11" s="5" t="s">
        <v>8</v>
      </c>
      <c r="G11" s="5">
        <v>4</v>
      </c>
      <c r="H11" s="5" t="s">
        <v>16</v>
      </c>
      <c r="I11" s="5">
        <v>2</v>
      </c>
      <c r="J11" s="5"/>
      <c r="K11" s="5" t="s">
        <v>11</v>
      </c>
      <c r="L11" s="5">
        <v>12</v>
      </c>
      <c r="M11" s="5"/>
      <c r="N11" s="5">
        <v>1</v>
      </c>
      <c r="O11" s="5"/>
      <c r="P11" s="5" t="s">
        <v>9</v>
      </c>
      <c r="Q11" s="5">
        <v>4</v>
      </c>
      <c r="R11" s="5" t="s">
        <v>15</v>
      </c>
      <c r="S11" s="5">
        <v>1</v>
      </c>
      <c r="T11" s="5"/>
    </row>
    <row r="12" spans="1:20" x14ac:dyDescent="0.3">
      <c r="A12" s="6" t="s">
        <v>21</v>
      </c>
      <c r="E12" s="6">
        <v>100</v>
      </c>
      <c r="F12" s="6" t="s">
        <v>24</v>
      </c>
      <c r="J12" s="6">
        <v>25</v>
      </c>
      <c r="K12" s="6" t="s">
        <v>22</v>
      </c>
      <c r="O12" s="6">
        <v>20</v>
      </c>
      <c r="P12" s="6" t="s">
        <v>26</v>
      </c>
      <c r="T12" s="6">
        <v>50</v>
      </c>
    </row>
    <row r="13" spans="1:20" x14ac:dyDescent="0.3">
      <c r="F13" s="6" t="s">
        <v>25</v>
      </c>
      <c r="J13" s="6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Start</vt:lpstr>
      <vt:lpstr>Alunos</vt:lpstr>
      <vt:lpstr>TP2</vt:lpstr>
      <vt:lpstr>Recurso</vt:lpstr>
      <vt:lpstr>TP1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2020-04-04T20:54:20Z</dcterms:modified>
</cp:coreProperties>
</file>