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ownloads\"/>
    </mc:Choice>
  </mc:AlternateContent>
  <xr:revisionPtr revIDLastSave="0" documentId="13_ncr:1_{679B2832-CB6C-4D90-969E-250E08756DCF}" xr6:coauthVersionLast="45" xr6:coauthVersionMax="45" xr10:uidLastSave="{00000000-0000-0000-0000-000000000000}"/>
  <bookViews>
    <workbookView xWindow="-108" yWindow="-108" windowWidth="23256" windowHeight="12576" activeTab="1" xr2:uid="{C5B5C72F-8080-4377-ACBE-2EFD018A0851}"/>
  </bookViews>
  <sheets>
    <sheet name="Start" sheetId="1" r:id="rId1"/>
    <sheet name="Alunos" sheetId="282" r:id="rId2"/>
    <sheet name="TP1" sheetId="281" r:id="rId3"/>
    <sheet name="Recurso" sheetId="280" r:id="rId4"/>
    <sheet name="Exame" sheetId="279" r:id="rId5"/>
    <sheet name="Agrupamentos" sheetId="278" r:id="rId6"/>
    <sheet name="Auxiliar" sheetId="27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77" i="282" l="1"/>
  <c r="I277" i="282" s="1"/>
  <c r="H269" i="282"/>
  <c r="I269" i="282" s="1"/>
  <c r="H261" i="282"/>
  <c r="I261" i="282" s="1"/>
  <c r="H213" i="282"/>
  <c r="I213" i="282" s="1"/>
  <c r="H205" i="282"/>
  <c r="I205" i="282" s="1"/>
  <c r="H197" i="282"/>
  <c r="I197" i="282" s="1"/>
  <c r="H149" i="282"/>
  <c r="I149" i="282" s="1"/>
  <c r="H141" i="282"/>
  <c r="I141" i="282" s="1"/>
  <c r="H133" i="282"/>
  <c r="I133" i="282" s="1"/>
  <c r="H85" i="282"/>
  <c r="I85" i="282" s="1"/>
  <c r="H77" i="282"/>
  <c r="I77" i="282" s="1"/>
  <c r="H69" i="282"/>
  <c r="I69" i="282" s="1"/>
  <c r="H21" i="282"/>
  <c r="I21" i="282" s="1"/>
  <c r="H13" i="282"/>
  <c r="I13" i="282" s="1"/>
  <c r="H5" i="282"/>
  <c r="I5" i="282" s="1"/>
  <c r="G1000" i="282"/>
  <c r="H1000" i="282" s="1"/>
  <c r="I1000" i="282" s="1"/>
  <c r="G999" i="282"/>
  <c r="H999" i="282" s="1"/>
  <c r="I999" i="282" s="1"/>
  <c r="G998" i="282"/>
  <c r="H998" i="282" s="1"/>
  <c r="I998" i="282" s="1"/>
  <c r="G997" i="282"/>
  <c r="H997" i="282" s="1"/>
  <c r="I997" i="282" s="1"/>
  <c r="G996" i="282"/>
  <c r="H996" i="282" s="1"/>
  <c r="I996" i="282" s="1"/>
  <c r="G995" i="282"/>
  <c r="H995" i="282" s="1"/>
  <c r="I995" i="282" s="1"/>
  <c r="G994" i="282"/>
  <c r="H994" i="282" s="1"/>
  <c r="I994" i="282" s="1"/>
  <c r="G993" i="282"/>
  <c r="H993" i="282" s="1"/>
  <c r="I993" i="282" s="1"/>
  <c r="G992" i="282"/>
  <c r="H992" i="282" s="1"/>
  <c r="I992" i="282" s="1"/>
  <c r="G991" i="282"/>
  <c r="H991" i="282" s="1"/>
  <c r="I991" i="282" s="1"/>
  <c r="G990" i="282"/>
  <c r="H990" i="282" s="1"/>
  <c r="I990" i="282" s="1"/>
  <c r="G989" i="282"/>
  <c r="H989" i="282" s="1"/>
  <c r="I989" i="282" s="1"/>
  <c r="G988" i="282"/>
  <c r="H988" i="282" s="1"/>
  <c r="I988" i="282" s="1"/>
  <c r="G987" i="282"/>
  <c r="H987" i="282" s="1"/>
  <c r="I987" i="282" s="1"/>
  <c r="G986" i="282"/>
  <c r="H986" i="282" s="1"/>
  <c r="I986" i="282" s="1"/>
  <c r="G985" i="282"/>
  <c r="H985" i="282" s="1"/>
  <c r="I985" i="282" s="1"/>
  <c r="G984" i="282"/>
  <c r="H984" i="282" s="1"/>
  <c r="I984" i="282" s="1"/>
  <c r="G983" i="282"/>
  <c r="H983" i="282" s="1"/>
  <c r="I983" i="282" s="1"/>
  <c r="G982" i="282"/>
  <c r="H982" i="282" s="1"/>
  <c r="I982" i="282" s="1"/>
  <c r="G981" i="282"/>
  <c r="H981" i="282" s="1"/>
  <c r="I981" i="282" s="1"/>
  <c r="G980" i="282"/>
  <c r="H980" i="282" s="1"/>
  <c r="I980" i="282" s="1"/>
  <c r="G979" i="282"/>
  <c r="H979" i="282" s="1"/>
  <c r="I979" i="282" s="1"/>
  <c r="G978" i="282"/>
  <c r="H978" i="282" s="1"/>
  <c r="I978" i="282" s="1"/>
  <c r="G977" i="282"/>
  <c r="H977" i="282" s="1"/>
  <c r="I977" i="282" s="1"/>
  <c r="G976" i="282"/>
  <c r="H976" i="282" s="1"/>
  <c r="I976" i="282" s="1"/>
  <c r="G975" i="282"/>
  <c r="H975" i="282" s="1"/>
  <c r="I975" i="282" s="1"/>
  <c r="G974" i="282"/>
  <c r="H974" i="282" s="1"/>
  <c r="I974" i="282" s="1"/>
  <c r="G973" i="282"/>
  <c r="H973" i="282" s="1"/>
  <c r="I973" i="282" s="1"/>
  <c r="G972" i="282"/>
  <c r="H972" i="282" s="1"/>
  <c r="I972" i="282" s="1"/>
  <c r="G971" i="282"/>
  <c r="H971" i="282" s="1"/>
  <c r="I971" i="282" s="1"/>
  <c r="G970" i="282"/>
  <c r="H970" i="282" s="1"/>
  <c r="I970" i="282" s="1"/>
  <c r="G969" i="282"/>
  <c r="H969" i="282" s="1"/>
  <c r="I969" i="282" s="1"/>
  <c r="G968" i="282"/>
  <c r="H968" i="282" s="1"/>
  <c r="I968" i="282" s="1"/>
  <c r="G967" i="282"/>
  <c r="H967" i="282" s="1"/>
  <c r="I967" i="282" s="1"/>
  <c r="G966" i="282"/>
  <c r="H966" i="282" s="1"/>
  <c r="I966" i="282" s="1"/>
  <c r="G965" i="282"/>
  <c r="H965" i="282" s="1"/>
  <c r="I965" i="282" s="1"/>
  <c r="G964" i="282"/>
  <c r="H964" i="282" s="1"/>
  <c r="I964" i="282" s="1"/>
  <c r="G963" i="282"/>
  <c r="H963" i="282" s="1"/>
  <c r="I963" i="282" s="1"/>
  <c r="G962" i="282"/>
  <c r="H962" i="282" s="1"/>
  <c r="I962" i="282" s="1"/>
  <c r="G961" i="282"/>
  <c r="H961" i="282" s="1"/>
  <c r="I961" i="282" s="1"/>
  <c r="G960" i="282"/>
  <c r="H960" i="282" s="1"/>
  <c r="I960" i="282" s="1"/>
  <c r="G959" i="282"/>
  <c r="H959" i="282" s="1"/>
  <c r="I959" i="282" s="1"/>
  <c r="G958" i="282"/>
  <c r="H958" i="282" s="1"/>
  <c r="I958" i="282" s="1"/>
  <c r="G957" i="282"/>
  <c r="H957" i="282" s="1"/>
  <c r="I957" i="282" s="1"/>
  <c r="G956" i="282"/>
  <c r="H956" i="282" s="1"/>
  <c r="I956" i="282" s="1"/>
  <c r="G955" i="282"/>
  <c r="H955" i="282" s="1"/>
  <c r="I955" i="282" s="1"/>
  <c r="G954" i="282"/>
  <c r="H954" i="282" s="1"/>
  <c r="I954" i="282" s="1"/>
  <c r="G953" i="282"/>
  <c r="H953" i="282" s="1"/>
  <c r="I953" i="282" s="1"/>
  <c r="G952" i="282"/>
  <c r="H952" i="282" s="1"/>
  <c r="I952" i="282" s="1"/>
  <c r="G951" i="282"/>
  <c r="H951" i="282" s="1"/>
  <c r="I951" i="282" s="1"/>
  <c r="G950" i="282"/>
  <c r="H950" i="282" s="1"/>
  <c r="I950" i="282" s="1"/>
  <c r="G949" i="282"/>
  <c r="H949" i="282" s="1"/>
  <c r="I949" i="282" s="1"/>
  <c r="G948" i="282"/>
  <c r="H948" i="282" s="1"/>
  <c r="I948" i="282" s="1"/>
  <c r="G947" i="282"/>
  <c r="H947" i="282" s="1"/>
  <c r="I947" i="282" s="1"/>
  <c r="G946" i="282"/>
  <c r="H946" i="282" s="1"/>
  <c r="I946" i="282" s="1"/>
  <c r="G945" i="282"/>
  <c r="H945" i="282" s="1"/>
  <c r="I945" i="282" s="1"/>
  <c r="G944" i="282"/>
  <c r="H944" i="282" s="1"/>
  <c r="I944" i="282" s="1"/>
  <c r="G943" i="282"/>
  <c r="H943" i="282" s="1"/>
  <c r="I943" i="282" s="1"/>
  <c r="G942" i="282"/>
  <c r="H942" i="282" s="1"/>
  <c r="I942" i="282" s="1"/>
  <c r="G941" i="282"/>
  <c r="H941" i="282" s="1"/>
  <c r="I941" i="282" s="1"/>
  <c r="G940" i="282"/>
  <c r="H940" i="282" s="1"/>
  <c r="I940" i="282" s="1"/>
  <c r="G939" i="282"/>
  <c r="H939" i="282" s="1"/>
  <c r="I939" i="282" s="1"/>
  <c r="G938" i="282"/>
  <c r="H938" i="282" s="1"/>
  <c r="I938" i="282" s="1"/>
  <c r="G937" i="282"/>
  <c r="H937" i="282" s="1"/>
  <c r="I937" i="282" s="1"/>
  <c r="G936" i="282"/>
  <c r="H936" i="282" s="1"/>
  <c r="I936" i="282" s="1"/>
  <c r="G935" i="282"/>
  <c r="H935" i="282" s="1"/>
  <c r="I935" i="282" s="1"/>
  <c r="G934" i="282"/>
  <c r="H934" i="282" s="1"/>
  <c r="I934" i="282" s="1"/>
  <c r="G933" i="282"/>
  <c r="H933" i="282" s="1"/>
  <c r="I933" i="282" s="1"/>
  <c r="G932" i="282"/>
  <c r="H932" i="282" s="1"/>
  <c r="I932" i="282" s="1"/>
  <c r="G931" i="282"/>
  <c r="H931" i="282" s="1"/>
  <c r="I931" i="282" s="1"/>
  <c r="G930" i="282"/>
  <c r="H930" i="282" s="1"/>
  <c r="I930" i="282" s="1"/>
  <c r="G929" i="282"/>
  <c r="H929" i="282" s="1"/>
  <c r="I929" i="282" s="1"/>
  <c r="G928" i="282"/>
  <c r="H928" i="282" s="1"/>
  <c r="I928" i="282" s="1"/>
  <c r="G927" i="282"/>
  <c r="H927" i="282" s="1"/>
  <c r="I927" i="282" s="1"/>
  <c r="G926" i="282"/>
  <c r="H926" i="282" s="1"/>
  <c r="I926" i="282" s="1"/>
  <c r="G925" i="282"/>
  <c r="H925" i="282" s="1"/>
  <c r="I925" i="282" s="1"/>
  <c r="G924" i="282"/>
  <c r="H924" i="282" s="1"/>
  <c r="I924" i="282" s="1"/>
  <c r="G923" i="282"/>
  <c r="H923" i="282" s="1"/>
  <c r="I923" i="282" s="1"/>
  <c r="G922" i="282"/>
  <c r="H922" i="282" s="1"/>
  <c r="I922" i="282" s="1"/>
  <c r="G921" i="282"/>
  <c r="H921" i="282" s="1"/>
  <c r="I921" i="282" s="1"/>
  <c r="G920" i="282"/>
  <c r="H920" i="282" s="1"/>
  <c r="I920" i="282" s="1"/>
  <c r="G919" i="282"/>
  <c r="H919" i="282" s="1"/>
  <c r="I919" i="282" s="1"/>
  <c r="G918" i="282"/>
  <c r="H918" i="282" s="1"/>
  <c r="I918" i="282" s="1"/>
  <c r="G917" i="282"/>
  <c r="H917" i="282" s="1"/>
  <c r="I917" i="282" s="1"/>
  <c r="G916" i="282"/>
  <c r="H916" i="282" s="1"/>
  <c r="I916" i="282" s="1"/>
  <c r="G915" i="282"/>
  <c r="H915" i="282" s="1"/>
  <c r="I915" i="282" s="1"/>
  <c r="G914" i="282"/>
  <c r="H914" i="282" s="1"/>
  <c r="I914" i="282" s="1"/>
  <c r="G913" i="282"/>
  <c r="H913" i="282" s="1"/>
  <c r="I913" i="282" s="1"/>
  <c r="G912" i="282"/>
  <c r="H912" i="282" s="1"/>
  <c r="I912" i="282" s="1"/>
  <c r="G911" i="282"/>
  <c r="H911" i="282" s="1"/>
  <c r="I911" i="282" s="1"/>
  <c r="G910" i="282"/>
  <c r="H910" i="282" s="1"/>
  <c r="I910" i="282" s="1"/>
  <c r="G909" i="282"/>
  <c r="H909" i="282" s="1"/>
  <c r="I909" i="282" s="1"/>
  <c r="G908" i="282"/>
  <c r="H908" i="282" s="1"/>
  <c r="I908" i="282" s="1"/>
  <c r="G907" i="282"/>
  <c r="H907" i="282" s="1"/>
  <c r="I907" i="282" s="1"/>
  <c r="G906" i="282"/>
  <c r="H906" i="282" s="1"/>
  <c r="I906" i="282" s="1"/>
  <c r="G905" i="282"/>
  <c r="H905" i="282" s="1"/>
  <c r="I905" i="282" s="1"/>
  <c r="G904" i="282"/>
  <c r="H904" i="282" s="1"/>
  <c r="I904" i="282" s="1"/>
  <c r="G903" i="282"/>
  <c r="H903" i="282" s="1"/>
  <c r="I903" i="282" s="1"/>
  <c r="G902" i="282"/>
  <c r="H902" i="282" s="1"/>
  <c r="I902" i="282" s="1"/>
  <c r="G901" i="282"/>
  <c r="H901" i="282" s="1"/>
  <c r="I901" i="282" s="1"/>
  <c r="G900" i="282"/>
  <c r="H900" i="282" s="1"/>
  <c r="I900" i="282" s="1"/>
  <c r="G899" i="282"/>
  <c r="H899" i="282" s="1"/>
  <c r="I899" i="282" s="1"/>
  <c r="G898" i="282"/>
  <c r="H898" i="282" s="1"/>
  <c r="I898" i="282" s="1"/>
  <c r="G897" i="282"/>
  <c r="H897" i="282" s="1"/>
  <c r="I897" i="282" s="1"/>
  <c r="G896" i="282"/>
  <c r="H896" i="282" s="1"/>
  <c r="I896" i="282" s="1"/>
  <c r="G895" i="282"/>
  <c r="H895" i="282" s="1"/>
  <c r="I895" i="282" s="1"/>
  <c r="G894" i="282"/>
  <c r="H894" i="282" s="1"/>
  <c r="I894" i="282" s="1"/>
  <c r="G893" i="282"/>
  <c r="H893" i="282" s="1"/>
  <c r="I893" i="282" s="1"/>
  <c r="G892" i="282"/>
  <c r="H892" i="282" s="1"/>
  <c r="I892" i="282" s="1"/>
  <c r="G891" i="282"/>
  <c r="H891" i="282" s="1"/>
  <c r="I891" i="282" s="1"/>
  <c r="G890" i="282"/>
  <c r="H890" i="282" s="1"/>
  <c r="I890" i="282" s="1"/>
  <c r="G889" i="282"/>
  <c r="H889" i="282" s="1"/>
  <c r="I889" i="282" s="1"/>
  <c r="G888" i="282"/>
  <c r="H888" i="282" s="1"/>
  <c r="I888" i="282" s="1"/>
  <c r="G887" i="282"/>
  <c r="H887" i="282" s="1"/>
  <c r="I887" i="282" s="1"/>
  <c r="G886" i="282"/>
  <c r="H886" i="282" s="1"/>
  <c r="I886" i="282" s="1"/>
  <c r="G885" i="282"/>
  <c r="H885" i="282" s="1"/>
  <c r="I885" i="282" s="1"/>
  <c r="G884" i="282"/>
  <c r="H884" i="282" s="1"/>
  <c r="I884" i="282" s="1"/>
  <c r="G883" i="282"/>
  <c r="H883" i="282" s="1"/>
  <c r="I883" i="282" s="1"/>
  <c r="G882" i="282"/>
  <c r="H882" i="282" s="1"/>
  <c r="I882" i="282" s="1"/>
  <c r="G881" i="282"/>
  <c r="H881" i="282" s="1"/>
  <c r="I881" i="282" s="1"/>
  <c r="G880" i="282"/>
  <c r="H880" i="282" s="1"/>
  <c r="I880" i="282" s="1"/>
  <c r="G879" i="282"/>
  <c r="H879" i="282" s="1"/>
  <c r="I879" i="282" s="1"/>
  <c r="G878" i="282"/>
  <c r="H878" i="282" s="1"/>
  <c r="I878" i="282" s="1"/>
  <c r="G877" i="282"/>
  <c r="H877" i="282" s="1"/>
  <c r="I877" i="282" s="1"/>
  <c r="G876" i="282"/>
  <c r="H876" i="282" s="1"/>
  <c r="I876" i="282" s="1"/>
  <c r="G875" i="282"/>
  <c r="H875" i="282" s="1"/>
  <c r="I875" i="282" s="1"/>
  <c r="G874" i="282"/>
  <c r="H874" i="282" s="1"/>
  <c r="I874" i="282" s="1"/>
  <c r="G873" i="282"/>
  <c r="H873" i="282" s="1"/>
  <c r="I873" i="282" s="1"/>
  <c r="G872" i="282"/>
  <c r="H872" i="282" s="1"/>
  <c r="I872" i="282" s="1"/>
  <c r="G871" i="282"/>
  <c r="H871" i="282" s="1"/>
  <c r="I871" i="282" s="1"/>
  <c r="G870" i="282"/>
  <c r="H870" i="282" s="1"/>
  <c r="I870" i="282" s="1"/>
  <c r="G869" i="282"/>
  <c r="H869" i="282" s="1"/>
  <c r="I869" i="282" s="1"/>
  <c r="G868" i="282"/>
  <c r="H868" i="282" s="1"/>
  <c r="I868" i="282" s="1"/>
  <c r="G867" i="282"/>
  <c r="H867" i="282" s="1"/>
  <c r="I867" i="282" s="1"/>
  <c r="G866" i="282"/>
  <c r="H866" i="282" s="1"/>
  <c r="I866" i="282" s="1"/>
  <c r="G865" i="282"/>
  <c r="H865" i="282" s="1"/>
  <c r="I865" i="282" s="1"/>
  <c r="G864" i="282"/>
  <c r="H864" i="282" s="1"/>
  <c r="I864" i="282" s="1"/>
  <c r="G863" i="282"/>
  <c r="H863" i="282" s="1"/>
  <c r="I863" i="282" s="1"/>
  <c r="G862" i="282"/>
  <c r="H862" i="282" s="1"/>
  <c r="I862" i="282" s="1"/>
  <c r="G861" i="282"/>
  <c r="H861" i="282" s="1"/>
  <c r="I861" i="282" s="1"/>
  <c r="G860" i="282"/>
  <c r="H860" i="282" s="1"/>
  <c r="I860" i="282" s="1"/>
  <c r="G859" i="282"/>
  <c r="H859" i="282" s="1"/>
  <c r="I859" i="282" s="1"/>
  <c r="G858" i="282"/>
  <c r="H858" i="282" s="1"/>
  <c r="I858" i="282" s="1"/>
  <c r="G857" i="282"/>
  <c r="H857" i="282" s="1"/>
  <c r="I857" i="282" s="1"/>
  <c r="G856" i="282"/>
  <c r="H856" i="282" s="1"/>
  <c r="I856" i="282" s="1"/>
  <c r="G855" i="282"/>
  <c r="H855" i="282" s="1"/>
  <c r="I855" i="282" s="1"/>
  <c r="G854" i="282"/>
  <c r="H854" i="282" s="1"/>
  <c r="I854" i="282" s="1"/>
  <c r="G853" i="282"/>
  <c r="H853" i="282" s="1"/>
  <c r="I853" i="282" s="1"/>
  <c r="G852" i="282"/>
  <c r="H852" i="282" s="1"/>
  <c r="I852" i="282" s="1"/>
  <c r="G851" i="282"/>
  <c r="H851" i="282" s="1"/>
  <c r="I851" i="282" s="1"/>
  <c r="G850" i="282"/>
  <c r="H850" i="282" s="1"/>
  <c r="I850" i="282" s="1"/>
  <c r="G849" i="282"/>
  <c r="H849" i="282" s="1"/>
  <c r="I849" i="282" s="1"/>
  <c r="G848" i="282"/>
  <c r="H848" i="282" s="1"/>
  <c r="I848" i="282" s="1"/>
  <c r="G847" i="282"/>
  <c r="H847" i="282" s="1"/>
  <c r="I847" i="282" s="1"/>
  <c r="G846" i="282"/>
  <c r="H846" i="282" s="1"/>
  <c r="I846" i="282" s="1"/>
  <c r="G845" i="282"/>
  <c r="H845" i="282" s="1"/>
  <c r="I845" i="282" s="1"/>
  <c r="G844" i="282"/>
  <c r="H844" i="282" s="1"/>
  <c r="I844" i="282" s="1"/>
  <c r="G843" i="282"/>
  <c r="H843" i="282" s="1"/>
  <c r="I843" i="282" s="1"/>
  <c r="G842" i="282"/>
  <c r="H842" i="282" s="1"/>
  <c r="I842" i="282" s="1"/>
  <c r="G841" i="282"/>
  <c r="H841" i="282" s="1"/>
  <c r="I841" i="282" s="1"/>
  <c r="G840" i="282"/>
  <c r="H840" i="282" s="1"/>
  <c r="I840" i="282" s="1"/>
  <c r="G839" i="282"/>
  <c r="H839" i="282" s="1"/>
  <c r="I839" i="282" s="1"/>
  <c r="G838" i="282"/>
  <c r="H838" i="282" s="1"/>
  <c r="I838" i="282" s="1"/>
  <c r="G837" i="282"/>
  <c r="H837" i="282" s="1"/>
  <c r="I837" i="282" s="1"/>
  <c r="G836" i="282"/>
  <c r="H836" i="282" s="1"/>
  <c r="I836" i="282" s="1"/>
  <c r="G835" i="282"/>
  <c r="H835" i="282" s="1"/>
  <c r="I835" i="282" s="1"/>
  <c r="G834" i="282"/>
  <c r="H834" i="282" s="1"/>
  <c r="I834" i="282" s="1"/>
  <c r="G833" i="282"/>
  <c r="H833" i="282" s="1"/>
  <c r="I833" i="282" s="1"/>
  <c r="G832" i="282"/>
  <c r="H832" i="282" s="1"/>
  <c r="I832" i="282" s="1"/>
  <c r="G831" i="282"/>
  <c r="H831" i="282" s="1"/>
  <c r="I831" i="282" s="1"/>
  <c r="G830" i="282"/>
  <c r="H830" i="282" s="1"/>
  <c r="I830" i="282" s="1"/>
  <c r="G829" i="282"/>
  <c r="H829" i="282" s="1"/>
  <c r="I829" i="282" s="1"/>
  <c r="G828" i="282"/>
  <c r="H828" i="282" s="1"/>
  <c r="I828" i="282" s="1"/>
  <c r="G827" i="282"/>
  <c r="H827" i="282" s="1"/>
  <c r="I827" i="282" s="1"/>
  <c r="G826" i="282"/>
  <c r="H826" i="282" s="1"/>
  <c r="I826" i="282" s="1"/>
  <c r="G825" i="282"/>
  <c r="H825" i="282" s="1"/>
  <c r="I825" i="282" s="1"/>
  <c r="G824" i="282"/>
  <c r="H824" i="282" s="1"/>
  <c r="I824" i="282" s="1"/>
  <c r="G823" i="282"/>
  <c r="H823" i="282" s="1"/>
  <c r="I823" i="282" s="1"/>
  <c r="G822" i="282"/>
  <c r="H822" i="282" s="1"/>
  <c r="I822" i="282" s="1"/>
  <c r="G821" i="282"/>
  <c r="H821" i="282" s="1"/>
  <c r="I821" i="282" s="1"/>
  <c r="G820" i="282"/>
  <c r="H820" i="282" s="1"/>
  <c r="I820" i="282" s="1"/>
  <c r="G819" i="282"/>
  <c r="H819" i="282" s="1"/>
  <c r="I819" i="282" s="1"/>
  <c r="G818" i="282"/>
  <c r="H818" i="282" s="1"/>
  <c r="I818" i="282" s="1"/>
  <c r="G817" i="282"/>
  <c r="H817" i="282" s="1"/>
  <c r="I817" i="282" s="1"/>
  <c r="G816" i="282"/>
  <c r="H816" i="282" s="1"/>
  <c r="I816" i="282" s="1"/>
  <c r="G815" i="282"/>
  <c r="H815" i="282" s="1"/>
  <c r="I815" i="282" s="1"/>
  <c r="G814" i="282"/>
  <c r="H814" i="282" s="1"/>
  <c r="I814" i="282" s="1"/>
  <c r="G813" i="282"/>
  <c r="H813" i="282" s="1"/>
  <c r="I813" i="282" s="1"/>
  <c r="G812" i="282"/>
  <c r="H812" i="282" s="1"/>
  <c r="I812" i="282" s="1"/>
  <c r="G811" i="282"/>
  <c r="H811" i="282" s="1"/>
  <c r="I811" i="282" s="1"/>
  <c r="G810" i="282"/>
  <c r="H810" i="282" s="1"/>
  <c r="I810" i="282" s="1"/>
  <c r="G809" i="282"/>
  <c r="H809" i="282" s="1"/>
  <c r="I809" i="282" s="1"/>
  <c r="G808" i="282"/>
  <c r="H808" i="282" s="1"/>
  <c r="I808" i="282" s="1"/>
  <c r="G807" i="282"/>
  <c r="H807" i="282" s="1"/>
  <c r="I807" i="282" s="1"/>
  <c r="G806" i="282"/>
  <c r="H806" i="282" s="1"/>
  <c r="I806" i="282" s="1"/>
  <c r="G805" i="282"/>
  <c r="H805" i="282" s="1"/>
  <c r="I805" i="282" s="1"/>
  <c r="G804" i="282"/>
  <c r="H804" i="282" s="1"/>
  <c r="I804" i="282" s="1"/>
  <c r="G803" i="282"/>
  <c r="H803" i="282" s="1"/>
  <c r="I803" i="282" s="1"/>
  <c r="G802" i="282"/>
  <c r="H802" i="282" s="1"/>
  <c r="I802" i="282" s="1"/>
  <c r="G801" i="282"/>
  <c r="H801" i="282" s="1"/>
  <c r="I801" i="282" s="1"/>
  <c r="G800" i="282"/>
  <c r="H800" i="282" s="1"/>
  <c r="I800" i="282" s="1"/>
  <c r="G799" i="282"/>
  <c r="H799" i="282" s="1"/>
  <c r="I799" i="282" s="1"/>
  <c r="G798" i="282"/>
  <c r="H798" i="282" s="1"/>
  <c r="I798" i="282" s="1"/>
  <c r="G797" i="282"/>
  <c r="H797" i="282" s="1"/>
  <c r="I797" i="282" s="1"/>
  <c r="G796" i="282"/>
  <c r="H796" i="282" s="1"/>
  <c r="I796" i="282" s="1"/>
  <c r="G795" i="282"/>
  <c r="H795" i="282" s="1"/>
  <c r="I795" i="282" s="1"/>
  <c r="G794" i="282"/>
  <c r="H794" i="282" s="1"/>
  <c r="I794" i="282" s="1"/>
  <c r="G793" i="282"/>
  <c r="H793" i="282" s="1"/>
  <c r="I793" i="282" s="1"/>
  <c r="G792" i="282"/>
  <c r="H792" i="282" s="1"/>
  <c r="I792" i="282" s="1"/>
  <c r="G791" i="282"/>
  <c r="H791" i="282" s="1"/>
  <c r="I791" i="282" s="1"/>
  <c r="G790" i="282"/>
  <c r="H790" i="282" s="1"/>
  <c r="I790" i="282" s="1"/>
  <c r="G789" i="282"/>
  <c r="H789" i="282" s="1"/>
  <c r="I789" i="282" s="1"/>
  <c r="G788" i="282"/>
  <c r="H788" i="282" s="1"/>
  <c r="I788" i="282" s="1"/>
  <c r="G787" i="282"/>
  <c r="H787" i="282" s="1"/>
  <c r="I787" i="282" s="1"/>
  <c r="G786" i="282"/>
  <c r="H786" i="282" s="1"/>
  <c r="I786" i="282" s="1"/>
  <c r="G785" i="282"/>
  <c r="H785" i="282" s="1"/>
  <c r="I785" i="282" s="1"/>
  <c r="G784" i="282"/>
  <c r="H784" i="282" s="1"/>
  <c r="I784" i="282" s="1"/>
  <c r="G783" i="282"/>
  <c r="H783" i="282" s="1"/>
  <c r="I783" i="282" s="1"/>
  <c r="G782" i="282"/>
  <c r="H782" i="282" s="1"/>
  <c r="I782" i="282" s="1"/>
  <c r="G781" i="282"/>
  <c r="H781" i="282" s="1"/>
  <c r="I781" i="282" s="1"/>
  <c r="G780" i="282"/>
  <c r="H780" i="282" s="1"/>
  <c r="I780" i="282" s="1"/>
  <c r="G779" i="282"/>
  <c r="H779" i="282" s="1"/>
  <c r="I779" i="282" s="1"/>
  <c r="G778" i="282"/>
  <c r="H778" i="282" s="1"/>
  <c r="I778" i="282" s="1"/>
  <c r="G777" i="282"/>
  <c r="H777" i="282" s="1"/>
  <c r="I777" i="282" s="1"/>
  <c r="G776" i="282"/>
  <c r="H776" i="282" s="1"/>
  <c r="I776" i="282" s="1"/>
  <c r="G775" i="282"/>
  <c r="H775" i="282" s="1"/>
  <c r="I775" i="282" s="1"/>
  <c r="G774" i="282"/>
  <c r="H774" i="282" s="1"/>
  <c r="I774" i="282" s="1"/>
  <c r="G773" i="282"/>
  <c r="H773" i="282" s="1"/>
  <c r="I773" i="282" s="1"/>
  <c r="G772" i="282"/>
  <c r="H772" i="282" s="1"/>
  <c r="I772" i="282" s="1"/>
  <c r="G771" i="282"/>
  <c r="H771" i="282" s="1"/>
  <c r="I771" i="282" s="1"/>
  <c r="G770" i="282"/>
  <c r="H770" i="282" s="1"/>
  <c r="I770" i="282" s="1"/>
  <c r="G769" i="282"/>
  <c r="H769" i="282" s="1"/>
  <c r="I769" i="282" s="1"/>
  <c r="G768" i="282"/>
  <c r="H768" i="282" s="1"/>
  <c r="I768" i="282" s="1"/>
  <c r="G767" i="282"/>
  <c r="H767" i="282" s="1"/>
  <c r="I767" i="282" s="1"/>
  <c r="G766" i="282"/>
  <c r="H766" i="282" s="1"/>
  <c r="I766" i="282" s="1"/>
  <c r="G765" i="282"/>
  <c r="H765" i="282" s="1"/>
  <c r="I765" i="282" s="1"/>
  <c r="G764" i="282"/>
  <c r="H764" i="282" s="1"/>
  <c r="I764" i="282" s="1"/>
  <c r="G763" i="282"/>
  <c r="H763" i="282" s="1"/>
  <c r="I763" i="282" s="1"/>
  <c r="G762" i="282"/>
  <c r="H762" i="282" s="1"/>
  <c r="I762" i="282" s="1"/>
  <c r="G761" i="282"/>
  <c r="H761" i="282" s="1"/>
  <c r="I761" i="282" s="1"/>
  <c r="G760" i="282"/>
  <c r="H760" i="282" s="1"/>
  <c r="I760" i="282" s="1"/>
  <c r="G759" i="282"/>
  <c r="H759" i="282" s="1"/>
  <c r="I759" i="282" s="1"/>
  <c r="G758" i="282"/>
  <c r="H758" i="282" s="1"/>
  <c r="I758" i="282" s="1"/>
  <c r="G757" i="282"/>
  <c r="H757" i="282" s="1"/>
  <c r="I757" i="282" s="1"/>
  <c r="G756" i="282"/>
  <c r="H756" i="282" s="1"/>
  <c r="I756" i="282" s="1"/>
  <c r="G755" i="282"/>
  <c r="H755" i="282" s="1"/>
  <c r="I755" i="282" s="1"/>
  <c r="G754" i="282"/>
  <c r="H754" i="282" s="1"/>
  <c r="I754" i="282" s="1"/>
  <c r="G753" i="282"/>
  <c r="H753" i="282" s="1"/>
  <c r="I753" i="282" s="1"/>
  <c r="G752" i="282"/>
  <c r="H752" i="282" s="1"/>
  <c r="I752" i="282" s="1"/>
  <c r="G751" i="282"/>
  <c r="H751" i="282" s="1"/>
  <c r="I751" i="282" s="1"/>
  <c r="G750" i="282"/>
  <c r="H750" i="282" s="1"/>
  <c r="I750" i="282" s="1"/>
  <c r="G749" i="282"/>
  <c r="H749" i="282" s="1"/>
  <c r="I749" i="282" s="1"/>
  <c r="G748" i="282"/>
  <c r="H748" i="282" s="1"/>
  <c r="I748" i="282" s="1"/>
  <c r="G747" i="282"/>
  <c r="H747" i="282" s="1"/>
  <c r="I747" i="282" s="1"/>
  <c r="G746" i="282"/>
  <c r="H746" i="282" s="1"/>
  <c r="I746" i="282" s="1"/>
  <c r="G745" i="282"/>
  <c r="H745" i="282" s="1"/>
  <c r="I745" i="282" s="1"/>
  <c r="G744" i="282"/>
  <c r="H744" i="282" s="1"/>
  <c r="I744" i="282" s="1"/>
  <c r="G743" i="282"/>
  <c r="H743" i="282" s="1"/>
  <c r="I743" i="282" s="1"/>
  <c r="G742" i="282"/>
  <c r="H742" i="282" s="1"/>
  <c r="I742" i="282" s="1"/>
  <c r="G741" i="282"/>
  <c r="H741" i="282" s="1"/>
  <c r="I741" i="282" s="1"/>
  <c r="G740" i="282"/>
  <c r="H740" i="282" s="1"/>
  <c r="I740" i="282" s="1"/>
  <c r="G739" i="282"/>
  <c r="H739" i="282" s="1"/>
  <c r="I739" i="282" s="1"/>
  <c r="G738" i="282"/>
  <c r="H738" i="282" s="1"/>
  <c r="I738" i="282" s="1"/>
  <c r="G737" i="282"/>
  <c r="H737" i="282" s="1"/>
  <c r="I737" i="282" s="1"/>
  <c r="G736" i="282"/>
  <c r="H736" i="282" s="1"/>
  <c r="I736" i="282" s="1"/>
  <c r="G735" i="282"/>
  <c r="H735" i="282" s="1"/>
  <c r="I735" i="282" s="1"/>
  <c r="G734" i="282"/>
  <c r="H734" i="282" s="1"/>
  <c r="I734" i="282" s="1"/>
  <c r="G733" i="282"/>
  <c r="H733" i="282" s="1"/>
  <c r="I733" i="282" s="1"/>
  <c r="G732" i="282"/>
  <c r="H732" i="282" s="1"/>
  <c r="I732" i="282" s="1"/>
  <c r="G731" i="282"/>
  <c r="H731" i="282" s="1"/>
  <c r="I731" i="282" s="1"/>
  <c r="G730" i="282"/>
  <c r="H730" i="282" s="1"/>
  <c r="I730" i="282" s="1"/>
  <c r="G729" i="282"/>
  <c r="H729" i="282" s="1"/>
  <c r="I729" i="282" s="1"/>
  <c r="G728" i="282"/>
  <c r="H728" i="282" s="1"/>
  <c r="I728" i="282" s="1"/>
  <c r="G727" i="282"/>
  <c r="H727" i="282" s="1"/>
  <c r="I727" i="282" s="1"/>
  <c r="G726" i="282"/>
  <c r="H726" i="282" s="1"/>
  <c r="I726" i="282" s="1"/>
  <c r="G725" i="282"/>
  <c r="H725" i="282" s="1"/>
  <c r="I725" i="282" s="1"/>
  <c r="G724" i="282"/>
  <c r="H724" i="282" s="1"/>
  <c r="I724" i="282" s="1"/>
  <c r="G723" i="282"/>
  <c r="H723" i="282" s="1"/>
  <c r="I723" i="282" s="1"/>
  <c r="G722" i="282"/>
  <c r="H722" i="282" s="1"/>
  <c r="I722" i="282" s="1"/>
  <c r="G721" i="282"/>
  <c r="H721" i="282" s="1"/>
  <c r="I721" i="282" s="1"/>
  <c r="G720" i="282"/>
  <c r="H720" i="282" s="1"/>
  <c r="I720" i="282" s="1"/>
  <c r="G719" i="282"/>
  <c r="H719" i="282" s="1"/>
  <c r="I719" i="282" s="1"/>
  <c r="G718" i="282"/>
  <c r="H718" i="282" s="1"/>
  <c r="I718" i="282" s="1"/>
  <c r="G717" i="282"/>
  <c r="H717" i="282" s="1"/>
  <c r="I717" i="282" s="1"/>
  <c r="G716" i="282"/>
  <c r="H716" i="282" s="1"/>
  <c r="I716" i="282" s="1"/>
  <c r="G715" i="282"/>
  <c r="H715" i="282" s="1"/>
  <c r="I715" i="282" s="1"/>
  <c r="G714" i="282"/>
  <c r="H714" i="282" s="1"/>
  <c r="I714" i="282" s="1"/>
  <c r="G713" i="282"/>
  <c r="H713" i="282" s="1"/>
  <c r="I713" i="282" s="1"/>
  <c r="G712" i="282"/>
  <c r="H712" i="282" s="1"/>
  <c r="I712" i="282" s="1"/>
  <c r="G711" i="282"/>
  <c r="H711" i="282" s="1"/>
  <c r="I711" i="282" s="1"/>
  <c r="G710" i="282"/>
  <c r="H710" i="282" s="1"/>
  <c r="I710" i="282" s="1"/>
  <c r="G709" i="282"/>
  <c r="H709" i="282" s="1"/>
  <c r="I709" i="282" s="1"/>
  <c r="G708" i="282"/>
  <c r="H708" i="282" s="1"/>
  <c r="I708" i="282" s="1"/>
  <c r="G707" i="282"/>
  <c r="H707" i="282" s="1"/>
  <c r="I707" i="282" s="1"/>
  <c r="G706" i="282"/>
  <c r="H706" i="282" s="1"/>
  <c r="I706" i="282" s="1"/>
  <c r="G705" i="282"/>
  <c r="H705" i="282" s="1"/>
  <c r="I705" i="282" s="1"/>
  <c r="G704" i="282"/>
  <c r="H704" i="282" s="1"/>
  <c r="I704" i="282" s="1"/>
  <c r="G703" i="282"/>
  <c r="H703" i="282" s="1"/>
  <c r="I703" i="282" s="1"/>
  <c r="G702" i="282"/>
  <c r="H702" i="282" s="1"/>
  <c r="I702" i="282" s="1"/>
  <c r="G701" i="282"/>
  <c r="H701" i="282" s="1"/>
  <c r="I701" i="282" s="1"/>
  <c r="G700" i="282"/>
  <c r="H700" i="282" s="1"/>
  <c r="I700" i="282" s="1"/>
  <c r="G699" i="282"/>
  <c r="H699" i="282" s="1"/>
  <c r="I699" i="282" s="1"/>
  <c r="G698" i="282"/>
  <c r="H698" i="282" s="1"/>
  <c r="I698" i="282" s="1"/>
  <c r="G697" i="282"/>
  <c r="H697" i="282" s="1"/>
  <c r="I697" i="282" s="1"/>
  <c r="G696" i="282"/>
  <c r="H696" i="282" s="1"/>
  <c r="I696" i="282" s="1"/>
  <c r="G695" i="282"/>
  <c r="H695" i="282" s="1"/>
  <c r="I695" i="282" s="1"/>
  <c r="G694" i="282"/>
  <c r="H694" i="282" s="1"/>
  <c r="I694" i="282" s="1"/>
  <c r="G693" i="282"/>
  <c r="H693" i="282" s="1"/>
  <c r="I693" i="282" s="1"/>
  <c r="G692" i="282"/>
  <c r="H692" i="282" s="1"/>
  <c r="I692" i="282" s="1"/>
  <c r="G691" i="282"/>
  <c r="H691" i="282" s="1"/>
  <c r="I691" i="282" s="1"/>
  <c r="G690" i="282"/>
  <c r="H690" i="282" s="1"/>
  <c r="I690" i="282" s="1"/>
  <c r="G689" i="282"/>
  <c r="H689" i="282" s="1"/>
  <c r="I689" i="282" s="1"/>
  <c r="G688" i="282"/>
  <c r="H688" i="282" s="1"/>
  <c r="I688" i="282" s="1"/>
  <c r="G687" i="282"/>
  <c r="H687" i="282" s="1"/>
  <c r="I687" i="282" s="1"/>
  <c r="G686" i="282"/>
  <c r="H686" i="282" s="1"/>
  <c r="I686" i="282" s="1"/>
  <c r="G685" i="282"/>
  <c r="H685" i="282" s="1"/>
  <c r="I685" i="282" s="1"/>
  <c r="G684" i="282"/>
  <c r="H684" i="282" s="1"/>
  <c r="I684" i="282" s="1"/>
  <c r="G683" i="282"/>
  <c r="H683" i="282" s="1"/>
  <c r="I683" i="282" s="1"/>
  <c r="G682" i="282"/>
  <c r="H682" i="282" s="1"/>
  <c r="I682" i="282" s="1"/>
  <c r="G681" i="282"/>
  <c r="H681" i="282" s="1"/>
  <c r="I681" i="282" s="1"/>
  <c r="G680" i="282"/>
  <c r="H680" i="282" s="1"/>
  <c r="I680" i="282" s="1"/>
  <c r="G679" i="282"/>
  <c r="H679" i="282" s="1"/>
  <c r="I679" i="282" s="1"/>
  <c r="G678" i="282"/>
  <c r="H678" i="282" s="1"/>
  <c r="I678" i="282" s="1"/>
  <c r="G677" i="282"/>
  <c r="H677" i="282" s="1"/>
  <c r="I677" i="282" s="1"/>
  <c r="G676" i="282"/>
  <c r="H676" i="282" s="1"/>
  <c r="I676" i="282" s="1"/>
  <c r="G675" i="282"/>
  <c r="H675" i="282" s="1"/>
  <c r="I675" i="282" s="1"/>
  <c r="G674" i="282"/>
  <c r="H674" i="282" s="1"/>
  <c r="I674" i="282" s="1"/>
  <c r="G673" i="282"/>
  <c r="H673" i="282" s="1"/>
  <c r="I673" i="282" s="1"/>
  <c r="G672" i="282"/>
  <c r="H672" i="282" s="1"/>
  <c r="I672" i="282" s="1"/>
  <c r="G671" i="282"/>
  <c r="H671" i="282" s="1"/>
  <c r="I671" i="282" s="1"/>
  <c r="G670" i="282"/>
  <c r="H670" i="282" s="1"/>
  <c r="I670" i="282" s="1"/>
  <c r="G669" i="282"/>
  <c r="H669" i="282" s="1"/>
  <c r="I669" i="282" s="1"/>
  <c r="G668" i="282"/>
  <c r="H668" i="282" s="1"/>
  <c r="I668" i="282" s="1"/>
  <c r="G667" i="282"/>
  <c r="H667" i="282" s="1"/>
  <c r="I667" i="282" s="1"/>
  <c r="G666" i="282"/>
  <c r="H666" i="282" s="1"/>
  <c r="I666" i="282" s="1"/>
  <c r="G665" i="282"/>
  <c r="H665" i="282" s="1"/>
  <c r="I665" i="282" s="1"/>
  <c r="G664" i="282"/>
  <c r="H664" i="282" s="1"/>
  <c r="I664" i="282" s="1"/>
  <c r="G663" i="282"/>
  <c r="H663" i="282" s="1"/>
  <c r="I663" i="282" s="1"/>
  <c r="G662" i="282"/>
  <c r="H662" i="282" s="1"/>
  <c r="I662" i="282" s="1"/>
  <c r="G661" i="282"/>
  <c r="H661" i="282" s="1"/>
  <c r="I661" i="282" s="1"/>
  <c r="G660" i="282"/>
  <c r="H660" i="282" s="1"/>
  <c r="I660" i="282" s="1"/>
  <c r="G659" i="282"/>
  <c r="H659" i="282" s="1"/>
  <c r="I659" i="282" s="1"/>
  <c r="G658" i="282"/>
  <c r="H658" i="282" s="1"/>
  <c r="I658" i="282" s="1"/>
  <c r="G657" i="282"/>
  <c r="H657" i="282" s="1"/>
  <c r="I657" i="282" s="1"/>
  <c r="G656" i="282"/>
  <c r="H656" i="282" s="1"/>
  <c r="I656" i="282" s="1"/>
  <c r="G655" i="282"/>
  <c r="H655" i="282" s="1"/>
  <c r="I655" i="282" s="1"/>
  <c r="G654" i="282"/>
  <c r="H654" i="282" s="1"/>
  <c r="I654" i="282" s="1"/>
  <c r="G653" i="282"/>
  <c r="H653" i="282" s="1"/>
  <c r="I653" i="282" s="1"/>
  <c r="G652" i="282"/>
  <c r="H652" i="282" s="1"/>
  <c r="I652" i="282" s="1"/>
  <c r="G651" i="282"/>
  <c r="H651" i="282" s="1"/>
  <c r="I651" i="282" s="1"/>
  <c r="G650" i="282"/>
  <c r="H650" i="282" s="1"/>
  <c r="I650" i="282" s="1"/>
  <c r="G649" i="282"/>
  <c r="H649" i="282" s="1"/>
  <c r="I649" i="282" s="1"/>
  <c r="G648" i="282"/>
  <c r="H648" i="282" s="1"/>
  <c r="I648" i="282" s="1"/>
  <c r="G647" i="282"/>
  <c r="H647" i="282" s="1"/>
  <c r="I647" i="282" s="1"/>
  <c r="G646" i="282"/>
  <c r="H646" i="282" s="1"/>
  <c r="I646" i="282" s="1"/>
  <c r="G645" i="282"/>
  <c r="H645" i="282" s="1"/>
  <c r="I645" i="282" s="1"/>
  <c r="G644" i="282"/>
  <c r="H644" i="282" s="1"/>
  <c r="I644" i="282" s="1"/>
  <c r="G643" i="282"/>
  <c r="H643" i="282" s="1"/>
  <c r="I643" i="282" s="1"/>
  <c r="G642" i="282"/>
  <c r="H642" i="282" s="1"/>
  <c r="I642" i="282" s="1"/>
  <c r="G641" i="282"/>
  <c r="H641" i="282" s="1"/>
  <c r="I641" i="282" s="1"/>
  <c r="G640" i="282"/>
  <c r="H640" i="282" s="1"/>
  <c r="I640" i="282" s="1"/>
  <c r="G639" i="282"/>
  <c r="H639" i="282" s="1"/>
  <c r="I639" i="282" s="1"/>
  <c r="G638" i="282"/>
  <c r="H638" i="282" s="1"/>
  <c r="I638" i="282" s="1"/>
  <c r="G637" i="282"/>
  <c r="H637" i="282" s="1"/>
  <c r="I637" i="282" s="1"/>
  <c r="G636" i="282"/>
  <c r="H636" i="282" s="1"/>
  <c r="I636" i="282" s="1"/>
  <c r="G635" i="282"/>
  <c r="H635" i="282" s="1"/>
  <c r="I635" i="282" s="1"/>
  <c r="G634" i="282"/>
  <c r="H634" i="282" s="1"/>
  <c r="I634" i="282" s="1"/>
  <c r="G633" i="282"/>
  <c r="H633" i="282" s="1"/>
  <c r="I633" i="282" s="1"/>
  <c r="G632" i="282"/>
  <c r="H632" i="282" s="1"/>
  <c r="I632" i="282" s="1"/>
  <c r="G631" i="282"/>
  <c r="H631" i="282" s="1"/>
  <c r="I631" i="282" s="1"/>
  <c r="G630" i="282"/>
  <c r="H630" i="282" s="1"/>
  <c r="I630" i="282" s="1"/>
  <c r="G629" i="282"/>
  <c r="H629" i="282" s="1"/>
  <c r="I629" i="282" s="1"/>
  <c r="G628" i="282"/>
  <c r="H628" i="282" s="1"/>
  <c r="I628" i="282" s="1"/>
  <c r="G627" i="282"/>
  <c r="H627" i="282" s="1"/>
  <c r="I627" i="282" s="1"/>
  <c r="G626" i="282"/>
  <c r="H626" i="282" s="1"/>
  <c r="I626" i="282" s="1"/>
  <c r="G625" i="282"/>
  <c r="H625" i="282" s="1"/>
  <c r="I625" i="282" s="1"/>
  <c r="G624" i="282"/>
  <c r="H624" i="282" s="1"/>
  <c r="I624" i="282" s="1"/>
  <c r="G623" i="282"/>
  <c r="H623" i="282" s="1"/>
  <c r="I623" i="282" s="1"/>
  <c r="G622" i="282"/>
  <c r="H622" i="282" s="1"/>
  <c r="I622" i="282" s="1"/>
  <c r="G621" i="282"/>
  <c r="H621" i="282" s="1"/>
  <c r="I621" i="282" s="1"/>
  <c r="G620" i="282"/>
  <c r="H620" i="282" s="1"/>
  <c r="I620" i="282" s="1"/>
  <c r="G619" i="282"/>
  <c r="H619" i="282" s="1"/>
  <c r="I619" i="282" s="1"/>
  <c r="G618" i="282"/>
  <c r="H618" i="282" s="1"/>
  <c r="I618" i="282" s="1"/>
  <c r="G617" i="282"/>
  <c r="H617" i="282" s="1"/>
  <c r="I617" i="282" s="1"/>
  <c r="G616" i="282"/>
  <c r="H616" i="282" s="1"/>
  <c r="I616" i="282" s="1"/>
  <c r="G615" i="282"/>
  <c r="H615" i="282" s="1"/>
  <c r="I615" i="282" s="1"/>
  <c r="G614" i="282"/>
  <c r="H614" i="282" s="1"/>
  <c r="I614" i="282" s="1"/>
  <c r="G613" i="282"/>
  <c r="H613" i="282" s="1"/>
  <c r="I613" i="282" s="1"/>
  <c r="G612" i="282"/>
  <c r="H612" i="282" s="1"/>
  <c r="I612" i="282" s="1"/>
  <c r="G611" i="282"/>
  <c r="H611" i="282" s="1"/>
  <c r="I611" i="282" s="1"/>
  <c r="G610" i="282"/>
  <c r="H610" i="282" s="1"/>
  <c r="I610" i="282" s="1"/>
  <c r="G609" i="282"/>
  <c r="H609" i="282" s="1"/>
  <c r="I609" i="282" s="1"/>
  <c r="G608" i="282"/>
  <c r="H608" i="282" s="1"/>
  <c r="I608" i="282" s="1"/>
  <c r="G607" i="282"/>
  <c r="H607" i="282" s="1"/>
  <c r="I607" i="282" s="1"/>
  <c r="G606" i="282"/>
  <c r="H606" i="282" s="1"/>
  <c r="I606" i="282" s="1"/>
  <c r="G605" i="282"/>
  <c r="H605" i="282" s="1"/>
  <c r="I605" i="282" s="1"/>
  <c r="G604" i="282"/>
  <c r="H604" i="282" s="1"/>
  <c r="I604" i="282" s="1"/>
  <c r="G603" i="282"/>
  <c r="H603" i="282" s="1"/>
  <c r="I603" i="282" s="1"/>
  <c r="G602" i="282"/>
  <c r="H602" i="282" s="1"/>
  <c r="I602" i="282" s="1"/>
  <c r="G601" i="282"/>
  <c r="H601" i="282" s="1"/>
  <c r="I601" i="282" s="1"/>
  <c r="G600" i="282"/>
  <c r="H600" i="282" s="1"/>
  <c r="I600" i="282" s="1"/>
  <c r="G599" i="282"/>
  <c r="H599" i="282" s="1"/>
  <c r="I599" i="282" s="1"/>
  <c r="G598" i="282"/>
  <c r="H598" i="282" s="1"/>
  <c r="I598" i="282" s="1"/>
  <c r="G597" i="282"/>
  <c r="H597" i="282" s="1"/>
  <c r="I597" i="282" s="1"/>
  <c r="G596" i="282"/>
  <c r="H596" i="282" s="1"/>
  <c r="I596" i="282" s="1"/>
  <c r="G595" i="282"/>
  <c r="H595" i="282" s="1"/>
  <c r="I595" i="282" s="1"/>
  <c r="G594" i="282"/>
  <c r="H594" i="282" s="1"/>
  <c r="I594" i="282" s="1"/>
  <c r="G593" i="282"/>
  <c r="H593" i="282" s="1"/>
  <c r="I593" i="282" s="1"/>
  <c r="G592" i="282"/>
  <c r="H592" i="282" s="1"/>
  <c r="I592" i="282" s="1"/>
  <c r="G591" i="282"/>
  <c r="H591" i="282" s="1"/>
  <c r="I591" i="282" s="1"/>
  <c r="G590" i="282"/>
  <c r="H590" i="282" s="1"/>
  <c r="I590" i="282" s="1"/>
  <c r="G589" i="282"/>
  <c r="H589" i="282" s="1"/>
  <c r="I589" i="282" s="1"/>
  <c r="G588" i="282"/>
  <c r="H588" i="282" s="1"/>
  <c r="I588" i="282" s="1"/>
  <c r="G587" i="282"/>
  <c r="H587" i="282" s="1"/>
  <c r="I587" i="282" s="1"/>
  <c r="G586" i="282"/>
  <c r="H586" i="282" s="1"/>
  <c r="I586" i="282" s="1"/>
  <c r="G585" i="282"/>
  <c r="H585" i="282" s="1"/>
  <c r="I585" i="282" s="1"/>
  <c r="G584" i="282"/>
  <c r="H584" i="282" s="1"/>
  <c r="I584" i="282" s="1"/>
  <c r="G583" i="282"/>
  <c r="H583" i="282" s="1"/>
  <c r="I583" i="282" s="1"/>
  <c r="G582" i="282"/>
  <c r="H582" i="282" s="1"/>
  <c r="I582" i="282" s="1"/>
  <c r="G581" i="282"/>
  <c r="H581" i="282" s="1"/>
  <c r="I581" i="282" s="1"/>
  <c r="G580" i="282"/>
  <c r="H580" i="282" s="1"/>
  <c r="I580" i="282" s="1"/>
  <c r="G579" i="282"/>
  <c r="H579" i="282" s="1"/>
  <c r="I579" i="282" s="1"/>
  <c r="G578" i="282"/>
  <c r="H578" i="282" s="1"/>
  <c r="I578" i="282" s="1"/>
  <c r="G577" i="282"/>
  <c r="H577" i="282" s="1"/>
  <c r="I577" i="282" s="1"/>
  <c r="G576" i="282"/>
  <c r="H576" i="282" s="1"/>
  <c r="I576" i="282" s="1"/>
  <c r="G575" i="282"/>
  <c r="H575" i="282" s="1"/>
  <c r="I575" i="282" s="1"/>
  <c r="G574" i="282"/>
  <c r="H574" i="282" s="1"/>
  <c r="I574" i="282" s="1"/>
  <c r="G573" i="282"/>
  <c r="H573" i="282" s="1"/>
  <c r="I573" i="282" s="1"/>
  <c r="G572" i="282"/>
  <c r="H572" i="282" s="1"/>
  <c r="I572" i="282" s="1"/>
  <c r="G571" i="282"/>
  <c r="H571" i="282" s="1"/>
  <c r="I571" i="282" s="1"/>
  <c r="G570" i="282"/>
  <c r="H570" i="282" s="1"/>
  <c r="I570" i="282" s="1"/>
  <c r="G569" i="282"/>
  <c r="H569" i="282" s="1"/>
  <c r="I569" i="282" s="1"/>
  <c r="G568" i="282"/>
  <c r="H568" i="282" s="1"/>
  <c r="I568" i="282" s="1"/>
  <c r="G567" i="282"/>
  <c r="H567" i="282" s="1"/>
  <c r="I567" i="282" s="1"/>
  <c r="G566" i="282"/>
  <c r="H566" i="282" s="1"/>
  <c r="I566" i="282" s="1"/>
  <c r="G565" i="282"/>
  <c r="H565" i="282" s="1"/>
  <c r="I565" i="282" s="1"/>
  <c r="G564" i="282"/>
  <c r="H564" i="282" s="1"/>
  <c r="I564" i="282" s="1"/>
  <c r="G563" i="282"/>
  <c r="H563" i="282" s="1"/>
  <c r="I563" i="282" s="1"/>
  <c r="G562" i="282"/>
  <c r="H562" i="282" s="1"/>
  <c r="I562" i="282" s="1"/>
  <c r="G561" i="282"/>
  <c r="H561" i="282" s="1"/>
  <c r="I561" i="282" s="1"/>
  <c r="G560" i="282"/>
  <c r="H560" i="282" s="1"/>
  <c r="I560" i="282" s="1"/>
  <c r="G559" i="282"/>
  <c r="H559" i="282" s="1"/>
  <c r="I559" i="282" s="1"/>
  <c r="G558" i="282"/>
  <c r="H558" i="282" s="1"/>
  <c r="I558" i="282" s="1"/>
  <c r="G557" i="282"/>
  <c r="H557" i="282" s="1"/>
  <c r="I557" i="282" s="1"/>
  <c r="G556" i="282"/>
  <c r="H556" i="282" s="1"/>
  <c r="I556" i="282" s="1"/>
  <c r="G555" i="282"/>
  <c r="H555" i="282" s="1"/>
  <c r="I555" i="282" s="1"/>
  <c r="G554" i="282"/>
  <c r="H554" i="282" s="1"/>
  <c r="I554" i="282" s="1"/>
  <c r="G553" i="282"/>
  <c r="H553" i="282" s="1"/>
  <c r="I553" i="282" s="1"/>
  <c r="G552" i="282"/>
  <c r="H552" i="282" s="1"/>
  <c r="I552" i="282" s="1"/>
  <c r="G551" i="282"/>
  <c r="H551" i="282" s="1"/>
  <c r="I551" i="282" s="1"/>
  <c r="G550" i="282"/>
  <c r="H550" i="282" s="1"/>
  <c r="I550" i="282" s="1"/>
  <c r="G549" i="282"/>
  <c r="H549" i="282" s="1"/>
  <c r="I549" i="282" s="1"/>
  <c r="G548" i="282"/>
  <c r="H548" i="282" s="1"/>
  <c r="I548" i="282" s="1"/>
  <c r="G547" i="282"/>
  <c r="H547" i="282" s="1"/>
  <c r="I547" i="282" s="1"/>
  <c r="G546" i="282"/>
  <c r="H546" i="282" s="1"/>
  <c r="I546" i="282" s="1"/>
  <c r="G545" i="282"/>
  <c r="H545" i="282" s="1"/>
  <c r="I545" i="282" s="1"/>
  <c r="G544" i="282"/>
  <c r="H544" i="282" s="1"/>
  <c r="I544" i="282" s="1"/>
  <c r="G543" i="282"/>
  <c r="H543" i="282" s="1"/>
  <c r="I543" i="282" s="1"/>
  <c r="G542" i="282"/>
  <c r="H542" i="282" s="1"/>
  <c r="I542" i="282" s="1"/>
  <c r="G541" i="282"/>
  <c r="H541" i="282" s="1"/>
  <c r="I541" i="282" s="1"/>
  <c r="G540" i="282"/>
  <c r="H540" i="282" s="1"/>
  <c r="I540" i="282" s="1"/>
  <c r="G539" i="282"/>
  <c r="H539" i="282" s="1"/>
  <c r="I539" i="282" s="1"/>
  <c r="G538" i="282"/>
  <c r="H538" i="282" s="1"/>
  <c r="I538" i="282" s="1"/>
  <c r="G537" i="282"/>
  <c r="H537" i="282" s="1"/>
  <c r="I537" i="282" s="1"/>
  <c r="G536" i="282"/>
  <c r="H536" i="282" s="1"/>
  <c r="I536" i="282" s="1"/>
  <c r="G535" i="282"/>
  <c r="H535" i="282" s="1"/>
  <c r="I535" i="282" s="1"/>
  <c r="G534" i="282"/>
  <c r="H534" i="282" s="1"/>
  <c r="I534" i="282" s="1"/>
  <c r="G533" i="282"/>
  <c r="H533" i="282" s="1"/>
  <c r="I533" i="282" s="1"/>
  <c r="G532" i="282"/>
  <c r="H532" i="282" s="1"/>
  <c r="I532" i="282" s="1"/>
  <c r="G531" i="282"/>
  <c r="H531" i="282" s="1"/>
  <c r="I531" i="282" s="1"/>
  <c r="G530" i="282"/>
  <c r="H530" i="282" s="1"/>
  <c r="I530" i="282" s="1"/>
  <c r="G529" i="282"/>
  <c r="H529" i="282" s="1"/>
  <c r="I529" i="282" s="1"/>
  <c r="G528" i="282"/>
  <c r="H528" i="282" s="1"/>
  <c r="I528" i="282" s="1"/>
  <c r="G527" i="282"/>
  <c r="H527" i="282" s="1"/>
  <c r="I527" i="282" s="1"/>
  <c r="G526" i="282"/>
  <c r="H526" i="282" s="1"/>
  <c r="I526" i="282" s="1"/>
  <c r="G525" i="282"/>
  <c r="H525" i="282" s="1"/>
  <c r="I525" i="282" s="1"/>
  <c r="G524" i="282"/>
  <c r="H524" i="282" s="1"/>
  <c r="I524" i="282" s="1"/>
  <c r="G523" i="282"/>
  <c r="H523" i="282" s="1"/>
  <c r="I523" i="282" s="1"/>
  <c r="G522" i="282"/>
  <c r="H522" i="282" s="1"/>
  <c r="I522" i="282" s="1"/>
  <c r="G521" i="282"/>
  <c r="H521" i="282" s="1"/>
  <c r="I521" i="282" s="1"/>
  <c r="G520" i="282"/>
  <c r="H520" i="282" s="1"/>
  <c r="I520" i="282" s="1"/>
  <c r="G519" i="282"/>
  <c r="H519" i="282" s="1"/>
  <c r="I519" i="282" s="1"/>
  <c r="G518" i="282"/>
  <c r="H518" i="282" s="1"/>
  <c r="I518" i="282" s="1"/>
  <c r="G517" i="282"/>
  <c r="H517" i="282" s="1"/>
  <c r="I517" i="282" s="1"/>
  <c r="G516" i="282"/>
  <c r="H516" i="282" s="1"/>
  <c r="I516" i="282" s="1"/>
  <c r="G515" i="282"/>
  <c r="H515" i="282" s="1"/>
  <c r="I515" i="282" s="1"/>
  <c r="G514" i="282"/>
  <c r="H514" i="282" s="1"/>
  <c r="I514" i="282" s="1"/>
  <c r="G513" i="282"/>
  <c r="H513" i="282" s="1"/>
  <c r="I513" i="282" s="1"/>
  <c r="G512" i="282"/>
  <c r="H512" i="282" s="1"/>
  <c r="I512" i="282" s="1"/>
  <c r="G511" i="282"/>
  <c r="H511" i="282" s="1"/>
  <c r="I511" i="282" s="1"/>
  <c r="G510" i="282"/>
  <c r="H510" i="282" s="1"/>
  <c r="I510" i="282" s="1"/>
  <c r="G509" i="282"/>
  <c r="H509" i="282" s="1"/>
  <c r="I509" i="282" s="1"/>
  <c r="G508" i="282"/>
  <c r="H508" i="282" s="1"/>
  <c r="I508" i="282" s="1"/>
  <c r="G507" i="282"/>
  <c r="H507" i="282" s="1"/>
  <c r="I507" i="282" s="1"/>
  <c r="G506" i="282"/>
  <c r="H506" i="282" s="1"/>
  <c r="I506" i="282" s="1"/>
  <c r="G505" i="282"/>
  <c r="H505" i="282" s="1"/>
  <c r="I505" i="282" s="1"/>
  <c r="G504" i="282"/>
  <c r="H504" i="282" s="1"/>
  <c r="I504" i="282" s="1"/>
  <c r="G503" i="282"/>
  <c r="H503" i="282" s="1"/>
  <c r="I503" i="282" s="1"/>
  <c r="G502" i="282"/>
  <c r="H502" i="282" s="1"/>
  <c r="I502" i="282" s="1"/>
  <c r="G501" i="282"/>
  <c r="H501" i="282" s="1"/>
  <c r="I501" i="282" s="1"/>
  <c r="G500" i="282"/>
  <c r="H500" i="282" s="1"/>
  <c r="I500" i="282" s="1"/>
  <c r="G499" i="282"/>
  <c r="H499" i="282" s="1"/>
  <c r="I499" i="282" s="1"/>
  <c r="G498" i="282"/>
  <c r="H498" i="282" s="1"/>
  <c r="I498" i="282" s="1"/>
  <c r="G497" i="282"/>
  <c r="H497" i="282" s="1"/>
  <c r="I497" i="282" s="1"/>
  <c r="G496" i="282"/>
  <c r="H496" i="282" s="1"/>
  <c r="I496" i="282" s="1"/>
  <c r="G495" i="282"/>
  <c r="H495" i="282" s="1"/>
  <c r="I495" i="282" s="1"/>
  <c r="G494" i="282"/>
  <c r="H494" i="282" s="1"/>
  <c r="I494" i="282" s="1"/>
  <c r="G493" i="282"/>
  <c r="H493" i="282" s="1"/>
  <c r="I493" i="282" s="1"/>
  <c r="G492" i="282"/>
  <c r="H492" i="282" s="1"/>
  <c r="I492" i="282" s="1"/>
  <c r="G491" i="282"/>
  <c r="H491" i="282" s="1"/>
  <c r="I491" i="282" s="1"/>
  <c r="G490" i="282"/>
  <c r="H490" i="282" s="1"/>
  <c r="I490" i="282" s="1"/>
  <c r="G489" i="282"/>
  <c r="H489" i="282" s="1"/>
  <c r="I489" i="282" s="1"/>
  <c r="G488" i="282"/>
  <c r="H488" i="282" s="1"/>
  <c r="I488" i="282" s="1"/>
  <c r="G487" i="282"/>
  <c r="H487" i="282" s="1"/>
  <c r="I487" i="282" s="1"/>
  <c r="G486" i="282"/>
  <c r="H486" i="282" s="1"/>
  <c r="I486" i="282" s="1"/>
  <c r="G485" i="282"/>
  <c r="H485" i="282" s="1"/>
  <c r="I485" i="282" s="1"/>
  <c r="G484" i="282"/>
  <c r="H484" i="282" s="1"/>
  <c r="I484" i="282" s="1"/>
  <c r="G483" i="282"/>
  <c r="H483" i="282" s="1"/>
  <c r="I483" i="282" s="1"/>
  <c r="G482" i="282"/>
  <c r="H482" i="282" s="1"/>
  <c r="I482" i="282" s="1"/>
  <c r="G481" i="282"/>
  <c r="H481" i="282" s="1"/>
  <c r="I481" i="282" s="1"/>
  <c r="G480" i="282"/>
  <c r="H480" i="282" s="1"/>
  <c r="I480" i="282" s="1"/>
  <c r="G479" i="282"/>
  <c r="H479" i="282" s="1"/>
  <c r="I479" i="282" s="1"/>
  <c r="G478" i="282"/>
  <c r="H478" i="282" s="1"/>
  <c r="I478" i="282" s="1"/>
  <c r="G477" i="282"/>
  <c r="H477" i="282" s="1"/>
  <c r="I477" i="282" s="1"/>
  <c r="G476" i="282"/>
  <c r="H476" i="282" s="1"/>
  <c r="I476" i="282" s="1"/>
  <c r="G475" i="282"/>
  <c r="H475" i="282" s="1"/>
  <c r="I475" i="282" s="1"/>
  <c r="G474" i="282"/>
  <c r="H474" i="282" s="1"/>
  <c r="I474" i="282" s="1"/>
  <c r="G473" i="282"/>
  <c r="H473" i="282" s="1"/>
  <c r="I473" i="282" s="1"/>
  <c r="G472" i="282"/>
  <c r="H472" i="282" s="1"/>
  <c r="I472" i="282" s="1"/>
  <c r="G471" i="282"/>
  <c r="H471" i="282" s="1"/>
  <c r="I471" i="282" s="1"/>
  <c r="G470" i="282"/>
  <c r="H470" i="282" s="1"/>
  <c r="I470" i="282" s="1"/>
  <c r="G469" i="282"/>
  <c r="H469" i="282" s="1"/>
  <c r="I469" i="282" s="1"/>
  <c r="G468" i="282"/>
  <c r="H468" i="282" s="1"/>
  <c r="I468" i="282" s="1"/>
  <c r="G467" i="282"/>
  <c r="H467" i="282" s="1"/>
  <c r="I467" i="282" s="1"/>
  <c r="G466" i="282"/>
  <c r="H466" i="282" s="1"/>
  <c r="I466" i="282" s="1"/>
  <c r="G465" i="282"/>
  <c r="H465" i="282" s="1"/>
  <c r="I465" i="282" s="1"/>
  <c r="G464" i="282"/>
  <c r="H464" i="282" s="1"/>
  <c r="I464" i="282" s="1"/>
  <c r="G463" i="282"/>
  <c r="H463" i="282" s="1"/>
  <c r="I463" i="282" s="1"/>
  <c r="G462" i="282"/>
  <c r="H462" i="282" s="1"/>
  <c r="I462" i="282" s="1"/>
  <c r="G461" i="282"/>
  <c r="H461" i="282" s="1"/>
  <c r="I461" i="282" s="1"/>
  <c r="G460" i="282"/>
  <c r="H460" i="282" s="1"/>
  <c r="I460" i="282" s="1"/>
  <c r="G459" i="282"/>
  <c r="H459" i="282" s="1"/>
  <c r="I459" i="282" s="1"/>
  <c r="G458" i="282"/>
  <c r="H458" i="282" s="1"/>
  <c r="I458" i="282" s="1"/>
  <c r="G457" i="282"/>
  <c r="H457" i="282" s="1"/>
  <c r="I457" i="282" s="1"/>
  <c r="G456" i="282"/>
  <c r="H456" i="282" s="1"/>
  <c r="I456" i="282" s="1"/>
  <c r="G455" i="282"/>
  <c r="H455" i="282" s="1"/>
  <c r="I455" i="282" s="1"/>
  <c r="G454" i="282"/>
  <c r="H454" i="282" s="1"/>
  <c r="I454" i="282" s="1"/>
  <c r="G453" i="282"/>
  <c r="H453" i="282" s="1"/>
  <c r="I453" i="282" s="1"/>
  <c r="G452" i="282"/>
  <c r="H452" i="282" s="1"/>
  <c r="I452" i="282" s="1"/>
  <c r="G451" i="282"/>
  <c r="H451" i="282" s="1"/>
  <c r="I451" i="282" s="1"/>
  <c r="G450" i="282"/>
  <c r="H450" i="282" s="1"/>
  <c r="I450" i="282" s="1"/>
  <c r="G449" i="282"/>
  <c r="H449" i="282" s="1"/>
  <c r="I449" i="282" s="1"/>
  <c r="G448" i="282"/>
  <c r="H448" i="282" s="1"/>
  <c r="I448" i="282" s="1"/>
  <c r="G447" i="282"/>
  <c r="H447" i="282" s="1"/>
  <c r="I447" i="282" s="1"/>
  <c r="G446" i="282"/>
  <c r="H446" i="282" s="1"/>
  <c r="I446" i="282" s="1"/>
  <c r="G445" i="282"/>
  <c r="H445" i="282" s="1"/>
  <c r="I445" i="282" s="1"/>
  <c r="G444" i="282"/>
  <c r="H444" i="282" s="1"/>
  <c r="I444" i="282" s="1"/>
  <c r="G443" i="282"/>
  <c r="H443" i="282" s="1"/>
  <c r="I443" i="282" s="1"/>
  <c r="G442" i="282"/>
  <c r="H442" i="282" s="1"/>
  <c r="I442" i="282" s="1"/>
  <c r="G441" i="282"/>
  <c r="H441" i="282" s="1"/>
  <c r="I441" i="282" s="1"/>
  <c r="G440" i="282"/>
  <c r="H440" i="282" s="1"/>
  <c r="I440" i="282" s="1"/>
  <c r="G439" i="282"/>
  <c r="H439" i="282" s="1"/>
  <c r="I439" i="282" s="1"/>
  <c r="G438" i="282"/>
  <c r="H438" i="282" s="1"/>
  <c r="I438" i="282" s="1"/>
  <c r="G437" i="282"/>
  <c r="H437" i="282" s="1"/>
  <c r="I437" i="282" s="1"/>
  <c r="G436" i="282"/>
  <c r="H436" i="282" s="1"/>
  <c r="I436" i="282" s="1"/>
  <c r="G435" i="282"/>
  <c r="H435" i="282" s="1"/>
  <c r="I435" i="282" s="1"/>
  <c r="G434" i="282"/>
  <c r="H434" i="282" s="1"/>
  <c r="I434" i="282" s="1"/>
  <c r="G433" i="282"/>
  <c r="H433" i="282" s="1"/>
  <c r="I433" i="282" s="1"/>
  <c r="G432" i="282"/>
  <c r="H432" i="282" s="1"/>
  <c r="I432" i="282" s="1"/>
  <c r="G431" i="282"/>
  <c r="H431" i="282" s="1"/>
  <c r="I431" i="282" s="1"/>
  <c r="G430" i="282"/>
  <c r="H430" i="282" s="1"/>
  <c r="I430" i="282" s="1"/>
  <c r="G429" i="282"/>
  <c r="H429" i="282" s="1"/>
  <c r="I429" i="282" s="1"/>
  <c r="G428" i="282"/>
  <c r="H428" i="282" s="1"/>
  <c r="I428" i="282" s="1"/>
  <c r="G427" i="282"/>
  <c r="H427" i="282" s="1"/>
  <c r="I427" i="282" s="1"/>
  <c r="G426" i="282"/>
  <c r="H426" i="282" s="1"/>
  <c r="I426" i="282" s="1"/>
  <c r="G425" i="282"/>
  <c r="H425" i="282" s="1"/>
  <c r="I425" i="282" s="1"/>
  <c r="G424" i="282"/>
  <c r="H424" i="282" s="1"/>
  <c r="I424" i="282" s="1"/>
  <c r="G423" i="282"/>
  <c r="H423" i="282" s="1"/>
  <c r="I423" i="282" s="1"/>
  <c r="G422" i="282"/>
  <c r="H422" i="282" s="1"/>
  <c r="I422" i="282" s="1"/>
  <c r="G421" i="282"/>
  <c r="H421" i="282" s="1"/>
  <c r="I421" i="282" s="1"/>
  <c r="G420" i="282"/>
  <c r="H420" i="282" s="1"/>
  <c r="I420" i="282" s="1"/>
  <c r="G419" i="282"/>
  <c r="H419" i="282" s="1"/>
  <c r="I419" i="282" s="1"/>
  <c r="G418" i="282"/>
  <c r="H418" i="282" s="1"/>
  <c r="I418" i="282" s="1"/>
  <c r="G417" i="282"/>
  <c r="H417" i="282" s="1"/>
  <c r="I417" i="282" s="1"/>
  <c r="G416" i="282"/>
  <c r="H416" i="282" s="1"/>
  <c r="I416" i="282" s="1"/>
  <c r="G415" i="282"/>
  <c r="H415" i="282" s="1"/>
  <c r="I415" i="282" s="1"/>
  <c r="G414" i="282"/>
  <c r="H414" i="282" s="1"/>
  <c r="I414" i="282" s="1"/>
  <c r="G413" i="282"/>
  <c r="H413" i="282" s="1"/>
  <c r="I413" i="282" s="1"/>
  <c r="G412" i="282"/>
  <c r="H412" i="282" s="1"/>
  <c r="I412" i="282" s="1"/>
  <c r="G411" i="282"/>
  <c r="H411" i="282" s="1"/>
  <c r="I411" i="282" s="1"/>
  <c r="G410" i="282"/>
  <c r="H410" i="282" s="1"/>
  <c r="I410" i="282" s="1"/>
  <c r="G409" i="282"/>
  <c r="H409" i="282" s="1"/>
  <c r="I409" i="282" s="1"/>
  <c r="G408" i="282"/>
  <c r="H408" i="282" s="1"/>
  <c r="I408" i="282" s="1"/>
  <c r="G407" i="282"/>
  <c r="H407" i="282" s="1"/>
  <c r="I407" i="282" s="1"/>
  <c r="G406" i="282"/>
  <c r="H406" i="282" s="1"/>
  <c r="I406" i="282" s="1"/>
  <c r="G405" i="282"/>
  <c r="H405" i="282" s="1"/>
  <c r="I405" i="282" s="1"/>
  <c r="G404" i="282"/>
  <c r="H404" i="282" s="1"/>
  <c r="I404" i="282" s="1"/>
  <c r="G403" i="282"/>
  <c r="H403" i="282" s="1"/>
  <c r="I403" i="282" s="1"/>
  <c r="G402" i="282"/>
  <c r="H402" i="282" s="1"/>
  <c r="I402" i="282" s="1"/>
  <c r="G401" i="282"/>
  <c r="H401" i="282" s="1"/>
  <c r="I401" i="282" s="1"/>
  <c r="G400" i="282"/>
  <c r="H400" i="282" s="1"/>
  <c r="I400" i="282" s="1"/>
  <c r="G399" i="282"/>
  <c r="H399" i="282" s="1"/>
  <c r="I399" i="282" s="1"/>
  <c r="G398" i="282"/>
  <c r="H398" i="282" s="1"/>
  <c r="I398" i="282" s="1"/>
  <c r="G397" i="282"/>
  <c r="H397" i="282" s="1"/>
  <c r="I397" i="282" s="1"/>
  <c r="G396" i="282"/>
  <c r="H396" i="282" s="1"/>
  <c r="I396" i="282" s="1"/>
  <c r="G395" i="282"/>
  <c r="H395" i="282" s="1"/>
  <c r="I395" i="282" s="1"/>
  <c r="G394" i="282"/>
  <c r="H394" i="282" s="1"/>
  <c r="I394" i="282" s="1"/>
  <c r="G393" i="282"/>
  <c r="H393" i="282" s="1"/>
  <c r="I393" i="282" s="1"/>
  <c r="G392" i="282"/>
  <c r="H392" i="282" s="1"/>
  <c r="I392" i="282" s="1"/>
  <c r="G391" i="282"/>
  <c r="H391" i="282" s="1"/>
  <c r="I391" i="282" s="1"/>
  <c r="G390" i="282"/>
  <c r="H390" i="282" s="1"/>
  <c r="I390" i="282" s="1"/>
  <c r="G389" i="282"/>
  <c r="H389" i="282" s="1"/>
  <c r="I389" i="282" s="1"/>
  <c r="G388" i="282"/>
  <c r="H388" i="282" s="1"/>
  <c r="I388" i="282" s="1"/>
  <c r="G387" i="282"/>
  <c r="H387" i="282" s="1"/>
  <c r="I387" i="282" s="1"/>
  <c r="G386" i="282"/>
  <c r="H386" i="282" s="1"/>
  <c r="I386" i="282" s="1"/>
  <c r="G385" i="282"/>
  <c r="H385" i="282" s="1"/>
  <c r="I385" i="282" s="1"/>
  <c r="G384" i="282"/>
  <c r="H384" i="282" s="1"/>
  <c r="I384" i="282" s="1"/>
  <c r="G383" i="282"/>
  <c r="H383" i="282" s="1"/>
  <c r="I383" i="282" s="1"/>
  <c r="G382" i="282"/>
  <c r="H382" i="282" s="1"/>
  <c r="I382" i="282" s="1"/>
  <c r="G381" i="282"/>
  <c r="H381" i="282" s="1"/>
  <c r="I381" i="282" s="1"/>
  <c r="G380" i="282"/>
  <c r="H380" i="282" s="1"/>
  <c r="I380" i="282" s="1"/>
  <c r="G379" i="282"/>
  <c r="H379" i="282" s="1"/>
  <c r="I379" i="282" s="1"/>
  <c r="G378" i="282"/>
  <c r="H378" i="282" s="1"/>
  <c r="I378" i="282" s="1"/>
  <c r="G377" i="282"/>
  <c r="H377" i="282" s="1"/>
  <c r="I377" i="282" s="1"/>
  <c r="G376" i="282"/>
  <c r="H376" i="282" s="1"/>
  <c r="I376" i="282" s="1"/>
  <c r="G375" i="282"/>
  <c r="H375" i="282" s="1"/>
  <c r="I375" i="282" s="1"/>
  <c r="G374" i="282"/>
  <c r="H374" i="282" s="1"/>
  <c r="I374" i="282" s="1"/>
  <c r="G373" i="282"/>
  <c r="H373" i="282" s="1"/>
  <c r="I373" i="282" s="1"/>
  <c r="G372" i="282"/>
  <c r="H372" i="282" s="1"/>
  <c r="I372" i="282" s="1"/>
  <c r="G371" i="282"/>
  <c r="H371" i="282" s="1"/>
  <c r="I371" i="282" s="1"/>
  <c r="G370" i="282"/>
  <c r="H370" i="282" s="1"/>
  <c r="I370" i="282" s="1"/>
  <c r="G369" i="282"/>
  <c r="H369" i="282" s="1"/>
  <c r="I369" i="282" s="1"/>
  <c r="G368" i="282"/>
  <c r="H368" i="282" s="1"/>
  <c r="I368" i="282" s="1"/>
  <c r="G367" i="282"/>
  <c r="H367" i="282" s="1"/>
  <c r="I367" i="282" s="1"/>
  <c r="G366" i="282"/>
  <c r="H366" i="282" s="1"/>
  <c r="I366" i="282" s="1"/>
  <c r="G365" i="282"/>
  <c r="H365" i="282" s="1"/>
  <c r="I365" i="282" s="1"/>
  <c r="G364" i="282"/>
  <c r="H364" i="282" s="1"/>
  <c r="I364" i="282" s="1"/>
  <c r="G363" i="282"/>
  <c r="H363" i="282" s="1"/>
  <c r="I363" i="282" s="1"/>
  <c r="G362" i="282"/>
  <c r="H362" i="282" s="1"/>
  <c r="I362" i="282" s="1"/>
  <c r="G361" i="282"/>
  <c r="H361" i="282" s="1"/>
  <c r="I361" i="282" s="1"/>
  <c r="G360" i="282"/>
  <c r="H360" i="282" s="1"/>
  <c r="I360" i="282" s="1"/>
  <c r="G359" i="282"/>
  <c r="H359" i="282" s="1"/>
  <c r="I359" i="282" s="1"/>
  <c r="G358" i="282"/>
  <c r="H358" i="282" s="1"/>
  <c r="I358" i="282" s="1"/>
  <c r="G357" i="282"/>
  <c r="H357" i="282" s="1"/>
  <c r="I357" i="282" s="1"/>
  <c r="G356" i="282"/>
  <c r="H356" i="282" s="1"/>
  <c r="I356" i="282" s="1"/>
  <c r="G355" i="282"/>
  <c r="H355" i="282" s="1"/>
  <c r="I355" i="282" s="1"/>
  <c r="G354" i="282"/>
  <c r="H354" i="282" s="1"/>
  <c r="I354" i="282" s="1"/>
  <c r="G353" i="282"/>
  <c r="H353" i="282" s="1"/>
  <c r="I353" i="282" s="1"/>
  <c r="G352" i="282"/>
  <c r="H352" i="282" s="1"/>
  <c r="I352" i="282" s="1"/>
  <c r="G351" i="282"/>
  <c r="H351" i="282" s="1"/>
  <c r="I351" i="282" s="1"/>
  <c r="G350" i="282"/>
  <c r="H350" i="282" s="1"/>
  <c r="I350" i="282" s="1"/>
  <c r="G349" i="282"/>
  <c r="H349" i="282" s="1"/>
  <c r="I349" i="282" s="1"/>
  <c r="G348" i="282"/>
  <c r="H348" i="282" s="1"/>
  <c r="I348" i="282" s="1"/>
  <c r="G347" i="282"/>
  <c r="H347" i="282" s="1"/>
  <c r="I347" i="282" s="1"/>
  <c r="G346" i="282"/>
  <c r="H346" i="282" s="1"/>
  <c r="I346" i="282" s="1"/>
  <c r="G345" i="282"/>
  <c r="H345" i="282" s="1"/>
  <c r="I345" i="282" s="1"/>
  <c r="G344" i="282"/>
  <c r="H344" i="282" s="1"/>
  <c r="I344" i="282" s="1"/>
  <c r="G343" i="282"/>
  <c r="H343" i="282" s="1"/>
  <c r="I343" i="282" s="1"/>
  <c r="G342" i="282"/>
  <c r="H342" i="282" s="1"/>
  <c r="I342" i="282" s="1"/>
  <c r="G341" i="282"/>
  <c r="H341" i="282" s="1"/>
  <c r="I341" i="282" s="1"/>
  <c r="G340" i="282"/>
  <c r="H340" i="282" s="1"/>
  <c r="I340" i="282" s="1"/>
  <c r="G339" i="282"/>
  <c r="H339" i="282" s="1"/>
  <c r="I339" i="282" s="1"/>
  <c r="G338" i="282"/>
  <c r="H338" i="282" s="1"/>
  <c r="I338" i="282" s="1"/>
  <c r="G337" i="282"/>
  <c r="H337" i="282" s="1"/>
  <c r="I337" i="282" s="1"/>
  <c r="G336" i="282"/>
  <c r="H336" i="282" s="1"/>
  <c r="I336" i="282" s="1"/>
  <c r="G335" i="282"/>
  <c r="H335" i="282" s="1"/>
  <c r="I335" i="282" s="1"/>
  <c r="G334" i="282"/>
  <c r="H334" i="282" s="1"/>
  <c r="I334" i="282" s="1"/>
  <c r="G333" i="282"/>
  <c r="H333" i="282" s="1"/>
  <c r="I333" i="282" s="1"/>
  <c r="G332" i="282"/>
  <c r="H332" i="282" s="1"/>
  <c r="I332" i="282" s="1"/>
  <c r="G331" i="282"/>
  <c r="H331" i="282" s="1"/>
  <c r="I331" i="282" s="1"/>
  <c r="G330" i="282"/>
  <c r="H330" i="282" s="1"/>
  <c r="I330" i="282" s="1"/>
  <c r="G329" i="282"/>
  <c r="H329" i="282" s="1"/>
  <c r="I329" i="282" s="1"/>
  <c r="G328" i="282"/>
  <c r="H328" i="282" s="1"/>
  <c r="I328" i="282" s="1"/>
  <c r="G327" i="282"/>
  <c r="H327" i="282" s="1"/>
  <c r="I327" i="282" s="1"/>
  <c r="G326" i="282"/>
  <c r="H326" i="282" s="1"/>
  <c r="I326" i="282" s="1"/>
  <c r="G325" i="282"/>
  <c r="H325" i="282" s="1"/>
  <c r="I325" i="282" s="1"/>
  <c r="G324" i="282"/>
  <c r="H324" i="282" s="1"/>
  <c r="I324" i="282" s="1"/>
  <c r="G323" i="282"/>
  <c r="H323" i="282" s="1"/>
  <c r="I323" i="282" s="1"/>
  <c r="G322" i="282"/>
  <c r="H322" i="282" s="1"/>
  <c r="I322" i="282" s="1"/>
  <c r="G321" i="282"/>
  <c r="H321" i="282" s="1"/>
  <c r="I321" i="282" s="1"/>
  <c r="G320" i="282"/>
  <c r="H320" i="282" s="1"/>
  <c r="I320" i="282" s="1"/>
  <c r="G319" i="282"/>
  <c r="H319" i="282" s="1"/>
  <c r="I319" i="282" s="1"/>
  <c r="G318" i="282"/>
  <c r="H318" i="282" s="1"/>
  <c r="I318" i="282" s="1"/>
  <c r="G317" i="282"/>
  <c r="H317" i="282" s="1"/>
  <c r="I317" i="282" s="1"/>
  <c r="G316" i="282"/>
  <c r="H316" i="282" s="1"/>
  <c r="I316" i="282" s="1"/>
  <c r="G315" i="282"/>
  <c r="H315" i="282" s="1"/>
  <c r="I315" i="282" s="1"/>
  <c r="G314" i="282"/>
  <c r="H314" i="282" s="1"/>
  <c r="I314" i="282" s="1"/>
  <c r="G313" i="282"/>
  <c r="H313" i="282" s="1"/>
  <c r="I313" i="282" s="1"/>
  <c r="G312" i="282"/>
  <c r="H312" i="282" s="1"/>
  <c r="I312" i="282" s="1"/>
  <c r="G311" i="282"/>
  <c r="H311" i="282" s="1"/>
  <c r="I311" i="282" s="1"/>
  <c r="G310" i="282"/>
  <c r="H310" i="282" s="1"/>
  <c r="I310" i="282" s="1"/>
  <c r="G309" i="282"/>
  <c r="H309" i="282" s="1"/>
  <c r="I309" i="282" s="1"/>
  <c r="G308" i="282"/>
  <c r="H308" i="282" s="1"/>
  <c r="I308" i="282" s="1"/>
  <c r="G307" i="282"/>
  <c r="H307" i="282" s="1"/>
  <c r="I307" i="282" s="1"/>
  <c r="G306" i="282"/>
  <c r="H306" i="282" s="1"/>
  <c r="I306" i="282" s="1"/>
  <c r="G305" i="282"/>
  <c r="H305" i="282" s="1"/>
  <c r="I305" i="282" s="1"/>
  <c r="G304" i="282"/>
  <c r="H304" i="282" s="1"/>
  <c r="I304" i="282" s="1"/>
  <c r="G303" i="282"/>
  <c r="H303" i="282" s="1"/>
  <c r="I303" i="282" s="1"/>
  <c r="G302" i="282"/>
  <c r="H302" i="282" s="1"/>
  <c r="I302" i="282" s="1"/>
  <c r="G301" i="282"/>
  <c r="H301" i="282" s="1"/>
  <c r="I301" i="282" s="1"/>
  <c r="G300" i="282"/>
  <c r="H300" i="282" s="1"/>
  <c r="I300" i="282" s="1"/>
  <c r="G299" i="282"/>
  <c r="H299" i="282" s="1"/>
  <c r="I299" i="282" s="1"/>
  <c r="G298" i="282"/>
  <c r="H298" i="282" s="1"/>
  <c r="I298" i="282" s="1"/>
  <c r="G297" i="282"/>
  <c r="H297" i="282" s="1"/>
  <c r="I297" i="282" s="1"/>
  <c r="G296" i="282"/>
  <c r="H296" i="282" s="1"/>
  <c r="I296" i="282" s="1"/>
  <c r="G295" i="282"/>
  <c r="H295" i="282" s="1"/>
  <c r="I295" i="282" s="1"/>
  <c r="G294" i="282"/>
  <c r="H294" i="282" s="1"/>
  <c r="I294" i="282" s="1"/>
  <c r="G293" i="282"/>
  <c r="H293" i="282" s="1"/>
  <c r="I293" i="282" s="1"/>
  <c r="G292" i="282"/>
  <c r="H292" i="282" s="1"/>
  <c r="I292" i="282" s="1"/>
  <c r="G291" i="282"/>
  <c r="H291" i="282" s="1"/>
  <c r="I291" i="282" s="1"/>
  <c r="G290" i="282"/>
  <c r="H290" i="282" s="1"/>
  <c r="I290" i="282" s="1"/>
  <c r="G289" i="282"/>
  <c r="H289" i="282" s="1"/>
  <c r="I289" i="282" s="1"/>
  <c r="G288" i="282"/>
  <c r="H288" i="282" s="1"/>
  <c r="I288" i="282" s="1"/>
  <c r="G287" i="282"/>
  <c r="H287" i="282" s="1"/>
  <c r="I287" i="282" s="1"/>
  <c r="G286" i="282"/>
  <c r="H286" i="282" s="1"/>
  <c r="I286" i="282" s="1"/>
  <c r="G285" i="282"/>
  <c r="H285" i="282" s="1"/>
  <c r="I285" i="282" s="1"/>
  <c r="G284" i="282"/>
  <c r="H284" i="282" s="1"/>
  <c r="I284" i="282" s="1"/>
  <c r="G283" i="282"/>
  <c r="H283" i="282" s="1"/>
  <c r="I283" i="282" s="1"/>
  <c r="G282" i="282"/>
  <c r="H282" i="282" s="1"/>
  <c r="I282" i="282" s="1"/>
  <c r="G281" i="282"/>
  <c r="H281" i="282" s="1"/>
  <c r="I281" i="282" s="1"/>
  <c r="G280" i="282"/>
  <c r="H280" i="282" s="1"/>
  <c r="I280" i="282" s="1"/>
  <c r="G279" i="282"/>
  <c r="H279" i="282" s="1"/>
  <c r="I279" i="282" s="1"/>
  <c r="G278" i="282"/>
  <c r="H278" i="282" s="1"/>
  <c r="I278" i="282" s="1"/>
  <c r="G277" i="282"/>
  <c r="G276" i="282"/>
  <c r="H276" i="282" s="1"/>
  <c r="I276" i="282" s="1"/>
  <c r="G275" i="282"/>
  <c r="H275" i="282" s="1"/>
  <c r="I275" i="282" s="1"/>
  <c r="G274" i="282"/>
  <c r="H274" i="282" s="1"/>
  <c r="I274" i="282" s="1"/>
  <c r="G273" i="282"/>
  <c r="H273" i="282" s="1"/>
  <c r="I273" i="282" s="1"/>
  <c r="G272" i="282"/>
  <c r="H272" i="282" s="1"/>
  <c r="I272" i="282" s="1"/>
  <c r="G271" i="282"/>
  <c r="H271" i="282" s="1"/>
  <c r="I271" i="282" s="1"/>
  <c r="G270" i="282"/>
  <c r="H270" i="282" s="1"/>
  <c r="I270" i="282" s="1"/>
  <c r="G269" i="282"/>
  <c r="G268" i="282"/>
  <c r="H268" i="282" s="1"/>
  <c r="I268" i="282" s="1"/>
  <c r="G267" i="282"/>
  <c r="H267" i="282" s="1"/>
  <c r="I267" i="282" s="1"/>
  <c r="G266" i="282"/>
  <c r="H266" i="282" s="1"/>
  <c r="I266" i="282" s="1"/>
  <c r="G265" i="282"/>
  <c r="H265" i="282" s="1"/>
  <c r="I265" i="282" s="1"/>
  <c r="G264" i="282"/>
  <c r="H264" i="282" s="1"/>
  <c r="I264" i="282" s="1"/>
  <c r="G263" i="282"/>
  <c r="H263" i="282" s="1"/>
  <c r="I263" i="282" s="1"/>
  <c r="G262" i="282"/>
  <c r="H262" i="282" s="1"/>
  <c r="I262" i="282" s="1"/>
  <c r="G261" i="282"/>
  <c r="G260" i="282"/>
  <c r="H260" i="282" s="1"/>
  <c r="I260" i="282" s="1"/>
  <c r="G259" i="282"/>
  <c r="H259" i="282" s="1"/>
  <c r="I259" i="282" s="1"/>
  <c r="G258" i="282"/>
  <c r="H258" i="282" s="1"/>
  <c r="I258" i="282" s="1"/>
  <c r="G257" i="282"/>
  <c r="H257" i="282" s="1"/>
  <c r="I257" i="282" s="1"/>
  <c r="G256" i="282"/>
  <c r="H256" i="282" s="1"/>
  <c r="I256" i="282" s="1"/>
  <c r="G255" i="282"/>
  <c r="H255" i="282" s="1"/>
  <c r="I255" i="282" s="1"/>
  <c r="G254" i="282"/>
  <c r="H254" i="282" s="1"/>
  <c r="I254" i="282" s="1"/>
  <c r="G253" i="282"/>
  <c r="H253" i="282" s="1"/>
  <c r="I253" i="282" s="1"/>
  <c r="G252" i="282"/>
  <c r="H252" i="282" s="1"/>
  <c r="I252" i="282" s="1"/>
  <c r="G251" i="282"/>
  <c r="H251" i="282" s="1"/>
  <c r="I251" i="282" s="1"/>
  <c r="G250" i="282"/>
  <c r="H250" i="282" s="1"/>
  <c r="I250" i="282" s="1"/>
  <c r="G249" i="282"/>
  <c r="H249" i="282" s="1"/>
  <c r="I249" i="282" s="1"/>
  <c r="G248" i="282"/>
  <c r="H248" i="282" s="1"/>
  <c r="I248" i="282" s="1"/>
  <c r="G247" i="282"/>
  <c r="H247" i="282" s="1"/>
  <c r="I247" i="282" s="1"/>
  <c r="G246" i="282"/>
  <c r="H246" i="282" s="1"/>
  <c r="I246" i="282" s="1"/>
  <c r="G245" i="282"/>
  <c r="H245" i="282" s="1"/>
  <c r="I245" i="282" s="1"/>
  <c r="G244" i="282"/>
  <c r="H244" i="282" s="1"/>
  <c r="I244" i="282" s="1"/>
  <c r="G243" i="282"/>
  <c r="H243" i="282" s="1"/>
  <c r="I243" i="282" s="1"/>
  <c r="G242" i="282"/>
  <c r="H242" i="282" s="1"/>
  <c r="I242" i="282" s="1"/>
  <c r="G241" i="282"/>
  <c r="H241" i="282" s="1"/>
  <c r="I241" i="282" s="1"/>
  <c r="G240" i="282"/>
  <c r="H240" i="282" s="1"/>
  <c r="I240" i="282" s="1"/>
  <c r="G239" i="282"/>
  <c r="H239" i="282" s="1"/>
  <c r="I239" i="282" s="1"/>
  <c r="G238" i="282"/>
  <c r="H238" i="282" s="1"/>
  <c r="I238" i="282" s="1"/>
  <c r="G237" i="282"/>
  <c r="H237" i="282" s="1"/>
  <c r="I237" i="282" s="1"/>
  <c r="G236" i="282"/>
  <c r="H236" i="282" s="1"/>
  <c r="I236" i="282" s="1"/>
  <c r="G235" i="282"/>
  <c r="H235" i="282" s="1"/>
  <c r="I235" i="282" s="1"/>
  <c r="G234" i="282"/>
  <c r="H234" i="282" s="1"/>
  <c r="I234" i="282" s="1"/>
  <c r="G233" i="282"/>
  <c r="H233" i="282" s="1"/>
  <c r="I233" i="282" s="1"/>
  <c r="G232" i="282"/>
  <c r="H232" i="282" s="1"/>
  <c r="I232" i="282" s="1"/>
  <c r="G231" i="282"/>
  <c r="H231" i="282" s="1"/>
  <c r="I231" i="282" s="1"/>
  <c r="G230" i="282"/>
  <c r="H230" i="282" s="1"/>
  <c r="I230" i="282" s="1"/>
  <c r="G229" i="282"/>
  <c r="H229" i="282" s="1"/>
  <c r="I229" i="282" s="1"/>
  <c r="G228" i="282"/>
  <c r="H228" i="282" s="1"/>
  <c r="I228" i="282" s="1"/>
  <c r="G227" i="282"/>
  <c r="H227" i="282" s="1"/>
  <c r="I227" i="282" s="1"/>
  <c r="G226" i="282"/>
  <c r="H226" i="282" s="1"/>
  <c r="I226" i="282" s="1"/>
  <c r="G225" i="282"/>
  <c r="H225" i="282" s="1"/>
  <c r="I225" i="282" s="1"/>
  <c r="G224" i="282"/>
  <c r="H224" i="282" s="1"/>
  <c r="I224" i="282" s="1"/>
  <c r="G223" i="282"/>
  <c r="H223" i="282" s="1"/>
  <c r="I223" i="282" s="1"/>
  <c r="G222" i="282"/>
  <c r="H222" i="282" s="1"/>
  <c r="I222" i="282" s="1"/>
  <c r="G221" i="282"/>
  <c r="H221" i="282" s="1"/>
  <c r="I221" i="282" s="1"/>
  <c r="G220" i="282"/>
  <c r="H220" i="282" s="1"/>
  <c r="I220" i="282" s="1"/>
  <c r="G219" i="282"/>
  <c r="H219" i="282" s="1"/>
  <c r="I219" i="282" s="1"/>
  <c r="G218" i="282"/>
  <c r="H218" i="282" s="1"/>
  <c r="I218" i="282" s="1"/>
  <c r="G217" i="282"/>
  <c r="H217" i="282" s="1"/>
  <c r="I217" i="282" s="1"/>
  <c r="G216" i="282"/>
  <c r="H216" i="282" s="1"/>
  <c r="I216" i="282" s="1"/>
  <c r="G215" i="282"/>
  <c r="H215" i="282" s="1"/>
  <c r="I215" i="282" s="1"/>
  <c r="G214" i="282"/>
  <c r="H214" i="282" s="1"/>
  <c r="I214" i="282" s="1"/>
  <c r="G213" i="282"/>
  <c r="G212" i="282"/>
  <c r="H212" i="282" s="1"/>
  <c r="I212" i="282" s="1"/>
  <c r="G211" i="282"/>
  <c r="H211" i="282" s="1"/>
  <c r="I211" i="282" s="1"/>
  <c r="G210" i="282"/>
  <c r="H210" i="282" s="1"/>
  <c r="I210" i="282" s="1"/>
  <c r="G209" i="282"/>
  <c r="H209" i="282" s="1"/>
  <c r="I209" i="282" s="1"/>
  <c r="G208" i="282"/>
  <c r="H208" i="282" s="1"/>
  <c r="I208" i="282" s="1"/>
  <c r="G207" i="282"/>
  <c r="H207" i="282" s="1"/>
  <c r="I207" i="282" s="1"/>
  <c r="G206" i="282"/>
  <c r="H206" i="282" s="1"/>
  <c r="I206" i="282" s="1"/>
  <c r="G205" i="282"/>
  <c r="G204" i="282"/>
  <c r="H204" i="282" s="1"/>
  <c r="I204" i="282" s="1"/>
  <c r="G203" i="282"/>
  <c r="H203" i="282" s="1"/>
  <c r="I203" i="282" s="1"/>
  <c r="G202" i="282"/>
  <c r="H202" i="282" s="1"/>
  <c r="I202" i="282" s="1"/>
  <c r="G201" i="282"/>
  <c r="H201" i="282" s="1"/>
  <c r="I201" i="282" s="1"/>
  <c r="G200" i="282"/>
  <c r="H200" i="282" s="1"/>
  <c r="I200" i="282" s="1"/>
  <c r="G199" i="282"/>
  <c r="H199" i="282" s="1"/>
  <c r="I199" i="282" s="1"/>
  <c r="G198" i="282"/>
  <c r="H198" i="282" s="1"/>
  <c r="I198" i="282" s="1"/>
  <c r="G197" i="282"/>
  <c r="G196" i="282"/>
  <c r="H196" i="282" s="1"/>
  <c r="I196" i="282" s="1"/>
  <c r="G195" i="282"/>
  <c r="H195" i="282" s="1"/>
  <c r="I195" i="282" s="1"/>
  <c r="G194" i="282"/>
  <c r="H194" i="282" s="1"/>
  <c r="I194" i="282" s="1"/>
  <c r="G193" i="282"/>
  <c r="H193" i="282" s="1"/>
  <c r="I193" i="282" s="1"/>
  <c r="G192" i="282"/>
  <c r="H192" i="282" s="1"/>
  <c r="I192" i="282" s="1"/>
  <c r="G191" i="282"/>
  <c r="H191" i="282" s="1"/>
  <c r="I191" i="282" s="1"/>
  <c r="G190" i="282"/>
  <c r="H190" i="282" s="1"/>
  <c r="I190" i="282" s="1"/>
  <c r="G189" i="282"/>
  <c r="H189" i="282" s="1"/>
  <c r="I189" i="282" s="1"/>
  <c r="G188" i="282"/>
  <c r="H188" i="282" s="1"/>
  <c r="I188" i="282" s="1"/>
  <c r="G187" i="282"/>
  <c r="H187" i="282" s="1"/>
  <c r="I187" i="282" s="1"/>
  <c r="G186" i="282"/>
  <c r="H186" i="282" s="1"/>
  <c r="I186" i="282" s="1"/>
  <c r="G185" i="282"/>
  <c r="H185" i="282" s="1"/>
  <c r="I185" i="282" s="1"/>
  <c r="G184" i="282"/>
  <c r="H184" i="282" s="1"/>
  <c r="I184" i="282" s="1"/>
  <c r="G183" i="282"/>
  <c r="H183" i="282" s="1"/>
  <c r="I183" i="282" s="1"/>
  <c r="G182" i="282"/>
  <c r="H182" i="282" s="1"/>
  <c r="I182" i="282" s="1"/>
  <c r="G181" i="282"/>
  <c r="H181" i="282" s="1"/>
  <c r="I181" i="282" s="1"/>
  <c r="G180" i="282"/>
  <c r="H180" i="282" s="1"/>
  <c r="I180" i="282" s="1"/>
  <c r="G179" i="282"/>
  <c r="H179" i="282" s="1"/>
  <c r="I179" i="282" s="1"/>
  <c r="G178" i="282"/>
  <c r="H178" i="282" s="1"/>
  <c r="I178" i="282" s="1"/>
  <c r="G177" i="282"/>
  <c r="H177" i="282" s="1"/>
  <c r="I177" i="282" s="1"/>
  <c r="G176" i="282"/>
  <c r="H176" i="282" s="1"/>
  <c r="I176" i="282" s="1"/>
  <c r="G175" i="282"/>
  <c r="H175" i="282" s="1"/>
  <c r="I175" i="282" s="1"/>
  <c r="G174" i="282"/>
  <c r="H174" i="282" s="1"/>
  <c r="I174" i="282" s="1"/>
  <c r="G173" i="282"/>
  <c r="H173" i="282" s="1"/>
  <c r="I173" i="282" s="1"/>
  <c r="G172" i="282"/>
  <c r="H172" i="282" s="1"/>
  <c r="I172" i="282" s="1"/>
  <c r="G171" i="282"/>
  <c r="H171" i="282" s="1"/>
  <c r="I171" i="282" s="1"/>
  <c r="G170" i="282"/>
  <c r="H170" i="282" s="1"/>
  <c r="I170" i="282" s="1"/>
  <c r="G169" i="282"/>
  <c r="H169" i="282" s="1"/>
  <c r="I169" i="282" s="1"/>
  <c r="G168" i="282"/>
  <c r="H168" i="282" s="1"/>
  <c r="I168" i="282" s="1"/>
  <c r="G167" i="282"/>
  <c r="H167" i="282" s="1"/>
  <c r="I167" i="282" s="1"/>
  <c r="G166" i="282"/>
  <c r="H166" i="282" s="1"/>
  <c r="I166" i="282" s="1"/>
  <c r="G165" i="282"/>
  <c r="H165" i="282" s="1"/>
  <c r="I165" i="282" s="1"/>
  <c r="G164" i="282"/>
  <c r="H164" i="282" s="1"/>
  <c r="I164" i="282" s="1"/>
  <c r="G163" i="282"/>
  <c r="H163" i="282" s="1"/>
  <c r="I163" i="282" s="1"/>
  <c r="G162" i="282"/>
  <c r="H162" i="282" s="1"/>
  <c r="I162" i="282" s="1"/>
  <c r="G161" i="282"/>
  <c r="H161" i="282" s="1"/>
  <c r="I161" i="282" s="1"/>
  <c r="G160" i="282"/>
  <c r="H160" i="282" s="1"/>
  <c r="I160" i="282" s="1"/>
  <c r="G159" i="282"/>
  <c r="H159" i="282" s="1"/>
  <c r="I159" i="282" s="1"/>
  <c r="G158" i="282"/>
  <c r="H158" i="282" s="1"/>
  <c r="I158" i="282" s="1"/>
  <c r="G157" i="282"/>
  <c r="H157" i="282" s="1"/>
  <c r="I157" i="282" s="1"/>
  <c r="G156" i="282"/>
  <c r="H156" i="282" s="1"/>
  <c r="I156" i="282" s="1"/>
  <c r="G155" i="282"/>
  <c r="H155" i="282" s="1"/>
  <c r="I155" i="282" s="1"/>
  <c r="G154" i="282"/>
  <c r="H154" i="282" s="1"/>
  <c r="I154" i="282" s="1"/>
  <c r="G153" i="282"/>
  <c r="H153" i="282" s="1"/>
  <c r="I153" i="282" s="1"/>
  <c r="G152" i="282"/>
  <c r="H152" i="282" s="1"/>
  <c r="I152" i="282" s="1"/>
  <c r="G151" i="282"/>
  <c r="H151" i="282" s="1"/>
  <c r="I151" i="282" s="1"/>
  <c r="G150" i="282"/>
  <c r="H150" i="282" s="1"/>
  <c r="I150" i="282" s="1"/>
  <c r="G149" i="282"/>
  <c r="G148" i="282"/>
  <c r="H148" i="282" s="1"/>
  <c r="I148" i="282" s="1"/>
  <c r="G147" i="282"/>
  <c r="H147" i="282" s="1"/>
  <c r="I147" i="282" s="1"/>
  <c r="G146" i="282"/>
  <c r="H146" i="282" s="1"/>
  <c r="I146" i="282" s="1"/>
  <c r="G145" i="282"/>
  <c r="H145" i="282" s="1"/>
  <c r="I145" i="282" s="1"/>
  <c r="G144" i="282"/>
  <c r="H144" i="282" s="1"/>
  <c r="I144" i="282" s="1"/>
  <c r="G143" i="282"/>
  <c r="H143" i="282" s="1"/>
  <c r="I143" i="282" s="1"/>
  <c r="G142" i="282"/>
  <c r="H142" i="282" s="1"/>
  <c r="I142" i="282" s="1"/>
  <c r="G141" i="282"/>
  <c r="G140" i="282"/>
  <c r="H140" i="282" s="1"/>
  <c r="I140" i="282" s="1"/>
  <c r="G139" i="282"/>
  <c r="H139" i="282" s="1"/>
  <c r="I139" i="282" s="1"/>
  <c r="G138" i="282"/>
  <c r="H138" i="282" s="1"/>
  <c r="I138" i="282" s="1"/>
  <c r="G137" i="282"/>
  <c r="H137" i="282" s="1"/>
  <c r="I137" i="282" s="1"/>
  <c r="G136" i="282"/>
  <c r="H136" i="282" s="1"/>
  <c r="I136" i="282" s="1"/>
  <c r="G135" i="282"/>
  <c r="H135" i="282" s="1"/>
  <c r="I135" i="282" s="1"/>
  <c r="G134" i="282"/>
  <c r="H134" i="282" s="1"/>
  <c r="I134" i="282" s="1"/>
  <c r="G133" i="282"/>
  <c r="G132" i="282"/>
  <c r="H132" i="282" s="1"/>
  <c r="I132" i="282" s="1"/>
  <c r="G131" i="282"/>
  <c r="H131" i="282" s="1"/>
  <c r="I131" i="282" s="1"/>
  <c r="G130" i="282"/>
  <c r="H130" i="282" s="1"/>
  <c r="I130" i="282" s="1"/>
  <c r="G129" i="282"/>
  <c r="H129" i="282" s="1"/>
  <c r="I129" i="282" s="1"/>
  <c r="G128" i="282"/>
  <c r="H128" i="282" s="1"/>
  <c r="I128" i="282" s="1"/>
  <c r="G127" i="282"/>
  <c r="H127" i="282" s="1"/>
  <c r="I127" i="282" s="1"/>
  <c r="G126" i="282"/>
  <c r="H126" i="282" s="1"/>
  <c r="I126" i="282" s="1"/>
  <c r="G125" i="282"/>
  <c r="H125" i="282" s="1"/>
  <c r="I125" i="282" s="1"/>
  <c r="G124" i="282"/>
  <c r="H124" i="282" s="1"/>
  <c r="I124" i="282" s="1"/>
  <c r="G123" i="282"/>
  <c r="H123" i="282" s="1"/>
  <c r="I123" i="282" s="1"/>
  <c r="G122" i="282"/>
  <c r="H122" i="282" s="1"/>
  <c r="I122" i="282" s="1"/>
  <c r="G121" i="282"/>
  <c r="H121" i="282" s="1"/>
  <c r="I121" i="282" s="1"/>
  <c r="G120" i="282"/>
  <c r="H120" i="282" s="1"/>
  <c r="I120" i="282" s="1"/>
  <c r="G119" i="282"/>
  <c r="H119" i="282" s="1"/>
  <c r="I119" i="282" s="1"/>
  <c r="G118" i="282"/>
  <c r="H118" i="282" s="1"/>
  <c r="I118" i="282" s="1"/>
  <c r="G117" i="282"/>
  <c r="H117" i="282" s="1"/>
  <c r="I117" i="282" s="1"/>
  <c r="G116" i="282"/>
  <c r="H116" i="282" s="1"/>
  <c r="I116" i="282" s="1"/>
  <c r="G115" i="282"/>
  <c r="H115" i="282" s="1"/>
  <c r="I115" i="282" s="1"/>
  <c r="G114" i="282"/>
  <c r="H114" i="282" s="1"/>
  <c r="I114" i="282" s="1"/>
  <c r="G113" i="282"/>
  <c r="H113" i="282" s="1"/>
  <c r="I113" i="282" s="1"/>
  <c r="G112" i="282"/>
  <c r="H112" i="282" s="1"/>
  <c r="I112" i="282" s="1"/>
  <c r="G111" i="282"/>
  <c r="H111" i="282" s="1"/>
  <c r="I111" i="282" s="1"/>
  <c r="G110" i="282"/>
  <c r="H110" i="282" s="1"/>
  <c r="I110" i="282" s="1"/>
  <c r="G109" i="282"/>
  <c r="H109" i="282" s="1"/>
  <c r="I109" i="282" s="1"/>
  <c r="G108" i="282"/>
  <c r="H108" i="282" s="1"/>
  <c r="I108" i="282" s="1"/>
  <c r="G107" i="282"/>
  <c r="H107" i="282" s="1"/>
  <c r="I107" i="282" s="1"/>
  <c r="G106" i="282"/>
  <c r="H106" i="282" s="1"/>
  <c r="I106" i="282" s="1"/>
  <c r="G105" i="282"/>
  <c r="H105" i="282" s="1"/>
  <c r="I105" i="282" s="1"/>
  <c r="G104" i="282"/>
  <c r="H104" i="282" s="1"/>
  <c r="I104" i="282" s="1"/>
  <c r="G103" i="282"/>
  <c r="H103" i="282" s="1"/>
  <c r="I103" i="282" s="1"/>
  <c r="G102" i="282"/>
  <c r="H102" i="282" s="1"/>
  <c r="I102" i="282" s="1"/>
  <c r="G101" i="282"/>
  <c r="H101" i="282" s="1"/>
  <c r="I101" i="282" s="1"/>
  <c r="G100" i="282"/>
  <c r="H100" i="282" s="1"/>
  <c r="I100" i="282" s="1"/>
  <c r="G99" i="282"/>
  <c r="H99" i="282" s="1"/>
  <c r="I99" i="282" s="1"/>
  <c r="G98" i="282"/>
  <c r="H98" i="282" s="1"/>
  <c r="I98" i="282" s="1"/>
  <c r="G97" i="282"/>
  <c r="H97" i="282" s="1"/>
  <c r="I97" i="282" s="1"/>
  <c r="G96" i="282"/>
  <c r="H96" i="282" s="1"/>
  <c r="I96" i="282" s="1"/>
  <c r="G95" i="282"/>
  <c r="H95" i="282" s="1"/>
  <c r="I95" i="282" s="1"/>
  <c r="G94" i="282"/>
  <c r="H94" i="282" s="1"/>
  <c r="I94" i="282" s="1"/>
  <c r="G93" i="282"/>
  <c r="H93" i="282" s="1"/>
  <c r="I93" i="282" s="1"/>
  <c r="G92" i="282"/>
  <c r="H92" i="282" s="1"/>
  <c r="I92" i="282" s="1"/>
  <c r="G91" i="282"/>
  <c r="H91" i="282" s="1"/>
  <c r="I91" i="282" s="1"/>
  <c r="G90" i="282"/>
  <c r="H90" i="282" s="1"/>
  <c r="I90" i="282" s="1"/>
  <c r="G89" i="282"/>
  <c r="H89" i="282" s="1"/>
  <c r="I89" i="282" s="1"/>
  <c r="G88" i="282"/>
  <c r="H88" i="282" s="1"/>
  <c r="I88" i="282" s="1"/>
  <c r="G87" i="282"/>
  <c r="H87" i="282" s="1"/>
  <c r="I87" i="282" s="1"/>
  <c r="G86" i="282"/>
  <c r="H86" i="282" s="1"/>
  <c r="I86" i="282" s="1"/>
  <c r="G85" i="282"/>
  <c r="G84" i="282"/>
  <c r="H84" i="282" s="1"/>
  <c r="I84" i="282" s="1"/>
  <c r="G83" i="282"/>
  <c r="H83" i="282" s="1"/>
  <c r="I83" i="282" s="1"/>
  <c r="G82" i="282"/>
  <c r="H82" i="282" s="1"/>
  <c r="I82" i="282" s="1"/>
  <c r="G81" i="282"/>
  <c r="H81" i="282" s="1"/>
  <c r="I81" i="282" s="1"/>
  <c r="G80" i="282"/>
  <c r="H80" i="282" s="1"/>
  <c r="I80" i="282" s="1"/>
  <c r="G79" i="282"/>
  <c r="H79" i="282" s="1"/>
  <c r="I79" i="282" s="1"/>
  <c r="G78" i="282"/>
  <c r="H78" i="282" s="1"/>
  <c r="I78" i="282" s="1"/>
  <c r="G77" i="282"/>
  <c r="G76" i="282"/>
  <c r="H76" i="282" s="1"/>
  <c r="I76" i="282" s="1"/>
  <c r="G75" i="282"/>
  <c r="H75" i="282" s="1"/>
  <c r="I75" i="282" s="1"/>
  <c r="G74" i="282"/>
  <c r="H74" i="282" s="1"/>
  <c r="I74" i="282" s="1"/>
  <c r="G73" i="282"/>
  <c r="H73" i="282" s="1"/>
  <c r="I73" i="282" s="1"/>
  <c r="G72" i="282"/>
  <c r="H72" i="282" s="1"/>
  <c r="I72" i="282" s="1"/>
  <c r="G71" i="282"/>
  <c r="H71" i="282" s="1"/>
  <c r="I71" i="282" s="1"/>
  <c r="G70" i="282"/>
  <c r="H70" i="282" s="1"/>
  <c r="I70" i="282" s="1"/>
  <c r="G69" i="282"/>
  <c r="G68" i="282"/>
  <c r="H68" i="282" s="1"/>
  <c r="I68" i="282" s="1"/>
  <c r="G67" i="282"/>
  <c r="H67" i="282" s="1"/>
  <c r="I67" i="282" s="1"/>
  <c r="G66" i="282"/>
  <c r="H66" i="282" s="1"/>
  <c r="I66" i="282" s="1"/>
  <c r="G65" i="282"/>
  <c r="H65" i="282" s="1"/>
  <c r="I65" i="282" s="1"/>
  <c r="G64" i="282"/>
  <c r="H64" i="282" s="1"/>
  <c r="I64" i="282" s="1"/>
  <c r="G63" i="282"/>
  <c r="H63" i="282" s="1"/>
  <c r="I63" i="282" s="1"/>
  <c r="G62" i="282"/>
  <c r="H62" i="282" s="1"/>
  <c r="I62" i="282" s="1"/>
  <c r="G61" i="282"/>
  <c r="H61" i="282" s="1"/>
  <c r="I61" i="282" s="1"/>
  <c r="G60" i="282"/>
  <c r="H60" i="282" s="1"/>
  <c r="I60" i="282" s="1"/>
  <c r="G59" i="282"/>
  <c r="H59" i="282" s="1"/>
  <c r="I59" i="282" s="1"/>
  <c r="G58" i="282"/>
  <c r="H58" i="282" s="1"/>
  <c r="I58" i="282" s="1"/>
  <c r="G57" i="282"/>
  <c r="H57" i="282" s="1"/>
  <c r="I57" i="282" s="1"/>
  <c r="G56" i="282"/>
  <c r="H56" i="282" s="1"/>
  <c r="I56" i="282" s="1"/>
  <c r="G55" i="282"/>
  <c r="H55" i="282" s="1"/>
  <c r="I55" i="282" s="1"/>
  <c r="G54" i="282"/>
  <c r="H54" i="282" s="1"/>
  <c r="I54" i="282" s="1"/>
  <c r="G53" i="282"/>
  <c r="H53" i="282" s="1"/>
  <c r="I53" i="282" s="1"/>
  <c r="G52" i="282"/>
  <c r="H52" i="282" s="1"/>
  <c r="I52" i="282" s="1"/>
  <c r="G51" i="282"/>
  <c r="H51" i="282" s="1"/>
  <c r="I51" i="282" s="1"/>
  <c r="G50" i="282"/>
  <c r="H50" i="282" s="1"/>
  <c r="I50" i="282" s="1"/>
  <c r="G49" i="282"/>
  <c r="H49" i="282" s="1"/>
  <c r="I49" i="282" s="1"/>
  <c r="G48" i="282"/>
  <c r="H48" i="282" s="1"/>
  <c r="I48" i="282" s="1"/>
  <c r="G47" i="282"/>
  <c r="H47" i="282" s="1"/>
  <c r="I47" i="282" s="1"/>
  <c r="G46" i="282"/>
  <c r="H46" i="282" s="1"/>
  <c r="I46" i="282" s="1"/>
  <c r="G45" i="282"/>
  <c r="H45" i="282" s="1"/>
  <c r="I45" i="282" s="1"/>
  <c r="G44" i="282"/>
  <c r="H44" i="282" s="1"/>
  <c r="I44" i="282" s="1"/>
  <c r="G43" i="282"/>
  <c r="H43" i="282" s="1"/>
  <c r="I43" i="282" s="1"/>
  <c r="G42" i="282"/>
  <c r="H42" i="282" s="1"/>
  <c r="I42" i="282" s="1"/>
  <c r="G41" i="282"/>
  <c r="H41" i="282" s="1"/>
  <c r="I41" i="282" s="1"/>
  <c r="G40" i="282"/>
  <c r="H40" i="282" s="1"/>
  <c r="I40" i="282" s="1"/>
  <c r="G39" i="282"/>
  <c r="H39" i="282" s="1"/>
  <c r="I39" i="282" s="1"/>
  <c r="G38" i="282"/>
  <c r="H38" i="282" s="1"/>
  <c r="I38" i="282" s="1"/>
  <c r="G37" i="282"/>
  <c r="H37" i="282" s="1"/>
  <c r="I37" i="282" s="1"/>
  <c r="G36" i="282"/>
  <c r="H36" i="282" s="1"/>
  <c r="I36" i="282" s="1"/>
  <c r="G35" i="282"/>
  <c r="H35" i="282" s="1"/>
  <c r="I35" i="282" s="1"/>
  <c r="G34" i="282"/>
  <c r="H34" i="282" s="1"/>
  <c r="I34" i="282" s="1"/>
  <c r="G33" i="282"/>
  <c r="H33" i="282" s="1"/>
  <c r="I33" i="282" s="1"/>
  <c r="G32" i="282"/>
  <c r="H32" i="282" s="1"/>
  <c r="I32" i="282" s="1"/>
  <c r="G31" i="282"/>
  <c r="H31" i="282" s="1"/>
  <c r="I31" i="282" s="1"/>
  <c r="G30" i="282"/>
  <c r="H30" i="282" s="1"/>
  <c r="I30" i="282" s="1"/>
  <c r="G29" i="282"/>
  <c r="H29" i="282" s="1"/>
  <c r="I29" i="282" s="1"/>
  <c r="G28" i="282"/>
  <c r="H28" i="282" s="1"/>
  <c r="I28" i="282" s="1"/>
  <c r="G27" i="282"/>
  <c r="H27" i="282" s="1"/>
  <c r="I27" i="282" s="1"/>
  <c r="G26" i="282"/>
  <c r="H26" i="282" s="1"/>
  <c r="I26" i="282" s="1"/>
  <c r="G25" i="282"/>
  <c r="H25" i="282" s="1"/>
  <c r="I25" i="282" s="1"/>
  <c r="G24" i="282"/>
  <c r="H24" i="282" s="1"/>
  <c r="I24" i="282" s="1"/>
  <c r="G23" i="282"/>
  <c r="H23" i="282" s="1"/>
  <c r="I23" i="282" s="1"/>
  <c r="G22" i="282"/>
  <c r="H22" i="282" s="1"/>
  <c r="I22" i="282" s="1"/>
  <c r="G21" i="282"/>
  <c r="G20" i="282"/>
  <c r="H20" i="282" s="1"/>
  <c r="I20" i="282" s="1"/>
  <c r="G19" i="282"/>
  <c r="H19" i="282" s="1"/>
  <c r="I19" i="282" s="1"/>
  <c r="G18" i="282"/>
  <c r="H18" i="282" s="1"/>
  <c r="I18" i="282" s="1"/>
  <c r="G17" i="282"/>
  <c r="H17" i="282" s="1"/>
  <c r="I17" i="282" s="1"/>
  <c r="G16" i="282"/>
  <c r="H16" i="282" s="1"/>
  <c r="I16" i="282" s="1"/>
  <c r="G15" i="282"/>
  <c r="H15" i="282" s="1"/>
  <c r="I15" i="282" s="1"/>
  <c r="G14" i="282"/>
  <c r="H14" i="282" s="1"/>
  <c r="I14" i="282" s="1"/>
  <c r="G13" i="282"/>
  <c r="G12" i="282"/>
  <c r="H12" i="282" s="1"/>
  <c r="I12" i="282" s="1"/>
  <c r="G11" i="282"/>
  <c r="H11" i="282" s="1"/>
  <c r="I11" i="282" s="1"/>
  <c r="G10" i="282"/>
  <c r="H10" i="282" s="1"/>
  <c r="I10" i="282" s="1"/>
  <c r="G9" i="282"/>
  <c r="H9" i="282" s="1"/>
  <c r="I9" i="282" s="1"/>
  <c r="G8" i="282"/>
  <c r="H8" i="282" s="1"/>
  <c r="I8" i="282" s="1"/>
  <c r="G7" i="282"/>
  <c r="H7" i="282" s="1"/>
  <c r="I7" i="282" s="1"/>
  <c r="G6" i="282"/>
  <c r="H6" i="282" s="1"/>
  <c r="I6" i="282" s="1"/>
  <c r="G5" i="282"/>
  <c r="G4" i="282"/>
  <c r="H4" i="282" s="1"/>
  <c r="I4" i="282" s="1"/>
  <c r="G3" i="282"/>
  <c r="H3" i="282" s="1"/>
  <c r="I3" i="282" s="1"/>
  <c r="E1000" i="282"/>
  <c r="F1000" i="282" s="1"/>
  <c r="E999" i="282"/>
  <c r="F999" i="282" s="1"/>
  <c r="E998" i="282"/>
  <c r="F998" i="282" s="1"/>
  <c r="E997" i="282"/>
  <c r="F997" i="282" s="1"/>
  <c r="E996" i="282"/>
  <c r="F996" i="282" s="1"/>
  <c r="E995" i="282"/>
  <c r="F995" i="282" s="1"/>
  <c r="E994" i="282"/>
  <c r="F994" i="282" s="1"/>
  <c r="E993" i="282"/>
  <c r="F993" i="282" s="1"/>
  <c r="E992" i="282"/>
  <c r="F992" i="282" s="1"/>
  <c r="E991" i="282"/>
  <c r="F991" i="282" s="1"/>
  <c r="E990" i="282"/>
  <c r="F990" i="282" s="1"/>
  <c r="E989" i="282"/>
  <c r="F989" i="282" s="1"/>
  <c r="E988" i="282"/>
  <c r="F988" i="282" s="1"/>
  <c r="E987" i="282"/>
  <c r="F987" i="282" s="1"/>
  <c r="E986" i="282"/>
  <c r="F986" i="282" s="1"/>
  <c r="E985" i="282"/>
  <c r="F985" i="282" s="1"/>
  <c r="E984" i="282"/>
  <c r="F984" i="282" s="1"/>
  <c r="E983" i="282"/>
  <c r="F983" i="282" s="1"/>
  <c r="E982" i="282"/>
  <c r="F982" i="282" s="1"/>
  <c r="E981" i="282"/>
  <c r="F981" i="282" s="1"/>
  <c r="E980" i="282"/>
  <c r="F980" i="282" s="1"/>
  <c r="E979" i="282"/>
  <c r="F979" i="282" s="1"/>
  <c r="E978" i="282"/>
  <c r="F978" i="282" s="1"/>
  <c r="E977" i="282"/>
  <c r="F977" i="282" s="1"/>
  <c r="E976" i="282"/>
  <c r="F976" i="282" s="1"/>
  <c r="E975" i="282"/>
  <c r="F975" i="282" s="1"/>
  <c r="E974" i="282"/>
  <c r="F974" i="282" s="1"/>
  <c r="E973" i="282"/>
  <c r="F973" i="282" s="1"/>
  <c r="E972" i="282"/>
  <c r="F972" i="282" s="1"/>
  <c r="E971" i="282"/>
  <c r="F971" i="282" s="1"/>
  <c r="E970" i="282"/>
  <c r="F970" i="282" s="1"/>
  <c r="E969" i="282"/>
  <c r="F969" i="282" s="1"/>
  <c r="E968" i="282"/>
  <c r="F968" i="282" s="1"/>
  <c r="E967" i="282"/>
  <c r="F967" i="282" s="1"/>
  <c r="E966" i="282"/>
  <c r="F966" i="282" s="1"/>
  <c r="E965" i="282"/>
  <c r="F965" i="282" s="1"/>
  <c r="E964" i="282"/>
  <c r="F964" i="282" s="1"/>
  <c r="E963" i="282"/>
  <c r="F963" i="282" s="1"/>
  <c r="E962" i="282"/>
  <c r="F962" i="282" s="1"/>
  <c r="E961" i="282"/>
  <c r="F961" i="282" s="1"/>
  <c r="E960" i="282"/>
  <c r="F960" i="282" s="1"/>
  <c r="E959" i="282"/>
  <c r="F959" i="282" s="1"/>
  <c r="E958" i="282"/>
  <c r="F958" i="282" s="1"/>
  <c r="E957" i="282"/>
  <c r="F957" i="282" s="1"/>
  <c r="E956" i="282"/>
  <c r="F956" i="282" s="1"/>
  <c r="E955" i="282"/>
  <c r="F955" i="282" s="1"/>
  <c r="E954" i="282"/>
  <c r="F954" i="282" s="1"/>
  <c r="E953" i="282"/>
  <c r="F953" i="282" s="1"/>
  <c r="E952" i="282"/>
  <c r="F952" i="282" s="1"/>
  <c r="E951" i="282"/>
  <c r="F951" i="282" s="1"/>
  <c r="E950" i="282"/>
  <c r="F950" i="282" s="1"/>
  <c r="E949" i="282"/>
  <c r="F949" i="282" s="1"/>
  <c r="E948" i="282"/>
  <c r="F948" i="282" s="1"/>
  <c r="E947" i="282"/>
  <c r="F947" i="282" s="1"/>
  <c r="E946" i="282"/>
  <c r="F946" i="282" s="1"/>
  <c r="E945" i="282"/>
  <c r="F945" i="282" s="1"/>
  <c r="E944" i="282"/>
  <c r="F944" i="282" s="1"/>
  <c r="E943" i="282"/>
  <c r="F943" i="282" s="1"/>
  <c r="E942" i="282"/>
  <c r="F942" i="282" s="1"/>
  <c r="E941" i="282"/>
  <c r="F941" i="282" s="1"/>
  <c r="E940" i="282"/>
  <c r="F940" i="282" s="1"/>
  <c r="E939" i="282"/>
  <c r="F939" i="282" s="1"/>
  <c r="E938" i="282"/>
  <c r="F938" i="282" s="1"/>
  <c r="E937" i="282"/>
  <c r="F937" i="282" s="1"/>
  <c r="E936" i="282"/>
  <c r="F936" i="282" s="1"/>
  <c r="E935" i="282"/>
  <c r="F935" i="282" s="1"/>
  <c r="E934" i="282"/>
  <c r="F934" i="282" s="1"/>
  <c r="E933" i="282"/>
  <c r="F933" i="282" s="1"/>
  <c r="E932" i="282"/>
  <c r="F932" i="282" s="1"/>
  <c r="E931" i="282"/>
  <c r="F931" i="282" s="1"/>
  <c r="E930" i="282"/>
  <c r="F930" i="282" s="1"/>
  <c r="E929" i="282"/>
  <c r="F929" i="282" s="1"/>
  <c r="E928" i="282"/>
  <c r="F928" i="282" s="1"/>
  <c r="E927" i="282"/>
  <c r="F927" i="282" s="1"/>
  <c r="E926" i="282"/>
  <c r="F926" i="282" s="1"/>
  <c r="E925" i="282"/>
  <c r="F925" i="282" s="1"/>
  <c r="E924" i="282"/>
  <c r="F924" i="282" s="1"/>
  <c r="E923" i="282"/>
  <c r="F923" i="282" s="1"/>
  <c r="E922" i="282"/>
  <c r="F922" i="282" s="1"/>
  <c r="E921" i="282"/>
  <c r="F921" i="282" s="1"/>
  <c r="E920" i="282"/>
  <c r="F920" i="282" s="1"/>
  <c r="E919" i="282"/>
  <c r="F919" i="282" s="1"/>
  <c r="E918" i="282"/>
  <c r="F918" i="282" s="1"/>
  <c r="E917" i="282"/>
  <c r="F917" i="282" s="1"/>
  <c r="E916" i="282"/>
  <c r="F916" i="282" s="1"/>
  <c r="E915" i="282"/>
  <c r="F915" i="282" s="1"/>
  <c r="E914" i="282"/>
  <c r="F914" i="282" s="1"/>
  <c r="E913" i="282"/>
  <c r="F913" i="282" s="1"/>
  <c r="E912" i="282"/>
  <c r="F912" i="282" s="1"/>
  <c r="E911" i="282"/>
  <c r="F911" i="282" s="1"/>
  <c r="E910" i="282"/>
  <c r="F910" i="282" s="1"/>
  <c r="E909" i="282"/>
  <c r="F909" i="282" s="1"/>
  <c r="E908" i="282"/>
  <c r="F908" i="282" s="1"/>
  <c r="E907" i="282"/>
  <c r="F907" i="282" s="1"/>
  <c r="E906" i="282"/>
  <c r="F906" i="282" s="1"/>
  <c r="E905" i="282"/>
  <c r="F905" i="282" s="1"/>
  <c r="E904" i="282"/>
  <c r="F904" i="282" s="1"/>
  <c r="E903" i="282"/>
  <c r="F903" i="282" s="1"/>
  <c r="E902" i="282"/>
  <c r="F902" i="282" s="1"/>
  <c r="E901" i="282"/>
  <c r="F901" i="282" s="1"/>
  <c r="E900" i="282"/>
  <c r="F900" i="282" s="1"/>
  <c r="E899" i="282"/>
  <c r="F899" i="282" s="1"/>
  <c r="E898" i="282"/>
  <c r="F898" i="282" s="1"/>
  <c r="E897" i="282"/>
  <c r="F897" i="282" s="1"/>
  <c r="E896" i="282"/>
  <c r="F896" i="282" s="1"/>
  <c r="E895" i="282"/>
  <c r="F895" i="282" s="1"/>
  <c r="E894" i="282"/>
  <c r="F894" i="282" s="1"/>
  <c r="E893" i="282"/>
  <c r="F893" i="282" s="1"/>
  <c r="E892" i="282"/>
  <c r="F892" i="282" s="1"/>
  <c r="E891" i="282"/>
  <c r="F891" i="282" s="1"/>
  <c r="E890" i="282"/>
  <c r="F890" i="282" s="1"/>
  <c r="E889" i="282"/>
  <c r="F889" i="282" s="1"/>
  <c r="E888" i="282"/>
  <c r="F888" i="282" s="1"/>
  <c r="E887" i="282"/>
  <c r="F887" i="282" s="1"/>
  <c r="E886" i="282"/>
  <c r="F886" i="282" s="1"/>
  <c r="E885" i="282"/>
  <c r="F885" i="282" s="1"/>
  <c r="E884" i="282"/>
  <c r="F884" i="282" s="1"/>
  <c r="E883" i="282"/>
  <c r="F883" i="282" s="1"/>
  <c r="E882" i="282"/>
  <c r="F882" i="282" s="1"/>
  <c r="E881" i="282"/>
  <c r="F881" i="282" s="1"/>
  <c r="E880" i="282"/>
  <c r="F880" i="282" s="1"/>
  <c r="E879" i="282"/>
  <c r="F879" i="282" s="1"/>
  <c r="E878" i="282"/>
  <c r="F878" i="282" s="1"/>
  <c r="E877" i="282"/>
  <c r="F877" i="282" s="1"/>
  <c r="E876" i="282"/>
  <c r="F876" i="282" s="1"/>
  <c r="E875" i="282"/>
  <c r="F875" i="282" s="1"/>
  <c r="E874" i="282"/>
  <c r="F874" i="282" s="1"/>
  <c r="E873" i="282"/>
  <c r="F873" i="282" s="1"/>
  <c r="E872" i="282"/>
  <c r="F872" i="282" s="1"/>
  <c r="E871" i="282"/>
  <c r="F871" i="282" s="1"/>
  <c r="E870" i="282"/>
  <c r="F870" i="282" s="1"/>
  <c r="E869" i="282"/>
  <c r="F869" i="282" s="1"/>
  <c r="E868" i="282"/>
  <c r="F868" i="282" s="1"/>
  <c r="E867" i="282"/>
  <c r="F867" i="282" s="1"/>
  <c r="E866" i="282"/>
  <c r="F866" i="282" s="1"/>
  <c r="E865" i="282"/>
  <c r="F865" i="282" s="1"/>
  <c r="E864" i="282"/>
  <c r="F864" i="282" s="1"/>
  <c r="E863" i="282"/>
  <c r="F863" i="282" s="1"/>
  <c r="E862" i="282"/>
  <c r="F862" i="282" s="1"/>
  <c r="E861" i="282"/>
  <c r="F861" i="282" s="1"/>
  <c r="E860" i="282"/>
  <c r="F860" i="282" s="1"/>
  <c r="E859" i="282"/>
  <c r="F859" i="282" s="1"/>
  <c r="E858" i="282"/>
  <c r="F858" i="282" s="1"/>
  <c r="E857" i="282"/>
  <c r="F857" i="282" s="1"/>
  <c r="E856" i="282"/>
  <c r="F856" i="282" s="1"/>
  <c r="E855" i="282"/>
  <c r="F855" i="282" s="1"/>
  <c r="E854" i="282"/>
  <c r="F854" i="282" s="1"/>
  <c r="E853" i="282"/>
  <c r="F853" i="282" s="1"/>
  <c r="E852" i="282"/>
  <c r="F852" i="282" s="1"/>
  <c r="E851" i="282"/>
  <c r="F851" i="282" s="1"/>
  <c r="E850" i="282"/>
  <c r="F850" i="282" s="1"/>
  <c r="E849" i="282"/>
  <c r="F849" i="282" s="1"/>
  <c r="E848" i="282"/>
  <c r="F848" i="282" s="1"/>
  <c r="E847" i="282"/>
  <c r="F847" i="282" s="1"/>
  <c r="E846" i="282"/>
  <c r="F846" i="282" s="1"/>
  <c r="E845" i="282"/>
  <c r="F845" i="282" s="1"/>
  <c r="E844" i="282"/>
  <c r="F844" i="282" s="1"/>
  <c r="E843" i="282"/>
  <c r="F843" i="282" s="1"/>
  <c r="E842" i="282"/>
  <c r="F842" i="282" s="1"/>
  <c r="E841" i="282"/>
  <c r="F841" i="282" s="1"/>
  <c r="E840" i="282"/>
  <c r="F840" i="282" s="1"/>
  <c r="E839" i="282"/>
  <c r="F839" i="282" s="1"/>
  <c r="E838" i="282"/>
  <c r="F838" i="282" s="1"/>
  <c r="E837" i="282"/>
  <c r="F837" i="282" s="1"/>
  <c r="E836" i="282"/>
  <c r="F836" i="282" s="1"/>
  <c r="E835" i="282"/>
  <c r="F835" i="282" s="1"/>
  <c r="E834" i="282"/>
  <c r="F834" i="282" s="1"/>
  <c r="E833" i="282"/>
  <c r="F833" i="282" s="1"/>
  <c r="E832" i="282"/>
  <c r="F832" i="282" s="1"/>
  <c r="E831" i="282"/>
  <c r="F831" i="282" s="1"/>
  <c r="E830" i="282"/>
  <c r="F830" i="282" s="1"/>
  <c r="E829" i="282"/>
  <c r="F829" i="282" s="1"/>
  <c r="E828" i="282"/>
  <c r="F828" i="282" s="1"/>
  <c r="E827" i="282"/>
  <c r="F827" i="282" s="1"/>
  <c r="E826" i="282"/>
  <c r="F826" i="282" s="1"/>
  <c r="E825" i="282"/>
  <c r="F825" i="282" s="1"/>
  <c r="E824" i="282"/>
  <c r="F824" i="282" s="1"/>
  <c r="E823" i="282"/>
  <c r="F823" i="282" s="1"/>
  <c r="E822" i="282"/>
  <c r="F822" i="282" s="1"/>
  <c r="E821" i="282"/>
  <c r="F821" i="282" s="1"/>
  <c r="E820" i="282"/>
  <c r="F820" i="282" s="1"/>
  <c r="E819" i="282"/>
  <c r="F819" i="282" s="1"/>
  <c r="E818" i="282"/>
  <c r="F818" i="282" s="1"/>
  <c r="E817" i="282"/>
  <c r="F817" i="282" s="1"/>
  <c r="E816" i="282"/>
  <c r="F816" i="282" s="1"/>
  <c r="E815" i="282"/>
  <c r="F815" i="282" s="1"/>
  <c r="E814" i="282"/>
  <c r="F814" i="282" s="1"/>
  <c r="E813" i="282"/>
  <c r="F813" i="282" s="1"/>
  <c r="E812" i="282"/>
  <c r="F812" i="282" s="1"/>
  <c r="E811" i="282"/>
  <c r="F811" i="282" s="1"/>
  <c r="E810" i="282"/>
  <c r="F810" i="282" s="1"/>
  <c r="E809" i="282"/>
  <c r="F809" i="282" s="1"/>
  <c r="E808" i="282"/>
  <c r="F808" i="282" s="1"/>
  <c r="E807" i="282"/>
  <c r="F807" i="282" s="1"/>
  <c r="E806" i="282"/>
  <c r="F806" i="282" s="1"/>
  <c r="E805" i="282"/>
  <c r="F805" i="282" s="1"/>
  <c r="E804" i="282"/>
  <c r="F804" i="282" s="1"/>
  <c r="E803" i="282"/>
  <c r="F803" i="282" s="1"/>
  <c r="E802" i="282"/>
  <c r="F802" i="282" s="1"/>
  <c r="E801" i="282"/>
  <c r="F801" i="282" s="1"/>
  <c r="E800" i="282"/>
  <c r="F800" i="282" s="1"/>
  <c r="E799" i="282"/>
  <c r="F799" i="282" s="1"/>
  <c r="E798" i="282"/>
  <c r="F798" i="282" s="1"/>
  <c r="E797" i="282"/>
  <c r="F797" i="282" s="1"/>
  <c r="E796" i="282"/>
  <c r="F796" i="282" s="1"/>
  <c r="E795" i="282"/>
  <c r="F795" i="282" s="1"/>
  <c r="E794" i="282"/>
  <c r="F794" i="282" s="1"/>
  <c r="E793" i="282"/>
  <c r="F793" i="282" s="1"/>
  <c r="E792" i="282"/>
  <c r="F792" i="282" s="1"/>
  <c r="E791" i="282"/>
  <c r="F791" i="282" s="1"/>
  <c r="E790" i="282"/>
  <c r="F790" i="282" s="1"/>
  <c r="E789" i="282"/>
  <c r="F789" i="282" s="1"/>
  <c r="E788" i="282"/>
  <c r="F788" i="282" s="1"/>
  <c r="E787" i="282"/>
  <c r="F787" i="282" s="1"/>
  <c r="E786" i="282"/>
  <c r="F786" i="282" s="1"/>
  <c r="E785" i="282"/>
  <c r="F785" i="282" s="1"/>
  <c r="E784" i="282"/>
  <c r="F784" i="282" s="1"/>
  <c r="E783" i="282"/>
  <c r="F783" i="282" s="1"/>
  <c r="E782" i="282"/>
  <c r="F782" i="282" s="1"/>
  <c r="E781" i="282"/>
  <c r="F781" i="282" s="1"/>
  <c r="E780" i="282"/>
  <c r="F780" i="282" s="1"/>
  <c r="E779" i="282"/>
  <c r="F779" i="282" s="1"/>
  <c r="E778" i="282"/>
  <c r="F778" i="282" s="1"/>
  <c r="E777" i="282"/>
  <c r="F777" i="282" s="1"/>
  <c r="E776" i="282"/>
  <c r="F776" i="282" s="1"/>
  <c r="E775" i="282"/>
  <c r="F775" i="282" s="1"/>
  <c r="E774" i="282"/>
  <c r="F774" i="282" s="1"/>
  <c r="E773" i="282"/>
  <c r="F773" i="282" s="1"/>
  <c r="E772" i="282"/>
  <c r="F772" i="282" s="1"/>
  <c r="E771" i="282"/>
  <c r="F771" i="282" s="1"/>
  <c r="E770" i="282"/>
  <c r="F770" i="282" s="1"/>
  <c r="E769" i="282"/>
  <c r="F769" i="282" s="1"/>
  <c r="E768" i="282"/>
  <c r="F768" i="282" s="1"/>
  <c r="E767" i="282"/>
  <c r="F767" i="282" s="1"/>
  <c r="E766" i="282"/>
  <c r="F766" i="282" s="1"/>
  <c r="E765" i="282"/>
  <c r="F765" i="282" s="1"/>
  <c r="E764" i="282"/>
  <c r="F764" i="282" s="1"/>
  <c r="E763" i="282"/>
  <c r="F763" i="282" s="1"/>
  <c r="E762" i="282"/>
  <c r="F762" i="282" s="1"/>
  <c r="E761" i="282"/>
  <c r="F761" i="282" s="1"/>
  <c r="E760" i="282"/>
  <c r="F760" i="282" s="1"/>
  <c r="E759" i="282"/>
  <c r="F759" i="282" s="1"/>
  <c r="E758" i="282"/>
  <c r="F758" i="282" s="1"/>
  <c r="E757" i="282"/>
  <c r="F757" i="282" s="1"/>
  <c r="E756" i="282"/>
  <c r="F756" i="282" s="1"/>
  <c r="E755" i="282"/>
  <c r="F755" i="282" s="1"/>
  <c r="E754" i="282"/>
  <c r="F754" i="282" s="1"/>
  <c r="E753" i="282"/>
  <c r="F753" i="282" s="1"/>
  <c r="E752" i="282"/>
  <c r="F752" i="282" s="1"/>
  <c r="E751" i="282"/>
  <c r="F751" i="282" s="1"/>
  <c r="E750" i="282"/>
  <c r="F750" i="282" s="1"/>
  <c r="E749" i="282"/>
  <c r="F749" i="282" s="1"/>
  <c r="E748" i="282"/>
  <c r="F748" i="282" s="1"/>
  <c r="E747" i="282"/>
  <c r="F747" i="282" s="1"/>
  <c r="E746" i="282"/>
  <c r="F746" i="282" s="1"/>
  <c r="E745" i="282"/>
  <c r="F745" i="282" s="1"/>
  <c r="E744" i="282"/>
  <c r="F744" i="282" s="1"/>
  <c r="E743" i="282"/>
  <c r="F743" i="282" s="1"/>
  <c r="E742" i="282"/>
  <c r="F742" i="282" s="1"/>
  <c r="E741" i="282"/>
  <c r="F741" i="282" s="1"/>
  <c r="E740" i="282"/>
  <c r="F740" i="282" s="1"/>
  <c r="E739" i="282"/>
  <c r="F739" i="282" s="1"/>
  <c r="E738" i="282"/>
  <c r="F738" i="282" s="1"/>
  <c r="E737" i="282"/>
  <c r="F737" i="282" s="1"/>
  <c r="E736" i="282"/>
  <c r="F736" i="282" s="1"/>
  <c r="E735" i="282"/>
  <c r="F735" i="282" s="1"/>
  <c r="E734" i="282"/>
  <c r="F734" i="282" s="1"/>
  <c r="E733" i="282"/>
  <c r="F733" i="282" s="1"/>
  <c r="E732" i="282"/>
  <c r="F732" i="282" s="1"/>
  <c r="E731" i="282"/>
  <c r="F731" i="282" s="1"/>
  <c r="E730" i="282"/>
  <c r="F730" i="282" s="1"/>
  <c r="E729" i="282"/>
  <c r="F729" i="282" s="1"/>
  <c r="E728" i="282"/>
  <c r="F728" i="282" s="1"/>
  <c r="E727" i="282"/>
  <c r="F727" i="282" s="1"/>
  <c r="E726" i="282"/>
  <c r="F726" i="282" s="1"/>
  <c r="E725" i="282"/>
  <c r="F725" i="282" s="1"/>
  <c r="E724" i="282"/>
  <c r="F724" i="282" s="1"/>
  <c r="E723" i="282"/>
  <c r="F723" i="282" s="1"/>
  <c r="E722" i="282"/>
  <c r="F722" i="282" s="1"/>
  <c r="E721" i="282"/>
  <c r="F721" i="282" s="1"/>
  <c r="E720" i="282"/>
  <c r="F720" i="282" s="1"/>
  <c r="E719" i="282"/>
  <c r="F719" i="282" s="1"/>
  <c r="E718" i="282"/>
  <c r="F718" i="282" s="1"/>
  <c r="E717" i="282"/>
  <c r="F717" i="282" s="1"/>
  <c r="E716" i="282"/>
  <c r="F716" i="282" s="1"/>
  <c r="E715" i="282"/>
  <c r="F715" i="282" s="1"/>
  <c r="E714" i="282"/>
  <c r="F714" i="282" s="1"/>
  <c r="E713" i="282"/>
  <c r="F713" i="282" s="1"/>
  <c r="E712" i="282"/>
  <c r="F712" i="282" s="1"/>
  <c r="E711" i="282"/>
  <c r="F711" i="282" s="1"/>
  <c r="E710" i="282"/>
  <c r="F710" i="282" s="1"/>
  <c r="E709" i="282"/>
  <c r="F709" i="282" s="1"/>
  <c r="E708" i="282"/>
  <c r="F708" i="282" s="1"/>
  <c r="E707" i="282"/>
  <c r="F707" i="282" s="1"/>
  <c r="E706" i="282"/>
  <c r="F706" i="282" s="1"/>
  <c r="E705" i="282"/>
  <c r="F705" i="282" s="1"/>
  <c r="E704" i="282"/>
  <c r="F704" i="282" s="1"/>
  <c r="E703" i="282"/>
  <c r="F703" i="282" s="1"/>
  <c r="E702" i="282"/>
  <c r="F702" i="282" s="1"/>
  <c r="E701" i="282"/>
  <c r="F701" i="282" s="1"/>
  <c r="E700" i="282"/>
  <c r="F700" i="282" s="1"/>
  <c r="E699" i="282"/>
  <c r="F699" i="282" s="1"/>
  <c r="E698" i="282"/>
  <c r="F698" i="282" s="1"/>
  <c r="E697" i="282"/>
  <c r="F697" i="282" s="1"/>
  <c r="E696" i="282"/>
  <c r="F696" i="282" s="1"/>
  <c r="E695" i="282"/>
  <c r="F695" i="282" s="1"/>
  <c r="E694" i="282"/>
  <c r="F694" i="282" s="1"/>
  <c r="E693" i="282"/>
  <c r="F693" i="282" s="1"/>
  <c r="E692" i="282"/>
  <c r="F692" i="282" s="1"/>
  <c r="E691" i="282"/>
  <c r="F691" i="282" s="1"/>
  <c r="E690" i="282"/>
  <c r="F690" i="282" s="1"/>
  <c r="E689" i="282"/>
  <c r="F689" i="282" s="1"/>
  <c r="E688" i="282"/>
  <c r="F688" i="282" s="1"/>
  <c r="E687" i="282"/>
  <c r="F687" i="282" s="1"/>
  <c r="E686" i="282"/>
  <c r="F686" i="282" s="1"/>
  <c r="E685" i="282"/>
  <c r="F685" i="282" s="1"/>
  <c r="E684" i="282"/>
  <c r="F684" i="282" s="1"/>
  <c r="E683" i="282"/>
  <c r="F683" i="282" s="1"/>
  <c r="E682" i="282"/>
  <c r="F682" i="282" s="1"/>
  <c r="E681" i="282"/>
  <c r="F681" i="282" s="1"/>
  <c r="E680" i="282"/>
  <c r="F680" i="282" s="1"/>
  <c r="E679" i="282"/>
  <c r="F679" i="282" s="1"/>
  <c r="E678" i="282"/>
  <c r="F678" i="282" s="1"/>
  <c r="E677" i="282"/>
  <c r="F677" i="282" s="1"/>
  <c r="E676" i="282"/>
  <c r="F676" i="282" s="1"/>
  <c r="E675" i="282"/>
  <c r="F675" i="282" s="1"/>
  <c r="E674" i="282"/>
  <c r="F674" i="282" s="1"/>
  <c r="E673" i="282"/>
  <c r="F673" i="282" s="1"/>
  <c r="E672" i="282"/>
  <c r="F672" i="282" s="1"/>
  <c r="E671" i="282"/>
  <c r="F671" i="282" s="1"/>
  <c r="E670" i="282"/>
  <c r="F670" i="282" s="1"/>
  <c r="E669" i="282"/>
  <c r="F669" i="282" s="1"/>
  <c r="E668" i="282"/>
  <c r="F668" i="282" s="1"/>
  <c r="E667" i="282"/>
  <c r="F667" i="282" s="1"/>
  <c r="E666" i="282"/>
  <c r="F666" i="282" s="1"/>
  <c r="E665" i="282"/>
  <c r="F665" i="282" s="1"/>
  <c r="E664" i="282"/>
  <c r="F664" i="282" s="1"/>
  <c r="E663" i="282"/>
  <c r="F663" i="282" s="1"/>
  <c r="E662" i="282"/>
  <c r="F662" i="282" s="1"/>
  <c r="E661" i="282"/>
  <c r="F661" i="282" s="1"/>
  <c r="E660" i="282"/>
  <c r="F660" i="282" s="1"/>
  <c r="E659" i="282"/>
  <c r="F659" i="282" s="1"/>
  <c r="E658" i="282"/>
  <c r="F658" i="282" s="1"/>
  <c r="E657" i="282"/>
  <c r="F657" i="282" s="1"/>
  <c r="E656" i="282"/>
  <c r="F656" i="282" s="1"/>
  <c r="E655" i="282"/>
  <c r="F655" i="282" s="1"/>
  <c r="E654" i="282"/>
  <c r="F654" i="282" s="1"/>
  <c r="E653" i="282"/>
  <c r="F653" i="282" s="1"/>
  <c r="E652" i="282"/>
  <c r="F652" i="282" s="1"/>
  <c r="E651" i="282"/>
  <c r="F651" i="282" s="1"/>
  <c r="E650" i="282"/>
  <c r="F650" i="282" s="1"/>
  <c r="E649" i="282"/>
  <c r="F649" i="282" s="1"/>
  <c r="E648" i="282"/>
  <c r="F648" i="282" s="1"/>
  <c r="E647" i="282"/>
  <c r="F647" i="282" s="1"/>
  <c r="E646" i="282"/>
  <c r="F646" i="282" s="1"/>
  <c r="E645" i="282"/>
  <c r="F645" i="282" s="1"/>
  <c r="E644" i="282"/>
  <c r="F644" i="282" s="1"/>
  <c r="E643" i="282"/>
  <c r="F643" i="282" s="1"/>
  <c r="E642" i="282"/>
  <c r="F642" i="282" s="1"/>
  <c r="E641" i="282"/>
  <c r="F641" i="282" s="1"/>
  <c r="E640" i="282"/>
  <c r="F640" i="282" s="1"/>
  <c r="E639" i="282"/>
  <c r="F639" i="282" s="1"/>
  <c r="E638" i="282"/>
  <c r="F638" i="282" s="1"/>
  <c r="E637" i="282"/>
  <c r="F637" i="282" s="1"/>
  <c r="E636" i="282"/>
  <c r="F636" i="282" s="1"/>
  <c r="E635" i="282"/>
  <c r="F635" i="282" s="1"/>
  <c r="E634" i="282"/>
  <c r="F634" i="282" s="1"/>
  <c r="E633" i="282"/>
  <c r="F633" i="282" s="1"/>
  <c r="E632" i="282"/>
  <c r="F632" i="282" s="1"/>
  <c r="E631" i="282"/>
  <c r="F631" i="282" s="1"/>
  <c r="E630" i="282"/>
  <c r="F630" i="282" s="1"/>
  <c r="E629" i="282"/>
  <c r="F629" i="282" s="1"/>
  <c r="E628" i="282"/>
  <c r="F628" i="282" s="1"/>
  <c r="E627" i="282"/>
  <c r="F627" i="282" s="1"/>
  <c r="E626" i="282"/>
  <c r="F626" i="282" s="1"/>
  <c r="E625" i="282"/>
  <c r="F625" i="282" s="1"/>
  <c r="E624" i="282"/>
  <c r="F624" i="282" s="1"/>
  <c r="E623" i="282"/>
  <c r="F623" i="282" s="1"/>
  <c r="E622" i="282"/>
  <c r="F622" i="282" s="1"/>
  <c r="E621" i="282"/>
  <c r="F621" i="282" s="1"/>
  <c r="E620" i="282"/>
  <c r="F620" i="282" s="1"/>
  <c r="E619" i="282"/>
  <c r="F619" i="282" s="1"/>
  <c r="E618" i="282"/>
  <c r="F618" i="282" s="1"/>
  <c r="E617" i="282"/>
  <c r="F617" i="282" s="1"/>
  <c r="E616" i="282"/>
  <c r="F616" i="282" s="1"/>
  <c r="E615" i="282"/>
  <c r="F615" i="282" s="1"/>
  <c r="E614" i="282"/>
  <c r="F614" i="282" s="1"/>
  <c r="E613" i="282"/>
  <c r="F613" i="282" s="1"/>
  <c r="E612" i="282"/>
  <c r="F612" i="282" s="1"/>
  <c r="E611" i="282"/>
  <c r="F611" i="282" s="1"/>
  <c r="E610" i="282"/>
  <c r="F610" i="282" s="1"/>
  <c r="E609" i="282"/>
  <c r="F609" i="282" s="1"/>
  <c r="E608" i="282"/>
  <c r="F608" i="282" s="1"/>
  <c r="E607" i="282"/>
  <c r="F607" i="282" s="1"/>
  <c r="E606" i="282"/>
  <c r="F606" i="282" s="1"/>
  <c r="E605" i="282"/>
  <c r="F605" i="282" s="1"/>
  <c r="E604" i="282"/>
  <c r="F604" i="282" s="1"/>
  <c r="E603" i="282"/>
  <c r="F603" i="282" s="1"/>
  <c r="E602" i="282"/>
  <c r="F602" i="282" s="1"/>
  <c r="E601" i="282"/>
  <c r="F601" i="282" s="1"/>
  <c r="E600" i="282"/>
  <c r="F600" i="282" s="1"/>
  <c r="E599" i="282"/>
  <c r="F599" i="282" s="1"/>
  <c r="E598" i="282"/>
  <c r="F598" i="282" s="1"/>
  <c r="E597" i="282"/>
  <c r="F597" i="282" s="1"/>
  <c r="E596" i="282"/>
  <c r="F596" i="282" s="1"/>
  <c r="E595" i="282"/>
  <c r="F595" i="282" s="1"/>
  <c r="E594" i="282"/>
  <c r="F594" i="282" s="1"/>
  <c r="E593" i="282"/>
  <c r="F593" i="282" s="1"/>
  <c r="E592" i="282"/>
  <c r="F592" i="282" s="1"/>
  <c r="E591" i="282"/>
  <c r="F591" i="282" s="1"/>
  <c r="E590" i="282"/>
  <c r="F590" i="282" s="1"/>
  <c r="E589" i="282"/>
  <c r="F589" i="282" s="1"/>
  <c r="E588" i="282"/>
  <c r="F588" i="282" s="1"/>
  <c r="E587" i="282"/>
  <c r="F587" i="282" s="1"/>
  <c r="E586" i="282"/>
  <c r="F586" i="282" s="1"/>
  <c r="E585" i="282"/>
  <c r="F585" i="282" s="1"/>
  <c r="E584" i="282"/>
  <c r="F584" i="282" s="1"/>
  <c r="E583" i="282"/>
  <c r="F583" i="282" s="1"/>
  <c r="E582" i="282"/>
  <c r="F582" i="282" s="1"/>
  <c r="E581" i="282"/>
  <c r="F581" i="282" s="1"/>
  <c r="E580" i="282"/>
  <c r="F580" i="282" s="1"/>
  <c r="E579" i="282"/>
  <c r="F579" i="282" s="1"/>
  <c r="E578" i="282"/>
  <c r="F578" i="282" s="1"/>
  <c r="E577" i="282"/>
  <c r="F577" i="282" s="1"/>
  <c r="E576" i="282"/>
  <c r="F576" i="282" s="1"/>
  <c r="E575" i="282"/>
  <c r="F575" i="282" s="1"/>
  <c r="E574" i="282"/>
  <c r="F574" i="282" s="1"/>
  <c r="E573" i="282"/>
  <c r="F573" i="282" s="1"/>
  <c r="E572" i="282"/>
  <c r="F572" i="282" s="1"/>
  <c r="E571" i="282"/>
  <c r="F571" i="282" s="1"/>
  <c r="E570" i="282"/>
  <c r="F570" i="282" s="1"/>
  <c r="E569" i="282"/>
  <c r="F569" i="282" s="1"/>
  <c r="E568" i="282"/>
  <c r="F568" i="282" s="1"/>
  <c r="E567" i="282"/>
  <c r="F567" i="282" s="1"/>
  <c r="E566" i="282"/>
  <c r="F566" i="282" s="1"/>
  <c r="E565" i="282"/>
  <c r="F565" i="282" s="1"/>
  <c r="E564" i="282"/>
  <c r="F564" i="282" s="1"/>
  <c r="E563" i="282"/>
  <c r="F563" i="282" s="1"/>
  <c r="E562" i="282"/>
  <c r="F562" i="282" s="1"/>
  <c r="E561" i="282"/>
  <c r="F561" i="282" s="1"/>
  <c r="E560" i="282"/>
  <c r="F560" i="282" s="1"/>
  <c r="E559" i="282"/>
  <c r="F559" i="282" s="1"/>
  <c r="E558" i="282"/>
  <c r="F558" i="282" s="1"/>
  <c r="E557" i="282"/>
  <c r="F557" i="282" s="1"/>
  <c r="E556" i="282"/>
  <c r="F556" i="282" s="1"/>
  <c r="E555" i="282"/>
  <c r="F555" i="282" s="1"/>
  <c r="E554" i="282"/>
  <c r="F554" i="282" s="1"/>
  <c r="E553" i="282"/>
  <c r="F553" i="282" s="1"/>
  <c r="E552" i="282"/>
  <c r="F552" i="282" s="1"/>
  <c r="E551" i="282"/>
  <c r="F551" i="282" s="1"/>
  <c r="E550" i="282"/>
  <c r="F550" i="282" s="1"/>
  <c r="E549" i="282"/>
  <c r="F549" i="282" s="1"/>
  <c r="E548" i="282"/>
  <c r="F548" i="282" s="1"/>
  <c r="E547" i="282"/>
  <c r="F547" i="282" s="1"/>
  <c r="E546" i="282"/>
  <c r="F546" i="282" s="1"/>
  <c r="E545" i="282"/>
  <c r="F545" i="282" s="1"/>
  <c r="E544" i="282"/>
  <c r="F544" i="282" s="1"/>
  <c r="E543" i="282"/>
  <c r="F543" i="282" s="1"/>
  <c r="E542" i="282"/>
  <c r="F542" i="282" s="1"/>
  <c r="E541" i="282"/>
  <c r="F541" i="282" s="1"/>
  <c r="E540" i="282"/>
  <c r="F540" i="282" s="1"/>
  <c r="E539" i="282"/>
  <c r="F539" i="282" s="1"/>
  <c r="E538" i="282"/>
  <c r="F538" i="282" s="1"/>
  <c r="E537" i="282"/>
  <c r="F537" i="282" s="1"/>
  <c r="E536" i="282"/>
  <c r="F536" i="282" s="1"/>
  <c r="E535" i="282"/>
  <c r="F535" i="282" s="1"/>
  <c r="E534" i="282"/>
  <c r="F534" i="282" s="1"/>
  <c r="E533" i="282"/>
  <c r="F533" i="282" s="1"/>
  <c r="E532" i="282"/>
  <c r="F532" i="282" s="1"/>
  <c r="E531" i="282"/>
  <c r="F531" i="282" s="1"/>
  <c r="E530" i="282"/>
  <c r="F530" i="282" s="1"/>
  <c r="E529" i="282"/>
  <c r="F529" i="282" s="1"/>
  <c r="E528" i="282"/>
  <c r="F528" i="282" s="1"/>
  <c r="E527" i="282"/>
  <c r="F527" i="282" s="1"/>
  <c r="E526" i="282"/>
  <c r="F526" i="282" s="1"/>
  <c r="E525" i="282"/>
  <c r="F525" i="282" s="1"/>
  <c r="E524" i="282"/>
  <c r="F524" i="282" s="1"/>
  <c r="E523" i="282"/>
  <c r="F523" i="282" s="1"/>
  <c r="E522" i="282"/>
  <c r="F522" i="282" s="1"/>
  <c r="E521" i="282"/>
  <c r="F521" i="282" s="1"/>
  <c r="E520" i="282"/>
  <c r="F520" i="282" s="1"/>
  <c r="E519" i="282"/>
  <c r="F519" i="282" s="1"/>
  <c r="E518" i="282"/>
  <c r="F518" i="282" s="1"/>
  <c r="E517" i="282"/>
  <c r="F517" i="282" s="1"/>
  <c r="E516" i="282"/>
  <c r="F516" i="282" s="1"/>
  <c r="E515" i="282"/>
  <c r="F515" i="282" s="1"/>
  <c r="E514" i="282"/>
  <c r="F514" i="282" s="1"/>
  <c r="E513" i="282"/>
  <c r="F513" i="282" s="1"/>
  <c r="E512" i="282"/>
  <c r="F512" i="282" s="1"/>
  <c r="E511" i="282"/>
  <c r="F511" i="282" s="1"/>
  <c r="E510" i="282"/>
  <c r="F510" i="282" s="1"/>
  <c r="E509" i="282"/>
  <c r="F509" i="282" s="1"/>
  <c r="E508" i="282"/>
  <c r="F508" i="282" s="1"/>
  <c r="E507" i="282"/>
  <c r="F507" i="282" s="1"/>
  <c r="E506" i="282"/>
  <c r="F506" i="282" s="1"/>
  <c r="E505" i="282"/>
  <c r="F505" i="282" s="1"/>
  <c r="E504" i="282"/>
  <c r="F504" i="282" s="1"/>
  <c r="E503" i="282"/>
  <c r="F503" i="282" s="1"/>
  <c r="E502" i="282"/>
  <c r="F502" i="282" s="1"/>
  <c r="E501" i="282"/>
  <c r="F501" i="282" s="1"/>
  <c r="E500" i="282"/>
  <c r="F500" i="282" s="1"/>
  <c r="E499" i="282"/>
  <c r="F499" i="282" s="1"/>
  <c r="E498" i="282"/>
  <c r="F498" i="282" s="1"/>
  <c r="E497" i="282"/>
  <c r="F497" i="282" s="1"/>
  <c r="E496" i="282"/>
  <c r="F496" i="282" s="1"/>
  <c r="E495" i="282"/>
  <c r="F495" i="282" s="1"/>
  <c r="E494" i="282"/>
  <c r="F494" i="282" s="1"/>
  <c r="E493" i="282"/>
  <c r="F493" i="282" s="1"/>
  <c r="E492" i="282"/>
  <c r="F492" i="282" s="1"/>
  <c r="E491" i="282"/>
  <c r="F491" i="282" s="1"/>
  <c r="E490" i="282"/>
  <c r="F490" i="282" s="1"/>
  <c r="E489" i="282"/>
  <c r="F489" i="282" s="1"/>
  <c r="E488" i="282"/>
  <c r="F488" i="282" s="1"/>
  <c r="E487" i="282"/>
  <c r="F487" i="282" s="1"/>
  <c r="E486" i="282"/>
  <c r="F486" i="282" s="1"/>
  <c r="E485" i="282"/>
  <c r="F485" i="282" s="1"/>
  <c r="E484" i="282"/>
  <c r="F484" i="282" s="1"/>
  <c r="E483" i="282"/>
  <c r="F483" i="282" s="1"/>
  <c r="E482" i="282"/>
  <c r="F482" i="282" s="1"/>
  <c r="E481" i="282"/>
  <c r="F481" i="282" s="1"/>
  <c r="E480" i="282"/>
  <c r="F480" i="282" s="1"/>
  <c r="E479" i="282"/>
  <c r="F479" i="282" s="1"/>
  <c r="E478" i="282"/>
  <c r="F478" i="282" s="1"/>
  <c r="E477" i="282"/>
  <c r="F477" i="282" s="1"/>
  <c r="E476" i="282"/>
  <c r="F476" i="282" s="1"/>
  <c r="E475" i="282"/>
  <c r="F475" i="282" s="1"/>
  <c r="E474" i="282"/>
  <c r="F474" i="282" s="1"/>
  <c r="E473" i="282"/>
  <c r="F473" i="282" s="1"/>
  <c r="E472" i="282"/>
  <c r="F472" i="282" s="1"/>
  <c r="E471" i="282"/>
  <c r="F471" i="282" s="1"/>
  <c r="E470" i="282"/>
  <c r="F470" i="282" s="1"/>
  <c r="E469" i="282"/>
  <c r="F469" i="282" s="1"/>
  <c r="E468" i="282"/>
  <c r="F468" i="282" s="1"/>
  <c r="E467" i="282"/>
  <c r="F467" i="282" s="1"/>
  <c r="E466" i="282"/>
  <c r="F466" i="282" s="1"/>
  <c r="E465" i="282"/>
  <c r="F465" i="282" s="1"/>
  <c r="E464" i="282"/>
  <c r="F464" i="282" s="1"/>
  <c r="E463" i="282"/>
  <c r="F463" i="282" s="1"/>
  <c r="E462" i="282"/>
  <c r="F462" i="282" s="1"/>
  <c r="E461" i="282"/>
  <c r="F461" i="282" s="1"/>
  <c r="E460" i="282"/>
  <c r="F460" i="282" s="1"/>
  <c r="E459" i="282"/>
  <c r="F459" i="282" s="1"/>
  <c r="E458" i="282"/>
  <c r="F458" i="282" s="1"/>
  <c r="E457" i="282"/>
  <c r="F457" i="282" s="1"/>
  <c r="E456" i="282"/>
  <c r="F456" i="282" s="1"/>
  <c r="E455" i="282"/>
  <c r="F455" i="282" s="1"/>
  <c r="E454" i="282"/>
  <c r="F454" i="282" s="1"/>
  <c r="E453" i="282"/>
  <c r="F453" i="282" s="1"/>
  <c r="E452" i="282"/>
  <c r="F452" i="282" s="1"/>
  <c r="E451" i="282"/>
  <c r="F451" i="282" s="1"/>
  <c r="E450" i="282"/>
  <c r="F450" i="282" s="1"/>
  <c r="E449" i="282"/>
  <c r="F449" i="282" s="1"/>
  <c r="E448" i="282"/>
  <c r="F448" i="282" s="1"/>
  <c r="E447" i="282"/>
  <c r="F447" i="282" s="1"/>
  <c r="E446" i="282"/>
  <c r="F446" i="282" s="1"/>
  <c r="E445" i="282"/>
  <c r="F445" i="282" s="1"/>
  <c r="E444" i="282"/>
  <c r="F444" i="282" s="1"/>
  <c r="E443" i="282"/>
  <c r="F443" i="282" s="1"/>
  <c r="E442" i="282"/>
  <c r="F442" i="282" s="1"/>
  <c r="E441" i="282"/>
  <c r="F441" i="282" s="1"/>
  <c r="E440" i="282"/>
  <c r="F440" i="282" s="1"/>
  <c r="E439" i="282"/>
  <c r="F439" i="282" s="1"/>
  <c r="E438" i="282"/>
  <c r="F438" i="282" s="1"/>
  <c r="E437" i="282"/>
  <c r="F437" i="282" s="1"/>
  <c r="E436" i="282"/>
  <c r="F436" i="282" s="1"/>
  <c r="E435" i="282"/>
  <c r="F435" i="282" s="1"/>
  <c r="E434" i="282"/>
  <c r="F434" i="282" s="1"/>
  <c r="E433" i="282"/>
  <c r="F433" i="282" s="1"/>
  <c r="E432" i="282"/>
  <c r="F432" i="282" s="1"/>
  <c r="E431" i="282"/>
  <c r="F431" i="282" s="1"/>
  <c r="E430" i="282"/>
  <c r="F430" i="282" s="1"/>
  <c r="E429" i="282"/>
  <c r="F429" i="282" s="1"/>
  <c r="E428" i="282"/>
  <c r="F428" i="282" s="1"/>
  <c r="E427" i="282"/>
  <c r="F427" i="282" s="1"/>
  <c r="E426" i="282"/>
  <c r="F426" i="282" s="1"/>
  <c r="E425" i="282"/>
  <c r="F425" i="282" s="1"/>
  <c r="E424" i="282"/>
  <c r="F424" i="282" s="1"/>
  <c r="E423" i="282"/>
  <c r="F423" i="282" s="1"/>
  <c r="E422" i="282"/>
  <c r="F422" i="282" s="1"/>
  <c r="E421" i="282"/>
  <c r="F421" i="282" s="1"/>
  <c r="E420" i="282"/>
  <c r="F420" i="282" s="1"/>
  <c r="E419" i="282"/>
  <c r="F419" i="282" s="1"/>
  <c r="E418" i="282"/>
  <c r="F418" i="282" s="1"/>
  <c r="E417" i="282"/>
  <c r="F417" i="282" s="1"/>
  <c r="E416" i="282"/>
  <c r="F416" i="282" s="1"/>
  <c r="E415" i="282"/>
  <c r="F415" i="282" s="1"/>
  <c r="E414" i="282"/>
  <c r="F414" i="282" s="1"/>
  <c r="E413" i="282"/>
  <c r="F413" i="282" s="1"/>
  <c r="E412" i="282"/>
  <c r="F412" i="282" s="1"/>
  <c r="E411" i="282"/>
  <c r="F411" i="282" s="1"/>
  <c r="E410" i="282"/>
  <c r="F410" i="282" s="1"/>
  <c r="E409" i="282"/>
  <c r="F409" i="282" s="1"/>
  <c r="E408" i="282"/>
  <c r="F408" i="282" s="1"/>
  <c r="E407" i="282"/>
  <c r="F407" i="282" s="1"/>
  <c r="E406" i="282"/>
  <c r="F406" i="282" s="1"/>
  <c r="E405" i="282"/>
  <c r="F405" i="282" s="1"/>
  <c r="E404" i="282"/>
  <c r="F404" i="282" s="1"/>
  <c r="E403" i="282"/>
  <c r="F403" i="282" s="1"/>
  <c r="E402" i="282"/>
  <c r="F402" i="282" s="1"/>
  <c r="E401" i="282"/>
  <c r="F401" i="282" s="1"/>
  <c r="E400" i="282"/>
  <c r="F400" i="282" s="1"/>
  <c r="E399" i="282"/>
  <c r="F399" i="282" s="1"/>
  <c r="E398" i="282"/>
  <c r="F398" i="282" s="1"/>
  <c r="E397" i="282"/>
  <c r="F397" i="282" s="1"/>
  <c r="E396" i="282"/>
  <c r="F396" i="282" s="1"/>
  <c r="E395" i="282"/>
  <c r="F395" i="282" s="1"/>
  <c r="E394" i="282"/>
  <c r="F394" i="282" s="1"/>
  <c r="E393" i="282"/>
  <c r="F393" i="282" s="1"/>
  <c r="E392" i="282"/>
  <c r="F392" i="282" s="1"/>
  <c r="E391" i="282"/>
  <c r="F391" i="282" s="1"/>
  <c r="E390" i="282"/>
  <c r="F390" i="282" s="1"/>
  <c r="E389" i="282"/>
  <c r="F389" i="282" s="1"/>
  <c r="E388" i="282"/>
  <c r="F388" i="282" s="1"/>
  <c r="E387" i="282"/>
  <c r="F387" i="282" s="1"/>
  <c r="E386" i="282"/>
  <c r="F386" i="282" s="1"/>
  <c r="E385" i="282"/>
  <c r="F385" i="282" s="1"/>
  <c r="E384" i="282"/>
  <c r="F384" i="282" s="1"/>
  <c r="E383" i="282"/>
  <c r="F383" i="282" s="1"/>
  <c r="E382" i="282"/>
  <c r="F382" i="282" s="1"/>
  <c r="E381" i="282"/>
  <c r="F381" i="282" s="1"/>
  <c r="E380" i="282"/>
  <c r="F380" i="282" s="1"/>
  <c r="E379" i="282"/>
  <c r="F379" i="282" s="1"/>
  <c r="E378" i="282"/>
  <c r="F378" i="282" s="1"/>
  <c r="E377" i="282"/>
  <c r="F377" i="282" s="1"/>
  <c r="E376" i="282"/>
  <c r="F376" i="282" s="1"/>
  <c r="E375" i="282"/>
  <c r="F375" i="282" s="1"/>
  <c r="E374" i="282"/>
  <c r="F374" i="282" s="1"/>
  <c r="E373" i="282"/>
  <c r="F373" i="282" s="1"/>
  <c r="E372" i="282"/>
  <c r="F372" i="282" s="1"/>
  <c r="E371" i="282"/>
  <c r="F371" i="282" s="1"/>
  <c r="E370" i="282"/>
  <c r="F370" i="282" s="1"/>
  <c r="E369" i="282"/>
  <c r="F369" i="282" s="1"/>
  <c r="E368" i="282"/>
  <c r="F368" i="282" s="1"/>
  <c r="E367" i="282"/>
  <c r="F367" i="282" s="1"/>
  <c r="E366" i="282"/>
  <c r="F366" i="282" s="1"/>
  <c r="E365" i="282"/>
  <c r="F365" i="282" s="1"/>
  <c r="E364" i="282"/>
  <c r="F364" i="282" s="1"/>
  <c r="E363" i="282"/>
  <c r="F363" i="282" s="1"/>
  <c r="E362" i="282"/>
  <c r="F362" i="282" s="1"/>
  <c r="E361" i="282"/>
  <c r="F361" i="282" s="1"/>
  <c r="E360" i="282"/>
  <c r="F360" i="282" s="1"/>
  <c r="E359" i="282"/>
  <c r="F359" i="282" s="1"/>
  <c r="E358" i="282"/>
  <c r="F358" i="282" s="1"/>
  <c r="E357" i="282"/>
  <c r="F357" i="282" s="1"/>
  <c r="E356" i="282"/>
  <c r="F356" i="282" s="1"/>
  <c r="E355" i="282"/>
  <c r="F355" i="282" s="1"/>
  <c r="E354" i="282"/>
  <c r="F354" i="282" s="1"/>
  <c r="E353" i="282"/>
  <c r="F353" i="282" s="1"/>
  <c r="E352" i="282"/>
  <c r="F352" i="282" s="1"/>
  <c r="E351" i="282"/>
  <c r="F351" i="282" s="1"/>
  <c r="E350" i="282"/>
  <c r="F350" i="282" s="1"/>
  <c r="E349" i="282"/>
  <c r="F349" i="282" s="1"/>
  <c r="E348" i="282"/>
  <c r="F348" i="282" s="1"/>
  <c r="E347" i="282"/>
  <c r="F347" i="282" s="1"/>
  <c r="E346" i="282"/>
  <c r="F346" i="282" s="1"/>
  <c r="E345" i="282"/>
  <c r="F345" i="282" s="1"/>
  <c r="E344" i="282"/>
  <c r="F344" i="282" s="1"/>
  <c r="E343" i="282"/>
  <c r="F343" i="282" s="1"/>
  <c r="E342" i="282"/>
  <c r="F342" i="282" s="1"/>
  <c r="E341" i="282"/>
  <c r="F341" i="282" s="1"/>
  <c r="E340" i="282"/>
  <c r="F340" i="282" s="1"/>
  <c r="E339" i="282"/>
  <c r="F339" i="282" s="1"/>
  <c r="E338" i="282"/>
  <c r="F338" i="282" s="1"/>
  <c r="E337" i="282"/>
  <c r="F337" i="282" s="1"/>
  <c r="E336" i="282"/>
  <c r="F336" i="282" s="1"/>
  <c r="E335" i="282"/>
  <c r="F335" i="282" s="1"/>
  <c r="E334" i="282"/>
  <c r="F334" i="282" s="1"/>
  <c r="E333" i="282"/>
  <c r="F333" i="282" s="1"/>
  <c r="E332" i="282"/>
  <c r="F332" i="282" s="1"/>
  <c r="E331" i="282"/>
  <c r="F331" i="282" s="1"/>
  <c r="E330" i="282"/>
  <c r="F330" i="282" s="1"/>
  <c r="E329" i="282"/>
  <c r="F329" i="282" s="1"/>
  <c r="E328" i="282"/>
  <c r="F328" i="282" s="1"/>
  <c r="E327" i="282"/>
  <c r="F327" i="282" s="1"/>
  <c r="E326" i="282"/>
  <c r="F326" i="282" s="1"/>
  <c r="E325" i="282"/>
  <c r="F325" i="282" s="1"/>
  <c r="E324" i="282"/>
  <c r="F324" i="282" s="1"/>
  <c r="E323" i="282"/>
  <c r="F323" i="282" s="1"/>
  <c r="E322" i="282"/>
  <c r="F322" i="282" s="1"/>
  <c r="E321" i="282"/>
  <c r="F321" i="282" s="1"/>
  <c r="E320" i="282"/>
  <c r="F320" i="282" s="1"/>
  <c r="E319" i="282"/>
  <c r="F319" i="282" s="1"/>
  <c r="E318" i="282"/>
  <c r="F318" i="282" s="1"/>
  <c r="E317" i="282"/>
  <c r="F317" i="282" s="1"/>
  <c r="E316" i="282"/>
  <c r="F316" i="282" s="1"/>
  <c r="E315" i="282"/>
  <c r="F315" i="282" s="1"/>
  <c r="E314" i="282"/>
  <c r="F314" i="282" s="1"/>
  <c r="E313" i="282"/>
  <c r="F313" i="282" s="1"/>
  <c r="E312" i="282"/>
  <c r="F312" i="282" s="1"/>
  <c r="E311" i="282"/>
  <c r="F311" i="282" s="1"/>
  <c r="E310" i="282"/>
  <c r="F310" i="282" s="1"/>
  <c r="E309" i="282"/>
  <c r="F309" i="282" s="1"/>
  <c r="E308" i="282"/>
  <c r="F308" i="282" s="1"/>
  <c r="E307" i="282"/>
  <c r="F307" i="282" s="1"/>
  <c r="E306" i="282"/>
  <c r="F306" i="282" s="1"/>
  <c r="E305" i="282"/>
  <c r="F305" i="282" s="1"/>
  <c r="E304" i="282"/>
  <c r="F304" i="282" s="1"/>
  <c r="E303" i="282"/>
  <c r="F303" i="282" s="1"/>
  <c r="E302" i="282"/>
  <c r="F302" i="282" s="1"/>
  <c r="E301" i="282"/>
  <c r="F301" i="282" s="1"/>
  <c r="E300" i="282"/>
  <c r="F300" i="282" s="1"/>
  <c r="E299" i="282"/>
  <c r="F299" i="282" s="1"/>
  <c r="E298" i="282"/>
  <c r="F298" i="282" s="1"/>
  <c r="E297" i="282"/>
  <c r="F297" i="282" s="1"/>
  <c r="E296" i="282"/>
  <c r="F296" i="282" s="1"/>
  <c r="E295" i="282"/>
  <c r="F295" i="282" s="1"/>
  <c r="E294" i="282"/>
  <c r="F294" i="282" s="1"/>
  <c r="E293" i="282"/>
  <c r="F293" i="282" s="1"/>
  <c r="E292" i="282"/>
  <c r="F292" i="282" s="1"/>
  <c r="E291" i="282"/>
  <c r="F291" i="282" s="1"/>
  <c r="E290" i="282"/>
  <c r="F290" i="282" s="1"/>
  <c r="E289" i="282"/>
  <c r="F289" i="282" s="1"/>
  <c r="E288" i="282"/>
  <c r="F288" i="282" s="1"/>
  <c r="E287" i="282"/>
  <c r="F287" i="282" s="1"/>
  <c r="E286" i="282"/>
  <c r="F286" i="282" s="1"/>
  <c r="E285" i="282"/>
  <c r="F285" i="282" s="1"/>
  <c r="E284" i="282"/>
  <c r="F284" i="282" s="1"/>
  <c r="E283" i="282"/>
  <c r="F283" i="282" s="1"/>
  <c r="E282" i="282"/>
  <c r="F282" i="282" s="1"/>
  <c r="E281" i="282"/>
  <c r="F281" i="282" s="1"/>
  <c r="E280" i="282"/>
  <c r="F280" i="282" s="1"/>
  <c r="E279" i="282"/>
  <c r="F279" i="282" s="1"/>
  <c r="E278" i="282"/>
  <c r="F278" i="282" s="1"/>
  <c r="E277" i="282"/>
  <c r="F277" i="282" s="1"/>
  <c r="E276" i="282"/>
  <c r="F276" i="282" s="1"/>
  <c r="E275" i="282"/>
  <c r="F275" i="282" s="1"/>
  <c r="E274" i="282"/>
  <c r="F274" i="282" s="1"/>
  <c r="E273" i="282"/>
  <c r="F273" i="282" s="1"/>
  <c r="E272" i="282"/>
  <c r="F272" i="282" s="1"/>
  <c r="E271" i="282"/>
  <c r="F271" i="282" s="1"/>
  <c r="E270" i="282"/>
  <c r="F270" i="282" s="1"/>
  <c r="E269" i="282"/>
  <c r="F269" i="282" s="1"/>
  <c r="E268" i="282"/>
  <c r="F268" i="282" s="1"/>
  <c r="E267" i="282"/>
  <c r="F267" i="282" s="1"/>
  <c r="E266" i="282"/>
  <c r="F266" i="282" s="1"/>
  <c r="E265" i="282"/>
  <c r="F265" i="282" s="1"/>
  <c r="E264" i="282"/>
  <c r="F264" i="282" s="1"/>
  <c r="E263" i="282"/>
  <c r="F263" i="282" s="1"/>
  <c r="E262" i="282"/>
  <c r="F262" i="282" s="1"/>
  <c r="E261" i="282"/>
  <c r="F261" i="282" s="1"/>
  <c r="E260" i="282"/>
  <c r="F260" i="282" s="1"/>
  <c r="E259" i="282"/>
  <c r="F259" i="282" s="1"/>
  <c r="E258" i="282"/>
  <c r="F258" i="282" s="1"/>
  <c r="E257" i="282"/>
  <c r="F257" i="282" s="1"/>
  <c r="E256" i="282"/>
  <c r="F256" i="282" s="1"/>
  <c r="E255" i="282"/>
  <c r="F255" i="282" s="1"/>
  <c r="E254" i="282"/>
  <c r="F254" i="282" s="1"/>
  <c r="E253" i="282"/>
  <c r="F253" i="282" s="1"/>
  <c r="E252" i="282"/>
  <c r="F252" i="282" s="1"/>
  <c r="E251" i="282"/>
  <c r="F251" i="282" s="1"/>
  <c r="E250" i="282"/>
  <c r="F250" i="282" s="1"/>
  <c r="E249" i="282"/>
  <c r="F249" i="282" s="1"/>
  <c r="E248" i="282"/>
  <c r="F248" i="282" s="1"/>
  <c r="E247" i="282"/>
  <c r="F247" i="282" s="1"/>
  <c r="E246" i="282"/>
  <c r="F246" i="282" s="1"/>
  <c r="E245" i="282"/>
  <c r="F245" i="282" s="1"/>
  <c r="E244" i="282"/>
  <c r="F244" i="282" s="1"/>
  <c r="E243" i="282"/>
  <c r="F243" i="282" s="1"/>
  <c r="E242" i="282"/>
  <c r="F242" i="282" s="1"/>
  <c r="E241" i="282"/>
  <c r="F241" i="282" s="1"/>
  <c r="E240" i="282"/>
  <c r="F240" i="282" s="1"/>
  <c r="E239" i="282"/>
  <c r="F239" i="282" s="1"/>
  <c r="E238" i="282"/>
  <c r="F238" i="282" s="1"/>
  <c r="E237" i="282"/>
  <c r="F237" i="282" s="1"/>
  <c r="E236" i="282"/>
  <c r="F236" i="282" s="1"/>
  <c r="E235" i="282"/>
  <c r="F235" i="282" s="1"/>
  <c r="E234" i="282"/>
  <c r="F234" i="282" s="1"/>
  <c r="E233" i="282"/>
  <c r="F233" i="282" s="1"/>
  <c r="E232" i="282"/>
  <c r="F232" i="282" s="1"/>
  <c r="E231" i="282"/>
  <c r="F231" i="282" s="1"/>
  <c r="E230" i="282"/>
  <c r="F230" i="282" s="1"/>
  <c r="E229" i="282"/>
  <c r="F229" i="282" s="1"/>
  <c r="E228" i="282"/>
  <c r="F228" i="282" s="1"/>
  <c r="E227" i="282"/>
  <c r="F227" i="282" s="1"/>
  <c r="E226" i="282"/>
  <c r="F226" i="282" s="1"/>
  <c r="E225" i="282"/>
  <c r="F225" i="282" s="1"/>
  <c r="E224" i="282"/>
  <c r="F224" i="282" s="1"/>
  <c r="E223" i="282"/>
  <c r="F223" i="282" s="1"/>
  <c r="E222" i="282"/>
  <c r="F222" i="282" s="1"/>
  <c r="E221" i="282"/>
  <c r="F221" i="282" s="1"/>
  <c r="E220" i="282"/>
  <c r="F220" i="282" s="1"/>
  <c r="E219" i="282"/>
  <c r="F219" i="282" s="1"/>
  <c r="E218" i="282"/>
  <c r="F218" i="282" s="1"/>
  <c r="E217" i="282"/>
  <c r="F217" i="282" s="1"/>
  <c r="E216" i="282"/>
  <c r="F216" i="282" s="1"/>
  <c r="E215" i="282"/>
  <c r="F215" i="282" s="1"/>
  <c r="E214" i="282"/>
  <c r="F214" i="282" s="1"/>
  <c r="E213" i="282"/>
  <c r="F213" i="282" s="1"/>
  <c r="E212" i="282"/>
  <c r="F212" i="282" s="1"/>
  <c r="E211" i="282"/>
  <c r="F211" i="282" s="1"/>
  <c r="E210" i="282"/>
  <c r="F210" i="282" s="1"/>
  <c r="E209" i="282"/>
  <c r="F209" i="282" s="1"/>
  <c r="E208" i="282"/>
  <c r="F208" i="282" s="1"/>
  <c r="E207" i="282"/>
  <c r="F207" i="282" s="1"/>
  <c r="E206" i="282"/>
  <c r="F206" i="282" s="1"/>
  <c r="E205" i="282"/>
  <c r="F205" i="282" s="1"/>
  <c r="E204" i="282"/>
  <c r="F204" i="282" s="1"/>
  <c r="E203" i="282"/>
  <c r="F203" i="282" s="1"/>
  <c r="E202" i="282"/>
  <c r="F202" i="282" s="1"/>
  <c r="E201" i="282"/>
  <c r="F201" i="282" s="1"/>
  <c r="E200" i="282"/>
  <c r="F200" i="282" s="1"/>
  <c r="E199" i="282"/>
  <c r="F199" i="282" s="1"/>
  <c r="E198" i="282"/>
  <c r="F198" i="282" s="1"/>
  <c r="E197" i="282"/>
  <c r="F197" i="282" s="1"/>
  <c r="E196" i="282"/>
  <c r="F196" i="282" s="1"/>
  <c r="E195" i="282"/>
  <c r="F195" i="282" s="1"/>
  <c r="E194" i="282"/>
  <c r="F194" i="282" s="1"/>
  <c r="E193" i="282"/>
  <c r="F193" i="282" s="1"/>
  <c r="E192" i="282"/>
  <c r="F192" i="282" s="1"/>
  <c r="E191" i="282"/>
  <c r="F191" i="282" s="1"/>
  <c r="E190" i="282"/>
  <c r="F190" i="282" s="1"/>
  <c r="E189" i="282"/>
  <c r="F189" i="282" s="1"/>
  <c r="E188" i="282"/>
  <c r="F188" i="282" s="1"/>
  <c r="E187" i="282"/>
  <c r="F187" i="282" s="1"/>
  <c r="E186" i="282"/>
  <c r="F186" i="282" s="1"/>
  <c r="E185" i="282"/>
  <c r="F185" i="282" s="1"/>
  <c r="E184" i="282"/>
  <c r="F184" i="282" s="1"/>
  <c r="E183" i="282"/>
  <c r="F183" i="282" s="1"/>
  <c r="E182" i="282"/>
  <c r="F182" i="282" s="1"/>
  <c r="E181" i="282"/>
  <c r="F181" i="282" s="1"/>
  <c r="E180" i="282"/>
  <c r="F180" i="282" s="1"/>
  <c r="E179" i="282"/>
  <c r="F179" i="282" s="1"/>
  <c r="E178" i="282"/>
  <c r="F178" i="282" s="1"/>
  <c r="E177" i="282"/>
  <c r="F177" i="282" s="1"/>
  <c r="E176" i="282"/>
  <c r="F176" i="282" s="1"/>
  <c r="E175" i="282"/>
  <c r="F175" i="282" s="1"/>
  <c r="E174" i="282"/>
  <c r="F174" i="282" s="1"/>
  <c r="E173" i="282"/>
  <c r="F173" i="282" s="1"/>
  <c r="E172" i="282"/>
  <c r="F172" i="282" s="1"/>
  <c r="E171" i="282"/>
  <c r="F171" i="282" s="1"/>
  <c r="E170" i="282"/>
  <c r="F170" i="282" s="1"/>
  <c r="E169" i="282"/>
  <c r="F169" i="282" s="1"/>
  <c r="E168" i="282"/>
  <c r="F168" i="282" s="1"/>
  <c r="E167" i="282"/>
  <c r="F167" i="282" s="1"/>
  <c r="E166" i="282"/>
  <c r="F166" i="282" s="1"/>
  <c r="E165" i="282"/>
  <c r="F165" i="282" s="1"/>
  <c r="E164" i="282"/>
  <c r="F164" i="282" s="1"/>
  <c r="E163" i="282"/>
  <c r="F163" i="282" s="1"/>
  <c r="E162" i="282"/>
  <c r="F162" i="282" s="1"/>
  <c r="E161" i="282"/>
  <c r="F161" i="282" s="1"/>
  <c r="E160" i="282"/>
  <c r="F160" i="282" s="1"/>
  <c r="E159" i="282"/>
  <c r="F159" i="282" s="1"/>
  <c r="E158" i="282"/>
  <c r="F158" i="282" s="1"/>
  <c r="E157" i="282"/>
  <c r="F157" i="282" s="1"/>
  <c r="E156" i="282"/>
  <c r="F156" i="282" s="1"/>
  <c r="E155" i="282"/>
  <c r="F155" i="282" s="1"/>
  <c r="E154" i="282"/>
  <c r="F154" i="282" s="1"/>
  <c r="E153" i="282"/>
  <c r="F153" i="282" s="1"/>
  <c r="E152" i="282"/>
  <c r="F152" i="282" s="1"/>
  <c r="E151" i="282"/>
  <c r="F151" i="282" s="1"/>
  <c r="E150" i="282"/>
  <c r="F150" i="282" s="1"/>
  <c r="E149" i="282"/>
  <c r="F149" i="282" s="1"/>
  <c r="E148" i="282"/>
  <c r="F148" i="282" s="1"/>
  <c r="E147" i="282"/>
  <c r="F147" i="282" s="1"/>
  <c r="E146" i="282"/>
  <c r="F146" i="282" s="1"/>
  <c r="E145" i="282"/>
  <c r="F145" i="282" s="1"/>
  <c r="E144" i="282"/>
  <c r="F144" i="282" s="1"/>
  <c r="E143" i="282"/>
  <c r="F143" i="282" s="1"/>
  <c r="E142" i="282"/>
  <c r="F142" i="282" s="1"/>
  <c r="E141" i="282"/>
  <c r="F141" i="282" s="1"/>
  <c r="E140" i="282"/>
  <c r="F140" i="282" s="1"/>
  <c r="E139" i="282"/>
  <c r="F139" i="282" s="1"/>
  <c r="E138" i="282"/>
  <c r="F138" i="282" s="1"/>
  <c r="E137" i="282"/>
  <c r="F137" i="282" s="1"/>
  <c r="E136" i="282"/>
  <c r="F136" i="282" s="1"/>
  <c r="E135" i="282"/>
  <c r="F135" i="282" s="1"/>
  <c r="E134" i="282"/>
  <c r="F134" i="282" s="1"/>
  <c r="E133" i="282"/>
  <c r="F133" i="282" s="1"/>
  <c r="E132" i="282"/>
  <c r="F132" i="282" s="1"/>
  <c r="E131" i="282"/>
  <c r="F131" i="282" s="1"/>
  <c r="E130" i="282"/>
  <c r="F130" i="282" s="1"/>
  <c r="E129" i="282"/>
  <c r="F129" i="282" s="1"/>
  <c r="E128" i="282"/>
  <c r="F128" i="282" s="1"/>
  <c r="E127" i="282"/>
  <c r="F127" i="282" s="1"/>
  <c r="E126" i="282"/>
  <c r="F126" i="282" s="1"/>
  <c r="E125" i="282"/>
  <c r="F125" i="282" s="1"/>
  <c r="E124" i="282"/>
  <c r="F124" i="282" s="1"/>
  <c r="E123" i="282"/>
  <c r="F123" i="282" s="1"/>
  <c r="E122" i="282"/>
  <c r="F122" i="282" s="1"/>
  <c r="E121" i="282"/>
  <c r="F121" i="282" s="1"/>
  <c r="E120" i="282"/>
  <c r="F120" i="282" s="1"/>
  <c r="E119" i="282"/>
  <c r="F119" i="282" s="1"/>
  <c r="E118" i="282"/>
  <c r="F118" i="282" s="1"/>
  <c r="E117" i="282"/>
  <c r="F117" i="282" s="1"/>
  <c r="E116" i="282"/>
  <c r="F116" i="282" s="1"/>
  <c r="E115" i="282"/>
  <c r="F115" i="282" s="1"/>
  <c r="E114" i="282"/>
  <c r="F114" i="282" s="1"/>
  <c r="E113" i="282"/>
  <c r="F113" i="282" s="1"/>
  <c r="E112" i="282"/>
  <c r="F112" i="282" s="1"/>
  <c r="E111" i="282"/>
  <c r="F111" i="282" s="1"/>
  <c r="E110" i="282"/>
  <c r="F110" i="282" s="1"/>
  <c r="E109" i="282"/>
  <c r="F109" i="282" s="1"/>
  <c r="E108" i="282"/>
  <c r="F108" i="282" s="1"/>
  <c r="E107" i="282"/>
  <c r="F107" i="282" s="1"/>
  <c r="E106" i="282"/>
  <c r="F106" i="282" s="1"/>
  <c r="E105" i="282"/>
  <c r="F105" i="282" s="1"/>
  <c r="E104" i="282"/>
  <c r="F104" i="282" s="1"/>
  <c r="E103" i="282"/>
  <c r="F103" i="282" s="1"/>
  <c r="E102" i="282"/>
  <c r="F102" i="282" s="1"/>
  <c r="E101" i="282"/>
  <c r="F101" i="282" s="1"/>
  <c r="E100" i="282"/>
  <c r="F100" i="282" s="1"/>
  <c r="E99" i="282"/>
  <c r="F99" i="282" s="1"/>
  <c r="E98" i="282"/>
  <c r="F98" i="282" s="1"/>
  <c r="E97" i="282"/>
  <c r="F97" i="282" s="1"/>
  <c r="E96" i="282"/>
  <c r="F96" i="282" s="1"/>
  <c r="E95" i="282"/>
  <c r="F95" i="282" s="1"/>
  <c r="E94" i="282"/>
  <c r="F94" i="282" s="1"/>
  <c r="E93" i="282"/>
  <c r="F93" i="282" s="1"/>
  <c r="E92" i="282"/>
  <c r="F92" i="282" s="1"/>
  <c r="E91" i="282"/>
  <c r="F91" i="282" s="1"/>
  <c r="E90" i="282"/>
  <c r="F90" i="282" s="1"/>
  <c r="E89" i="282"/>
  <c r="F89" i="282" s="1"/>
  <c r="E88" i="282"/>
  <c r="F88" i="282" s="1"/>
  <c r="E87" i="282"/>
  <c r="F87" i="282" s="1"/>
  <c r="E86" i="282"/>
  <c r="F86" i="282" s="1"/>
  <c r="E85" i="282"/>
  <c r="F85" i="282" s="1"/>
  <c r="E84" i="282"/>
  <c r="F84" i="282" s="1"/>
  <c r="E83" i="282"/>
  <c r="F83" i="282" s="1"/>
  <c r="E82" i="282"/>
  <c r="F82" i="282" s="1"/>
  <c r="E81" i="282"/>
  <c r="F81" i="282" s="1"/>
  <c r="E80" i="282"/>
  <c r="F80" i="282" s="1"/>
  <c r="E79" i="282"/>
  <c r="F79" i="282" s="1"/>
  <c r="E78" i="282"/>
  <c r="F78" i="282" s="1"/>
  <c r="E77" i="282"/>
  <c r="F77" i="282" s="1"/>
  <c r="E76" i="282"/>
  <c r="F76" i="282" s="1"/>
  <c r="E75" i="282"/>
  <c r="F75" i="282" s="1"/>
  <c r="E74" i="282"/>
  <c r="F74" i="282" s="1"/>
  <c r="E73" i="282"/>
  <c r="F73" i="282" s="1"/>
  <c r="E72" i="282"/>
  <c r="F72" i="282" s="1"/>
  <c r="E71" i="282"/>
  <c r="F71" i="282" s="1"/>
  <c r="E70" i="282"/>
  <c r="F70" i="282" s="1"/>
  <c r="E69" i="282"/>
  <c r="F69" i="282" s="1"/>
  <c r="E68" i="282"/>
  <c r="F68" i="282" s="1"/>
  <c r="E67" i="282"/>
  <c r="F67" i="282" s="1"/>
  <c r="E66" i="282"/>
  <c r="F66" i="282" s="1"/>
  <c r="E65" i="282"/>
  <c r="F65" i="282" s="1"/>
  <c r="E64" i="282"/>
  <c r="F64" i="282" s="1"/>
  <c r="E63" i="282"/>
  <c r="F63" i="282" s="1"/>
  <c r="E62" i="282"/>
  <c r="F62" i="282" s="1"/>
  <c r="E61" i="282"/>
  <c r="F61" i="282" s="1"/>
  <c r="E60" i="282"/>
  <c r="F60" i="282" s="1"/>
  <c r="E59" i="282"/>
  <c r="F59" i="282" s="1"/>
  <c r="E58" i="282"/>
  <c r="F58" i="282" s="1"/>
  <c r="E57" i="282"/>
  <c r="F57" i="282" s="1"/>
  <c r="E56" i="282"/>
  <c r="F56" i="282" s="1"/>
  <c r="E55" i="282"/>
  <c r="F55" i="282" s="1"/>
  <c r="E54" i="282"/>
  <c r="F54" i="282" s="1"/>
  <c r="E53" i="282"/>
  <c r="F53" i="282" s="1"/>
  <c r="E52" i="282"/>
  <c r="F52" i="282" s="1"/>
  <c r="E51" i="282"/>
  <c r="F51" i="282" s="1"/>
  <c r="E50" i="282"/>
  <c r="F50" i="282" s="1"/>
  <c r="E49" i="282"/>
  <c r="F49" i="282" s="1"/>
  <c r="E48" i="282"/>
  <c r="F48" i="282" s="1"/>
  <c r="E47" i="282"/>
  <c r="F47" i="282" s="1"/>
  <c r="E46" i="282"/>
  <c r="F46" i="282" s="1"/>
  <c r="E45" i="282"/>
  <c r="F45" i="282" s="1"/>
  <c r="E44" i="282"/>
  <c r="F44" i="282" s="1"/>
  <c r="E43" i="282"/>
  <c r="F43" i="282" s="1"/>
  <c r="E42" i="282"/>
  <c r="F42" i="282" s="1"/>
  <c r="E41" i="282"/>
  <c r="F41" i="282" s="1"/>
  <c r="E40" i="282"/>
  <c r="F40" i="282" s="1"/>
  <c r="E39" i="282"/>
  <c r="F39" i="282" s="1"/>
  <c r="E38" i="282"/>
  <c r="F38" i="282" s="1"/>
  <c r="E37" i="282"/>
  <c r="F37" i="282" s="1"/>
  <c r="E36" i="282"/>
  <c r="F36" i="282" s="1"/>
  <c r="E35" i="282"/>
  <c r="F35" i="282" s="1"/>
  <c r="E34" i="282"/>
  <c r="F34" i="282" s="1"/>
  <c r="E33" i="282"/>
  <c r="F33" i="282" s="1"/>
  <c r="E32" i="282"/>
  <c r="F32" i="282" s="1"/>
  <c r="E31" i="282"/>
  <c r="F31" i="282" s="1"/>
  <c r="E30" i="282"/>
  <c r="F30" i="282" s="1"/>
  <c r="E29" i="282"/>
  <c r="F29" i="282" s="1"/>
  <c r="E28" i="282"/>
  <c r="F28" i="282" s="1"/>
  <c r="E27" i="282"/>
  <c r="F27" i="282" s="1"/>
  <c r="E26" i="282"/>
  <c r="F26" i="282" s="1"/>
  <c r="E25" i="282"/>
  <c r="F25" i="282" s="1"/>
  <c r="E24" i="282"/>
  <c r="F24" i="282" s="1"/>
  <c r="E23" i="282"/>
  <c r="F23" i="282" s="1"/>
  <c r="E22" i="282"/>
  <c r="F22" i="282" s="1"/>
  <c r="E21" i="282"/>
  <c r="F21" i="282" s="1"/>
  <c r="E20" i="282"/>
  <c r="F20" i="282" s="1"/>
  <c r="E19" i="282"/>
  <c r="F19" i="282" s="1"/>
  <c r="E18" i="282"/>
  <c r="F18" i="282" s="1"/>
  <c r="E17" i="282"/>
  <c r="F17" i="282" s="1"/>
  <c r="E16" i="282"/>
  <c r="F16" i="282" s="1"/>
  <c r="E15" i="282"/>
  <c r="F15" i="282" s="1"/>
  <c r="E14" i="282"/>
  <c r="F14" i="282" s="1"/>
  <c r="E13" i="282"/>
  <c r="F13" i="282" s="1"/>
  <c r="E12" i="282"/>
  <c r="F12" i="282" s="1"/>
  <c r="E11" i="282"/>
  <c r="F11" i="282" s="1"/>
  <c r="E10" i="282"/>
  <c r="F10" i="282" s="1"/>
  <c r="E9" i="282"/>
  <c r="F9" i="282" s="1"/>
  <c r="E8" i="282"/>
  <c r="F8" i="282" s="1"/>
  <c r="E7" i="282"/>
  <c r="F7" i="282" s="1"/>
  <c r="E6" i="282"/>
  <c r="F6" i="282" s="1"/>
  <c r="E5" i="282"/>
  <c r="F5" i="282" s="1"/>
  <c r="D1000" i="282"/>
  <c r="D999" i="282"/>
  <c r="D998" i="282"/>
  <c r="D997" i="282"/>
  <c r="D996" i="282"/>
  <c r="D995" i="282"/>
  <c r="D994" i="282"/>
  <c r="D993" i="282"/>
  <c r="D992" i="282"/>
  <c r="D991" i="282"/>
  <c r="D990" i="282"/>
  <c r="D989" i="282"/>
  <c r="D988" i="282"/>
  <c r="D987" i="282"/>
  <c r="D986" i="282"/>
  <c r="D985" i="282"/>
  <c r="D984" i="282"/>
  <c r="D983" i="282"/>
  <c r="D982" i="282"/>
  <c r="D981" i="282"/>
  <c r="D980" i="282"/>
  <c r="D979" i="282"/>
  <c r="D978" i="282"/>
  <c r="D977" i="282"/>
  <c r="D976" i="282"/>
  <c r="D975" i="282"/>
  <c r="D974" i="282"/>
  <c r="D973" i="282"/>
  <c r="D972" i="282"/>
  <c r="D971" i="282"/>
  <c r="D970" i="282"/>
  <c r="D969" i="282"/>
  <c r="D968" i="282"/>
  <c r="D967" i="282"/>
  <c r="D966" i="282"/>
  <c r="D965" i="282"/>
  <c r="D964" i="282"/>
  <c r="D963" i="282"/>
  <c r="D962" i="282"/>
  <c r="D961" i="282"/>
  <c r="D960" i="282"/>
  <c r="D959" i="282"/>
  <c r="D958" i="282"/>
  <c r="D957" i="282"/>
  <c r="D956" i="282"/>
  <c r="D955" i="282"/>
  <c r="D954" i="282"/>
  <c r="D953" i="282"/>
  <c r="D952" i="282"/>
  <c r="D951" i="282"/>
  <c r="D950" i="282"/>
  <c r="D949" i="282"/>
  <c r="D948" i="282"/>
  <c r="D947" i="282"/>
  <c r="D946" i="282"/>
  <c r="D945" i="282"/>
  <c r="D944" i="282"/>
  <c r="D943" i="282"/>
  <c r="D942" i="282"/>
  <c r="D941" i="282"/>
  <c r="D940" i="282"/>
  <c r="D939" i="282"/>
  <c r="D938" i="282"/>
  <c r="D937" i="282"/>
  <c r="D936" i="282"/>
  <c r="D935" i="282"/>
  <c r="D934" i="282"/>
  <c r="D933" i="282"/>
  <c r="D932" i="282"/>
  <c r="D931" i="282"/>
  <c r="D930" i="282"/>
  <c r="D929" i="282"/>
  <c r="D928" i="282"/>
  <c r="D927" i="282"/>
  <c r="D926" i="282"/>
  <c r="D925" i="282"/>
  <c r="D924" i="282"/>
  <c r="D923" i="282"/>
  <c r="D922" i="282"/>
  <c r="D921" i="282"/>
  <c r="D920" i="282"/>
  <c r="D919" i="282"/>
  <c r="D918" i="282"/>
  <c r="D917" i="282"/>
  <c r="D916" i="282"/>
  <c r="D915" i="282"/>
  <c r="D914" i="282"/>
  <c r="D913" i="282"/>
  <c r="D912" i="282"/>
  <c r="D911" i="282"/>
  <c r="D910" i="282"/>
  <c r="D909" i="282"/>
  <c r="D908" i="282"/>
  <c r="D907" i="282"/>
  <c r="D906" i="282"/>
  <c r="D905" i="282"/>
  <c r="D904" i="282"/>
  <c r="D903" i="282"/>
  <c r="D902" i="282"/>
  <c r="D901" i="282"/>
  <c r="D900" i="282"/>
  <c r="D899" i="282"/>
  <c r="D898" i="282"/>
  <c r="D897" i="282"/>
  <c r="D896" i="282"/>
  <c r="D895" i="282"/>
  <c r="D894" i="282"/>
  <c r="D893" i="282"/>
  <c r="D892" i="282"/>
  <c r="D891" i="282"/>
  <c r="D890" i="282"/>
  <c r="D889" i="282"/>
  <c r="D888" i="282"/>
  <c r="D887" i="282"/>
  <c r="D886" i="282"/>
  <c r="D885" i="282"/>
  <c r="D884" i="282"/>
  <c r="D883" i="282"/>
  <c r="D882" i="282"/>
  <c r="D881" i="282"/>
  <c r="D880" i="282"/>
  <c r="D879" i="282"/>
  <c r="D878" i="282"/>
  <c r="D877" i="282"/>
  <c r="D876" i="282"/>
  <c r="D875" i="282"/>
  <c r="D874" i="282"/>
  <c r="D873" i="282"/>
  <c r="D872" i="282"/>
  <c r="D871" i="282"/>
  <c r="D870" i="282"/>
  <c r="D869" i="282"/>
  <c r="D868" i="282"/>
  <c r="D867" i="282"/>
  <c r="D866" i="282"/>
  <c r="D865" i="282"/>
  <c r="D864" i="282"/>
  <c r="D863" i="282"/>
  <c r="D862" i="282"/>
  <c r="D861" i="282"/>
  <c r="D860" i="282"/>
  <c r="D859" i="282"/>
  <c r="D858" i="282"/>
  <c r="D857" i="282"/>
  <c r="D856" i="282"/>
  <c r="D855" i="282"/>
  <c r="D854" i="282"/>
  <c r="D853" i="282"/>
  <c r="D852" i="282"/>
  <c r="D851" i="282"/>
  <c r="D850" i="282"/>
  <c r="D849" i="282"/>
  <c r="D848" i="282"/>
  <c r="D847" i="282"/>
  <c r="D846" i="282"/>
  <c r="D845" i="282"/>
  <c r="D844" i="282"/>
  <c r="D843" i="282"/>
  <c r="D842" i="282"/>
  <c r="D841" i="282"/>
  <c r="D840" i="282"/>
  <c r="D839" i="282"/>
  <c r="D838" i="282"/>
  <c r="D837" i="282"/>
  <c r="D836" i="282"/>
  <c r="D835" i="282"/>
  <c r="D834" i="282"/>
  <c r="D833" i="282"/>
  <c r="D832" i="282"/>
  <c r="D831" i="282"/>
  <c r="D830" i="282"/>
  <c r="D829" i="282"/>
  <c r="D828" i="282"/>
  <c r="D827" i="282"/>
  <c r="D826" i="282"/>
  <c r="D825" i="282"/>
  <c r="D824" i="282"/>
  <c r="D823" i="282"/>
  <c r="D822" i="282"/>
  <c r="D821" i="282"/>
  <c r="D820" i="282"/>
  <c r="D819" i="282"/>
  <c r="D818" i="282"/>
  <c r="D817" i="282"/>
  <c r="D816" i="282"/>
  <c r="D815" i="282"/>
  <c r="D814" i="282"/>
  <c r="D813" i="282"/>
  <c r="D812" i="282"/>
  <c r="D811" i="282"/>
  <c r="D810" i="282"/>
  <c r="D809" i="282"/>
  <c r="D808" i="282"/>
  <c r="D807" i="282"/>
  <c r="D806" i="282"/>
  <c r="D805" i="282"/>
  <c r="D804" i="282"/>
  <c r="D803" i="282"/>
  <c r="D802" i="282"/>
  <c r="D801" i="282"/>
  <c r="D800" i="282"/>
  <c r="D799" i="282"/>
  <c r="D798" i="282"/>
  <c r="D797" i="282"/>
  <c r="D796" i="282"/>
  <c r="D795" i="282"/>
  <c r="D794" i="282"/>
  <c r="D793" i="282"/>
  <c r="D792" i="282"/>
  <c r="D791" i="282"/>
  <c r="D790" i="282"/>
  <c r="D789" i="282"/>
  <c r="D788" i="282"/>
  <c r="D787" i="282"/>
  <c r="D786" i="282"/>
  <c r="D785" i="282"/>
  <c r="D784" i="282"/>
  <c r="D783" i="282"/>
  <c r="D782" i="282"/>
  <c r="D781" i="282"/>
  <c r="D780" i="282"/>
  <c r="D779" i="282"/>
  <c r="D778" i="282"/>
  <c r="D777" i="282"/>
  <c r="D776" i="282"/>
  <c r="D775" i="282"/>
  <c r="D774" i="282"/>
  <c r="D773" i="282"/>
  <c r="D772" i="282"/>
  <c r="D771" i="282"/>
  <c r="D770" i="282"/>
  <c r="D769" i="282"/>
  <c r="D768" i="282"/>
  <c r="D767" i="282"/>
  <c r="D766" i="282"/>
  <c r="D765" i="282"/>
  <c r="D764" i="282"/>
  <c r="D763" i="282"/>
  <c r="D762" i="282"/>
  <c r="D761" i="282"/>
  <c r="D760" i="282"/>
  <c r="D759" i="282"/>
  <c r="D758" i="282"/>
  <c r="D757" i="282"/>
  <c r="D756" i="282"/>
  <c r="D755" i="282"/>
  <c r="D754" i="282"/>
  <c r="D753" i="282"/>
  <c r="D752" i="282"/>
  <c r="D751" i="282"/>
  <c r="D750" i="282"/>
  <c r="D749" i="282"/>
  <c r="D748" i="282"/>
  <c r="D747" i="282"/>
  <c r="D746" i="282"/>
  <c r="D745" i="282"/>
  <c r="D744" i="282"/>
  <c r="D743" i="282"/>
  <c r="D742" i="282"/>
  <c r="D741" i="282"/>
  <c r="D740" i="282"/>
  <c r="D739" i="282"/>
  <c r="D738" i="282"/>
  <c r="D737" i="282"/>
  <c r="D736" i="282"/>
  <c r="D735" i="282"/>
  <c r="D734" i="282"/>
  <c r="D733" i="282"/>
  <c r="D732" i="282"/>
  <c r="D731" i="282"/>
  <c r="D730" i="282"/>
  <c r="D729" i="282"/>
  <c r="D728" i="282"/>
  <c r="D727" i="282"/>
  <c r="D726" i="282"/>
  <c r="D725" i="282"/>
  <c r="D724" i="282"/>
  <c r="D723" i="282"/>
  <c r="D722" i="282"/>
  <c r="D721" i="282"/>
  <c r="D720" i="282"/>
  <c r="D719" i="282"/>
  <c r="D718" i="282"/>
  <c r="D717" i="282"/>
  <c r="D716" i="282"/>
  <c r="D715" i="282"/>
  <c r="D714" i="282"/>
  <c r="D713" i="282"/>
  <c r="D712" i="282"/>
  <c r="D711" i="282"/>
  <c r="D710" i="282"/>
  <c r="D709" i="282"/>
  <c r="D708" i="282"/>
  <c r="D707" i="282"/>
  <c r="D706" i="282"/>
  <c r="D705" i="282"/>
  <c r="D704" i="282"/>
  <c r="D703" i="282"/>
  <c r="D702" i="282"/>
  <c r="D701" i="282"/>
  <c r="D700" i="282"/>
  <c r="D699" i="282"/>
  <c r="D698" i="282"/>
  <c r="D697" i="282"/>
  <c r="D696" i="282"/>
  <c r="D695" i="282"/>
  <c r="D694" i="282"/>
  <c r="D693" i="282"/>
  <c r="D692" i="282"/>
  <c r="D691" i="282"/>
  <c r="D690" i="282"/>
  <c r="D689" i="282"/>
  <c r="D688" i="282"/>
  <c r="D687" i="282"/>
  <c r="D686" i="282"/>
  <c r="D685" i="282"/>
  <c r="D684" i="282"/>
  <c r="D683" i="282"/>
  <c r="D682" i="282"/>
  <c r="D681" i="282"/>
  <c r="D680" i="282"/>
  <c r="D679" i="282"/>
  <c r="D678" i="282"/>
  <c r="D677" i="282"/>
  <c r="D676" i="282"/>
  <c r="D675" i="282"/>
  <c r="D674" i="282"/>
  <c r="D673" i="282"/>
  <c r="D672" i="282"/>
  <c r="D671" i="282"/>
  <c r="D670" i="282"/>
  <c r="D669" i="282"/>
  <c r="D668" i="282"/>
  <c r="D667" i="282"/>
  <c r="D666" i="282"/>
  <c r="D665" i="282"/>
  <c r="D664" i="282"/>
  <c r="D663" i="282"/>
  <c r="D662" i="282"/>
  <c r="D661" i="282"/>
  <c r="D660" i="282"/>
  <c r="D659" i="282"/>
  <c r="D658" i="282"/>
  <c r="D657" i="282"/>
  <c r="D656" i="282"/>
  <c r="D655" i="282"/>
  <c r="D654" i="282"/>
  <c r="D653" i="282"/>
  <c r="D652" i="282"/>
  <c r="D651" i="282"/>
  <c r="D650" i="282"/>
  <c r="D649" i="282"/>
  <c r="D648" i="282"/>
  <c r="D647" i="282"/>
  <c r="D646" i="282"/>
  <c r="D645" i="282"/>
  <c r="D644" i="282"/>
  <c r="D643" i="282"/>
  <c r="D642" i="282"/>
  <c r="D641" i="282"/>
  <c r="D640" i="282"/>
  <c r="D639" i="282"/>
  <c r="D638" i="282"/>
  <c r="D637" i="282"/>
  <c r="D636" i="282"/>
  <c r="D635" i="282"/>
  <c r="D634" i="282"/>
  <c r="D633" i="282"/>
  <c r="D632" i="282"/>
  <c r="D631" i="282"/>
  <c r="D630" i="282"/>
  <c r="D629" i="282"/>
  <c r="D628" i="282"/>
  <c r="D627" i="282"/>
  <c r="D626" i="282"/>
  <c r="D625" i="282"/>
  <c r="D624" i="282"/>
  <c r="D623" i="282"/>
  <c r="D622" i="282"/>
  <c r="D621" i="282"/>
  <c r="D620" i="282"/>
  <c r="D619" i="282"/>
  <c r="D618" i="282"/>
  <c r="D617" i="282"/>
  <c r="D616" i="282"/>
  <c r="D615" i="282"/>
  <c r="D614" i="282"/>
  <c r="D613" i="282"/>
  <c r="D612" i="282"/>
  <c r="D611" i="282"/>
  <c r="D610" i="282"/>
  <c r="D609" i="282"/>
  <c r="D608" i="282"/>
  <c r="D607" i="282"/>
  <c r="D606" i="282"/>
  <c r="D605" i="282"/>
  <c r="D604" i="282"/>
  <c r="D603" i="282"/>
  <c r="D602" i="282"/>
  <c r="D601" i="282"/>
  <c r="D600" i="282"/>
  <c r="D599" i="282"/>
  <c r="D598" i="282"/>
  <c r="D597" i="282"/>
  <c r="D596" i="282"/>
  <c r="D595" i="282"/>
  <c r="D594" i="282"/>
  <c r="D593" i="282"/>
  <c r="D592" i="282"/>
  <c r="D591" i="282"/>
  <c r="D590" i="282"/>
  <c r="D589" i="282"/>
  <c r="D588" i="282"/>
  <c r="D587" i="282"/>
  <c r="D586" i="282"/>
  <c r="D585" i="282"/>
  <c r="D584" i="282"/>
  <c r="D583" i="282"/>
  <c r="D582" i="282"/>
  <c r="D581" i="282"/>
  <c r="D580" i="282"/>
  <c r="D579" i="282"/>
  <c r="D578" i="282"/>
  <c r="D577" i="282"/>
  <c r="D576" i="282"/>
  <c r="D575" i="282"/>
  <c r="D574" i="282"/>
  <c r="D573" i="282"/>
  <c r="D572" i="282"/>
  <c r="D571" i="282"/>
  <c r="D570" i="282"/>
  <c r="D569" i="282"/>
  <c r="D568" i="282"/>
  <c r="D567" i="282"/>
  <c r="D566" i="282"/>
  <c r="D565" i="282"/>
  <c r="D564" i="282"/>
  <c r="D563" i="282"/>
  <c r="D562" i="282"/>
  <c r="D561" i="282"/>
  <c r="D560" i="282"/>
  <c r="D559" i="282"/>
  <c r="D558" i="282"/>
  <c r="D557" i="282"/>
  <c r="D556" i="282"/>
  <c r="D555" i="282"/>
  <c r="D554" i="282"/>
  <c r="D553" i="282"/>
  <c r="D552" i="282"/>
  <c r="D551" i="282"/>
  <c r="D550" i="282"/>
  <c r="D549" i="282"/>
  <c r="D548" i="282"/>
  <c r="D547" i="282"/>
  <c r="D546" i="282"/>
  <c r="D545" i="282"/>
  <c r="D544" i="282"/>
  <c r="D543" i="282"/>
  <c r="D542" i="282"/>
  <c r="D541" i="282"/>
  <c r="D540" i="282"/>
  <c r="D539" i="282"/>
  <c r="D538" i="282"/>
  <c r="D537" i="282"/>
  <c r="D536" i="282"/>
  <c r="D535" i="282"/>
  <c r="D534" i="282"/>
  <c r="D533" i="282"/>
  <c r="D532" i="282"/>
  <c r="D531" i="282"/>
  <c r="D530" i="282"/>
  <c r="D529" i="282"/>
  <c r="D528" i="282"/>
  <c r="D527" i="282"/>
  <c r="D526" i="282"/>
  <c r="D525" i="282"/>
  <c r="D524" i="282"/>
  <c r="D523" i="282"/>
  <c r="D522" i="282"/>
  <c r="D521" i="282"/>
  <c r="D520" i="282"/>
  <c r="D519" i="282"/>
  <c r="D518" i="282"/>
  <c r="D517" i="282"/>
  <c r="D516" i="282"/>
  <c r="D515" i="282"/>
  <c r="D514" i="282"/>
  <c r="D513" i="282"/>
  <c r="D512" i="282"/>
  <c r="D511" i="282"/>
  <c r="D510" i="282"/>
  <c r="D509" i="282"/>
  <c r="D508" i="282"/>
  <c r="D507" i="282"/>
  <c r="D506" i="282"/>
  <c r="D505" i="282"/>
  <c r="D504" i="282"/>
  <c r="D503" i="282"/>
  <c r="D502" i="282"/>
  <c r="D501" i="282"/>
  <c r="D500" i="282"/>
  <c r="D499" i="282"/>
  <c r="D498" i="282"/>
  <c r="D497" i="282"/>
  <c r="D496" i="282"/>
  <c r="D495" i="282"/>
  <c r="D494" i="282"/>
  <c r="D493" i="282"/>
  <c r="D492" i="282"/>
  <c r="D491" i="282"/>
  <c r="D490" i="282"/>
  <c r="D489" i="282"/>
  <c r="D488" i="282"/>
  <c r="D487" i="282"/>
  <c r="D486" i="282"/>
  <c r="D485" i="282"/>
  <c r="D484" i="282"/>
  <c r="D483" i="282"/>
  <c r="D482" i="282"/>
  <c r="D481" i="282"/>
  <c r="D480" i="282"/>
  <c r="D479" i="282"/>
  <c r="D478" i="282"/>
  <c r="D477" i="282"/>
  <c r="D476" i="282"/>
  <c r="D475" i="282"/>
  <c r="D474" i="282"/>
  <c r="D473" i="282"/>
  <c r="D472" i="282"/>
  <c r="D471" i="282"/>
  <c r="D470" i="282"/>
  <c r="D469" i="282"/>
  <c r="D468" i="282"/>
  <c r="D467" i="282"/>
  <c r="D466" i="282"/>
  <c r="D465" i="282"/>
  <c r="D464" i="282"/>
  <c r="D463" i="282"/>
  <c r="D462" i="282"/>
  <c r="D461" i="282"/>
  <c r="D460" i="282"/>
  <c r="D459" i="282"/>
  <c r="D458" i="282"/>
  <c r="D457" i="282"/>
  <c r="D456" i="282"/>
  <c r="D455" i="282"/>
  <c r="D454" i="282"/>
  <c r="D453" i="282"/>
  <c r="D452" i="282"/>
  <c r="D451" i="282"/>
  <c r="D450" i="282"/>
  <c r="D449" i="282"/>
  <c r="D448" i="282"/>
  <c r="D447" i="282"/>
  <c r="D446" i="282"/>
  <c r="D445" i="282"/>
  <c r="D444" i="282"/>
  <c r="D443" i="282"/>
  <c r="D442" i="282"/>
  <c r="D441" i="282"/>
  <c r="D440" i="282"/>
  <c r="D439" i="282"/>
  <c r="D438" i="282"/>
  <c r="D437" i="282"/>
  <c r="D436" i="282"/>
  <c r="D435" i="282"/>
  <c r="D434" i="282"/>
  <c r="D433" i="282"/>
  <c r="D432" i="282"/>
  <c r="D431" i="282"/>
  <c r="D430" i="282"/>
  <c r="D429" i="282"/>
  <c r="D428" i="282"/>
  <c r="D427" i="282"/>
  <c r="D426" i="282"/>
  <c r="D425" i="282"/>
  <c r="D424" i="282"/>
  <c r="D423" i="282"/>
  <c r="D422" i="282"/>
  <c r="D421" i="282"/>
  <c r="D420" i="282"/>
  <c r="D419" i="282"/>
  <c r="D418" i="282"/>
  <c r="D417" i="282"/>
  <c r="D416" i="282"/>
  <c r="D415" i="282"/>
  <c r="D414" i="282"/>
  <c r="D413" i="282"/>
  <c r="D412" i="282"/>
  <c r="D411" i="282"/>
  <c r="D410" i="282"/>
  <c r="D409" i="282"/>
  <c r="D408" i="282"/>
  <c r="D407" i="282"/>
  <c r="D406" i="282"/>
  <c r="D405" i="282"/>
  <c r="D404" i="282"/>
  <c r="D403" i="282"/>
  <c r="D402" i="282"/>
  <c r="D401" i="282"/>
  <c r="D400" i="282"/>
  <c r="D399" i="282"/>
  <c r="D398" i="282"/>
  <c r="D397" i="282"/>
  <c r="D396" i="282"/>
  <c r="D395" i="282"/>
  <c r="D394" i="282"/>
  <c r="D393" i="282"/>
  <c r="D392" i="282"/>
  <c r="D391" i="282"/>
  <c r="D390" i="282"/>
  <c r="D389" i="282"/>
  <c r="D388" i="282"/>
  <c r="D387" i="282"/>
  <c r="D386" i="282"/>
  <c r="D385" i="282"/>
  <c r="D384" i="282"/>
  <c r="D383" i="282"/>
  <c r="D382" i="282"/>
  <c r="D381" i="282"/>
  <c r="D380" i="282"/>
  <c r="D379" i="282"/>
  <c r="D378" i="282"/>
  <c r="D377" i="282"/>
  <c r="D376" i="282"/>
  <c r="D375" i="282"/>
  <c r="D374" i="282"/>
  <c r="D373" i="282"/>
  <c r="D372" i="282"/>
  <c r="D371" i="282"/>
  <c r="D370" i="282"/>
  <c r="D369" i="282"/>
  <c r="D368" i="282"/>
  <c r="D367" i="282"/>
  <c r="D366" i="282"/>
  <c r="D365" i="282"/>
  <c r="D364" i="282"/>
  <c r="D363" i="282"/>
  <c r="D362" i="282"/>
  <c r="D361" i="282"/>
  <c r="D360" i="282"/>
  <c r="D359" i="282"/>
  <c r="D358" i="282"/>
  <c r="D357" i="282"/>
  <c r="D356" i="282"/>
  <c r="D355" i="282"/>
  <c r="D354" i="282"/>
  <c r="D353" i="282"/>
  <c r="D352" i="282"/>
  <c r="D351" i="282"/>
  <c r="D350" i="282"/>
  <c r="D349" i="282"/>
  <c r="D348" i="282"/>
  <c r="D347" i="282"/>
  <c r="D346" i="282"/>
  <c r="D345" i="282"/>
  <c r="D344" i="282"/>
  <c r="D343" i="282"/>
  <c r="D342" i="282"/>
  <c r="D341" i="282"/>
  <c r="D340" i="282"/>
  <c r="D339" i="282"/>
  <c r="D338" i="282"/>
  <c r="D337" i="282"/>
  <c r="D336" i="282"/>
  <c r="D335" i="282"/>
  <c r="D334" i="282"/>
  <c r="D333" i="282"/>
  <c r="D332" i="282"/>
  <c r="D331" i="282"/>
  <c r="D330" i="282"/>
  <c r="D329" i="282"/>
  <c r="D328" i="282"/>
  <c r="D327" i="282"/>
  <c r="D326" i="282"/>
  <c r="D325" i="282"/>
  <c r="D324" i="282"/>
  <c r="D323" i="282"/>
  <c r="D322" i="282"/>
  <c r="D321" i="282"/>
  <c r="D320" i="282"/>
  <c r="D319" i="282"/>
  <c r="D318" i="282"/>
  <c r="D317" i="282"/>
  <c r="D316" i="282"/>
  <c r="D315" i="282"/>
  <c r="D314" i="282"/>
  <c r="D313" i="282"/>
  <c r="D312" i="282"/>
  <c r="D311" i="282"/>
  <c r="D310" i="282"/>
  <c r="D309" i="282"/>
  <c r="D308" i="282"/>
  <c r="D307" i="282"/>
  <c r="D306" i="282"/>
  <c r="D305" i="282"/>
  <c r="D304" i="282"/>
  <c r="D303" i="282"/>
  <c r="D302" i="282"/>
  <c r="D301" i="282"/>
  <c r="D300" i="282"/>
  <c r="D299" i="282"/>
  <c r="D298" i="282"/>
  <c r="D297" i="282"/>
  <c r="D296" i="282"/>
  <c r="D295" i="282"/>
  <c r="D294" i="282"/>
  <c r="D293" i="282"/>
  <c r="D292" i="282"/>
  <c r="D291" i="282"/>
  <c r="D290" i="282"/>
  <c r="D289" i="282"/>
  <c r="D288" i="282"/>
  <c r="D287" i="282"/>
  <c r="D286" i="282"/>
  <c r="D285" i="282"/>
  <c r="D284" i="282"/>
  <c r="D283" i="282"/>
  <c r="D282" i="282"/>
  <c r="D281" i="282"/>
  <c r="D280" i="282"/>
  <c r="D279" i="282"/>
  <c r="D278" i="282"/>
  <c r="D277" i="282"/>
  <c r="D276" i="282"/>
  <c r="D275" i="282"/>
  <c r="D274" i="282"/>
  <c r="D273" i="282"/>
  <c r="D272" i="282"/>
  <c r="D271" i="282"/>
  <c r="D270" i="282"/>
  <c r="D269" i="282"/>
  <c r="D268" i="282"/>
  <c r="D267" i="282"/>
  <c r="D266" i="282"/>
  <c r="D265" i="282"/>
  <c r="D264" i="282"/>
  <c r="D263" i="282"/>
  <c r="D262" i="282"/>
  <c r="D261" i="282"/>
  <c r="D260" i="282"/>
  <c r="D259" i="282"/>
  <c r="D258" i="282"/>
  <c r="D257" i="282"/>
  <c r="D256" i="282"/>
  <c r="D255" i="282"/>
  <c r="D254" i="282"/>
  <c r="D253" i="282"/>
  <c r="D252" i="282"/>
  <c r="D251" i="282"/>
  <c r="D250" i="282"/>
  <c r="D249" i="282"/>
  <c r="D248" i="282"/>
  <c r="D247" i="282"/>
  <c r="D246" i="282"/>
  <c r="D245" i="282"/>
  <c r="D244" i="282"/>
  <c r="D243" i="282"/>
  <c r="D242" i="282"/>
  <c r="D241" i="282"/>
  <c r="D240" i="282"/>
  <c r="D239" i="282"/>
  <c r="D238" i="282"/>
  <c r="D237" i="282"/>
  <c r="D236" i="282"/>
  <c r="D235" i="282"/>
  <c r="D234" i="282"/>
  <c r="D233" i="282"/>
  <c r="D232" i="282"/>
  <c r="D231" i="282"/>
  <c r="D230" i="282"/>
  <c r="D229" i="282"/>
  <c r="D228" i="282"/>
  <c r="D227" i="282"/>
  <c r="D226" i="282"/>
  <c r="D225" i="282"/>
  <c r="D224" i="282"/>
  <c r="D223" i="282"/>
  <c r="D222" i="282"/>
  <c r="D221" i="282"/>
  <c r="D220" i="282"/>
  <c r="D219" i="282"/>
  <c r="D218" i="282"/>
  <c r="D217" i="282"/>
  <c r="D216" i="282"/>
  <c r="D215" i="282"/>
  <c r="D214" i="282"/>
  <c r="D213" i="282"/>
  <c r="D212" i="282"/>
  <c r="D211" i="282"/>
  <c r="D210" i="282"/>
  <c r="D209" i="282"/>
  <c r="D208" i="282"/>
  <c r="D207" i="282"/>
  <c r="D206" i="282"/>
  <c r="D205" i="282"/>
  <c r="D204" i="282"/>
  <c r="D203" i="282"/>
  <c r="D202" i="282"/>
  <c r="D201" i="282"/>
  <c r="D200" i="282"/>
  <c r="D199" i="282"/>
  <c r="D198" i="282"/>
  <c r="D197" i="282"/>
  <c r="D196" i="282"/>
  <c r="D195" i="282"/>
  <c r="D194" i="282"/>
  <c r="D193" i="282"/>
  <c r="D192" i="282"/>
  <c r="D191" i="282"/>
  <c r="D190" i="282"/>
  <c r="D189" i="282"/>
  <c r="D188" i="282"/>
  <c r="D187" i="282"/>
  <c r="D186" i="282"/>
  <c r="D185" i="282"/>
  <c r="D184" i="282"/>
  <c r="D183" i="282"/>
  <c r="D182" i="282"/>
  <c r="D181" i="282"/>
  <c r="D180" i="282"/>
  <c r="D179" i="282"/>
  <c r="D178" i="282"/>
  <c r="D177" i="282"/>
  <c r="D176" i="282"/>
  <c r="D175" i="282"/>
  <c r="D174" i="282"/>
  <c r="D173" i="282"/>
  <c r="D172" i="282"/>
  <c r="D171" i="282"/>
  <c r="D170" i="282"/>
  <c r="D169" i="282"/>
  <c r="D168" i="282"/>
  <c r="D167" i="282"/>
  <c r="D166" i="282"/>
  <c r="D165" i="282"/>
  <c r="D164" i="282"/>
  <c r="D163" i="282"/>
  <c r="D162" i="282"/>
  <c r="D161" i="282"/>
  <c r="D160" i="282"/>
  <c r="D159" i="282"/>
  <c r="D158" i="282"/>
  <c r="D157" i="282"/>
  <c r="D156" i="282"/>
  <c r="D155" i="282"/>
  <c r="D154" i="282"/>
  <c r="D153" i="282"/>
  <c r="D152" i="282"/>
  <c r="D151" i="282"/>
  <c r="D150" i="282"/>
  <c r="D149" i="282"/>
  <c r="D148" i="282"/>
  <c r="D147" i="282"/>
  <c r="D146" i="282"/>
  <c r="D145" i="282"/>
  <c r="D144" i="282"/>
  <c r="D143" i="282"/>
  <c r="D142" i="282"/>
  <c r="D141" i="282"/>
  <c r="D140" i="282"/>
  <c r="D139" i="282"/>
  <c r="D138" i="282"/>
  <c r="D137" i="282"/>
  <c r="D136" i="282"/>
  <c r="D135" i="282"/>
  <c r="D134" i="282"/>
  <c r="D133" i="282"/>
  <c r="D132" i="282"/>
  <c r="D131" i="282"/>
  <c r="D130" i="282"/>
  <c r="D129" i="282"/>
  <c r="D128" i="282"/>
  <c r="D127" i="282"/>
  <c r="D126" i="282"/>
  <c r="D125" i="282"/>
  <c r="D124" i="282"/>
  <c r="D123" i="282"/>
  <c r="D122" i="282"/>
  <c r="D121" i="282"/>
  <c r="D120" i="282"/>
  <c r="D119" i="282"/>
  <c r="D118" i="282"/>
  <c r="D117" i="282"/>
  <c r="D116" i="282"/>
  <c r="D115" i="282"/>
  <c r="D114" i="282"/>
  <c r="D113" i="282"/>
  <c r="D112" i="282"/>
  <c r="D111" i="282"/>
  <c r="D110" i="282"/>
  <c r="D109" i="282"/>
  <c r="D108" i="282"/>
  <c r="D107" i="282"/>
  <c r="D106" i="282"/>
  <c r="D105" i="282"/>
  <c r="D104" i="282"/>
  <c r="D103" i="282"/>
  <c r="D102" i="282"/>
  <c r="D101" i="282"/>
  <c r="D100" i="282"/>
  <c r="D99" i="282"/>
  <c r="D98" i="282"/>
  <c r="D97" i="282"/>
  <c r="D96" i="282"/>
  <c r="D95" i="282"/>
  <c r="D94" i="282"/>
  <c r="D93" i="282"/>
  <c r="D92" i="282"/>
  <c r="D91" i="282"/>
  <c r="D90" i="282"/>
  <c r="D89" i="282"/>
  <c r="D88" i="282"/>
  <c r="D87" i="282"/>
  <c r="D86" i="282"/>
  <c r="D85" i="282"/>
  <c r="D84" i="282"/>
  <c r="D83" i="282"/>
  <c r="D82" i="282"/>
  <c r="D81" i="282"/>
  <c r="D80" i="282"/>
  <c r="D79" i="282"/>
  <c r="D78" i="282"/>
  <c r="D77" i="282"/>
  <c r="D76" i="282"/>
  <c r="D75" i="282"/>
  <c r="D74" i="282"/>
  <c r="D73" i="282"/>
  <c r="D72" i="282"/>
  <c r="D71" i="282"/>
  <c r="D70" i="282"/>
  <c r="D69" i="282"/>
  <c r="D68" i="282"/>
  <c r="D67" i="282"/>
  <c r="D66" i="282"/>
  <c r="D65" i="282"/>
  <c r="D64" i="282"/>
  <c r="D63" i="282"/>
  <c r="D62" i="282"/>
  <c r="D61" i="282"/>
  <c r="D60" i="282"/>
  <c r="D59" i="282"/>
  <c r="D58" i="282"/>
  <c r="D57" i="282"/>
  <c r="D56" i="282"/>
  <c r="D55" i="282"/>
  <c r="D54" i="282"/>
  <c r="D53" i="282"/>
  <c r="D52" i="282"/>
  <c r="D51" i="282"/>
  <c r="D50" i="282"/>
  <c r="D49" i="282"/>
  <c r="D48" i="282"/>
  <c r="D47" i="282"/>
  <c r="D46" i="282"/>
  <c r="D45" i="282"/>
  <c r="D44" i="282"/>
  <c r="D43" i="282"/>
  <c r="D42" i="282"/>
  <c r="D41" i="282"/>
  <c r="D40" i="282"/>
  <c r="D39" i="282"/>
  <c r="D38" i="282"/>
  <c r="D37" i="282"/>
  <c r="D36" i="282"/>
  <c r="D35" i="282"/>
  <c r="D34" i="282"/>
  <c r="D33" i="282"/>
  <c r="D32" i="282"/>
  <c r="D31" i="282"/>
  <c r="D30" i="282"/>
  <c r="D29" i="282"/>
  <c r="D28" i="282"/>
  <c r="D27" i="282"/>
  <c r="D26" i="282"/>
  <c r="D25" i="282"/>
  <c r="D24" i="282"/>
  <c r="D23" i="282"/>
  <c r="D22" i="282"/>
  <c r="D21" i="282"/>
  <c r="D20" i="282"/>
  <c r="D19" i="282"/>
  <c r="D18" i="282"/>
  <c r="D17" i="282"/>
  <c r="D16" i="282"/>
  <c r="D15" i="282"/>
  <c r="D14" i="282"/>
  <c r="D13" i="282"/>
  <c r="D12" i="282"/>
  <c r="D11" i="282"/>
  <c r="D10" i="282"/>
  <c r="D9" i="282"/>
  <c r="D8" i="282"/>
  <c r="D7" i="282"/>
  <c r="D6" i="282"/>
  <c r="D5" i="282"/>
  <c r="D3" i="282"/>
  <c r="C1000" i="282"/>
  <c r="C999" i="282"/>
  <c r="C998" i="282"/>
  <c r="C997" i="282"/>
  <c r="C996" i="282"/>
  <c r="C995" i="282"/>
  <c r="C994" i="282"/>
  <c r="C993" i="282"/>
  <c r="C992" i="282"/>
  <c r="C991" i="282"/>
  <c r="C990" i="282"/>
  <c r="C989" i="282"/>
  <c r="C988" i="282"/>
  <c r="C987" i="282"/>
  <c r="C986" i="282"/>
  <c r="C985" i="282"/>
  <c r="C984" i="282"/>
  <c r="C983" i="282"/>
  <c r="C982" i="282"/>
  <c r="C981" i="282"/>
  <c r="C980" i="282"/>
  <c r="C979" i="282"/>
  <c r="C978" i="282"/>
  <c r="C977" i="282"/>
  <c r="C976" i="282"/>
  <c r="C975" i="282"/>
  <c r="C974" i="282"/>
  <c r="C973" i="282"/>
  <c r="C972" i="282"/>
  <c r="C971" i="282"/>
  <c r="C970" i="282"/>
  <c r="C969" i="282"/>
  <c r="C968" i="282"/>
  <c r="C967" i="282"/>
  <c r="C966" i="282"/>
  <c r="C965" i="282"/>
  <c r="C964" i="282"/>
  <c r="C963" i="282"/>
  <c r="C962" i="282"/>
  <c r="C961" i="282"/>
  <c r="C960" i="282"/>
  <c r="C959" i="282"/>
  <c r="C958" i="282"/>
  <c r="C957" i="282"/>
  <c r="C956" i="282"/>
  <c r="C955" i="282"/>
  <c r="C954" i="282"/>
  <c r="C953" i="282"/>
  <c r="C952" i="282"/>
  <c r="C951" i="282"/>
  <c r="C950" i="282"/>
  <c r="C949" i="282"/>
  <c r="C948" i="282"/>
  <c r="C947" i="282"/>
  <c r="C946" i="282"/>
  <c r="C945" i="282"/>
  <c r="C944" i="282"/>
  <c r="C943" i="282"/>
  <c r="C942" i="282"/>
  <c r="C941" i="282"/>
  <c r="C940" i="282"/>
  <c r="C939" i="282"/>
  <c r="C938" i="282"/>
  <c r="C937" i="282"/>
  <c r="C936" i="282"/>
  <c r="C935" i="282"/>
  <c r="C934" i="282"/>
  <c r="C933" i="282"/>
  <c r="C932" i="282"/>
  <c r="C931" i="282"/>
  <c r="C930" i="282"/>
  <c r="C929" i="282"/>
  <c r="C928" i="282"/>
  <c r="C927" i="282"/>
  <c r="C926" i="282"/>
  <c r="C925" i="282"/>
  <c r="C924" i="282"/>
  <c r="C923" i="282"/>
  <c r="C922" i="282"/>
  <c r="C921" i="282"/>
  <c r="C920" i="282"/>
  <c r="C919" i="282"/>
  <c r="C918" i="282"/>
  <c r="C917" i="282"/>
  <c r="C916" i="282"/>
  <c r="C915" i="282"/>
  <c r="C914" i="282"/>
  <c r="C913" i="282"/>
  <c r="C912" i="282"/>
  <c r="C911" i="282"/>
  <c r="C910" i="282"/>
  <c r="C909" i="282"/>
  <c r="C908" i="282"/>
  <c r="C907" i="282"/>
  <c r="C906" i="282"/>
  <c r="C905" i="282"/>
  <c r="C904" i="282"/>
  <c r="C903" i="282"/>
  <c r="C902" i="282"/>
  <c r="C901" i="282"/>
  <c r="C900" i="282"/>
  <c r="C899" i="282"/>
  <c r="C898" i="282"/>
  <c r="C897" i="282"/>
  <c r="C896" i="282"/>
  <c r="C895" i="282"/>
  <c r="C894" i="282"/>
  <c r="C893" i="282"/>
  <c r="C892" i="282"/>
  <c r="C891" i="282"/>
  <c r="C890" i="282"/>
  <c r="C889" i="282"/>
  <c r="C888" i="282"/>
  <c r="C887" i="282"/>
  <c r="C886" i="282"/>
  <c r="C885" i="282"/>
  <c r="C884" i="282"/>
  <c r="C883" i="282"/>
  <c r="C882" i="282"/>
  <c r="C881" i="282"/>
  <c r="C880" i="282"/>
  <c r="C879" i="282"/>
  <c r="C878" i="282"/>
  <c r="C877" i="282"/>
  <c r="C876" i="282"/>
  <c r="C875" i="282"/>
  <c r="C874" i="282"/>
  <c r="C873" i="282"/>
  <c r="C872" i="282"/>
  <c r="C871" i="282"/>
  <c r="C870" i="282"/>
  <c r="C869" i="282"/>
  <c r="C868" i="282"/>
  <c r="C867" i="282"/>
  <c r="C866" i="282"/>
  <c r="C865" i="282"/>
  <c r="C864" i="282"/>
  <c r="C863" i="282"/>
  <c r="C862" i="282"/>
  <c r="C861" i="282"/>
  <c r="C860" i="282"/>
  <c r="C859" i="282"/>
  <c r="C858" i="282"/>
  <c r="C857" i="282"/>
  <c r="C856" i="282"/>
  <c r="C855" i="282"/>
  <c r="C854" i="282"/>
  <c r="C853" i="282"/>
  <c r="C852" i="282"/>
  <c r="C851" i="282"/>
  <c r="C850" i="282"/>
  <c r="C849" i="282"/>
  <c r="C848" i="282"/>
  <c r="C847" i="282"/>
  <c r="C846" i="282"/>
  <c r="C845" i="282"/>
  <c r="C844" i="282"/>
  <c r="C843" i="282"/>
  <c r="C842" i="282"/>
  <c r="C841" i="282"/>
  <c r="C840" i="282"/>
  <c r="C839" i="282"/>
  <c r="C838" i="282"/>
  <c r="C837" i="282"/>
  <c r="C836" i="282"/>
  <c r="C835" i="282"/>
  <c r="C834" i="282"/>
  <c r="C833" i="282"/>
  <c r="C832" i="282"/>
  <c r="C831" i="282"/>
  <c r="C830" i="282"/>
  <c r="C829" i="282"/>
  <c r="C828" i="282"/>
  <c r="C827" i="282"/>
  <c r="C826" i="282"/>
  <c r="C825" i="282"/>
  <c r="C824" i="282"/>
  <c r="C823" i="282"/>
  <c r="C822" i="282"/>
  <c r="C821" i="282"/>
  <c r="C820" i="282"/>
  <c r="C819" i="282"/>
  <c r="C818" i="282"/>
  <c r="C817" i="282"/>
  <c r="C816" i="282"/>
  <c r="C815" i="282"/>
  <c r="C814" i="282"/>
  <c r="C813" i="282"/>
  <c r="C812" i="282"/>
  <c r="C811" i="282"/>
  <c r="C810" i="282"/>
  <c r="C809" i="282"/>
  <c r="C808" i="282"/>
  <c r="C807" i="282"/>
  <c r="C806" i="282"/>
  <c r="C805" i="282"/>
  <c r="C804" i="282"/>
  <c r="C803" i="282"/>
  <c r="C802" i="282"/>
  <c r="C801" i="282"/>
  <c r="C800" i="282"/>
  <c r="C799" i="282"/>
  <c r="C798" i="282"/>
  <c r="C797" i="282"/>
  <c r="C796" i="282"/>
  <c r="C795" i="282"/>
  <c r="C794" i="282"/>
  <c r="C793" i="282"/>
  <c r="C792" i="282"/>
  <c r="C791" i="282"/>
  <c r="C790" i="282"/>
  <c r="C789" i="282"/>
  <c r="C788" i="282"/>
  <c r="C787" i="282"/>
  <c r="C786" i="282"/>
  <c r="C785" i="282"/>
  <c r="C784" i="282"/>
  <c r="C783" i="282"/>
  <c r="C782" i="282"/>
  <c r="C781" i="282"/>
  <c r="C780" i="282"/>
  <c r="C779" i="282"/>
  <c r="C778" i="282"/>
  <c r="C777" i="282"/>
  <c r="C776" i="282"/>
  <c r="C775" i="282"/>
  <c r="C774" i="282"/>
  <c r="C773" i="282"/>
  <c r="C772" i="282"/>
  <c r="C771" i="282"/>
  <c r="C770" i="282"/>
  <c r="C769" i="282"/>
  <c r="C768" i="282"/>
  <c r="C767" i="282"/>
  <c r="C766" i="282"/>
  <c r="C765" i="282"/>
  <c r="C764" i="282"/>
  <c r="C763" i="282"/>
  <c r="C762" i="282"/>
  <c r="C761" i="282"/>
  <c r="C760" i="282"/>
  <c r="C759" i="282"/>
  <c r="C758" i="282"/>
  <c r="C757" i="282"/>
  <c r="C756" i="282"/>
  <c r="C755" i="282"/>
  <c r="C754" i="282"/>
  <c r="C753" i="282"/>
  <c r="C752" i="282"/>
  <c r="C751" i="282"/>
  <c r="C750" i="282"/>
  <c r="C749" i="282"/>
  <c r="C748" i="282"/>
  <c r="C747" i="282"/>
  <c r="C746" i="282"/>
  <c r="C745" i="282"/>
  <c r="C744" i="282"/>
  <c r="C743" i="282"/>
  <c r="C742" i="282"/>
  <c r="C741" i="282"/>
  <c r="C740" i="282"/>
  <c r="C739" i="282"/>
  <c r="C738" i="282"/>
  <c r="C737" i="282"/>
  <c r="C736" i="282"/>
  <c r="C735" i="282"/>
  <c r="C734" i="282"/>
  <c r="C733" i="282"/>
  <c r="C732" i="282"/>
  <c r="C731" i="282"/>
  <c r="C730" i="282"/>
  <c r="C729" i="282"/>
  <c r="C728" i="282"/>
  <c r="C727" i="282"/>
  <c r="C726" i="282"/>
  <c r="C725" i="282"/>
  <c r="C724" i="282"/>
  <c r="C723" i="282"/>
  <c r="C722" i="282"/>
  <c r="C721" i="282"/>
  <c r="C720" i="282"/>
  <c r="C719" i="282"/>
  <c r="C718" i="282"/>
  <c r="C717" i="282"/>
  <c r="C716" i="282"/>
  <c r="C715" i="282"/>
  <c r="C714" i="282"/>
  <c r="C713" i="282"/>
  <c r="C712" i="282"/>
  <c r="C711" i="282"/>
  <c r="C710" i="282"/>
  <c r="C709" i="282"/>
  <c r="C708" i="282"/>
  <c r="C707" i="282"/>
  <c r="C706" i="282"/>
  <c r="C705" i="282"/>
  <c r="C704" i="282"/>
  <c r="C703" i="282"/>
  <c r="C702" i="282"/>
  <c r="C701" i="282"/>
  <c r="C700" i="282"/>
  <c r="C699" i="282"/>
  <c r="C698" i="282"/>
  <c r="C697" i="282"/>
  <c r="C696" i="282"/>
  <c r="C695" i="282"/>
  <c r="C694" i="282"/>
  <c r="C693" i="282"/>
  <c r="C692" i="282"/>
  <c r="C691" i="282"/>
  <c r="C690" i="282"/>
  <c r="C689" i="282"/>
  <c r="C688" i="282"/>
  <c r="C687" i="282"/>
  <c r="C686" i="282"/>
  <c r="C685" i="282"/>
  <c r="C684" i="282"/>
  <c r="C683" i="282"/>
  <c r="C682" i="282"/>
  <c r="C681" i="282"/>
  <c r="C680" i="282"/>
  <c r="C679" i="282"/>
  <c r="C678" i="282"/>
  <c r="C677" i="282"/>
  <c r="C676" i="282"/>
  <c r="C675" i="282"/>
  <c r="C674" i="282"/>
  <c r="C673" i="282"/>
  <c r="C672" i="282"/>
  <c r="C671" i="282"/>
  <c r="C670" i="282"/>
  <c r="C669" i="282"/>
  <c r="C668" i="282"/>
  <c r="C667" i="282"/>
  <c r="C666" i="282"/>
  <c r="C665" i="282"/>
  <c r="C664" i="282"/>
  <c r="C663" i="282"/>
  <c r="C662" i="282"/>
  <c r="C661" i="282"/>
  <c r="C660" i="282"/>
  <c r="C659" i="282"/>
  <c r="C658" i="282"/>
  <c r="C657" i="282"/>
  <c r="C656" i="282"/>
  <c r="C655" i="282"/>
  <c r="C654" i="282"/>
  <c r="C653" i="282"/>
  <c r="C652" i="282"/>
  <c r="C651" i="282"/>
  <c r="C650" i="282"/>
  <c r="C649" i="282"/>
  <c r="C648" i="282"/>
  <c r="C647" i="282"/>
  <c r="C646" i="282"/>
  <c r="C645" i="282"/>
  <c r="C644" i="282"/>
  <c r="C643" i="282"/>
  <c r="C642" i="282"/>
  <c r="C641" i="282"/>
  <c r="C640" i="282"/>
  <c r="C639" i="282"/>
  <c r="C638" i="282"/>
  <c r="C637" i="282"/>
  <c r="C636" i="282"/>
  <c r="C635" i="282"/>
  <c r="C634" i="282"/>
  <c r="C633" i="282"/>
  <c r="C632" i="282"/>
  <c r="C631" i="282"/>
  <c r="C630" i="282"/>
  <c r="C629" i="282"/>
  <c r="C628" i="282"/>
  <c r="C627" i="282"/>
  <c r="C626" i="282"/>
  <c r="C625" i="282"/>
  <c r="C624" i="282"/>
  <c r="C623" i="282"/>
  <c r="C622" i="282"/>
  <c r="C621" i="282"/>
  <c r="C620" i="282"/>
  <c r="C619" i="282"/>
  <c r="C618" i="282"/>
  <c r="C617" i="282"/>
  <c r="C616" i="282"/>
  <c r="C615" i="282"/>
  <c r="C614" i="282"/>
  <c r="C613" i="282"/>
  <c r="C612" i="282"/>
  <c r="C611" i="282"/>
  <c r="C610" i="282"/>
  <c r="C609" i="282"/>
  <c r="C608" i="282"/>
  <c r="C607" i="282"/>
  <c r="C606" i="282"/>
  <c r="C605" i="282"/>
  <c r="C604" i="282"/>
  <c r="C603" i="282"/>
  <c r="C602" i="282"/>
  <c r="C601" i="282"/>
  <c r="C600" i="282"/>
  <c r="C599" i="282"/>
  <c r="C598" i="282"/>
  <c r="C597" i="282"/>
  <c r="C596" i="282"/>
  <c r="C595" i="282"/>
  <c r="C594" i="282"/>
  <c r="C593" i="282"/>
  <c r="C592" i="282"/>
  <c r="C591" i="282"/>
  <c r="C590" i="282"/>
  <c r="C589" i="282"/>
  <c r="C588" i="282"/>
  <c r="C587" i="282"/>
  <c r="C586" i="282"/>
  <c r="C585" i="282"/>
  <c r="C584" i="282"/>
  <c r="C583" i="282"/>
  <c r="C582" i="282"/>
  <c r="C581" i="282"/>
  <c r="C580" i="282"/>
  <c r="C579" i="282"/>
  <c r="C578" i="282"/>
  <c r="C577" i="282"/>
  <c r="C576" i="282"/>
  <c r="C575" i="282"/>
  <c r="C574" i="282"/>
  <c r="C573" i="282"/>
  <c r="C572" i="282"/>
  <c r="C571" i="282"/>
  <c r="C570" i="282"/>
  <c r="C569" i="282"/>
  <c r="C568" i="282"/>
  <c r="C567" i="282"/>
  <c r="C566" i="282"/>
  <c r="C565" i="282"/>
  <c r="C564" i="282"/>
  <c r="C563" i="282"/>
  <c r="C562" i="282"/>
  <c r="C561" i="282"/>
  <c r="C560" i="282"/>
  <c r="C559" i="282"/>
  <c r="C558" i="282"/>
  <c r="C557" i="282"/>
  <c r="C556" i="282"/>
  <c r="C555" i="282"/>
  <c r="C554" i="282"/>
  <c r="C553" i="282"/>
  <c r="C552" i="282"/>
  <c r="C551" i="282"/>
  <c r="C550" i="282"/>
  <c r="C549" i="282"/>
  <c r="C548" i="282"/>
  <c r="C547" i="282"/>
  <c r="C546" i="282"/>
  <c r="C545" i="282"/>
  <c r="C544" i="282"/>
  <c r="C543" i="282"/>
  <c r="C542" i="282"/>
  <c r="C541" i="282"/>
  <c r="C540" i="282"/>
  <c r="C539" i="282"/>
  <c r="C538" i="282"/>
  <c r="C537" i="282"/>
  <c r="C536" i="282"/>
  <c r="C535" i="282"/>
  <c r="C534" i="282"/>
  <c r="C533" i="282"/>
  <c r="C532" i="282"/>
  <c r="C531" i="282"/>
  <c r="C530" i="282"/>
  <c r="C529" i="282"/>
  <c r="C528" i="282"/>
  <c r="C527" i="282"/>
  <c r="C526" i="282"/>
  <c r="C525" i="282"/>
  <c r="C524" i="282"/>
  <c r="C523" i="282"/>
  <c r="C522" i="282"/>
  <c r="C521" i="282"/>
  <c r="C520" i="282"/>
  <c r="C519" i="282"/>
  <c r="C518" i="282"/>
  <c r="C517" i="282"/>
  <c r="C516" i="282"/>
  <c r="C515" i="282"/>
  <c r="C514" i="282"/>
  <c r="C513" i="282"/>
  <c r="C512" i="282"/>
  <c r="C511" i="282"/>
  <c r="C510" i="282"/>
  <c r="C509" i="282"/>
  <c r="C508" i="282"/>
  <c r="C507" i="282"/>
  <c r="C506" i="282"/>
  <c r="C505" i="282"/>
  <c r="C504" i="282"/>
  <c r="C503" i="282"/>
  <c r="C502" i="282"/>
  <c r="C501" i="282"/>
  <c r="C500" i="282"/>
  <c r="C499" i="282"/>
  <c r="C498" i="282"/>
  <c r="C497" i="282"/>
  <c r="C496" i="282"/>
  <c r="C495" i="282"/>
  <c r="C494" i="282"/>
  <c r="C493" i="282"/>
  <c r="C492" i="282"/>
  <c r="C491" i="282"/>
  <c r="C490" i="282"/>
  <c r="C489" i="282"/>
  <c r="C488" i="282"/>
  <c r="C487" i="282"/>
  <c r="C486" i="282"/>
  <c r="C485" i="282"/>
  <c r="C484" i="282"/>
  <c r="C483" i="282"/>
  <c r="C482" i="282"/>
  <c r="C481" i="282"/>
  <c r="C480" i="282"/>
  <c r="C479" i="282"/>
  <c r="C478" i="282"/>
  <c r="C477" i="282"/>
  <c r="C476" i="282"/>
  <c r="C475" i="282"/>
  <c r="C474" i="282"/>
  <c r="C473" i="282"/>
  <c r="C472" i="282"/>
  <c r="C471" i="282"/>
  <c r="C470" i="282"/>
  <c r="C469" i="282"/>
  <c r="C468" i="282"/>
  <c r="C467" i="282"/>
  <c r="C466" i="282"/>
  <c r="C465" i="282"/>
  <c r="C464" i="282"/>
  <c r="C463" i="282"/>
  <c r="C462" i="282"/>
  <c r="C461" i="282"/>
  <c r="C460" i="282"/>
  <c r="C459" i="282"/>
  <c r="C458" i="282"/>
  <c r="C457" i="282"/>
  <c r="C456" i="282"/>
  <c r="C455" i="282"/>
  <c r="C454" i="282"/>
  <c r="C453" i="282"/>
  <c r="C452" i="282"/>
  <c r="C451" i="282"/>
  <c r="C450" i="282"/>
  <c r="C449" i="282"/>
  <c r="C448" i="282"/>
  <c r="C447" i="282"/>
  <c r="C446" i="282"/>
  <c r="C445" i="282"/>
  <c r="C444" i="282"/>
  <c r="C443" i="282"/>
  <c r="C442" i="282"/>
  <c r="C441" i="282"/>
  <c r="C440" i="282"/>
  <c r="C439" i="282"/>
  <c r="C438" i="282"/>
  <c r="C437" i="282"/>
  <c r="C436" i="282"/>
  <c r="C435" i="282"/>
  <c r="C434" i="282"/>
  <c r="C433" i="282"/>
  <c r="C432" i="282"/>
  <c r="C431" i="282"/>
  <c r="C430" i="282"/>
  <c r="C429" i="282"/>
  <c r="C428" i="282"/>
  <c r="C427" i="282"/>
  <c r="C426" i="282"/>
  <c r="C425" i="282"/>
  <c r="C424" i="282"/>
  <c r="C423" i="282"/>
  <c r="C422" i="282"/>
  <c r="C421" i="282"/>
  <c r="C420" i="282"/>
  <c r="C419" i="282"/>
  <c r="C418" i="282"/>
  <c r="C417" i="282"/>
  <c r="C416" i="282"/>
  <c r="C415" i="282"/>
  <c r="C414" i="282"/>
  <c r="C413" i="282"/>
  <c r="C412" i="282"/>
  <c r="C411" i="282"/>
  <c r="C410" i="282"/>
  <c r="C409" i="282"/>
  <c r="C408" i="282"/>
  <c r="C407" i="282"/>
  <c r="C406" i="282"/>
  <c r="C405" i="282"/>
  <c r="C404" i="282"/>
  <c r="C403" i="282"/>
  <c r="C402" i="282"/>
  <c r="C401" i="282"/>
  <c r="C400" i="282"/>
  <c r="C399" i="282"/>
  <c r="C398" i="282"/>
  <c r="C397" i="282"/>
  <c r="C396" i="282"/>
  <c r="C395" i="282"/>
  <c r="C394" i="282"/>
  <c r="C393" i="282"/>
  <c r="C392" i="282"/>
  <c r="C391" i="282"/>
  <c r="C390" i="282"/>
  <c r="C389" i="282"/>
  <c r="C388" i="282"/>
  <c r="C387" i="282"/>
  <c r="C386" i="282"/>
  <c r="C385" i="282"/>
  <c r="C384" i="282"/>
  <c r="C383" i="282"/>
  <c r="C382" i="282"/>
  <c r="C381" i="282"/>
  <c r="C380" i="282"/>
  <c r="C379" i="282"/>
  <c r="C378" i="282"/>
  <c r="C377" i="282"/>
  <c r="C376" i="282"/>
  <c r="C375" i="282"/>
  <c r="C374" i="282"/>
  <c r="C373" i="282"/>
  <c r="C372" i="282"/>
  <c r="C371" i="282"/>
  <c r="C370" i="282"/>
  <c r="C369" i="282"/>
  <c r="C368" i="282"/>
  <c r="C367" i="282"/>
  <c r="C366" i="282"/>
  <c r="C365" i="282"/>
  <c r="C364" i="282"/>
  <c r="C363" i="282"/>
  <c r="C362" i="282"/>
  <c r="C361" i="282"/>
  <c r="C360" i="282"/>
  <c r="C359" i="282"/>
  <c r="C358" i="282"/>
  <c r="C357" i="282"/>
  <c r="C356" i="282"/>
  <c r="C355" i="282"/>
  <c r="C354" i="282"/>
  <c r="C353" i="282"/>
  <c r="C352" i="282"/>
  <c r="C351" i="282"/>
  <c r="C350" i="282"/>
  <c r="C349" i="282"/>
  <c r="C348" i="282"/>
  <c r="C347" i="282"/>
  <c r="C346" i="282"/>
  <c r="C345" i="282"/>
  <c r="C344" i="282"/>
  <c r="C343" i="282"/>
  <c r="C342" i="282"/>
  <c r="C341" i="282"/>
  <c r="C340" i="282"/>
  <c r="C339" i="282"/>
  <c r="C338" i="282"/>
  <c r="C337" i="282"/>
  <c r="C336" i="282"/>
  <c r="C335" i="282"/>
  <c r="C334" i="282"/>
  <c r="C333" i="282"/>
  <c r="C332" i="282"/>
  <c r="C331" i="282"/>
  <c r="C330" i="282"/>
  <c r="C329" i="282"/>
  <c r="C328" i="282"/>
  <c r="C327" i="282"/>
  <c r="C326" i="282"/>
  <c r="C325" i="282"/>
  <c r="C324" i="282"/>
  <c r="C323" i="282"/>
  <c r="C322" i="282"/>
  <c r="C321" i="282"/>
  <c r="C320" i="282"/>
  <c r="C319" i="282"/>
  <c r="C318" i="282"/>
  <c r="C317" i="282"/>
  <c r="C316" i="282"/>
  <c r="C315" i="282"/>
  <c r="C314" i="282"/>
  <c r="C313" i="282"/>
  <c r="C312" i="282"/>
  <c r="C311" i="282"/>
  <c r="C310" i="282"/>
  <c r="C309" i="282"/>
  <c r="C308" i="282"/>
  <c r="C307" i="282"/>
  <c r="C306" i="282"/>
  <c r="C305" i="282"/>
  <c r="C304" i="282"/>
  <c r="C303" i="282"/>
  <c r="C302" i="282"/>
  <c r="C301" i="282"/>
  <c r="C300" i="282"/>
  <c r="C299" i="282"/>
  <c r="C298" i="282"/>
  <c r="C297" i="282"/>
  <c r="C296" i="282"/>
  <c r="C295" i="282"/>
  <c r="C294" i="282"/>
  <c r="C293" i="282"/>
  <c r="C292" i="282"/>
  <c r="C291" i="282"/>
  <c r="C290" i="282"/>
  <c r="C289" i="282"/>
  <c r="C288" i="282"/>
  <c r="C287" i="282"/>
  <c r="C286" i="282"/>
  <c r="C285" i="282"/>
  <c r="C284" i="282"/>
  <c r="C283" i="282"/>
  <c r="C282" i="282"/>
  <c r="C281" i="282"/>
  <c r="C280" i="282"/>
  <c r="C279" i="282"/>
  <c r="C278" i="282"/>
  <c r="C277" i="282"/>
  <c r="C276" i="282"/>
  <c r="C275" i="282"/>
  <c r="C274" i="282"/>
  <c r="C273" i="282"/>
  <c r="C272" i="282"/>
  <c r="C271" i="282"/>
  <c r="C270" i="282"/>
  <c r="C269" i="282"/>
  <c r="C268" i="282"/>
  <c r="C267" i="282"/>
  <c r="C266" i="282"/>
  <c r="C265" i="282"/>
  <c r="C264" i="282"/>
  <c r="C263" i="282"/>
  <c r="C262" i="282"/>
  <c r="C261" i="282"/>
  <c r="C260" i="282"/>
  <c r="C259" i="282"/>
  <c r="C258" i="282"/>
  <c r="C257" i="282"/>
  <c r="C256" i="282"/>
  <c r="C255" i="282"/>
  <c r="C254" i="282"/>
  <c r="C253" i="282"/>
  <c r="C252" i="282"/>
  <c r="C251" i="282"/>
  <c r="C250" i="282"/>
  <c r="C249" i="282"/>
  <c r="C248" i="282"/>
  <c r="C247" i="282"/>
  <c r="C246" i="282"/>
  <c r="C245" i="282"/>
  <c r="C244" i="282"/>
  <c r="C243" i="282"/>
  <c r="C242" i="282"/>
  <c r="C241" i="282"/>
  <c r="C240" i="282"/>
  <c r="C239" i="282"/>
  <c r="C238" i="282"/>
  <c r="C237" i="282"/>
  <c r="C236" i="282"/>
  <c r="C235" i="282"/>
  <c r="C234" i="282"/>
  <c r="C233" i="282"/>
  <c r="C232" i="282"/>
  <c r="C231" i="282"/>
  <c r="C230" i="282"/>
  <c r="C229" i="282"/>
  <c r="C228" i="282"/>
  <c r="C227" i="282"/>
  <c r="C226" i="282"/>
  <c r="C225" i="282"/>
  <c r="C224" i="282"/>
  <c r="C223" i="282"/>
  <c r="C222" i="282"/>
  <c r="C221" i="282"/>
  <c r="C220" i="282"/>
  <c r="C219" i="282"/>
  <c r="C218" i="282"/>
  <c r="C217" i="282"/>
  <c r="C216" i="282"/>
  <c r="C215" i="282"/>
  <c r="C214" i="282"/>
  <c r="C213" i="282"/>
  <c r="C212" i="282"/>
  <c r="C211" i="282"/>
  <c r="C210" i="282"/>
  <c r="C209" i="282"/>
  <c r="C208" i="282"/>
  <c r="C207" i="282"/>
  <c r="C206" i="282"/>
  <c r="C205" i="282"/>
  <c r="C204" i="282"/>
  <c r="C203" i="282"/>
  <c r="C202" i="282"/>
  <c r="C201" i="282"/>
  <c r="C200" i="282"/>
  <c r="C199" i="282"/>
  <c r="C198" i="282"/>
  <c r="C197" i="282"/>
  <c r="C196" i="282"/>
  <c r="C195" i="282"/>
  <c r="C194" i="282"/>
  <c r="C193" i="282"/>
  <c r="C192" i="282"/>
  <c r="C191" i="282"/>
  <c r="C190" i="282"/>
  <c r="C189" i="282"/>
  <c r="C188" i="282"/>
  <c r="C187" i="282"/>
  <c r="C186" i="282"/>
  <c r="C185" i="282"/>
  <c r="C184" i="282"/>
  <c r="C183" i="282"/>
  <c r="C182" i="282"/>
  <c r="C181" i="282"/>
  <c r="C180" i="282"/>
  <c r="C179" i="282"/>
  <c r="C178" i="282"/>
  <c r="C177" i="282"/>
  <c r="C176" i="282"/>
  <c r="C175" i="282"/>
  <c r="C174" i="282"/>
  <c r="C173" i="282"/>
  <c r="C172" i="282"/>
  <c r="C171" i="282"/>
  <c r="C170" i="282"/>
  <c r="C169" i="282"/>
  <c r="C168" i="282"/>
  <c r="C167" i="282"/>
  <c r="C166" i="282"/>
  <c r="C165" i="282"/>
  <c r="C164" i="282"/>
  <c r="C163" i="282"/>
  <c r="C162" i="282"/>
  <c r="C161" i="282"/>
  <c r="C160" i="282"/>
  <c r="C159" i="282"/>
  <c r="C158" i="282"/>
  <c r="C157" i="282"/>
  <c r="C156" i="282"/>
  <c r="C155" i="282"/>
  <c r="C154" i="282"/>
  <c r="C153" i="282"/>
  <c r="C152" i="282"/>
  <c r="C151" i="282"/>
  <c r="C150" i="282"/>
  <c r="C149" i="282"/>
  <c r="C148" i="282"/>
  <c r="C147" i="282"/>
  <c r="C146" i="282"/>
  <c r="C145" i="282"/>
  <c r="C144" i="282"/>
  <c r="C143" i="282"/>
  <c r="C142" i="282"/>
  <c r="C141" i="282"/>
  <c r="C140" i="282"/>
  <c r="C139" i="282"/>
  <c r="C138" i="282"/>
  <c r="C137" i="282"/>
  <c r="C136" i="282"/>
  <c r="C135" i="282"/>
  <c r="C134" i="282"/>
  <c r="C133" i="282"/>
  <c r="C132" i="282"/>
  <c r="C131" i="282"/>
  <c r="C130" i="282"/>
  <c r="C129" i="282"/>
  <c r="C128" i="282"/>
  <c r="C127" i="282"/>
  <c r="C126" i="282"/>
  <c r="C125" i="282"/>
  <c r="C124" i="282"/>
  <c r="C123" i="282"/>
  <c r="C122" i="282"/>
  <c r="C121" i="282"/>
  <c r="C120" i="282"/>
  <c r="C119" i="282"/>
  <c r="C118" i="282"/>
  <c r="C117" i="282"/>
  <c r="C116" i="282"/>
  <c r="C115" i="282"/>
  <c r="C114" i="282"/>
  <c r="C113" i="282"/>
  <c r="C112" i="282"/>
  <c r="C111" i="282"/>
  <c r="C110" i="282"/>
  <c r="C109" i="282"/>
  <c r="C108" i="282"/>
  <c r="C107" i="282"/>
  <c r="C106" i="282"/>
  <c r="C105" i="282"/>
  <c r="C104" i="282"/>
  <c r="C103" i="282"/>
  <c r="C102" i="282"/>
  <c r="C101" i="282"/>
  <c r="C100" i="282"/>
  <c r="C99" i="282"/>
  <c r="C98" i="282"/>
  <c r="C97" i="282"/>
  <c r="C96" i="282"/>
  <c r="C95" i="282"/>
  <c r="C94" i="282"/>
  <c r="C93" i="282"/>
  <c r="C92" i="282"/>
  <c r="C91" i="282"/>
  <c r="C90" i="282"/>
  <c r="C89" i="282"/>
  <c r="C88" i="282"/>
  <c r="C87" i="282"/>
  <c r="C86" i="282"/>
  <c r="C85" i="282"/>
  <c r="C84" i="282"/>
  <c r="C83" i="282"/>
  <c r="C82" i="282"/>
  <c r="C81" i="282"/>
  <c r="C80" i="282"/>
  <c r="C79" i="282"/>
  <c r="C78" i="282"/>
  <c r="C77" i="282"/>
  <c r="C76" i="282"/>
  <c r="C75" i="282"/>
  <c r="C74" i="282"/>
  <c r="C73" i="282"/>
  <c r="C72" i="282"/>
  <c r="C71" i="282"/>
  <c r="C70" i="282"/>
  <c r="C69" i="282"/>
  <c r="C68" i="282"/>
  <c r="C67" i="282"/>
  <c r="C66" i="282"/>
  <c r="C65" i="282"/>
  <c r="C64" i="282"/>
  <c r="C63" i="282"/>
  <c r="C62" i="282"/>
  <c r="C61" i="282"/>
  <c r="C60" i="282"/>
  <c r="C59" i="282"/>
  <c r="C58" i="282"/>
  <c r="C57" i="282"/>
  <c r="C56" i="282"/>
  <c r="C55" i="282"/>
  <c r="C54" i="282"/>
  <c r="C53" i="282"/>
  <c r="C52" i="282"/>
  <c r="C51" i="282"/>
  <c r="C50" i="282"/>
  <c r="C49" i="282"/>
  <c r="C48" i="282"/>
  <c r="C47" i="282"/>
  <c r="C46" i="282"/>
  <c r="C45" i="282"/>
  <c r="C44" i="282"/>
  <c r="C43" i="282"/>
  <c r="C42" i="282"/>
  <c r="C41" i="282"/>
  <c r="C40" i="282"/>
  <c r="C39" i="282"/>
  <c r="C38" i="282"/>
  <c r="C37" i="282"/>
  <c r="C36" i="282"/>
  <c r="C35" i="282"/>
  <c r="C34" i="282"/>
  <c r="C33" i="282"/>
  <c r="C32" i="282"/>
  <c r="C31" i="282"/>
  <c r="C30" i="282"/>
  <c r="C29" i="282"/>
  <c r="C28" i="282"/>
  <c r="C27" i="282"/>
  <c r="C26" i="282"/>
  <c r="C25" i="282"/>
  <c r="C24" i="282"/>
  <c r="C23" i="282"/>
  <c r="C22" i="282"/>
  <c r="C21" i="282"/>
  <c r="C20" i="282"/>
  <c r="C19" i="282"/>
  <c r="C18" i="282"/>
  <c r="C17" i="282"/>
  <c r="C16" i="282"/>
  <c r="C15" i="282"/>
  <c r="C14" i="282"/>
  <c r="C13" i="282"/>
  <c r="C12" i="282"/>
  <c r="C11" i="282"/>
  <c r="C10" i="282"/>
  <c r="C9" i="282"/>
  <c r="C8" i="282"/>
  <c r="C7" i="282"/>
  <c r="C6" i="282"/>
  <c r="C5" i="282"/>
  <c r="C4" i="282"/>
  <c r="D4" i="282" s="1"/>
  <c r="C3" i="282"/>
  <c r="B1000" i="282"/>
  <c r="B999" i="282"/>
  <c r="B998" i="282"/>
  <c r="B997" i="282"/>
  <c r="B996" i="282"/>
  <c r="B995" i="282"/>
  <c r="B994" i="282"/>
  <c r="B993" i="282"/>
  <c r="B992" i="282"/>
  <c r="B991" i="282"/>
  <c r="B990" i="282"/>
  <c r="B989" i="282"/>
  <c r="B988" i="282"/>
  <c r="B987" i="282"/>
  <c r="B986" i="282"/>
  <c r="B985" i="282"/>
  <c r="B984" i="282"/>
  <c r="B983" i="282"/>
  <c r="B982" i="282"/>
  <c r="B981" i="282"/>
  <c r="B980" i="282"/>
  <c r="B979" i="282"/>
  <c r="B978" i="282"/>
  <c r="B977" i="282"/>
  <c r="B976" i="282"/>
  <c r="B975" i="282"/>
  <c r="B974" i="282"/>
  <c r="B973" i="282"/>
  <c r="B972" i="282"/>
  <c r="B971" i="282"/>
  <c r="B970" i="282"/>
  <c r="B969" i="282"/>
  <c r="B968" i="282"/>
  <c r="B967" i="282"/>
  <c r="B966" i="282"/>
  <c r="B965" i="282"/>
  <c r="B964" i="282"/>
  <c r="B963" i="282"/>
  <c r="B962" i="282"/>
  <c r="B961" i="282"/>
  <c r="B960" i="282"/>
  <c r="B959" i="282"/>
  <c r="B958" i="282"/>
  <c r="B957" i="282"/>
  <c r="B956" i="282"/>
  <c r="B955" i="282"/>
  <c r="B954" i="282"/>
  <c r="B953" i="282"/>
  <c r="B952" i="282"/>
  <c r="B951" i="282"/>
  <c r="B950" i="282"/>
  <c r="B949" i="282"/>
  <c r="B948" i="282"/>
  <c r="B947" i="282"/>
  <c r="B946" i="282"/>
  <c r="B945" i="282"/>
  <c r="B944" i="282"/>
  <c r="B943" i="282"/>
  <c r="B942" i="282"/>
  <c r="B941" i="282"/>
  <c r="B940" i="282"/>
  <c r="B939" i="282"/>
  <c r="B938" i="282"/>
  <c r="B937" i="282"/>
  <c r="B936" i="282"/>
  <c r="B935" i="282"/>
  <c r="B934" i="282"/>
  <c r="B933" i="282"/>
  <c r="B932" i="282"/>
  <c r="B931" i="282"/>
  <c r="B930" i="282"/>
  <c r="B929" i="282"/>
  <c r="B928" i="282"/>
  <c r="B927" i="282"/>
  <c r="B926" i="282"/>
  <c r="B925" i="282"/>
  <c r="B924" i="282"/>
  <c r="B923" i="282"/>
  <c r="B922" i="282"/>
  <c r="B921" i="282"/>
  <c r="B920" i="282"/>
  <c r="B919" i="282"/>
  <c r="B918" i="282"/>
  <c r="B917" i="282"/>
  <c r="B916" i="282"/>
  <c r="B915" i="282"/>
  <c r="B914" i="282"/>
  <c r="B913" i="282"/>
  <c r="B912" i="282"/>
  <c r="B911" i="282"/>
  <c r="B910" i="282"/>
  <c r="B909" i="282"/>
  <c r="B908" i="282"/>
  <c r="B907" i="282"/>
  <c r="B906" i="282"/>
  <c r="B905" i="282"/>
  <c r="B904" i="282"/>
  <c r="B903" i="282"/>
  <c r="B902" i="282"/>
  <c r="B901" i="282"/>
  <c r="B900" i="282"/>
  <c r="B899" i="282"/>
  <c r="B898" i="282"/>
  <c r="B897" i="282"/>
  <c r="B896" i="282"/>
  <c r="B895" i="282"/>
  <c r="B894" i="282"/>
  <c r="B893" i="282"/>
  <c r="B892" i="282"/>
  <c r="B891" i="282"/>
  <c r="B890" i="282"/>
  <c r="B889" i="282"/>
  <c r="B888" i="282"/>
  <c r="B887" i="282"/>
  <c r="B886" i="282"/>
  <c r="B885" i="282"/>
  <c r="B884" i="282"/>
  <c r="B883" i="282"/>
  <c r="B882" i="282"/>
  <c r="B881" i="282"/>
  <c r="B880" i="282"/>
  <c r="B879" i="282"/>
  <c r="B878" i="282"/>
  <c r="B877" i="282"/>
  <c r="B876" i="282"/>
  <c r="B875" i="282"/>
  <c r="B874" i="282"/>
  <c r="B873" i="282"/>
  <c r="B872" i="282"/>
  <c r="B871" i="282"/>
  <c r="B870" i="282"/>
  <c r="B869" i="282"/>
  <c r="B868" i="282"/>
  <c r="B867" i="282"/>
  <c r="B866" i="282"/>
  <c r="B865" i="282"/>
  <c r="B864" i="282"/>
  <c r="B863" i="282"/>
  <c r="B862" i="282"/>
  <c r="B861" i="282"/>
  <c r="B860" i="282"/>
  <c r="B859" i="282"/>
  <c r="B858" i="282"/>
  <c r="B857" i="282"/>
  <c r="B856" i="282"/>
  <c r="B855" i="282"/>
  <c r="B854" i="282"/>
  <c r="B853" i="282"/>
  <c r="B852" i="282"/>
  <c r="B851" i="282"/>
  <c r="B850" i="282"/>
  <c r="B849" i="282"/>
  <c r="B848" i="282"/>
  <c r="B847" i="282"/>
  <c r="B846" i="282"/>
  <c r="B845" i="282"/>
  <c r="B844" i="282"/>
  <c r="B843" i="282"/>
  <c r="B842" i="282"/>
  <c r="B841" i="282"/>
  <c r="B840" i="282"/>
  <c r="B839" i="282"/>
  <c r="B838" i="282"/>
  <c r="B837" i="282"/>
  <c r="B836" i="282"/>
  <c r="B835" i="282"/>
  <c r="B834" i="282"/>
  <c r="B833" i="282"/>
  <c r="B832" i="282"/>
  <c r="B831" i="282"/>
  <c r="B830" i="282"/>
  <c r="B829" i="282"/>
  <c r="B828" i="282"/>
  <c r="B827" i="282"/>
  <c r="B826" i="282"/>
  <c r="B825" i="282"/>
  <c r="B824" i="282"/>
  <c r="B823" i="282"/>
  <c r="B822" i="282"/>
  <c r="B821" i="282"/>
  <c r="B820" i="282"/>
  <c r="B819" i="282"/>
  <c r="B818" i="282"/>
  <c r="B817" i="282"/>
  <c r="B816" i="282"/>
  <c r="B815" i="282"/>
  <c r="B814" i="282"/>
  <c r="B813" i="282"/>
  <c r="B812" i="282"/>
  <c r="B811" i="282"/>
  <c r="B810" i="282"/>
  <c r="B809" i="282"/>
  <c r="B808" i="282"/>
  <c r="B807" i="282"/>
  <c r="B806" i="282"/>
  <c r="B805" i="282"/>
  <c r="B804" i="282"/>
  <c r="B803" i="282"/>
  <c r="B802" i="282"/>
  <c r="B801" i="282"/>
  <c r="B800" i="282"/>
  <c r="B799" i="282"/>
  <c r="B798" i="282"/>
  <c r="B797" i="282"/>
  <c r="B796" i="282"/>
  <c r="B795" i="282"/>
  <c r="B794" i="282"/>
  <c r="B793" i="282"/>
  <c r="B792" i="282"/>
  <c r="B791" i="282"/>
  <c r="B790" i="282"/>
  <c r="B789" i="282"/>
  <c r="B788" i="282"/>
  <c r="B787" i="282"/>
  <c r="B786" i="282"/>
  <c r="B785" i="282"/>
  <c r="B784" i="282"/>
  <c r="B783" i="282"/>
  <c r="B782" i="282"/>
  <c r="B781" i="282"/>
  <c r="B780" i="282"/>
  <c r="B779" i="282"/>
  <c r="B778" i="282"/>
  <c r="B777" i="282"/>
  <c r="B776" i="282"/>
  <c r="B775" i="282"/>
  <c r="B774" i="282"/>
  <c r="B773" i="282"/>
  <c r="B772" i="282"/>
  <c r="B771" i="282"/>
  <c r="B770" i="282"/>
  <c r="B769" i="282"/>
  <c r="B768" i="282"/>
  <c r="B767" i="282"/>
  <c r="B766" i="282"/>
  <c r="B765" i="282"/>
  <c r="B764" i="282"/>
  <c r="B763" i="282"/>
  <c r="B762" i="282"/>
  <c r="B761" i="282"/>
  <c r="B760" i="282"/>
  <c r="B759" i="282"/>
  <c r="B758" i="282"/>
  <c r="B757" i="282"/>
  <c r="B756" i="282"/>
  <c r="B755" i="282"/>
  <c r="B754" i="282"/>
  <c r="B753" i="282"/>
  <c r="B752" i="282"/>
  <c r="B751" i="282"/>
  <c r="B750" i="282"/>
  <c r="B749" i="282"/>
  <c r="B748" i="282"/>
  <c r="B747" i="282"/>
  <c r="B746" i="282"/>
  <c r="B745" i="282"/>
  <c r="B744" i="282"/>
  <c r="B743" i="282"/>
  <c r="B742" i="282"/>
  <c r="B741" i="282"/>
  <c r="B740" i="282"/>
  <c r="B739" i="282"/>
  <c r="B738" i="282"/>
  <c r="B737" i="282"/>
  <c r="B736" i="282"/>
  <c r="B735" i="282"/>
  <c r="B734" i="282"/>
  <c r="B733" i="282"/>
  <c r="B732" i="282"/>
  <c r="B731" i="282"/>
  <c r="B730" i="282"/>
  <c r="B729" i="282"/>
  <c r="B728" i="282"/>
  <c r="B727" i="282"/>
  <c r="B726" i="282"/>
  <c r="B725" i="282"/>
  <c r="B724" i="282"/>
  <c r="B723" i="282"/>
  <c r="B722" i="282"/>
  <c r="B721" i="282"/>
  <c r="B720" i="282"/>
  <c r="B719" i="282"/>
  <c r="B718" i="282"/>
  <c r="B717" i="282"/>
  <c r="B716" i="282"/>
  <c r="B715" i="282"/>
  <c r="B714" i="282"/>
  <c r="B713" i="282"/>
  <c r="B712" i="282"/>
  <c r="B711" i="282"/>
  <c r="B710" i="282"/>
  <c r="B709" i="282"/>
  <c r="B708" i="282"/>
  <c r="B707" i="282"/>
  <c r="B706" i="282"/>
  <c r="B705" i="282"/>
  <c r="B704" i="282"/>
  <c r="B703" i="282"/>
  <c r="B702" i="282"/>
  <c r="B701" i="282"/>
  <c r="B700" i="282"/>
  <c r="B699" i="282"/>
  <c r="B698" i="282"/>
  <c r="B697" i="282"/>
  <c r="B696" i="282"/>
  <c r="B695" i="282"/>
  <c r="B694" i="282"/>
  <c r="B693" i="282"/>
  <c r="B692" i="282"/>
  <c r="B691" i="282"/>
  <c r="B690" i="282"/>
  <c r="B689" i="282"/>
  <c r="B688" i="282"/>
  <c r="B687" i="282"/>
  <c r="B686" i="282"/>
  <c r="B685" i="282"/>
  <c r="B684" i="282"/>
  <c r="B683" i="282"/>
  <c r="B682" i="282"/>
  <c r="B681" i="282"/>
  <c r="B680" i="282"/>
  <c r="B679" i="282"/>
  <c r="B678" i="282"/>
  <c r="B677" i="282"/>
  <c r="B676" i="282"/>
  <c r="B675" i="282"/>
  <c r="B674" i="282"/>
  <c r="B673" i="282"/>
  <c r="B672" i="282"/>
  <c r="B671" i="282"/>
  <c r="B670" i="282"/>
  <c r="B669" i="282"/>
  <c r="B668" i="282"/>
  <c r="B667" i="282"/>
  <c r="B666" i="282"/>
  <c r="B665" i="282"/>
  <c r="B664" i="282"/>
  <c r="B663" i="282"/>
  <c r="B662" i="282"/>
  <c r="B661" i="282"/>
  <c r="B660" i="282"/>
  <c r="B659" i="282"/>
  <c r="B658" i="282"/>
  <c r="B657" i="282"/>
  <c r="B656" i="282"/>
  <c r="B655" i="282"/>
  <c r="B654" i="282"/>
  <c r="B653" i="282"/>
  <c r="B652" i="282"/>
  <c r="B651" i="282"/>
  <c r="B650" i="282"/>
  <c r="B649" i="282"/>
  <c r="B648" i="282"/>
  <c r="B647" i="282"/>
  <c r="B646" i="282"/>
  <c r="B645" i="282"/>
  <c r="B644" i="282"/>
  <c r="B643" i="282"/>
  <c r="B642" i="282"/>
  <c r="B641" i="282"/>
  <c r="B640" i="282"/>
  <c r="B639" i="282"/>
  <c r="B638" i="282"/>
  <c r="B637" i="282"/>
  <c r="B636" i="282"/>
  <c r="B635" i="282"/>
  <c r="B634" i="282"/>
  <c r="B633" i="282"/>
  <c r="B632" i="282"/>
  <c r="B631" i="282"/>
  <c r="B630" i="282"/>
  <c r="B629" i="282"/>
  <c r="B628" i="282"/>
  <c r="B627" i="282"/>
  <c r="B626" i="282"/>
  <c r="B625" i="282"/>
  <c r="B624" i="282"/>
  <c r="B623" i="282"/>
  <c r="B622" i="282"/>
  <c r="B621" i="282"/>
  <c r="B620" i="282"/>
  <c r="B619" i="282"/>
  <c r="B618" i="282"/>
  <c r="B617" i="282"/>
  <c r="B616" i="282"/>
  <c r="B615" i="282"/>
  <c r="B614" i="282"/>
  <c r="B613" i="282"/>
  <c r="B612" i="282"/>
  <c r="B611" i="282"/>
  <c r="B610" i="282"/>
  <c r="B609" i="282"/>
  <c r="B608" i="282"/>
  <c r="B607" i="282"/>
  <c r="B606" i="282"/>
  <c r="B605" i="282"/>
  <c r="B604" i="282"/>
  <c r="B603" i="282"/>
  <c r="B602" i="282"/>
  <c r="B601" i="282"/>
  <c r="B600" i="282"/>
  <c r="B599" i="282"/>
  <c r="B598" i="282"/>
  <c r="B597" i="282"/>
  <c r="B596" i="282"/>
  <c r="B595" i="282"/>
  <c r="B594" i="282"/>
  <c r="B593" i="282"/>
  <c r="B592" i="282"/>
  <c r="B591" i="282"/>
  <c r="B590" i="282"/>
  <c r="B589" i="282"/>
  <c r="B588" i="282"/>
  <c r="B587" i="282"/>
  <c r="B586" i="282"/>
  <c r="B585" i="282"/>
  <c r="B584" i="282"/>
  <c r="B583" i="282"/>
  <c r="B582" i="282"/>
  <c r="B581" i="282"/>
  <c r="B580" i="282"/>
  <c r="B579" i="282"/>
  <c r="B578" i="282"/>
  <c r="B577" i="282"/>
  <c r="B576" i="282"/>
  <c r="B575" i="282"/>
  <c r="B574" i="282"/>
  <c r="B573" i="282"/>
  <c r="B572" i="282"/>
  <c r="B571" i="282"/>
  <c r="B570" i="282"/>
  <c r="B569" i="282"/>
  <c r="B568" i="282"/>
  <c r="B567" i="282"/>
  <c r="B566" i="282"/>
  <c r="B565" i="282"/>
  <c r="B564" i="282"/>
  <c r="B563" i="282"/>
  <c r="B562" i="282"/>
  <c r="B561" i="282"/>
  <c r="B560" i="282"/>
  <c r="B559" i="282"/>
  <c r="B558" i="282"/>
  <c r="B557" i="282"/>
  <c r="B556" i="282"/>
  <c r="B555" i="282"/>
  <c r="B554" i="282"/>
  <c r="B553" i="282"/>
  <c r="B552" i="282"/>
  <c r="B551" i="282"/>
  <c r="B550" i="282"/>
  <c r="B549" i="282"/>
  <c r="B548" i="282"/>
  <c r="B547" i="282"/>
  <c r="B546" i="282"/>
  <c r="B545" i="282"/>
  <c r="B544" i="282"/>
  <c r="B543" i="282"/>
  <c r="B542" i="282"/>
  <c r="B541" i="282"/>
  <c r="B540" i="282"/>
  <c r="B539" i="282"/>
  <c r="B538" i="282"/>
  <c r="B537" i="282"/>
  <c r="B536" i="282"/>
  <c r="B535" i="282"/>
  <c r="B534" i="282"/>
  <c r="B533" i="282"/>
  <c r="B532" i="282"/>
  <c r="B531" i="282"/>
  <c r="B530" i="282"/>
  <c r="B529" i="282"/>
  <c r="B528" i="282"/>
  <c r="B527" i="282"/>
  <c r="B526" i="282"/>
  <c r="B525" i="282"/>
  <c r="B524" i="282"/>
  <c r="B523" i="282"/>
  <c r="B522" i="282"/>
  <c r="B521" i="282"/>
  <c r="B520" i="282"/>
  <c r="B519" i="282"/>
  <c r="B518" i="282"/>
  <c r="B517" i="282"/>
  <c r="B516" i="282"/>
  <c r="B515" i="282"/>
  <c r="B514" i="282"/>
  <c r="B513" i="282"/>
  <c r="B512" i="282"/>
  <c r="B511" i="282"/>
  <c r="B510" i="282"/>
  <c r="B509" i="282"/>
  <c r="B508" i="282"/>
  <c r="B507" i="282"/>
  <c r="B506" i="282"/>
  <c r="B505" i="282"/>
  <c r="B504" i="282"/>
  <c r="B503" i="282"/>
  <c r="B502" i="282"/>
  <c r="B501" i="282"/>
  <c r="B500" i="282"/>
  <c r="B499" i="282"/>
  <c r="B498" i="282"/>
  <c r="B497" i="282"/>
  <c r="B496" i="282"/>
  <c r="B495" i="282"/>
  <c r="B494" i="282"/>
  <c r="B493" i="282"/>
  <c r="B492" i="282"/>
  <c r="B491" i="282"/>
  <c r="B490" i="282"/>
  <c r="B489" i="282"/>
  <c r="B488" i="282"/>
  <c r="B487" i="282"/>
  <c r="B486" i="282"/>
  <c r="B485" i="282"/>
  <c r="B484" i="282"/>
  <c r="B483" i="282"/>
  <c r="B482" i="282"/>
  <c r="B481" i="282"/>
  <c r="B480" i="282"/>
  <c r="B479" i="282"/>
  <c r="B478" i="282"/>
  <c r="B477" i="282"/>
  <c r="B476" i="282"/>
  <c r="B475" i="282"/>
  <c r="B474" i="282"/>
  <c r="B473" i="282"/>
  <c r="B472" i="282"/>
  <c r="B471" i="282"/>
  <c r="B470" i="282"/>
  <c r="B469" i="282"/>
  <c r="B468" i="282"/>
  <c r="B467" i="282"/>
  <c r="B466" i="282"/>
  <c r="B465" i="282"/>
  <c r="B464" i="282"/>
  <c r="B463" i="282"/>
  <c r="B462" i="282"/>
  <c r="B461" i="282"/>
  <c r="B460" i="282"/>
  <c r="B459" i="282"/>
  <c r="B458" i="282"/>
  <c r="B457" i="282"/>
  <c r="B456" i="282"/>
  <c r="B455" i="282"/>
  <c r="B454" i="282"/>
  <c r="B453" i="282"/>
  <c r="B452" i="282"/>
  <c r="B451" i="282"/>
  <c r="B450" i="282"/>
  <c r="B449" i="282"/>
  <c r="B448" i="282"/>
  <c r="B447" i="282"/>
  <c r="B446" i="282"/>
  <c r="B445" i="282"/>
  <c r="B444" i="282"/>
  <c r="B443" i="282"/>
  <c r="B442" i="282"/>
  <c r="B441" i="282"/>
  <c r="B440" i="282"/>
  <c r="B439" i="282"/>
  <c r="B438" i="282"/>
  <c r="B437" i="282"/>
  <c r="B436" i="282"/>
  <c r="B435" i="282"/>
  <c r="B434" i="282"/>
  <c r="B433" i="282"/>
  <c r="B432" i="282"/>
  <c r="B431" i="282"/>
  <c r="B430" i="282"/>
  <c r="B429" i="282"/>
  <c r="B428" i="282"/>
  <c r="B427" i="282"/>
  <c r="B426" i="282"/>
  <c r="B425" i="282"/>
  <c r="B424" i="282"/>
  <c r="B423" i="282"/>
  <c r="B422" i="282"/>
  <c r="B421" i="282"/>
  <c r="B420" i="282"/>
  <c r="B419" i="282"/>
  <c r="B418" i="282"/>
  <c r="B417" i="282"/>
  <c r="B416" i="282"/>
  <c r="B415" i="282"/>
  <c r="B414" i="282"/>
  <c r="B413" i="282"/>
  <c r="B412" i="282"/>
  <c r="B411" i="282"/>
  <c r="B410" i="282"/>
  <c r="B409" i="282"/>
  <c r="B408" i="282"/>
  <c r="B407" i="282"/>
  <c r="B406" i="282"/>
  <c r="B405" i="282"/>
  <c r="B404" i="282"/>
  <c r="B403" i="282"/>
  <c r="B402" i="282"/>
  <c r="B401" i="282"/>
  <c r="B400" i="282"/>
  <c r="B399" i="282"/>
  <c r="B398" i="282"/>
  <c r="B397" i="282"/>
  <c r="B396" i="282"/>
  <c r="B395" i="282"/>
  <c r="B394" i="282"/>
  <c r="B393" i="282"/>
  <c r="B392" i="282"/>
  <c r="B391" i="282"/>
  <c r="B390" i="282"/>
  <c r="B389" i="282"/>
  <c r="B388" i="282"/>
  <c r="B387" i="282"/>
  <c r="B386" i="282"/>
  <c r="B385" i="282"/>
  <c r="B384" i="282"/>
  <c r="B383" i="282"/>
  <c r="B382" i="282"/>
  <c r="B381" i="282"/>
  <c r="B380" i="282"/>
  <c r="B379" i="282"/>
  <c r="B378" i="282"/>
  <c r="B377" i="282"/>
  <c r="B376" i="282"/>
  <c r="B375" i="282"/>
  <c r="B374" i="282"/>
  <c r="B373" i="282"/>
  <c r="B372" i="282"/>
  <c r="B371" i="282"/>
  <c r="B370" i="282"/>
  <c r="B369" i="282"/>
  <c r="B368" i="282"/>
  <c r="B367" i="282"/>
  <c r="B366" i="282"/>
  <c r="B365" i="282"/>
  <c r="B364" i="282"/>
  <c r="B363" i="282"/>
  <c r="B362" i="282"/>
  <c r="B361" i="282"/>
  <c r="B360" i="282"/>
  <c r="B359" i="282"/>
  <c r="B358" i="282"/>
  <c r="B357" i="282"/>
  <c r="B356" i="282"/>
  <c r="B355" i="282"/>
  <c r="B354" i="282"/>
  <c r="B353" i="282"/>
  <c r="B352" i="282"/>
  <c r="B351" i="282"/>
  <c r="B350" i="282"/>
  <c r="B349" i="282"/>
  <c r="B348" i="282"/>
  <c r="B347" i="282"/>
  <c r="B346" i="282"/>
  <c r="B345" i="282"/>
  <c r="B344" i="282"/>
  <c r="B343" i="282"/>
  <c r="B342" i="282"/>
  <c r="B341" i="282"/>
  <c r="B340" i="282"/>
  <c r="B339" i="282"/>
  <c r="B338" i="282"/>
  <c r="B337" i="282"/>
  <c r="B336" i="282"/>
  <c r="B335" i="282"/>
  <c r="B334" i="282"/>
  <c r="B333" i="282"/>
  <c r="B332" i="282"/>
  <c r="B331" i="282"/>
  <c r="B330" i="282"/>
  <c r="B329" i="282"/>
  <c r="B328" i="282"/>
  <c r="B327" i="282"/>
  <c r="B326" i="282"/>
  <c r="B325" i="282"/>
  <c r="B324" i="282"/>
  <c r="B323" i="282"/>
  <c r="B322" i="282"/>
  <c r="B321" i="282"/>
  <c r="B320" i="282"/>
  <c r="B319" i="282"/>
  <c r="B318" i="282"/>
  <c r="B317" i="282"/>
  <c r="B316" i="282"/>
  <c r="B315" i="282"/>
  <c r="B314" i="282"/>
  <c r="B313" i="282"/>
  <c r="B312" i="282"/>
  <c r="B311" i="282"/>
  <c r="B310" i="282"/>
  <c r="B309" i="282"/>
  <c r="B308" i="282"/>
  <c r="B307" i="282"/>
  <c r="B306" i="282"/>
  <c r="B305" i="282"/>
  <c r="B304" i="282"/>
  <c r="B303" i="282"/>
  <c r="B302" i="282"/>
  <c r="B301" i="282"/>
  <c r="B300" i="282"/>
  <c r="B299" i="282"/>
  <c r="B298" i="282"/>
  <c r="B297" i="282"/>
  <c r="B296" i="282"/>
  <c r="B295" i="282"/>
  <c r="B294" i="282"/>
  <c r="B293" i="282"/>
  <c r="B292" i="282"/>
  <c r="B291" i="282"/>
  <c r="B290" i="282"/>
  <c r="B289" i="282"/>
  <c r="B288" i="282"/>
  <c r="B287" i="282"/>
  <c r="B286" i="282"/>
  <c r="B285" i="282"/>
  <c r="B284" i="282"/>
  <c r="B283" i="282"/>
  <c r="B282" i="282"/>
  <c r="B281" i="282"/>
  <c r="B280" i="282"/>
  <c r="B279" i="282"/>
  <c r="B278" i="282"/>
  <c r="B277" i="282"/>
  <c r="B276" i="282"/>
  <c r="B275" i="282"/>
  <c r="B274" i="282"/>
  <c r="B273" i="282"/>
  <c r="B272" i="282"/>
  <c r="B271" i="282"/>
  <c r="B270" i="282"/>
  <c r="B269" i="282"/>
  <c r="B268" i="282"/>
  <c r="B267" i="282"/>
  <c r="B266" i="282"/>
  <c r="B265" i="282"/>
  <c r="B264" i="282"/>
  <c r="B263" i="282"/>
  <c r="B262" i="282"/>
  <c r="B261" i="282"/>
  <c r="B260" i="282"/>
  <c r="B259" i="282"/>
  <c r="B258" i="282"/>
  <c r="B257" i="282"/>
  <c r="B256" i="282"/>
  <c r="B255" i="282"/>
  <c r="B254" i="282"/>
  <c r="B253" i="282"/>
  <c r="B252" i="282"/>
  <c r="B251" i="282"/>
  <c r="B250" i="282"/>
  <c r="B249" i="282"/>
  <c r="B248" i="282"/>
  <c r="B247" i="282"/>
  <c r="B246" i="282"/>
  <c r="B245" i="282"/>
  <c r="B244" i="282"/>
  <c r="B243" i="282"/>
  <c r="B242" i="282"/>
  <c r="B241" i="282"/>
  <c r="B240" i="282"/>
  <c r="B239" i="282"/>
  <c r="B238" i="282"/>
  <c r="B237" i="282"/>
  <c r="B236" i="282"/>
  <c r="B235" i="282"/>
  <c r="B234" i="282"/>
  <c r="B233" i="282"/>
  <c r="B232" i="282"/>
  <c r="B231" i="282"/>
  <c r="B230" i="282"/>
  <c r="B229" i="282"/>
  <c r="B228" i="282"/>
  <c r="B227" i="282"/>
  <c r="B226" i="282"/>
  <c r="B225" i="282"/>
  <c r="B224" i="282"/>
  <c r="B223" i="282"/>
  <c r="B222" i="282"/>
  <c r="B221" i="282"/>
  <c r="B220" i="282"/>
  <c r="B219" i="282"/>
  <c r="B218" i="282"/>
  <c r="B217" i="282"/>
  <c r="B216" i="282"/>
  <c r="B215" i="282"/>
  <c r="B214" i="282"/>
  <c r="B213" i="282"/>
  <c r="B212" i="282"/>
  <c r="B211" i="282"/>
  <c r="B210" i="282"/>
  <c r="B209" i="282"/>
  <c r="B208" i="282"/>
  <c r="B207" i="282"/>
  <c r="B206" i="282"/>
  <c r="B205" i="282"/>
  <c r="B204" i="282"/>
  <c r="B203" i="282"/>
  <c r="B202" i="282"/>
  <c r="B201" i="282"/>
  <c r="B200" i="282"/>
  <c r="B199" i="282"/>
  <c r="B198" i="282"/>
  <c r="B197" i="282"/>
  <c r="B196" i="282"/>
  <c r="B195" i="282"/>
  <c r="B194" i="282"/>
  <c r="B193" i="282"/>
  <c r="B192" i="282"/>
  <c r="B191" i="282"/>
  <c r="B190" i="282"/>
  <c r="B189" i="282"/>
  <c r="B188" i="282"/>
  <c r="B187" i="282"/>
  <c r="B186" i="282"/>
  <c r="B185" i="282"/>
  <c r="B184" i="282"/>
  <c r="B183" i="282"/>
  <c r="B182" i="282"/>
  <c r="B181" i="282"/>
  <c r="B180" i="282"/>
  <c r="B179" i="282"/>
  <c r="B178" i="282"/>
  <c r="B177" i="282"/>
  <c r="B176" i="282"/>
  <c r="B175" i="282"/>
  <c r="B174" i="282"/>
  <c r="B173" i="282"/>
  <c r="B172" i="282"/>
  <c r="B171" i="282"/>
  <c r="B170" i="282"/>
  <c r="B169" i="282"/>
  <c r="B168" i="282"/>
  <c r="B167" i="282"/>
  <c r="B166" i="282"/>
  <c r="B165" i="282"/>
  <c r="B164" i="282"/>
  <c r="B163" i="282"/>
  <c r="B162" i="282"/>
  <c r="B161" i="282"/>
  <c r="B160" i="282"/>
  <c r="B159" i="282"/>
  <c r="B158" i="282"/>
  <c r="B157" i="282"/>
  <c r="B156" i="282"/>
  <c r="B155" i="282"/>
  <c r="B154" i="282"/>
  <c r="B153" i="282"/>
  <c r="B152" i="282"/>
  <c r="B151" i="282"/>
  <c r="B150" i="282"/>
  <c r="B149" i="282"/>
  <c r="B148" i="282"/>
  <c r="B147" i="282"/>
  <c r="B146" i="282"/>
  <c r="B145" i="282"/>
  <c r="B144" i="282"/>
  <c r="B143" i="282"/>
  <c r="B142" i="282"/>
  <c r="B141" i="282"/>
  <c r="B140" i="282"/>
  <c r="B139" i="282"/>
  <c r="B138" i="282"/>
  <c r="B137" i="282"/>
  <c r="B136" i="282"/>
  <c r="B135" i="282"/>
  <c r="B134" i="282"/>
  <c r="B133" i="282"/>
  <c r="B132" i="282"/>
  <c r="B131" i="282"/>
  <c r="B130" i="282"/>
  <c r="B129" i="282"/>
  <c r="B128" i="282"/>
  <c r="B127" i="282"/>
  <c r="B126" i="282"/>
  <c r="B125" i="282"/>
  <c r="B124" i="282"/>
  <c r="B123" i="282"/>
  <c r="B122" i="282"/>
  <c r="B121" i="282"/>
  <c r="B120" i="282"/>
  <c r="B119" i="282"/>
  <c r="B118" i="282"/>
  <c r="B117" i="282"/>
  <c r="B116" i="282"/>
  <c r="B115" i="282"/>
  <c r="B114" i="282"/>
  <c r="B113" i="282"/>
  <c r="B112" i="282"/>
  <c r="B111" i="282"/>
  <c r="B110" i="282"/>
  <c r="B109" i="282"/>
  <c r="B108" i="282"/>
  <c r="B107" i="282"/>
  <c r="B106" i="282"/>
  <c r="B105" i="282"/>
  <c r="B104" i="282"/>
  <c r="B103" i="282"/>
  <c r="B102" i="282"/>
  <c r="B101" i="282"/>
  <c r="B100" i="282"/>
  <c r="B99" i="282"/>
  <c r="B98" i="282"/>
  <c r="B97" i="282"/>
  <c r="B96" i="282"/>
  <c r="B95" i="282"/>
  <c r="B94" i="282"/>
  <c r="B93" i="282"/>
  <c r="B92" i="282"/>
  <c r="B91" i="282"/>
  <c r="B90" i="282"/>
  <c r="B89" i="282"/>
  <c r="B88" i="282"/>
  <c r="B87" i="282"/>
  <c r="B86" i="282"/>
  <c r="B85" i="282"/>
  <c r="B84" i="282"/>
  <c r="B83" i="282"/>
  <c r="B82" i="282"/>
  <c r="B81" i="282"/>
  <c r="B80" i="282"/>
  <c r="B79" i="282"/>
  <c r="B78" i="282"/>
  <c r="B77" i="282"/>
  <c r="B76" i="282"/>
  <c r="B75" i="282"/>
  <c r="B74" i="282"/>
  <c r="B73" i="282"/>
  <c r="B72" i="282"/>
  <c r="B71" i="282"/>
  <c r="B70" i="282"/>
  <c r="B69" i="282"/>
  <c r="B68" i="282"/>
  <c r="B67" i="282"/>
  <c r="B66" i="282"/>
  <c r="B65" i="282"/>
  <c r="B64" i="282"/>
  <c r="B63" i="282"/>
  <c r="B62" i="282"/>
  <c r="B61" i="282"/>
  <c r="B60" i="282"/>
  <c r="B59" i="282"/>
  <c r="B58" i="282"/>
  <c r="B57" i="282"/>
  <c r="B56" i="282"/>
  <c r="B55" i="282"/>
  <c r="B54" i="282"/>
  <c r="B53" i="282"/>
  <c r="B52" i="282"/>
  <c r="B51" i="282"/>
  <c r="B50" i="282"/>
  <c r="B49" i="282"/>
  <c r="B48" i="282"/>
  <c r="B47" i="282"/>
  <c r="B46" i="282"/>
  <c r="B45" i="282"/>
  <c r="B44" i="282"/>
  <c r="B43" i="282"/>
  <c r="B42" i="282"/>
  <c r="B41" i="282"/>
  <c r="B40" i="282"/>
  <c r="B39" i="282"/>
  <c r="B38" i="282"/>
  <c r="B37" i="282"/>
  <c r="B36" i="282"/>
  <c r="B35" i="282"/>
  <c r="B34" i="282"/>
  <c r="B33" i="282"/>
  <c r="B32" i="282"/>
  <c r="B31" i="282"/>
  <c r="B30" i="282"/>
  <c r="B29" i="282"/>
  <c r="B28" i="282"/>
  <c r="B27" i="282"/>
  <c r="B26" i="282"/>
  <c r="B25" i="282"/>
  <c r="B24" i="282"/>
  <c r="B23" i="282"/>
  <c r="B22" i="282"/>
  <c r="B21" i="282"/>
  <c r="B20" i="282"/>
  <c r="B19" i="282"/>
  <c r="B18" i="282"/>
  <c r="B17" i="282"/>
  <c r="B16" i="282"/>
  <c r="B15" i="282"/>
  <c r="B14" i="282"/>
  <c r="B13" i="282"/>
  <c r="B12" i="282"/>
  <c r="B11" i="282"/>
  <c r="B10" i="282"/>
  <c r="B9" i="282"/>
  <c r="B8" i="282"/>
  <c r="B7" i="282"/>
  <c r="B6" i="282"/>
  <c r="B5" i="282"/>
  <c r="B4" i="282"/>
  <c r="E4" i="282" s="1"/>
  <c r="F4" i="282" s="1"/>
  <c r="B3" i="282"/>
  <c r="E3" i="282" s="1"/>
  <c r="F3" i="282" s="1"/>
  <c r="C1000" i="281"/>
  <c r="C999" i="281"/>
  <c r="C998" i="281"/>
  <c r="C997" i="281"/>
  <c r="C996" i="281"/>
  <c r="C995" i="281"/>
  <c r="C994" i="281"/>
  <c r="C993" i="281"/>
  <c r="C992" i="281"/>
  <c r="C991" i="281"/>
  <c r="C990" i="281"/>
  <c r="C989" i="281"/>
  <c r="C988" i="281"/>
  <c r="C987" i="281"/>
  <c r="C986" i="281"/>
  <c r="C985" i="281"/>
  <c r="C984" i="281"/>
  <c r="C983" i="281"/>
  <c r="C982" i="281"/>
  <c r="C981" i="281"/>
  <c r="C980" i="281"/>
  <c r="C979" i="281"/>
  <c r="C978" i="281"/>
  <c r="C977" i="281"/>
  <c r="C976" i="281"/>
  <c r="C975" i="281"/>
  <c r="C974" i="281"/>
  <c r="C973" i="281"/>
  <c r="C972" i="281"/>
  <c r="C971" i="281"/>
  <c r="C970" i="281"/>
  <c r="C969" i="281"/>
  <c r="C968" i="281"/>
  <c r="C967" i="281"/>
  <c r="C966" i="281"/>
  <c r="C965" i="281"/>
  <c r="C964" i="281"/>
  <c r="C963" i="281"/>
  <c r="C962" i="281"/>
  <c r="C961" i="281"/>
  <c r="C960" i="281"/>
  <c r="C959" i="281"/>
  <c r="C958" i="281"/>
  <c r="C957" i="281"/>
  <c r="C956" i="281"/>
  <c r="C955" i="281"/>
  <c r="C954" i="281"/>
  <c r="C953" i="281"/>
  <c r="C952" i="281"/>
  <c r="C951" i="281"/>
  <c r="C950" i="281"/>
  <c r="C949" i="281"/>
  <c r="C948" i="281"/>
  <c r="C947" i="281"/>
  <c r="C946" i="281"/>
  <c r="C945" i="281"/>
  <c r="C944" i="281"/>
  <c r="C943" i="281"/>
  <c r="C942" i="281"/>
  <c r="C941" i="281"/>
  <c r="C940" i="281"/>
  <c r="C939" i="281"/>
  <c r="C938" i="281"/>
  <c r="C937" i="281"/>
  <c r="C936" i="281"/>
  <c r="C935" i="281"/>
  <c r="C934" i="281"/>
  <c r="C933" i="281"/>
  <c r="C932" i="281"/>
  <c r="C931" i="281"/>
  <c r="C930" i="281"/>
  <c r="C929" i="281"/>
  <c r="C928" i="281"/>
  <c r="C927" i="281"/>
  <c r="C926" i="281"/>
  <c r="C925" i="281"/>
  <c r="C924" i="281"/>
  <c r="C923" i="281"/>
  <c r="C922" i="281"/>
  <c r="C921" i="281"/>
  <c r="C920" i="281"/>
  <c r="C919" i="281"/>
  <c r="C918" i="281"/>
  <c r="C917" i="281"/>
  <c r="C916" i="281"/>
  <c r="C915" i="281"/>
  <c r="C914" i="281"/>
  <c r="C913" i="281"/>
  <c r="C912" i="281"/>
  <c r="C911" i="281"/>
  <c r="C910" i="281"/>
  <c r="C909" i="281"/>
  <c r="C908" i="281"/>
  <c r="C907" i="281"/>
  <c r="C906" i="281"/>
  <c r="C905" i="281"/>
  <c r="C904" i="281"/>
  <c r="C903" i="281"/>
  <c r="C902" i="281"/>
  <c r="C901" i="281"/>
  <c r="C900" i="281"/>
  <c r="C899" i="281"/>
  <c r="C898" i="281"/>
  <c r="C897" i="281"/>
  <c r="C896" i="281"/>
  <c r="C895" i="281"/>
  <c r="C894" i="281"/>
  <c r="C893" i="281"/>
  <c r="C892" i="281"/>
  <c r="C891" i="281"/>
  <c r="C890" i="281"/>
  <c r="C889" i="281"/>
  <c r="C888" i="281"/>
  <c r="C887" i="281"/>
  <c r="C886" i="281"/>
  <c r="C885" i="281"/>
  <c r="C884" i="281"/>
  <c r="C883" i="281"/>
  <c r="C882" i="281"/>
  <c r="C881" i="281"/>
  <c r="C880" i="281"/>
  <c r="C879" i="281"/>
  <c r="C878" i="281"/>
  <c r="C877" i="281"/>
  <c r="C876" i="281"/>
  <c r="C875" i="281"/>
  <c r="C874" i="281"/>
  <c r="C873" i="281"/>
  <c r="C872" i="281"/>
  <c r="C871" i="281"/>
  <c r="C870" i="281"/>
  <c r="C869" i="281"/>
  <c r="C868" i="281"/>
  <c r="C867" i="281"/>
  <c r="C866" i="281"/>
  <c r="C865" i="281"/>
  <c r="C864" i="281"/>
  <c r="C863" i="281"/>
  <c r="C862" i="281"/>
  <c r="C861" i="281"/>
  <c r="C860" i="281"/>
  <c r="C859" i="281"/>
  <c r="C858" i="281"/>
  <c r="C857" i="281"/>
  <c r="C856" i="281"/>
  <c r="C855" i="281"/>
  <c r="C854" i="281"/>
  <c r="C853" i="281"/>
  <c r="C852" i="281"/>
  <c r="C851" i="281"/>
  <c r="C850" i="281"/>
  <c r="C849" i="281"/>
  <c r="C848" i="281"/>
  <c r="C847" i="281"/>
  <c r="C846" i="281"/>
  <c r="C845" i="281"/>
  <c r="C844" i="281"/>
  <c r="C843" i="281"/>
  <c r="C842" i="281"/>
  <c r="C841" i="281"/>
  <c r="C840" i="281"/>
  <c r="C839" i="281"/>
  <c r="C838" i="281"/>
  <c r="C837" i="281"/>
  <c r="C836" i="281"/>
  <c r="C835" i="281"/>
  <c r="C834" i="281"/>
  <c r="C833" i="281"/>
  <c r="C832" i="281"/>
  <c r="C831" i="281"/>
  <c r="C830" i="281"/>
  <c r="C829" i="281"/>
  <c r="C828" i="281"/>
  <c r="C827" i="281"/>
  <c r="C826" i="281"/>
  <c r="C825" i="281"/>
  <c r="C824" i="281"/>
  <c r="C823" i="281"/>
  <c r="C822" i="281"/>
  <c r="C821" i="281"/>
  <c r="C820" i="281"/>
  <c r="C819" i="281"/>
  <c r="C818" i="281"/>
  <c r="C817" i="281"/>
  <c r="C816" i="281"/>
  <c r="C815" i="281"/>
  <c r="C814" i="281"/>
  <c r="C813" i="281"/>
  <c r="C812" i="281"/>
  <c r="C811" i="281"/>
  <c r="C810" i="281"/>
  <c r="C809" i="281"/>
  <c r="C808" i="281"/>
  <c r="C807" i="281"/>
  <c r="C806" i="281"/>
  <c r="C805" i="281"/>
  <c r="C804" i="281"/>
  <c r="C803" i="281"/>
  <c r="C802" i="281"/>
  <c r="C801" i="281"/>
  <c r="C800" i="281"/>
  <c r="C799" i="281"/>
  <c r="C798" i="281"/>
  <c r="C797" i="281"/>
  <c r="C796" i="281"/>
  <c r="C795" i="281"/>
  <c r="C794" i="281"/>
  <c r="C793" i="281"/>
  <c r="C792" i="281"/>
  <c r="C791" i="281"/>
  <c r="C790" i="281"/>
  <c r="C789" i="281"/>
  <c r="C788" i="281"/>
  <c r="C787" i="281"/>
  <c r="C786" i="281"/>
  <c r="C785" i="281"/>
  <c r="C784" i="281"/>
  <c r="C783" i="281"/>
  <c r="C782" i="281"/>
  <c r="C781" i="281"/>
  <c r="C780" i="281"/>
  <c r="C779" i="281"/>
  <c r="C778" i="281"/>
  <c r="C777" i="281"/>
  <c r="C776" i="281"/>
  <c r="C775" i="281"/>
  <c r="C774" i="281"/>
  <c r="C773" i="281"/>
  <c r="C772" i="281"/>
  <c r="C771" i="281"/>
  <c r="C770" i="281"/>
  <c r="C769" i="281"/>
  <c r="C768" i="281"/>
  <c r="C767" i="281"/>
  <c r="C766" i="281"/>
  <c r="C765" i="281"/>
  <c r="C764" i="281"/>
  <c r="C763" i="281"/>
  <c r="C762" i="281"/>
  <c r="C761" i="281"/>
  <c r="C760" i="281"/>
  <c r="C759" i="281"/>
  <c r="C758" i="281"/>
  <c r="C757" i="281"/>
  <c r="C756" i="281"/>
  <c r="C755" i="281"/>
  <c r="C754" i="281"/>
  <c r="C753" i="281"/>
  <c r="C752" i="281"/>
  <c r="C751" i="281"/>
  <c r="C750" i="281"/>
  <c r="C749" i="281"/>
  <c r="C748" i="281"/>
  <c r="C747" i="281"/>
  <c r="C746" i="281"/>
  <c r="C745" i="281"/>
  <c r="C744" i="281"/>
  <c r="C743" i="281"/>
  <c r="C742" i="281"/>
  <c r="C741" i="281"/>
  <c r="C740" i="281"/>
  <c r="C739" i="281"/>
  <c r="C738" i="281"/>
  <c r="C737" i="281"/>
  <c r="C736" i="281"/>
  <c r="C735" i="281"/>
  <c r="C734" i="281"/>
  <c r="C733" i="281"/>
  <c r="C732" i="281"/>
  <c r="C731" i="281"/>
  <c r="C730" i="281"/>
  <c r="C729" i="281"/>
  <c r="C728" i="281"/>
  <c r="C727" i="281"/>
  <c r="C726" i="281"/>
  <c r="C725" i="281"/>
  <c r="C724" i="281"/>
  <c r="C723" i="281"/>
  <c r="C722" i="281"/>
  <c r="C721" i="281"/>
  <c r="C720" i="281"/>
  <c r="C719" i="281"/>
  <c r="C718" i="281"/>
  <c r="C717" i="281"/>
  <c r="C716" i="281"/>
  <c r="C715" i="281"/>
  <c r="C714" i="281"/>
  <c r="C713" i="281"/>
  <c r="C712" i="281"/>
  <c r="C711" i="281"/>
  <c r="C710" i="281"/>
  <c r="C709" i="281"/>
  <c r="C708" i="281"/>
  <c r="C707" i="281"/>
  <c r="C706" i="281"/>
  <c r="C705" i="281"/>
  <c r="C704" i="281"/>
  <c r="C703" i="281"/>
  <c r="C702" i="281"/>
  <c r="C701" i="281"/>
  <c r="C700" i="281"/>
  <c r="C699" i="281"/>
  <c r="C698" i="281"/>
  <c r="C697" i="281"/>
  <c r="C696" i="281"/>
  <c r="C695" i="281"/>
  <c r="C694" i="281"/>
  <c r="C693" i="281"/>
  <c r="C692" i="281"/>
  <c r="C691" i="281"/>
  <c r="C690" i="281"/>
  <c r="C689" i="281"/>
  <c r="C688" i="281"/>
  <c r="C687" i="281"/>
  <c r="C686" i="281"/>
  <c r="C685" i="281"/>
  <c r="C684" i="281"/>
  <c r="C683" i="281"/>
  <c r="C682" i="281"/>
  <c r="C681" i="281"/>
  <c r="C680" i="281"/>
  <c r="C679" i="281"/>
  <c r="C678" i="281"/>
  <c r="C677" i="281"/>
  <c r="C676" i="281"/>
  <c r="C675" i="281"/>
  <c r="C674" i="281"/>
  <c r="C673" i="281"/>
  <c r="C672" i="281"/>
  <c r="C671" i="281"/>
  <c r="C670" i="281"/>
  <c r="C669" i="281"/>
  <c r="C668" i="281"/>
  <c r="C667" i="281"/>
  <c r="C666" i="281"/>
  <c r="C665" i="281"/>
  <c r="C664" i="281"/>
  <c r="C663" i="281"/>
  <c r="C662" i="281"/>
  <c r="C661" i="281"/>
  <c r="C660" i="281"/>
  <c r="C659" i="281"/>
  <c r="C658" i="281"/>
  <c r="C657" i="281"/>
  <c r="C656" i="281"/>
  <c r="C655" i="281"/>
  <c r="C654" i="281"/>
  <c r="C653" i="281"/>
  <c r="C652" i="281"/>
  <c r="C651" i="281"/>
  <c r="C650" i="281"/>
  <c r="C649" i="281"/>
  <c r="C648" i="281"/>
  <c r="C647" i="281"/>
  <c r="C646" i="281"/>
  <c r="C645" i="281"/>
  <c r="C644" i="281"/>
  <c r="C643" i="281"/>
  <c r="C642" i="281"/>
  <c r="C641" i="281"/>
  <c r="C640" i="281"/>
  <c r="C639" i="281"/>
  <c r="C638" i="281"/>
  <c r="C637" i="281"/>
  <c r="C636" i="281"/>
  <c r="C635" i="281"/>
  <c r="C634" i="281"/>
  <c r="C633" i="281"/>
  <c r="C632" i="281"/>
  <c r="C631" i="281"/>
  <c r="C630" i="281"/>
  <c r="C629" i="281"/>
  <c r="C628" i="281"/>
  <c r="C627" i="281"/>
  <c r="C626" i="281"/>
  <c r="C625" i="281"/>
  <c r="C624" i="281"/>
  <c r="C623" i="281"/>
  <c r="C622" i="281"/>
  <c r="C621" i="281"/>
  <c r="C620" i="281"/>
  <c r="C619" i="281"/>
  <c r="C618" i="281"/>
  <c r="C617" i="281"/>
  <c r="C616" i="281"/>
  <c r="C615" i="281"/>
  <c r="C614" i="281"/>
  <c r="C613" i="281"/>
  <c r="C612" i="281"/>
  <c r="C611" i="281"/>
  <c r="C610" i="281"/>
  <c r="C609" i="281"/>
  <c r="C608" i="281"/>
  <c r="C607" i="281"/>
  <c r="C606" i="281"/>
  <c r="C605" i="281"/>
  <c r="C604" i="281"/>
  <c r="C603" i="281"/>
  <c r="C602" i="281"/>
  <c r="C601" i="281"/>
  <c r="C600" i="281"/>
  <c r="C599" i="281"/>
  <c r="C598" i="281"/>
  <c r="C597" i="281"/>
  <c r="C596" i="281"/>
  <c r="C595" i="281"/>
  <c r="C594" i="281"/>
  <c r="C593" i="281"/>
  <c r="C592" i="281"/>
  <c r="C591" i="281"/>
  <c r="C590" i="281"/>
  <c r="C589" i="281"/>
  <c r="C588" i="281"/>
  <c r="C587" i="281"/>
  <c r="C586" i="281"/>
  <c r="C585" i="281"/>
  <c r="C584" i="281"/>
  <c r="C583" i="281"/>
  <c r="C582" i="281"/>
  <c r="C581" i="281"/>
  <c r="C580" i="281"/>
  <c r="C579" i="281"/>
  <c r="C578" i="281"/>
  <c r="C577" i="281"/>
  <c r="C576" i="281"/>
  <c r="C575" i="281"/>
  <c r="C574" i="281"/>
  <c r="C573" i="281"/>
  <c r="C572" i="281"/>
  <c r="C571" i="281"/>
  <c r="C570" i="281"/>
  <c r="C569" i="281"/>
  <c r="C568" i="281"/>
  <c r="C567" i="281"/>
  <c r="C566" i="281"/>
  <c r="C565" i="281"/>
  <c r="C564" i="281"/>
  <c r="C563" i="281"/>
  <c r="C562" i="281"/>
  <c r="C561" i="281"/>
  <c r="C560" i="281"/>
  <c r="C559" i="281"/>
  <c r="C558" i="281"/>
  <c r="C557" i="281"/>
  <c r="C556" i="281"/>
  <c r="C555" i="281"/>
  <c r="C554" i="281"/>
  <c r="C553" i="281"/>
  <c r="C552" i="281"/>
  <c r="C551" i="281"/>
  <c r="C550" i="281"/>
  <c r="C549" i="281"/>
  <c r="C548" i="281"/>
  <c r="C547" i="281"/>
  <c r="C546" i="281"/>
  <c r="C545" i="281"/>
  <c r="C544" i="281"/>
  <c r="C543" i="281"/>
  <c r="C542" i="281"/>
  <c r="C541" i="281"/>
  <c r="C540" i="281"/>
  <c r="C539" i="281"/>
  <c r="C538" i="281"/>
  <c r="C537" i="281"/>
  <c r="C536" i="281"/>
  <c r="C535" i="281"/>
  <c r="C534" i="281"/>
  <c r="C533" i="281"/>
  <c r="C532" i="281"/>
  <c r="C531" i="281"/>
  <c r="C530" i="281"/>
  <c r="C529" i="281"/>
  <c r="C528" i="281"/>
  <c r="C527" i="281"/>
  <c r="C526" i="281"/>
  <c r="C525" i="281"/>
  <c r="C524" i="281"/>
  <c r="C523" i="281"/>
  <c r="C522" i="281"/>
  <c r="C521" i="281"/>
  <c r="C520" i="281"/>
  <c r="C519" i="281"/>
  <c r="C518" i="281"/>
  <c r="C517" i="281"/>
  <c r="C516" i="281"/>
  <c r="C515" i="281"/>
  <c r="C514" i="281"/>
  <c r="C513" i="281"/>
  <c r="C512" i="281"/>
  <c r="C511" i="281"/>
  <c r="C510" i="281"/>
  <c r="C509" i="281"/>
  <c r="C508" i="281"/>
  <c r="C507" i="281"/>
  <c r="C506" i="281"/>
  <c r="C505" i="281"/>
  <c r="C504" i="281"/>
  <c r="C503" i="281"/>
  <c r="C502" i="281"/>
  <c r="C501" i="281"/>
  <c r="C500" i="281"/>
  <c r="C499" i="281"/>
  <c r="C498" i="281"/>
  <c r="C497" i="281"/>
  <c r="C496" i="281"/>
  <c r="C495" i="281"/>
  <c r="C494" i="281"/>
  <c r="C493" i="281"/>
  <c r="C492" i="281"/>
  <c r="C491" i="281"/>
  <c r="C490" i="281"/>
  <c r="C489" i="281"/>
  <c r="C488" i="281"/>
  <c r="C487" i="281"/>
  <c r="C486" i="281"/>
  <c r="C485" i="281"/>
  <c r="C484" i="281"/>
  <c r="C483" i="281"/>
  <c r="C482" i="281"/>
  <c r="C481" i="281"/>
  <c r="C480" i="281"/>
  <c r="C479" i="281"/>
  <c r="C478" i="281"/>
  <c r="C477" i="281"/>
  <c r="C476" i="281"/>
  <c r="C475" i="281"/>
  <c r="C474" i="281"/>
  <c r="C473" i="281"/>
  <c r="C472" i="281"/>
  <c r="C471" i="281"/>
  <c r="C470" i="281"/>
  <c r="C469" i="281"/>
  <c r="C468" i="281"/>
  <c r="C467" i="281"/>
  <c r="C466" i="281"/>
  <c r="C465" i="281"/>
  <c r="C464" i="281"/>
  <c r="C463" i="281"/>
  <c r="C462" i="281"/>
  <c r="C461" i="281"/>
  <c r="C460" i="281"/>
  <c r="C459" i="281"/>
  <c r="C458" i="281"/>
  <c r="C457" i="281"/>
  <c r="C456" i="281"/>
  <c r="C455" i="281"/>
  <c r="C454" i="281"/>
  <c r="C453" i="281"/>
  <c r="C452" i="281"/>
  <c r="C451" i="281"/>
  <c r="C450" i="281"/>
  <c r="C449" i="281"/>
  <c r="C448" i="281"/>
  <c r="C447" i="281"/>
  <c r="C446" i="281"/>
  <c r="C445" i="281"/>
  <c r="C444" i="281"/>
  <c r="C443" i="281"/>
  <c r="C442" i="281"/>
  <c r="C441" i="281"/>
  <c r="C440" i="281"/>
  <c r="C439" i="281"/>
  <c r="C438" i="281"/>
  <c r="C437" i="281"/>
  <c r="C436" i="281"/>
  <c r="C435" i="281"/>
  <c r="C434" i="281"/>
  <c r="C433" i="281"/>
  <c r="C432" i="281"/>
  <c r="C431" i="281"/>
  <c r="C430" i="281"/>
  <c r="C429" i="281"/>
  <c r="C428" i="281"/>
  <c r="C427" i="281"/>
  <c r="C426" i="281"/>
  <c r="C425" i="281"/>
  <c r="C424" i="281"/>
  <c r="C423" i="281"/>
  <c r="C422" i="281"/>
  <c r="C421" i="281"/>
  <c r="C420" i="281"/>
  <c r="C419" i="281"/>
  <c r="C418" i="281"/>
  <c r="C417" i="281"/>
  <c r="C416" i="281"/>
  <c r="C415" i="281"/>
  <c r="C414" i="281"/>
  <c r="C413" i="281"/>
  <c r="C412" i="281"/>
  <c r="C411" i="281"/>
  <c r="C410" i="281"/>
  <c r="C409" i="281"/>
  <c r="C408" i="281"/>
  <c r="C407" i="281"/>
  <c r="C406" i="281"/>
  <c r="C405" i="281"/>
  <c r="C404" i="281"/>
  <c r="C403" i="281"/>
  <c r="C402" i="281"/>
  <c r="C401" i="281"/>
  <c r="C400" i="281"/>
  <c r="C399" i="281"/>
  <c r="C398" i="281"/>
  <c r="C397" i="281"/>
  <c r="C396" i="281"/>
  <c r="C395" i="281"/>
  <c r="C394" i="281"/>
  <c r="C393" i="281"/>
  <c r="C392" i="281"/>
  <c r="C391" i="281"/>
  <c r="C390" i="281"/>
  <c r="C389" i="281"/>
  <c r="C388" i="281"/>
  <c r="C387" i="281"/>
  <c r="C386" i="281"/>
  <c r="C385" i="281"/>
  <c r="C384" i="281"/>
  <c r="C383" i="281"/>
  <c r="C382" i="281"/>
  <c r="C381" i="281"/>
  <c r="C380" i="281"/>
  <c r="C379" i="281"/>
  <c r="C378" i="281"/>
  <c r="C377" i="281"/>
  <c r="C376" i="281"/>
  <c r="C375" i="281"/>
  <c r="C374" i="281"/>
  <c r="C373" i="281"/>
  <c r="C372" i="281"/>
  <c r="C371" i="281"/>
  <c r="C370" i="281"/>
  <c r="C369" i="281"/>
  <c r="C368" i="281"/>
  <c r="C367" i="281"/>
  <c r="C366" i="281"/>
  <c r="C365" i="281"/>
  <c r="C364" i="281"/>
  <c r="C363" i="281"/>
  <c r="C362" i="281"/>
  <c r="C361" i="281"/>
  <c r="C360" i="281"/>
  <c r="C359" i="281"/>
  <c r="C358" i="281"/>
  <c r="C357" i="281"/>
  <c r="C356" i="281"/>
  <c r="C355" i="281"/>
  <c r="C354" i="281"/>
  <c r="C353" i="281"/>
  <c r="C352" i="281"/>
  <c r="C351" i="281"/>
  <c r="C350" i="281"/>
  <c r="C349" i="281"/>
  <c r="C348" i="281"/>
  <c r="C347" i="281"/>
  <c r="C346" i="281"/>
  <c r="C345" i="281"/>
  <c r="C344" i="281"/>
  <c r="C343" i="281"/>
  <c r="C342" i="281"/>
  <c r="C341" i="281"/>
  <c r="C340" i="281"/>
  <c r="C339" i="281"/>
  <c r="C338" i="281"/>
  <c r="C337" i="281"/>
  <c r="C336" i="281"/>
  <c r="C335" i="281"/>
  <c r="C334" i="281"/>
  <c r="C333" i="281"/>
  <c r="C332" i="281"/>
  <c r="C331" i="281"/>
  <c r="C330" i="281"/>
  <c r="C329" i="281"/>
  <c r="C328" i="281"/>
  <c r="C327" i="281"/>
  <c r="C326" i="281"/>
  <c r="C325" i="281"/>
  <c r="C324" i="281"/>
  <c r="C323" i="281"/>
  <c r="C322" i="281"/>
  <c r="C321" i="281"/>
  <c r="C320" i="281"/>
  <c r="C319" i="281"/>
  <c r="C318" i="281"/>
  <c r="C317" i="281"/>
  <c r="C316" i="281"/>
  <c r="C315" i="281"/>
  <c r="C314" i="281"/>
  <c r="C313" i="281"/>
  <c r="C312" i="281"/>
  <c r="C311" i="281"/>
  <c r="C310" i="281"/>
  <c r="C309" i="281"/>
  <c r="C308" i="281"/>
  <c r="C307" i="281"/>
  <c r="C306" i="281"/>
  <c r="C305" i="281"/>
  <c r="C304" i="281"/>
  <c r="C303" i="281"/>
  <c r="C302" i="281"/>
  <c r="C301" i="281"/>
  <c r="C300" i="281"/>
  <c r="C299" i="281"/>
  <c r="C298" i="281"/>
  <c r="C297" i="281"/>
  <c r="C296" i="281"/>
  <c r="C295" i="281"/>
  <c r="C294" i="281"/>
  <c r="C293" i="281"/>
  <c r="C292" i="281"/>
  <c r="C291" i="281"/>
  <c r="C290" i="281"/>
  <c r="C289" i="281"/>
  <c r="C288" i="281"/>
  <c r="C287" i="281"/>
  <c r="C286" i="281"/>
  <c r="C285" i="281"/>
  <c r="C284" i="281"/>
  <c r="C283" i="281"/>
  <c r="C282" i="281"/>
  <c r="C281" i="281"/>
  <c r="C280" i="281"/>
  <c r="C279" i="281"/>
  <c r="C278" i="281"/>
  <c r="C277" i="281"/>
  <c r="C276" i="281"/>
  <c r="C275" i="281"/>
  <c r="C274" i="281"/>
  <c r="C273" i="281"/>
  <c r="C272" i="281"/>
  <c r="C271" i="281"/>
  <c r="C270" i="281"/>
  <c r="C269" i="281"/>
  <c r="C268" i="281"/>
  <c r="C267" i="281"/>
  <c r="C266" i="281"/>
  <c r="C265" i="281"/>
  <c r="C264" i="281"/>
  <c r="C263" i="281"/>
  <c r="C262" i="281"/>
  <c r="C261" i="281"/>
  <c r="C260" i="281"/>
  <c r="C259" i="281"/>
  <c r="C258" i="281"/>
  <c r="C257" i="281"/>
  <c r="C256" i="281"/>
  <c r="C255" i="281"/>
  <c r="C254" i="281"/>
  <c r="C253" i="281"/>
  <c r="C252" i="281"/>
  <c r="C251" i="281"/>
  <c r="C250" i="281"/>
  <c r="C249" i="281"/>
  <c r="C248" i="281"/>
  <c r="C247" i="281"/>
  <c r="C246" i="281"/>
  <c r="C245" i="281"/>
  <c r="C244" i="281"/>
  <c r="C243" i="281"/>
  <c r="C242" i="281"/>
  <c r="C241" i="281"/>
  <c r="C240" i="281"/>
  <c r="C239" i="281"/>
  <c r="C238" i="281"/>
  <c r="C237" i="281"/>
  <c r="C236" i="281"/>
  <c r="C235" i="281"/>
  <c r="C234" i="281"/>
  <c r="C233" i="281"/>
  <c r="C232" i="281"/>
  <c r="C231" i="281"/>
  <c r="C230" i="281"/>
  <c r="C229" i="281"/>
  <c r="C228" i="281"/>
  <c r="C227" i="281"/>
  <c r="C226" i="281"/>
  <c r="C225" i="281"/>
  <c r="C224" i="281"/>
  <c r="C223" i="281"/>
  <c r="C222" i="281"/>
  <c r="C221" i="281"/>
  <c r="C220" i="281"/>
  <c r="C219" i="281"/>
  <c r="C218" i="281"/>
  <c r="C217" i="281"/>
  <c r="C216" i="281"/>
  <c r="C215" i="281"/>
  <c r="C214" i="281"/>
  <c r="C213" i="281"/>
  <c r="C212" i="281"/>
  <c r="C211" i="281"/>
  <c r="C210" i="281"/>
  <c r="C209" i="281"/>
  <c r="C208" i="281"/>
  <c r="C207" i="281"/>
  <c r="C206" i="281"/>
  <c r="C205" i="281"/>
  <c r="C204" i="281"/>
  <c r="C203" i="281"/>
  <c r="C202" i="281"/>
  <c r="C201" i="281"/>
  <c r="C200" i="281"/>
  <c r="C199" i="281"/>
  <c r="C198" i="281"/>
  <c r="C197" i="281"/>
  <c r="C196" i="281"/>
  <c r="C195" i="281"/>
  <c r="C194" i="281"/>
  <c r="C193" i="281"/>
  <c r="C192" i="281"/>
  <c r="C191" i="281"/>
  <c r="C190" i="281"/>
  <c r="C189" i="281"/>
  <c r="C188" i="281"/>
  <c r="C187" i="281"/>
  <c r="C186" i="281"/>
  <c r="C185" i="281"/>
  <c r="C184" i="281"/>
  <c r="C183" i="281"/>
  <c r="C182" i="281"/>
  <c r="C181" i="281"/>
  <c r="C180" i="281"/>
  <c r="C179" i="281"/>
  <c r="C178" i="281"/>
  <c r="C177" i="281"/>
  <c r="C176" i="281"/>
  <c r="C175" i="281"/>
  <c r="C174" i="281"/>
  <c r="C173" i="281"/>
  <c r="C172" i="281"/>
  <c r="C171" i="281"/>
  <c r="C170" i="281"/>
  <c r="C169" i="281"/>
  <c r="C168" i="281"/>
  <c r="C167" i="281"/>
  <c r="C166" i="281"/>
  <c r="C165" i="281"/>
  <c r="C164" i="281"/>
  <c r="C163" i="281"/>
  <c r="C162" i="281"/>
  <c r="C161" i="281"/>
  <c r="C160" i="281"/>
  <c r="C159" i="281"/>
  <c r="C158" i="281"/>
  <c r="C157" i="281"/>
  <c r="C156" i="281"/>
  <c r="C155" i="281"/>
  <c r="C154" i="281"/>
  <c r="C153" i="281"/>
  <c r="C152" i="281"/>
  <c r="C151" i="281"/>
  <c r="C150" i="281"/>
  <c r="C149" i="281"/>
  <c r="C148" i="281"/>
  <c r="C147" i="281"/>
  <c r="C146" i="281"/>
  <c r="C145" i="281"/>
  <c r="C144" i="281"/>
  <c r="C143" i="281"/>
  <c r="C142" i="281"/>
  <c r="C141" i="281"/>
  <c r="C140" i="281"/>
  <c r="C139" i="281"/>
  <c r="C138" i="281"/>
  <c r="C137" i="281"/>
  <c r="C136" i="281"/>
  <c r="C135" i="281"/>
  <c r="C134" i="281"/>
  <c r="C133" i="281"/>
  <c r="C132" i="281"/>
  <c r="C131" i="281"/>
  <c r="C130" i="281"/>
  <c r="C129" i="281"/>
  <c r="C128" i="281"/>
  <c r="C127" i="281"/>
  <c r="C126" i="281"/>
  <c r="C125" i="281"/>
  <c r="C124" i="281"/>
  <c r="C123" i="281"/>
  <c r="C122" i="281"/>
  <c r="C121" i="281"/>
  <c r="C120" i="281"/>
  <c r="C119" i="281"/>
  <c r="C118" i="281"/>
  <c r="C117" i="281"/>
  <c r="C116" i="281"/>
  <c r="C115" i="281"/>
  <c r="C114" i="281"/>
  <c r="C113" i="281"/>
  <c r="C112" i="281"/>
  <c r="C111" i="281"/>
  <c r="C110" i="281"/>
  <c r="C109" i="281"/>
  <c r="C108" i="281"/>
  <c r="C107" i="281"/>
  <c r="C106" i="281"/>
  <c r="C105" i="281"/>
  <c r="C104" i="281"/>
  <c r="C103" i="281"/>
  <c r="C102" i="281"/>
  <c r="C101" i="281"/>
  <c r="C100" i="281"/>
  <c r="C99" i="281"/>
  <c r="C98" i="281"/>
  <c r="C97" i="281"/>
  <c r="C96" i="281"/>
  <c r="C95" i="281"/>
  <c r="C94" i="281"/>
  <c r="C93" i="281"/>
  <c r="C92" i="281"/>
  <c r="C91" i="281"/>
  <c r="C90" i="281"/>
  <c r="C89" i="281"/>
  <c r="C88" i="281"/>
  <c r="C87" i="281"/>
  <c r="C86" i="281"/>
  <c r="C85" i="281"/>
  <c r="C84" i="281"/>
  <c r="C83" i="281"/>
  <c r="C82" i="281"/>
  <c r="C81" i="281"/>
  <c r="C80" i="281"/>
  <c r="C79" i="281"/>
  <c r="C78" i="281"/>
  <c r="C77" i="281"/>
  <c r="C76" i="281"/>
  <c r="C75" i="281"/>
  <c r="C74" i="281"/>
  <c r="C73" i="281"/>
  <c r="C72" i="281"/>
  <c r="C71" i="281"/>
  <c r="C70" i="281"/>
  <c r="C69" i="281"/>
  <c r="C68" i="281"/>
  <c r="C67" i="281"/>
  <c r="C66" i="281"/>
  <c r="C65" i="281"/>
  <c r="C64" i="281"/>
  <c r="C63" i="281"/>
  <c r="C62" i="281"/>
  <c r="C61" i="281"/>
  <c r="C60" i="281"/>
  <c r="C59" i="281"/>
  <c r="C58" i="281"/>
  <c r="C57" i="281"/>
  <c r="C56" i="281"/>
  <c r="C55" i="281"/>
  <c r="C54" i="281"/>
  <c r="C53" i="281"/>
  <c r="C52" i="281"/>
  <c r="C51" i="281"/>
  <c r="C50" i="281"/>
  <c r="C49" i="281"/>
  <c r="C48" i="281"/>
  <c r="C47" i="281"/>
  <c r="C46" i="281"/>
  <c r="C45" i="281"/>
  <c r="C44" i="281"/>
  <c r="C43" i="281"/>
  <c r="C42" i="281"/>
  <c r="C41" i="281"/>
  <c r="C40" i="281"/>
  <c r="C39" i="281"/>
  <c r="C38" i="281"/>
  <c r="C37" i="281"/>
  <c r="C36" i="281"/>
  <c r="C35" i="281"/>
  <c r="C34" i="281"/>
  <c r="C33" i="281"/>
  <c r="C32" i="281"/>
  <c r="C31" i="281"/>
  <c r="C30" i="281"/>
  <c r="C29" i="281"/>
  <c r="C28" i="281"/>
  <c r="C27" i="281"/>
  <c r="C26" i="281"/>
  <c r="C25" i="281"/>
  <c r="C24" i="281"/>
  <c r="C23" i="281"/>
  <c r="C22" i="281"/>
  <c r="C21" i="281"/>
  <c r="C20" i="281"/>
  <c r="C19" i="281"/>
  <c r="C18" i="281"/>
  <c r="C17" i="281"/>
  <c r="C16" i="281"/>
  <c r="C15" i="281"/>
  <c r="C14" i="281"/>
  <c r="C13" i="281"/>
  <c r="C12" i="281"/>
  <c r="C11" i="281"/>
  <c r="C10" i="281"/>
  <c r="C9" i="281"/>
  <c r="C8" i="281"/>
  <c r="C7" i="281"/>
  <c r="C6" i="281"/>
  <c r="C5" i="281"/>
  <c r="C4" i="281"/>
  <c r="C3" i="281"/>
  <c r="C1000" i="280"/>
  <c r="C999" i="280"/>
  <c r="C998" i="280"/>
  <c r="C997" i="280"/>
  <c r="C996" i="280"/>
  <c r="C995" i="280"/>
  <c r="C994" i="280"/>
  <c r="C993" i="280"/>
  <c r="C992" i="280"/>
  <c r="C991" i="280"/>
  <c r="C990" i="280"/>
  <c r="C989" i="280"/>
  <c r="C988" i="280"/>
  <c r="C987" i="280"/>
  <c r="C986" i="280"/>
  <c r="C985" i="280"/>
  <c r="C984" i="280"/>
  <c r="C983" i="280"/>
  <c r="C982" i="280"/>
  <c r="C981" i="280"/>
  <c r="C980" i="280"/>
  <c r="C979" i="280"/>
  <c r="C978" i="280"/>
  <c r="C977" i="280"/>
  <c r="C976" i="280"/>
  <c r="C975" i="280"/>
  <c r="C974" i="280"/>
  <c r="C973" i="280"/>
  <c r="C972" i="280"/>
  <c r="C971" i="280"/>
  <c r="C970" i="280"/>
  <c r="C969" i="280"/>
  <c r="C968" i="280"/>
  <c r="C967" i="280"/>
  <c r="C966" i="280"/>
  <c r="C965" i="280"/>
  <c r="C964" i="280"/>
  <c r="C963" i="280"/>
  <c r="C962" i="280"/>
  <c r="C961" i="280"/>
  <c r="C960" i="280"/>
  <c r="C959" i="280"/>
  <c r="C958" i="280"/>
  <c r="C957" i="280"/>
  <c r="C956" i="280"/>
  <c r="C955" i="280"/>
  <c r="C954" i="280"/>
  <c r="C953" i="280"/>
  <c r="C952" i="280"/>
  <c r="C951" i="280"/>
  <c r="C950" i="280"/>
  <c r="C949" i="280"/>
  <c r="C948" i="280"/>
  <c r="C947" i="280"/>
  <c r="C946" i="280"/>
  <c r="C945" i="280"/>
  <c r="C944" i="280"/>
  <c r="C943" i="280"/>
  <c r="C942" i="280"/>
  <c r="C941" i="280"/>
  <c r="C940" i="280"/>
  <c r="C939" i="280"/>
  <c r="C938" i="280"/>
  <c r="C937" i="280"/>
  <c r="C936" i="280"/>
  <c r="C935" i="280"/>
  <c r="C934" i="280"/>
  <c r="C933" i="280"/>
  <c r="C932" i="280"/>
  <c r="C931" i="280"/>
  <c r="C930" i="280"/>
  <c r="C929" i="280"/>
  <c r="C928" i="280"/>
  <c r="C927" i="280"/>
  <c r="C926" i="280"/>
  <c r="C925" i="280"/>
  <c r="C924" i="280"/>
  <c r="C923" i="280"/>
  <c r="C922" i="280"/>
  <c r="C921" i="280"/>
  <c r="C920" i="280"/>
  <c r="C919" i="280"/>
  <c r="C918" i="280"/>
  <c r="C917" i="280"/>
  <c r="C916" i="280"/>
  <c r="C915" i="280"/>
  <c r="C914" i="280"/>
  <c r="C913" i="280"/>
  <c r="C912" i="280"/>
  <c r="C911" i="280"/>
  <c r="C910" i="280"/>
  <c r="C909" i="280"/>
  <c r="C908" i="280"/>
  <c r="C907" i="280"/>
  <c r="C906" i="280"/>
  <c r="C905" i="280"/>
  <c r="C904" i="280"/>
  <c r="C903" i="280"/>
  <c r="C902" i="280"/>
  <c r="C901" i="280"/>
  <c r="C900" i="280"/>
  <c r="C899" i="280"/>
  <c r="C898" i="280"/>
  <c r="C897" i="280"/>
  <c r="C896" i="280"/>
  <c r="C895" i="280"/>
  <c r="C894" i="280"/>
  <c r="C893" i="280"/>
  <c r="C892" i="280"/>
  <c r="C891" i="280"/>
  <c r="C890" i="280"/>
  <c r="C889" i="280"/>
  <c r="C888" i="280"/>
  <c r="C887" i="280"/>
  <c r="C886" i="280"/>
  <c r="C885" i="280"/>
  <c r="C884" i="280"/>
  <c r="C883" i="280"/>
  <c r="C882" i="280"/>
  <c r="C881" i="280"/>
  <c r="C880" i="280"/>
  <c r="C879" i="280"/>
  <c r="C878" i="280"/>
  <c r="C877" i="280"/>
  <c r="C876" i="280"/>
  <c r="C875" i="280"/>
  <c r="C874" i="280"/>
  <c r="C873" i="280"/>
  <c r="C872" i="280"/>
  <c r="C871" i="280"/>
  <c r="C870" i="280"/>
  <c r="C869" i="280"/>
  <c r="C868" i="280"/>
  <c r="C867" i="280"/>
  <c r="C866" i="280"/>
  <c r="C865" i="280"/>
  <c r="C864" i="280"/>
  <c r="C863" i="280"/>
  <c r="C862" i="280"/>
  <c r="C861" i="280"/>
  <c r="C860" i="280"/>
  <c r="C859" i="280"/>
  <c r="C858" i="280"/>
  <c r="C857" i="280"/>
  <c r="C856" i="280"/>
  <c r="C855" i="280"/>
  <c r="C854" i="280"/>
  <c r="C853" i="280"/>
  <c r="C852" i="280"/>
  <c r="C851" i="280"/>
  <c r="C850" i="280"/>
  <c r="C849" i="280"/>
  <c r="C848" i="280"/>
  <c r="C847" i="280"/>
  <c r="C846" i="280"/>
  <c r="C845" i="280"/>
  <c r="C844" i="280"/>
  <c r="C843" i="280"/>
  <c r="C842" i="280"/>
  <c r="C841" i="280"/>
  <c r="C840" i="280"/>
  <c r="C839" i="280"/>
  <c r="C838" i="280"/>
  <c r="C837" i="280"/>
  <c r="C836" i="280"/>
  <c r="C835" i="280"/>
  <c r="C834" i="280"/>
  <c r="C833" i="280"/>
  <c r="C832" i="280"/>
  <c r="C831" i="280"/>
  <c r="C830" i="280"/>
  <c r="C829" i="280"/>
  <c r="C828" i="280"/>
  <c r="C827" i="280"/>
  <c r="C826" i="280"/>
  <c r="C825" i="280"/>
  <c r="C824" i="280"/>
  <c r="C823" i="280"/>
  <c r="C822" i="280"/>
  <c r="C821" i="280"/>
  <c r="C820" i="280"/>
  <c r="C819" i="280"/>
  <c r="C818" i="280"/>
  <c r="C817" i="280"/>
  <c r="C816" i="280"/>
  <c r="C815" i="280"/>
  <c r="C814" i="280"/>
  <c r="C813" i="280"/>
  <c r="C812" i="280"/>
  <c r="C811" i="280"/>
  <c r="C810" i="280"/>
  <c r="C809" i="280"/>
  <c r="C808" i="280"/>
  <c r="C807" i="280"/>
  <c r="C806" i="280"/>
  <c r="C805" i="280"/>
  <c r="C804" i="280"/>
  <c r="C803" i="280"/>
  <c r="C802" i="280"/>
  <c r="C801" i="280"/>
  <c r="C800" i="280"/>
  <c r="C799" i="280"/>
  <c r="C798" i="280"/>
  <c r="C797" i="280"/>
  <c r="C796" i="280"/>
  <c r="C795" i="280"/>
  <c r="C794" i="280"/>
  <c r="C793" i="280"/>
  <c r="C792" i="280"/>
  <c r="C791" i="280"/>
  <c r="C790" i="280"/>
  <c r="C789" i="280"/>
  <c r="C788" i="280"/>
  <c r="C787" i="280"/>
  <c r="C786" i="280"/>
  <c r="C785" i="280"/>
  <c r="C784" i="280"/>
  <c r="C783" i="280"/>
  <c r="C782" i="280"/>
  <c r="C781" i="280"/>
  <c r="C780" i="280"/>
  <c r="C779" i="280"/>
  <c r="C778" i="280"/>
  <c r="C777" i="280"/>
  <c r="C776" i="280"/>
  <c r="C775" i="280"/>
  <c r="C774" i="280"/>
  <c r="C773" i="280"/>
  <c r="C772" i="280"/>
  <c r="C771" i="280"/>
  <c r="C770" i="280"/>
  <c r="C769" i="280"/>
  <c r="C768" i="280"/>
  <c r="C767" i="280"/>
  <c r="C766" i="280"/>
  <c r="C765" i="280"/>
  <c r="C764" i="280"/>
  <c r="C763" i="280"/>
  <c r="C762" i="280"/>
  <c r="C761" i="280"/>
  <c r="C760" i="280"/>
  <c r="C759" i="280"/>
  <c r="C758" i="280"/>
  <c r="C757" i="280"/>
  <c r="C756" i="280"/>
  <c r="C755" i="280"/>
  <c r="C754" i="280"/>
  <c r="C753" i="280"/>
  <c r="C752" i="280"/>
  <c r="C751" i="280"/>
  <c r="C750" i="280"/>
  <c r="C749" i="280"/>
  <c r="C748" i="280"/>
  <c r="C747" i="280"/>
  <c r="C746" i="280"/>
  <c r="C745" i="280"/>
  <c r="C744" i="280"/>
  <c r="C743" i="280"/>
  <c r="C742" i="280"/>
  <c r="C741" i="280"/>
  <c r="C740" i="280"/>
  <c r="C739" i="280"/>
  <c r="C738" i="280"/>
  <c r="C737" i="280"/>
  <c r="C736" i="280"/>
  <c r="C735" i="280"/>
  <c r="C734" i="280"/>
  <c r="C733" i="280"/>
  <c r="C732" i="280"/>
  <c r="C731" i="280"/>
  <c r="C730" i="280"/>
  <c r="C729" i="280"/>
  <c r="C728" i="280"/>
  <c r="C727" i="280"/>
  <c r="C726" i="280"/>
  <c r="C725" i="280"/>
  <c r="C724" i="280"/>
  <c r="C723" i="280"/>
  <c r="C722" i="280"/>
  <c r="C721" i="280"/>
  <c r="C720" i="280"/>
  <c r="C719" i="280"/>
  <c r="C718" i="280"/>
  <c r="C717" i="280"/>
  <c r="C716" i="280"/>
  <c r="C715" i="280"/>
  <c r="C714" i="280"/>
  <c r="C713" i="280"/>
  <c r="C712" i="280"/>
  <c r="C711" i="280"/>
  <c r="C710" i="280"/>
  <c r="C709" i="280"/>
  <c r="C708" i="280"/>
  <c r="C707" i="280"/>
  <c r="C706" i="280"/>
  <c r="C705" i="280"/>
  <c r="C704" i="280"/>
  <c r="C703" i="280"/>
  <c r="C702" i="280"/>
  <c r="C701" i="280"/>
  <c r="C700" i="280"/>
  <c r="C699" i="280"/>
  <c r="C698" i="280"/>
  <c r="C697" i="280"/>
  <c r="C696" i="280"/>
  <c r="C695" i="280"/>
  <c r="C694" i="280"/>
  <c r="C693" i="280"/>
  <c r="C692" i="280"/>
  <c r="C691" i="280"/>
  <c r="C690" i="280"/>
  <c r="C689" i="280"/>
  <c r="C688" i="280"/>
  <c r="C687" i="280"/>
  <c r="C686" i="280"/>
  <c r="C685" i="280"/>
  <c r="C684" i="280"/>
  <c r="C683" i="280"/>
  <c r="C682" i="280"/>
  <c r="C681" i="280"/>
  <c r="C680" i="280"/>
  <c r="C679" i="280"/>
  <c r="C678" i="280"/>
  <c r="C677" i="280"/>
  <c r="C676" i="280"/>
  <c r="C675" i="280"/>
  <c r="C674" i="280"/>
  <c r="C673" i="280"/>
  <c r="C672" i="280"/>
  <c r="C671" i="280"/>
  <c r="C670" i="280"/>
  <c r="C669" i="280"/>
  <c r="C668" i="280"/>
  <c r="C667" i="280"/>
  <c r="C666" i="280"/>
  <c r="C665" i="280"/>
  <c r="C664" i="280"/>
  <c r="C663" i="280"/>
  <c r="C662" i="280"/>
  <c r="C661" i="280"/>
  <c r="C660" i="280"/>
  <c r="C659" i="280"/>
  <c r="C658" i="280"/>
  <c r="C657" i="280"/>
  <c r="C656" i="280"/>
  <c r="C655" i="280"/>
  <c r="C654" i="280"/>
  <c r="C653" i="280"/>
  <c r="C652" i="280"/>
  <c r="C651" i="280"/>
  <c r="C650" i="280"/>
  <c r="C649" i="280"/>
  <c r="C648" i="280"/>
  <c r="C647" i="280"/>
  <c r="C646" i="280"/>
  <c r="C645" i="280"/>
  <c r="C644" i="280"/>
  <c r="C643" i="280"/>
  <c r="C642" i="280"/>
  <c r="C641" i="280"/>
  <c r="C640" i="280"/>
  <c r="C639" i="280"/>
  <c r="C638" i="280"/>
  <c r="C637" i="280"/>
  <c r="C636" i="280"/>
  <c r="C635" i="280"/>
  <c r="C634" i="280"/>
  <c r="C633" i="280"/>
  <c r="C632" i="280"/>
  <c r="C631" i="280"/>
  <c r="C630" i="280"/>
  <c r="C629" i="280"/>
  <c r="C628" i="280"/>
  <c r="C627" i="280"/>
  <c r="C626" i="280"/>
  <c r="C625" i="280"/>
  <c r="C624" i="280"/>
  <c r="C623" i="280"/>
  <c r="C622" i="280"/>
  <c r="C621" i="280"/>
  <c r="C620" i="280"/>
  <c r="C619" i="280"/>
  <c r="C618" i="280"/>
  <c r="C617" i="280"/>
  <c r="C616" i="280"/>
  <c r="C615" i="280"/>
  <c r="C614" i="280"/>
  <c r="C613" i="280"/>
  <c r="C612" i="280"/>
  <c r="C611" i="280"/>
  <c r="C610" i="280"/>
  <c r="C609" i="280"/>
  <c r="C608" i="280"/>
  <c r="C607" i="280"/>
  <c r="C606" i="280"/>
  <c r="C605" i="280"/>
  <c r="C604" i="280"/>
  <c r="C603" i="280"/>
  <c r="C602" i="280"/>
  <c r="C601" i="280"/>
  <c r="C600" i="280"/>
  <c r="C599" i="280"/>
  <c r="C598" i="280"/>
  <c r="C597" i="280"/>
  <c r="C596" i="280"/>
  <c r="C595" i="280"/>
  <c r="C594" i="280"/>
  <c r="C593" i="280"/>
  <c r="C592" i="280"/>
  <c r="C591" i="280"/>
  <c r="C590" i="280"/>
  <c r="C589" i="280"/>
  <c r="C588" i="280"/>
  <c r="C587" i="280"/>
  <c r="C586" i="280"/>
  <c r="C585" i="280"/>
  <c r="C584" i="280"/>
  <c r="C583" i="280"/>
  <c r="C582" i="280"/>
  <c r="C581" i="280"/>
  <c r="C580" i="280"/>
  <c r="C579" i="280"/>
  <c r="C578" i="280"/>
  <c r="C577" i="280"/>
  <c r="C576" i="280"/>
  <c r="C575" i="280"/>
  <c r="C574" i="280"/>
  <c r="C573" i="280"/>
  <c r="C572" i="280"/>
  <c r="C571" i="280"/>
  <c r="C570" i="280"/>
  <c r="C569" i="280"/>
  <c r="C568" i="280"/>
  <c r="C567" i="280"/>
  <c r="C566" i="280"/>
  <c r="C565" i="280"/>
  <c r="C564" i="280"/>
  <c r="C563" i="280"/>
  <c r="C562" i="280"/>
  <c r="C561" i="280"/>
  <c r="C560" i="280"/>
  <c r="C559" i="280"/>
  <c r="C558" i="280"/>
  <c r="C557" i="280"/>
  <c r="C556" i="280"/>
  <c r="C555" i="280"/>
  <c r="C554" i="280"/>
  <c r="C553" i="280"/>
  <c r="C552" i="280"/>
  <c r="C551" i="280"/>
  <c r="C550" i="280"/>
  <c r="C549" i="280"/>
  <c r="C548" i="280"/>
  <c r="C547" i="280"/>
  <c r="C546" i="280"/>
  <c r="C545" i="280"/>
  <c r="C544" i="280"/>
  <c r="C543" i="280"/>
  <c r="C542" i="280"/>
  <c r="C541" i="280"/>
  <c r="C540" i="280"/>
  <c r="C539" i="280"/>
  <c r="C538" i="280"/>
  <c r="C537" i="280"/>
  <c r="C536" i="280"/>
  <c r="C535" i="280"/>
  <c r="C534" i="280"/>
  <c r="C533" i="280"/>
  <c r="C532" i="280"/>
  <c r="C531" i="280"/>
  <c r="C530" i="280"/>
  <c r="C529" i="280"/>
  <c r="C528" i="280"/>
  <c r="C527" i="280"/>
  <c r="C526" i="280"/>
  <c r="C525" i="280"/>
  <c r="C524" i="280"/>
  <c r="C523" i="280"/>
  <c r="C522" i="280"/>
  <c r="C521" i="280"/>
  <c r="C520" i="280"/>
  <c r="C519" i="280"/>
  <c r="C518" i="280"/>
  <c r="C517" i="280"/>
  <c r="C516" i="280"/>
  <c r="C515" i="280"/>
  <c r="C514" i="280"/>
  <c r="C513" i="280"/>
  <c r="C512" i="280"/>
  <c r="C511" i="280"/>
  <c r="C510" i="280"/>
  <c r="C509" i="280"/>
  <c r="C508" i="280"/>
  <c r="C507" i="280"/>
  <c r="C506" i="280"/>
  <c r="C505" i="280"/>
  <c r="C504" i="280"/>
  <c r="C503" i="280"/>
  <c r="C502" i="280"/>
  <c r="C501" i="280"/>
  <c r="C500" i="280"/>
  <c r="C499" i="280"/>
  <c r="C498" i="280"/>
  <c r="C497" i="280"/>
  <c r="C496" i="280"/>
  <c r="C495" i="280"/>
  <c r="C494" i="280"/>
  <c r="C493" i="280"/>
  <c r="C492" i="280"/>
  <c r="C491" i="280"/>
  <c r="C490" i="280"/>
  <c r="C489" i="280"/>
  <c r="C488" i="280"/>
  <c r="C487" i="280"/>
  <c r="C486" i="280"/>
  <c r="C485" i="280"/>
  <c r="C484" i="280"/>
  <c r="C483" i="280"/>
  <c r="C482" i="280"/>
  <c r="C481" i="280"/>
  <c r="C480" i="280"/>
  <c r="C479" i="280"/>
  <c r="C478" i="280"/>
  <c r="C477" i="280"/>
  <c r="C476" i="280"/>
  <c r="C475" i="280"/>
  <c r="C474" i="280"/>
  <c r="C473" i="280"/>
  <c r="C472" i="280"/>
  <c r="C471" i="280"/>
  <c r="C470" i="280"/>
  <c r="C469" i="280"/>
  <c r="C468" i="280"/>
  <c r="C467" i="280"/>
  <c r="C466" i="280"/>
  <c r="C465" i="280"/>
  <c r="C464" i="280"/>
  <c r="C463" i="280"/>
  <c r="C462" i="280"/>
  <c r="C461" i="280"/>
  <c r="C460" i="280"/>
  <c r="C459" i="280"/>
  <c r="C458" i="280"/>
  <c r="C457" i="280"/>
  <c r="C456" i="280"/>
  <c r="C455" i="280"/>
  <c r="C454" i="280"/>
  <c r="C453" i="280"/>
  <c r="C452" i="280"/>
  <c r="C451" i="280"/>
  <c r="C450" i="280"/>
  <c r="C449" i="280"/>
  <c r="C448" i="280"/>
  <c r="C447" i="280"/>
  <c r="C446" i="280"/>
  <c r="C445" i="280"/>
  <c r="C444" i="280"/>
  <c r="C443" i="280"/>
  <c r="C442" i="280"/>
  <c r="C441" i="280"/>
  <c r="C440" i="280"/>
  <c r="C439" i="280"/>
  <c r="C438" i="280"/>
  <c r="C437" i="280"/>
  <c r="C436" i="280"/>
  <c r="C435" i="280"/>
  <c r="C434" i="280"/>
  <c r="C433" i="280"/>
  <c r="C432" i="280"/>
  <c r="C431" i="280"/>
  <c r="C430" i="280"/>
  <c r="C429" i="280"/>
  <c r="C428" i="280"/>
  <c r="C427" i="280"/>
  <c r="C426" i="280"/>
  <c r="C425" i="280"/>
  <c r="C424" i="280"/>
  <c r="C423" i="280"/>
  <c r="C422" i="280"/>
  <c r="C421" i="280"/>
  <c r="C420" i="280"/>
  <c r="C419" i="280"/>
  <c r="C418" i="280"/>
  <c r="C417" i="280"/>
  <c r="C416" i="280"/>
  <c r="C415" i="280"/>
  <c r="C414" i="280"/>
  <c r="C413" i="280"/>
  <c r="C412" i="280"/>
  <c r="C411" i="280"/>
  <c r="C410" i="280"/>
  <c r="C409" i="280"/>
  <c r="C408" i="280"/>
  <c r="C407" i="280"/>
  <c r="C406" i="280"/>
  <c r="C405" i="280"/>
  <c r="C404" i="280"/>
  <c r="C403" i="280"/>
  <c r="C402" i="280"/>
  <c r="C401" i="280"/>
  <c r="C400" i="280"/>
  <c r="C399" i="280"/>
  <c r="C398" i="280"/>
  <c r="C397" i="280"/>
  <c r="C396" i="280"/>
  <c r="C395" i="280"/>
  <c r="C394" i="280"/>
  <c r="C393" i="280"/>
  <c r="C392" i="280"/>
  <c r="C391" i="280"/>
  <c r="C390" i="280"/>
  <c r="C389" i="280"/>
  <c r="C388" i="280"/>
  <c r="C387" i="280"/>
  <c r="C386" i="280"/>
  <c r="C385" i="280"/>
  <c r="C384" i="280"/>
  <c r="C383" i="280"/>
  <c r="C382" i="280"/>
  <c r="C381" i="280"/>
  <c r="C380" i="280"/>
  <c r="C379" i="280"/>
  <c r="C378" i="280"/>
  <c r="C377" i="280"/>
  <c r="C376" i="280"/>
  <c r="C375" i="280"/>
  <c r="C374" i="280"/>
  <c r="C373" i="280"/>
  <c r="C372" i="280"/>
  <c r="C371" i="280"/>
  <c r="C370" i="280"/>
  <c r="C369" i="280"/>
  <c r="C368" i="280"/>
  <c r="C367" i="280"/>
  <c r="C366" i="280"/>
  <c r="C365" i="280"/>
  <c r="C364" i="280"/>
  <c r="C363" i="280"/>
  <c r="C362" i="280"/>
  <c r="C361" i="280"/>
  <c r="C360" i="280"/>
  <c r="C359" i="280"/>
  <c r="C358" i="280"/>
  <c r="C357" i="280"/>
  <c r="C356" i="280"/>
  <c r="C355" i="280"/>
  <c r="C354" i="280"/>
  <c r="C353" i="280"/>
  <c r="C352" i="280"/>
  <c r="C351" i="280"/>
  <c r="C350" i="280"/>
  <c r="C349" i="280"/>
  <c r="C348" i="280"/>
  <c r="C347" i="280"/>
  <c r="C346" i="280"/>
  <c r="C345" i="280"/>
  <c r="C344" i="280"/>
  <c r="C343" i="280"/>
  <c r="C342" i="280"/>
  <c r="C341" i="280"/>
  <c r="C340" i="280"/>
  <c r="C339" i="280"/>
  <c r="C338" i="280"/>
  <c r="C337" i="280"/>
  <c r="C336" i="280"/>
  <c r="C335" i="280"/>
  <c r="C334" i="280"/>
  <c r="C333" i="280"/>
  <c r="C332" i="280"/>
  <c r="C331" i="280"/>
  <c r="C330" i="280"/>
  <c r="C329" i="280"/>
  <c r="C328" i="280"/>
  <c r="C327" i="280"/>
  <c r="C326" i="280"/>
  <c r="C325" i="280"/>
  <c r="C324" i="280"/>
  <c r="C323" i="280"/>
  <c r="C322" i="280"/>
  <c r="C321" i="280"/>
  <c r="C320" i="280"/>
  <c r="C319" i="280"/>
  <c r="C318" i="280"/>
  <c r="C317" i="280"/>
  <c r="C316" i="280"/>
  <c r="C315" i="280"/>
  <c r="C314" i="280"/>
  <c r="C313" i="280"/>
  <c r="C312" i="280"/>
  <c r="C311" i="280"/>
  <c r="C310" i="280"/>
  <c r="C309" i="280"/>
  <c r="C308" i="280"/>
  <c r="C307" i="280"/>
  <c r="C306" i="280"/>
  <c r="C305" i="280"/>
  <c r="C304" i="280"/>
  <c r="C303" i="280"/>
  <c r="C302" i="280"/>
  <c r="C301" i="280"/>
  <c r="C300" i="280"/>
  <c r="C299" i="280"/>
  <c r="C298" i="280"/>
  <c r="C297" i="280"/>
  <c r="C296" i="280"/>
  <c r="C295" i="280"/>
  <c r="C294" i="280"/>
  <c r="C293" i="280"/>
  <c r="C292" i="280"/>
  <c r="C291" i="280"/>
  <c r="C290" i="280"/>
  <c r="C289" i="280"/>
  <c r="C288" i="280"/>
  <c r="C287" i="280"/>
  <c r="C286" i="280"/>
  <c r="C285" i="280"/>
  <c r="C284" i="280"/>
  <c r="C283" i="280"/>
  <c r="C282" i="280"/>
  <c r="C281" i="280"/>
  <c r="C280" i="280"/>
  <c r="C279" i="280"/>
  <c r="C278" i="280"/>
  <c r="C277" i="280"/>
  <c r="C276" i="280"/>
  <c r="C275" i="280"/>
  <c r="C274" i="280"/>
  <c r="C273" i="280"/>
  <c r="C272" i="280"/>
  <c r="C271" i="280"/>
  <c r="C270" i="280"/>
  <c r="C269" i="280"/>
  <c r="C268" i="280"/>
  <c r="C267" i="280"/>
  <c r="C266" i="280"/>
  <c r="C265" i="280"/>
  <c r="C264" i="280"/>
  <c r="C263" i="280"/>
  <c r="C262" i="280"/>
  <c r="C261" i="280"/>
  <c r="C260" i="280"/>
  <c r="C259" i="280"/>
  <c r="C258" i="280"/>
  <c r="C257" i="280"/>
  <c r="C256" i="280"/>
  <c r="C255" i="280"/>
  <c r="C254" i="280"/>
  <c r="C253" i="280"/>
  <c r="C252" i="280"/>
  <c r="C251" i="280"/>
  <c r="C250" i="280"/>
  <c r="C249" i="280"/>
  <c r="C248" i="280"/>
  <c r="C247" i="280"/>
  <c r="C246" i="280"/>
  <c r="C245" i="280"/>
  <c r="C244" i="280"/>
  <c r="C243" i="280"/>
  <c r="C242" i="280"/>
  <c r="C241" i="280"/>
  <c r="C240" i="280"/>
  <c r="C239" i="280"/>
  <c r="C238" i="280"/>
  <c r="C237" i="280"/>
  <c r="C236" i="280"/>
  <c r="C235" i="280"/>
  <c r="C234" i="280"/>
  <c r="C233" i="280"/>
  <c r="C232" i="280"/>
  <c r="C231" i="280"/>
  <c r="C230" i="280"/>
  <c r="C229" i="280"/>
  <c r="C228" i="280"/>
  <c r="C227" i="280"/>
  <c r="C226" i="280"/>
  <c r="C225" i="280"/>
  <c r="C224" i="280"/>
  <c r="C223" i="280"/>
  <c r="C222" i="280"/>
  <c r="C221" i="280"/>
  <c r="C220" i="280"/>
  <c r="C219" i="280"/>
  <c r="C218" i="280"/>
  <c r="C217" i="280"/>
  <c r="C216" i="280"/>
  <c r="C215" i="280"/>
  <c r="C214" i="280"/>
  <c r="C213" i="280"/>
  <c r="C212" i="280"/>
  <c r="C211" i="280"/>
  <c r="C210" i="280"/>
  <c r="C209" i="280"/>
  <c r="C208" i="280"/>
  <c r="C207" i="280"/>
  <c r="C206" i="280"/>
  <c r="C205" i="280"/>
  <c r="C204" i="280"/>
  <c r="C203" i="280"/>
  <c r="C202" i="280"/>
  <c r="C201" i="280"/>
  <c r="C200" i="280"/>
  <c r="C199" i="280"/>
  <c r="C198" i="280"/>
  <c r="C197" i="280"/>
  <c r="C196" i="280"/>
  <c r="C195" i="280"/>
  <c r="C194" i="280"/>
  <c r="C193" i="280"/>
  <c r="C192" i="280"/>
  <c r="C191" i="280"/>
  <c r="C190" i="280"/>
  <c r="C189" i="280"/>
  <c r="C188" i="280"/>
  <c r="C187" i="280"/>
  <c r="C186" i="280"/>
  <c r="C185" i="280"/>
  <c r="C184" i="280"/>
  <c r="C183" i="280"/>
  <c r="C182" i="280"/>
  <c r="C181" i="280"/>
  <c r="C180" i="280"/>
  <c r="C179" i="280"/>
  <c r="C178" i="280"/>
  <c r="C177" i="280"/>
  <c r="C176" i="280"/>
  <c r="C175" i="280"/>
  <c r="C174" i="280"/>
  <c r="C173" i="280"/>
  <c r="C172" i="280"/>
  <c r="C171" i="280"/>
  <c r="C170" i="280"/>
  <c r="C169" i="280"/>
  <c r="C168" i="280"/>
  <c r="C167" i="280"/>
  <c r="C166" i="280"/>
  <c r="C165" i="280"/>
  <c r="C164" i="280"/>
  <c r="C163" i="280"/>
  <c r="C162" i="280"/>
  <c r="C161" i="280"/>
  <c r="C160" i="280"/>
  <c r="C159" i="280"/>
  <c r="C158" i="280"/>
  <c r="C157" i="280"/>
  <c r="C156" i="280"/>
  <c r="C155" i="280"/>
  <c r="C154" i="280"/>
  <c r="C153" i="280"/>
  <c r="C152" i="280"/>
  <c r="C151" i="280"/>
  <c r="C150" i="280"/>
  <c r="C149" i="280"/>
  <c r="C148" i="280"/>
  <c r="C147" i="280"/>
  <c r="C146" i="280"/>
  <c r="C145" i="280"/>
  <c r="C144" i="280"/>
  <c r="C143" i="280"/>
  <c r="C142" i="280"/>
  <c r="C141" i="280"/>
  <c r="C140" i="280"/>
  <c r="C139" i="280"/>
  <c r="C138" i="280"/>
  <c r="C137" i="280"/>
  <c r="C136" i="280"/>
  <c r="C135" i="280"/>
  <c r="C134" i="280"/>
  <c r="C133" i="280"/>
  <c r="C132" i="280"/>
  <c r="C131" i="280"/>
  <c r="C130" i="280"/>
  <c r="C129" i="280"/>
  <c r="C128" i="280"/>
  <c r="C127" i="280"/>
  <c r="C126" i="280"/>
  <c r="C125" i="280"/>
  <c r="C124" i="280"/>
  <c r="C123" i="280"/>
  <c r="C122" i="280"/>
  <c r="C121" i="280"/>
  <c r="C120" i="280"/>
  <c r="C119" i="280"/>
  <c r="C118" i="280"/>
  <c r="C117" i="280"/>
  <c r="C116" i="280"/>
  <c r="C115" i="280"/>
  <c r="C114" i="280"/>
  <c r="C113" i="280"/>
  <c r="C112" i="280"/>
  <c r="C111" i="280"/>
  <c r="C110" i="280"/>
  <c r="C109" i="280"/>
  <c r="C108" i="280"/>
  <c r="C107" i="280"/>
  <c r="C106" i="280"/>
  <c r="C105" i="280"/>
  <c r="C104" i="280"/>
  <c r="C103" i="280"/>
  <c r="C102" i="280"/>
  <c r="C101" i="280"/>
  <c r="C100" i="280"/>
  <c r="C99" i="280"/>
  <c r="C98" i="280"/>
  <c r="C97" i="280"/>
  <c r="C96" i="280"/>
  <c r="C95" i="280"/>
  <c r="C94" i="280"/>
  <c r="C93" i="280"/>
  <c r="C92" i="280"/>
  <c r="C91" i="280"/>
  <c r="C90" i="280"/>
  <c r="C89" i="280"/>
  <c r="C88" i="280"/>
  <c r="C87" i="280"/>
  <c r="C86" i="280"/>
  <c r="C85" i="280"/>
  <c r="C84" i="280"/>
  <c r="C83" i="280"/>
  <c r="C82" i="280"/>
  <c r="C81" i="280"/>
  <c r="C80" i="280"/>
  <c r="C79" i="280"/>
  <c r="C78" i="280"/>
  <c r="C77" i="280"/>
  <c r="C76" i="280"/>
  <c r="C75" i="280"/>
  <c r="C74" i="280"/>
  <c r="C73" i="280"/>
  <c r="C72" i="280"/>
  <c r="C71" i="280"/>
  <c r="C70" i="280"/>
  <c r="C69" i="280"/>
  <c r="C68" i="280"/>
  <c r="C67" i="280"/>
  <c r="C66" i="280"/>
  <c r="C65" i="280"/>
  <c r="C64" i="280"/>
  <c r="C63" i="280"/>
  <c r="C62" i="280"/>
  <c r="C61" i="280"/>
  <c r="C60" i="280"/>
  <c r="C59" i="280"/>
  <c r="C58" i="280"/>
  <c r="C57" i="280"/>
  <c r="C56" i="280"/>
  <c r="C55" i="280"/>
  <c r="C54" i="280"/>
  <c r="C53" i="280"/>
  <c r="C52" i="280"/>
  <c r="C51" i="280"/>
  <c r="C50" i="280"/>
  <c r="C49" i="280"/>
  <c r="C48" i="280"/>
  <c r="C47" i="280"/>
  <c r="C46" i="280"/>
  <c r="C45" i="280"/>
  <c r="C44" i="280"/>
  <c r="C43" i="280"/>
  <c r="C42" i="280"/>
  <c r="C41" i="280"/>
  <c r="C40" i="280"/>
  <c r="C39" i="280"/>
  <c r="C38" i="280"/>
  <c r="C37" i="280"/>
  <c r="C36" i="280"/>
  <c r="C35" i="280"/>
  <c r="C34" i="280"/>
  <c r="C33" i="280"/>
  <c r="C32" i="280"/>
  <c r="C31" i="280"/>
  <c r="C30" i="280"/>
  <c r="C29" i="280"/>
  <c r="C28" i="280"/>
  <c r="C27" i="280"/>
  <c r="C26" i="280"/>
  <c r="C25" i="280"/>
  <c r="C24" i="280"/>
  <c r="C23" i="280"/>
  <c r="C22" i="280"/>
  <c r="C21" i="280"/>
  <c r="C20" i="280"/>
  <c r="C19" i="280"/>
  <c r="C18" i="280"/>
  <c r="C17" i="280"/>
  <c r="C16" i="280"/>
  <c r="C15" i="280"/>
  <c r="C14" i="280"/>
  <c r="C13" i="280"/>
  <c r="C12" i="280"/>
  <c r="C11" i="280"/>
  <c r="C10" i="280"/>
  <c r="C9" i="280"/>
  <c r="C8" i="280"/>
  <c r="C7" i="280"/>
  <c r="C6" i="280"/>
  <c r="C5" i="280"/>
  <c r="C4" i="280"/>
  <c r="C3" i="280"/>
  <c r="C1000" i="279"/>
  <c r="C999" i="279"/>
  <c r="C998" i="279"/>
  <c r="C997" i="279"/>
  <c r="C996" i="279"/>
  <c r="C995" i="279"/>
  <c r="C994" i="279"/>
  <c r="C993" i="279"/>
  <c r="C992" i="279"/>
  <c r="C991" i="279"/>
  <c r="C990" i="279"/>
  <c r="C989" i="279"/>
  <c r="C988" i="279"/>
  <c r="C987" i="279"/>
  <c r="C986" i="279"/>
  <c r="C985" i="279"/>
  <c r="C984" i="279"/>
  <c r="C983" i="279"/>
  <c r="C982" i="279"/>
  <c r="C981" i="279"/>
  <c r="C980" i="279"/>
  <c r="C979" i="279"/>
  <c r="C978" i="279"/>
  <c r="C977" i="279"/>
  <c r="C976" i="279"/>
  <c r="C975" i="279"/>
  <c r="C974" i="279"/>
  <c r="C973" i="279"/>
  <c r="C972" i="279"/>
  <c r="C971" i="279"/>
  <c r="C970" i="279"/>
  <c r="C969" i="279"/>
  <c r="C968" i="279"/>
  <c r="C967" i="279"/>
  <c r="C966" i="279"/>
  <c r="C965" i="279"/>
  <c r="C964" i="279"/>
  <c r="C963" i="279"/>
  <c r="C962" i="279"/>
  <c r="C961" i="279"/>
  <c r="C960" i="279"/>
  <c r="C959" i="279"/>
  <c r="C958" i="279"/>
  <c r="C957" i="279"/>
  <c r="C956" i="279"/>
  <c r="C955" i="279"/>
  <c r="C954" i="279"/>
  <c r="C953" i="279"/>
  <c r="C952" i="279"/>
  <c r="C951" i="279"/>
  <c r="C950" i="279"/>
  <c r="C949" i="279"/>
  <c r="C948" i="279"/>
  <c r="C947" i="279"/>
  <c r="C946" i="279"/>
  <c r="C945" i="279"/>
  <c r="C944" i="279"/>
  <c r="C943" i="279"/>
  <c r="C942" i="279"/>
  <c r="C941" i="279"/>
  <c r="C940" i="279"/>
  <c r="C939" i="279"/>
  <c r="C938" i="279"/>
  <c r="C937" i="279"/>
  <c r="C936" i="279"/>
  <c r="C935" i="279"/>
  <c r="C934" i="279"/>
  <c r="C933" i="279"/>
  <c r="C932" i="279"/>
  <c r="C931" i="279"/>
  <c r="C930" i="279"/>
  <c r="C929" i="279"/>
  <c r="C928" i="279"/>
  <c r="C927" i="279"/>
  <c r="C926" i="279"/>
  <c r="C925" i="279"/>
  <c r="C924" i="279"/>
  <c r="C923" i="279"/>
  <c r="C922" i="279"/>
  <c r="C921" i="279"/>
  <c r="C920" i="279"/>
  <c r="C919" i="279"/>
  <c r="C918" i="279"/>
  <c r="C917" i="279"/>
  <c r="C916" i="279"/>
  <c r="C915" i="279"/>
  <c r="C914" i="279"/>
  <c r="C913" i="279"/>
  <c r="C912" i="279"/>
  <c r="C911" i="279"/>
  <c r="C910" i="279"/>
  <c r="C909" i="279"/>
  <c r="C908" i="279"/>
  <c r="C907" i="279"/>
  <c r="C906" i="279"/>
  <c r="C905" i="279"/>
  <c r="C904" i="279"/>
  <c r="C903" i="279"/>
  <c r="C902" i="279"/>
  <c r="C901" i="279"/>
  <c r="C900" i="279"/>
  <c r="C899" i="279"/>
  <c r="C898" i="279"/>
  <c r="C897" i="279"/>
  <c r="C896" i="279"/>
  <c r="C895" i="279"/>
  <c r="C894" i="279"/>
  <c r="C893" i="279"/>
  <c r="C892" i="279"/>
  <c r="C891" i="279"/>
  <c r="C890" i="279"/>
  <c r="C889" i="279"/>
  <c r="C888" i="279"/>
  <c r="C887" i="279"/>
  <c r="C886" i="279"/>
  <c r="C885" i="279"/>
  <c r="C884" i="279"/>
  <c r="C883" i="279"/>
  <c r="C882" i="279"/>
  <c r="C881" i="279"/>
  <c r="C880" i="279"/>
  <c r="C879" i="279"/>
  <c r="C878" i="279"/>
  <c r="C877" i="279"/>
  <c r="C876" i="279"/>
  <c r="C875" i="279"/>
  <c r="C874" i="279"/>
  <c r="C873" i="279"/>
  <c r="C872" i="279"/>
  <c r="C871" i="279"/>
  <c r="C870" i="279"/>
  <c r="C869" i="279"/>
  <c r="C868" i="279"/>
  <c r="C867" i="279"/>
  <c r="C866" i="279"/>
  <c r="C865" i="279"/>
  <c r="C864" i="279"/>
  <c r="C863" i="279"/>
  <c r="C862" i="279"/>
  <c r="C861" i="279"/>
  <c r="C860" i="279"/>
  <c r="C859" i="279"/>
  <c r="C858" i="279"/>
  <c r="C857" i="279"/>
  <c r="C856" i="279"/>
  <c r="C855" i="279"/>
  <c r="C854" i="279"/>
  <c r="C853" i="279"/>
  <c r="C852" i="279"/>
  <c r="C851" i="279"/>
  <c r="C850" i="279"/>
  <c r="C849" i="279"/>
  <c r="C848" i="279"/>
  <c r="C847" i="279"/>
  <c r="C846" i="279"/>
  <c r="C845" i="279"/>
  <c r="C844" i="279"/>
  <c r="C843" i="279"/>
  <c r="C842" i="279"/>
  <c r="C841" i="279"/>
  <c r="C840" i="279"/>
  <c r="C839" i="279"/>
  <c r="C838" i="279"/>
  <c r="C837" i="279"/>
  <c r="C836" i="279"/>
  <c r="C835" i="279"/>
  <c r="C834" i="279"/>
  <c r="C833" i="279"/>
  <c r="C832" i="279"/>
  <c r="C831" i="279"/>
  <c r="C830" i="279"/>
  <c r="C829" i="279"/>
  <c r="C828" i="279"/>
  <c r="C827" i="279"/>
  <c r="C826" i="279"/>
  <c r="C825" i="279"/>
  <c r="C824" i="279"/>
  <c r="C823" i="279"/>
  <c r="C822" i="279"/>
  <c r="C821" i="279"/>
  <c r="C820" i="279"/>
  <c r="C819" i="279"/>
  <c r="C818" i="279"/>
  <c r="C817" i="279"/>
  <c r="C816" i="279"/>
  <c r="C815" i="279"/>
  <c r="C814" i="279"/>
  <c r="C813" i="279"/>
  <c r="C812" i="279"/>
  <c r="C811" i="279"/>
  <c r="C810" i="279"/>
  <c r="C809" i="279"/>
  <c r="C808" i="279"/>
  <c r="C807" i="279"/>
  <c r="C806" i="279"/>
  <c r="C805" i="279"/>
  <c r="C804" i="279"/>
  <c r="C803" i="279"/>
  <c r="C802" i="279"/>
  <c r="C801" i="279"/>
  <c r="C800" i="279"/>
  <c r="C799" i="279"/>
  <c r="C798" i="279"/>
  <c r="C797" i="279"/>
  <c r="C796" i="279"/>
  <c r="C795" i="279"/>
  <c r="C794" i="279"/>
  <c r="C793" i="279"/>
  <c r="C792" i="279"/>
  <c r="C791" i="279"/>
  <c r="C790" i="279"/>
  <c r="C789" i="279"/>
  <c r="C788" i="279"/>
  <c r="C787" i="279"/>
  <c r="C786" i="279"/>
  <c r="C785" i="279"/>
  <c r="C784" i="279"/>
  <c r="C783" i="279"/>
  <c r="C782" i="279"/>
  <c r="C781" i="279"/>
  <c r="C780" i="279"/>
  <c r="C779" i="279"/>
  <c r="C778" i="279"/>
  <c r="C777" i="279"/>
  <c r="C776" i="279"/>
  <c r="C775" i="279"/>
  <c r="C774" i="279"/>
  <c r="C773" i="279"/>
  <c r="C772" i="279"/>
  <c r="C771" i="279"/>
  <c r="C770" i="279"/>
  <c r="C769" i="279"/>
  <c r="C768" i="279"/>
  <c r="C767" i="279"/>
  <c r="C766" i="279"/>
  <c r="C765" i="279"/>
  <c r="C764" i="279"/>
  <c r="C763" i="279"/>
  <c r="C762" i="279"/>
  <c r="C761" i="279"/>
  <c r="C760" i="279"/>
  <c r="C759" i="279"/>
  <c r="C758" i="279"/>
  <c r="C757" i="279"/>
  <c r="C756" i="279"/>
  <c r="C755" i="279"/>
  <c r="C754" i="279"/>
  <c r="C753" i="279"/>
  <c r="C752" i="279"/>
  <c r="C751" i="279"/>
  <c r="C750" i="279"/>
  <c r="C749" i="279"/>
  <c r="C748" i="279"/>
  <c r="C747" i="279"/>
  <c r="C746" i="279"/>
  <c r="C745" i="279"/>
  <c r="C744" i="279"/>
  <c r="C743" i="279"/>
  <c r="C742" i="279"/>
  <c r="C741" i="279"/>
  <c r="C740" i="279"/>
  <c r="C739" i="279"/>
  <c r="C738" i="279"/>
  <c r="C737" i="279"/>
  <c r="C736" i="279"/>
  <c r="C735" i="279"/>
  <c r="C734" i="279"/>
  <c r="C733" i="279"/>
  <c r="C732" i="279"/>
  <c r="C731" i="279"/>
  <c r="C730" i="279"/>
  <c r="C729" i="279"/>
  <c r="C728" i="279"/>
  <c r="C727" i="279"/>
  <c r="C726" i="279"/>
  <c r="C725" i="279"/>
  <c r="C724" i="279"/>
  <c r="C723" i="279"/>
  <c r="C722" i="279"/>
  <c r="C721" i="279"/>
  <c r="C720" i="279"/>
  <c r="C719" i="279"/>
  <c r="C718" i="279"/>
  <c r="C717" i="279"/>
  <c r="C716" i="279"/>
  <c r="C715" i="279"/>
  <c r="C714" i="279"/>
  <c r="C713" i="279"/>
  <c r="C712" i="279"/>
  <c r="C711" i="279"/>
  <c r="C710" i="279"/>
  <c r="C709" i="279"/>
  <c r="C708" i="279"/>
  <c r="C707" i="279"/>
  <c r="C706" i="279"/>
  <c r="C705" i="279"/>
  <c r="C704" i="279"/>
  <c r="C703" i="279"/>
  <c r="C702" i="279"/>
  <c r="C701" i="279"/>
  <c r="C700" i="279"/>
  <c r="C699" i="279"/>
  <c r="C698" i="279"/>
  <c r="C697" i="279"/>
  <c r="C696" i="279"/>
  <c r="C695" i="279"/>
  <c r="C694" i="279"/>
  <c r="C693" i="279"/>
  <c r="C692" i="279"/>
  <c r="C691" i="279"/>
  <c r="C690" i="279"/>
  <c r="C689" i="279"/>
  <c r="C688" i="279"/>
  <c r="C687" i="279"/>
  <c r="C686" i="279"/>
  <c r="C685" i="279"/>
  <c r="C684" i="279"/>
  <c r="C683" i="279"/>
  <c r="C682" i="279"/>
  <c r="C681" i="279"/>
  <c r="C680" i="279"/>
  <c r="C679" i="279"/>
  <c r="C678" i="279"/>
  <c r="C677" i="279"/>
  <c r="C676" i="279"/>
  <c r="C675" i="279"/>
  <c r="C674" i="279"/>
  <c r="C673" i="279"/>
  <c r="C672" i="279"/>
  <c r="C671" i="279"/>
  <c r="C670" i="279"/>
  <c r="C669" i="279"/>
  <c r="C668" i="279"/>
  <c r="C667" i="279"/>
  <c r="C666" i="279"/>
  <c r="C665" i="279"/>
  <c r="C664" i="279"/>
  <c r="C663" i="279"/>
  <c r="C662" i="279"/>
  <c r="C661" i="279"/>
  <c r="C660" i="279"/>
  <c r="C659" i="279"/>
  <c r="C658" i="279"/>
  <c r="C657" i="279"/>
  <c r="C656" i="279"/>
  <c r="C655" i="279"/>
  <c r="C654" i="279"/>
  <c r="C653" i="279"/>
  <c r="C652" i="279"/>
  <c r="C651" i="279"/>
  <c r="C650" i="279"/>
  <c r="C649" i="279"/>
  <c r="C648" i="279"/>
  <c r="C647" i="279"/>
  <c r="C646" i="279"/>
  <c r="C645" i="279"/>
  <c r="C644" i="279"/>
  <c r="C643" i="279"/>
  <c r="C642" i="279"/>
  <c r="C641" i="279"/>
  <c r="C640" i="279"/>
  <c r="C639" i="279"/>
  <c r="C638" i="279"/>
  <c r="C637" i="279"/>
  <c r="C636" i="279"/>
  <c r="C635" i="279"/>
  <c r="C634" i="279"/>
  <c r="C633" i="279"/>
  <c r="C632" i="279"/>
  <c r="C631" i="279"/>
  <c r="C630" i="279"/>
  <c r="C629" i="279"/>
  <c r="C628" i="279"/>
  <c r="C627" i="279"/>
  <c r="C626" i="279"/>
  <c r="C625" i="279"/>
  <c r="C624" i="279"/>
  <c r="C623" i="279"/>
  <c r="C622" i="279"/>
  <c r="C621" i="279"/>
  <c r="C620" i="279"/>
  <c r="C619" i="279"/>
  <c r="C618" i="279"/>
  <c r="C617" i="279"/>
  <c r="C616" i="279"/>
  <c r="C615" i="279"/>
  <c r="C614" i="279"/>
  <c r="C613" i="279"/>
  <c r="C612" i="279"/>
  <c r="C611" i="279"/>
  <c r="C610" i="279"/>
  <c r="C609" i="279"/>
  <c r="C608" i="279"/>
  <c r="C607" i="279"/>
  <c r="C606" i="279"/>
  <c r="C605" i="279"/>
  <c r="C604" i="279"/>
  <c r="C603" i="279"/>
  <c r="C602" i="279"/>
  <c r="C601" i="279"/>
  <c r="C600" i="279"/>
  <c r="C599" i="279"/>
  <c r="C598" i="279"/>
  <c r="C597" i="279"/>
  <c r="C596" i="279"/>
  <c r="C595" i="279"/>
  <c r="C594" i="279"/>
  <c r="C593" i="279"/>
  <c r="C592" i="279"/>
  <c r="C591" i="279"/>
  <c r="C590" i="279"/>
  <c r="C589" i="279"/>
  <c r="C588" i="279"/>
  <c r="C587" i="279"/>
  <c r="C586" i="279"/>
  <c r="C585" i="279"/>
  <c r="C584" i="279"/>
  <c r="C583" i="279"/>
  <c r="C582" i="279"/>
  <c r="C581" i="279"/>
  <c r="C580" i="279"/>
  <c r="C579" i="279"/>
  <c r="C578" i="279"/>
  <c r="C577" i="279"/>
  <c r="C576" i="279"/>
  <c r="C575" i="279"/>
  <c r="C574" i="279"/>
  <c r="C573" i="279"/>
  <c r="C572" i="279"/>
  <c r="C571" i="279"/>
  <c r="C570" i="279"/>
  <c r="C569" i="279"/>
  <c r="C568" i="279"/>
  <c r="C567" i="279"/>
  <c r="C566" i="279"/>
  <c r="C565" i="279"/>
  <c r="C564" i="279"/>
  <c r="C563" i="279"/>
  <c r="C562" i="279"/>
  <c r="C561" i="279"/>
  <c r="C560" i="279"/>
  <c r="C559" i="279"/>
  <c r="C558" i="279"/>
  <c r="C557" i="279"/>
  <c r="C556" i="279"/>
  <c r="C555" i="279"/>
  <c r="C554" i="279"/>
  <c r="C553" i="279"/>
  <c r="C552" i="279"/>
  <c r="C551" i="279"/>
  <c r="C550" i="279"/>
  <c r="C549" i="279"/>
  <c r="C548" i="279"/>
  <c r="C547" i="279"/>
  <c r="C546" i="279"/>
  <c r="C545" i="279"/>
  <c r="C544" i="279"/>
  <c r="C543" i="279"/>
  <c r="C542" i="279"/>
  <c r="C541" i="279"/>
  <c r="C540" i="279"/>
  <c r="C539" i="279"/>
  <c r="C538" i="279"/>
  <c r="C537" i="279"/>
  <c r="C536" i="279"/>
  <c r="C535" i="279"/>
  <c r="C534" i="279"/>
  <c r="C533" i="279"/>
  <c r="C532" i="279"/>
  <c r="C531" i="279"/>
  <c r="C530" i="279"/>
  <c r="C529" i="279"/>
  <c r="C528" i="279"/>
  <c r="C527" i="279"/>
  <c r="C526" i="279"/>
  <c r="C525" i="279"/>
  <c r="C524" i="279"/>
  <c r="C523" i="279"/>
  <c r="C522" i="279"/>
  <c r="C521" i="279"/>
  <c r="C520" i="279"/>
  <c r="C519" i="279"/>
  <c r="C518" i="279"/>
  <c r="C517" i="279"/>
  <c r="C516" i="279"/>
  <c r="C515" i="279"/>
  <c r="C514" i="279"/>
  <c r="C513" i="279"/>
  <c r="C512" i="279"/>
  <c r="C511" i="279"/>
  <c r="C510" i="279"/>
  <c r="C509" i="279"/>
  <c r="C508" i="279"/>
  <c r="C507" i="279"/>
  <c r="C506" i="279"/>
  <c r="C505" i="279"/>
  <c r="C504" i="279"/>
  <c r="C503" i="279"/>
  <c r="C502" i="279"/>
  <c r="C501" i="279"/>
  <c r="C500" i="279"/>
  <c r="C499" i="279"/>
  <c r="C498" i="279"/>
  <c r="C497" i="279"/>
  <c r="C496" i="279"/>
  <c r="C495" i="279"/>
  <c r="C494" i="279"/>
  <c r="C493" i="279"/>
  <c r="C492" i="279"/>
  <c r="C491" i="279"/>
  <c r="C490" i="279"/>
  <c r="C489" i="279"/>
  <c r="C488" i="279"/>
  <c r="C487" i="279"/>
  <c r="C486" i="279"/>
  <c r="C485" i="279"/>
  <c r="C484" i="279"/>
  <c r="C483" i="279"/>
  <c r="C482" i="279"/>
  <c r="C481" i="279"/>
  <c r="C480" i="279"/>
  <c r="C479" i="279"/>
  <c r="C478" i="279"/>
  <c r="C477" i="279"/>
  <c r="C476" i="279"/>
  <c r="C475" i="279"/>
  <c r="C474" i="279"/>
  <c r="C473" i="279"/>
  <c r="C472" i="279"/>
  <c r="C471" i="279"/>
  <c r="C470" i="279"/>
  <c r="C469" i="279"/>
  <c r="C468" i="279"/>
  <c r="C467" i="279"/>
  <c r="C466" i="279"/>
  <c r="C465" i="279"/>
  <c r="C464" i="279"/>
  <c r="C463" i="279"/>
  <c r="C462" i="279"/>
  <c r="C461" i="279"/>
  <c r="C460" i="279"/>
  <c r="C459" i="279"/>
  <c r="C458" i="279"/>
  <c r="C457" i="279"/>
  <c r="C456" i="279"/>
  <c r="C455" i="279"/>
  <c r="C454" i="279"/>
  <c r="C453" i="279"/>
  <c r="C452" i="279"/>
  <c r="C451" i="279"/>
  <c r="C450" i="279"/>
  <c r="C449" i="279"/>
  <c r="C448" i="279"/>
  <c r="C447" i="279"/>
  <c r="C446" i="279"/>
  <c r="C445" i="279"/>
  <c r="C444" i="279"/>
  <c r="C443" i="279"/>
  <c r="C442" i="279"/>
  <c r="C441" i="279"/>
  <c r="C440" i="279"/>
  <c r="C439" i="279"/>
  <c r="C438" i="279"/>
  <c r="C437" i="279"/>
  <c r="C436" i="279"/>
  <c r="C435" i="279"/>
  <c r="C434" i="279"/>
  <c r="C433" i="279"/>
  <c r="C432" i="279"/>
  <c r="C431" i="279"/>
  <c r="C430" i="279"/>
  <c r="C429" i="279"/>
  <c r="C428" i="279"/>
  <c r="C427" i="279"/>
  <c r="C426" i="279"/>
  <c r="C425" i="279"/>
  <c r="C424" i="279"/>
  <c r="C423" i="279"/>
  <c r="C422" i="279"/>
  <c r="C421" i="279"/>
  <c r="C420" i="279"/>
  <c r="C419" i="279"/>
  <c r="C418" i="279"/>
  <c r="C417" i="279"/>
  <c r="C416" i="279"/>
  <c r="C415" i="279"/>
  <c r="C414" i="279"/>
  <c r="C413" i="279"/>
  <c r="C412" i="279"/>
  <c r="C411" i="279"/>
  <c r="C410" i="279"/>
  <c r="C409" i="279"/>
  <c r="C408" i="279"/>
  <c r="C407" i="279"/>
  <c r="C406" i="279"/>
  <c r="C405" i="279"/>
  <c r="C404" i="279"/>
  <c r="C403" i="279"/>
  <c r="C402" i="279"/>
  <c r="C401" i="279"/>
  <c r="C400" i="279"/>
  <c r="C399" i="279"/>
  <c r="C398" i="279"/>
  <c r="C397" i="279"/>
  <c r="C396" i="279"/>
  <c r="C395" i="279"/>
  <c r="C394" i="279"/>
  <c r="C393" i="279"/>
  <c r="C392" i="279"/>
  <c r="C391" i="279"/>
  <c r="C390" i="279"/>
  <c r="C389" i="279"/>
  <c r="C388" i="279"/>
  <c r="C387" i="279"/>
  <c r="C386" i="279"/>
  <c r="C385" i="279"/>
  <c r="C384" i="279"/>
  <c r="C383" i="279"/>
  <c r="C382" i="279"/>
  <c r="C381" i="279"/>
  <c r="C380" i="279"/>
  <c r="C379" i="279"/>
  <c r="C378" i="279"/>
  <c r="C377" i="279"/>
  <c r="C376" i="279"/>
  <c r="C375" i="279"/>
  <c r="C374" i="279"/>
  <c r="C373" i="279"/>
  <c r="C372" i="279"/>
  <c r="C371" i="279"/>
  <c r="C370" i="279"/>
  <c r="C369" i="279"/>
  <c r="C368" i="279"/>
  <c r="C367" i="279"/>
  <c r="C366" i="279"/>
  <c r="C365" i="279"/>
  <c r="C364" i="279"/>
  <c r="C363" i="279"/>
  <c r="C362" i="279"/>
  <c r="C361" i="279"/>
  <c r="C360" i="279"/>
  <c r="C359" i="279"/>
  <c r="C358" i="279"/>
  <c r="C357" i="279"/>
  <c r="C356" i="279"/>
  <c r="C355" i="279"/>
  <c r="C354" i="279"/>
  <c r="C353" i="279"/>
  <c r="C352" i="279"/>
  <c r="C351" i="279"/>
  <c r="C350" i="279"/>
  <c r="C349" i="279"/>
  <c r="C348" i="279"/>
  <c r="C347" i="279"/>
  <c r="C346" i="279"/>
  <c r="C345" i="279"/>
  <c r="C344" i="279"/>
  <c r="C343" i="279"/>
  <c r="C342" i="279"/>
  <c r="C341" i="279"/>
  <c r="C340" i="279"/>
  <c r="C339" i="279"/>
  <c r="C338" i="279"/>
  <c r="C337" i="279"/>
  <c r="C336" i="279"/>
  <c r="C335" i="279"/>
  <c r="C334" i="279"/>
  <c r="C333" i="279"/>
  <c r="C332" i="279"/>
  <c r="C331" i="279"/>
  <c r="C330" i="279"/>
  <c r="C329" i="279"/>
  <c r="C328" i="279"/>
  <c r="C327" i="279"/>
  <c r="C326" i="279"/>
  <c r="C325" i="279"/>
  <c r="C324" i="279"/>
  <c r="C323" i="279"/>
  <c r="C322" i="279"/>
  <c r="C321" i="279"/>
  <c r="C320" i="279"/>
  <c r="C319" i="279"/>
  <c r="C318" i="279"/>
  <c r="C317" i="279"/>
  <c r="C316" i="279"/>
  <c r="C315" i="279"/>
  <c r="C314" i="279"/>
  <c r="C313" i="279"/>
  <c r="C312" i="279"/>
  <c r="C311" i="279"/>
  <c r="C310" i="279"/>
  <c r="C309" i="279"/>
  <c r="C308" i="279"/>
  <c r="C307" i="279"/>
  <c r="C306" i="279"/>
  <c r="C305" i="279"/>
  <c r="C304" i="279"/>
  <c r="C303" i="279"/>
  <c r="C302" i="279"/>
  <c r="C301" i="279"/>
  <c r="C300" i="279"/>
  <c r="C299" i="279"/>
  <c r="C298" i="279"/>
  <c r="C297" i="279"/>
  <c r="C296" i="279"/>
  <c r="C295" i="279"/>
  <c r="C294" i="279"/>
  <c r="C293" i="279"/>
  <c r="C292" i="279"/>
  <c r="C291" i="279"/>
  <c r="C290" i="279"/>
  <c r="C289" i="279"/>
  <c r="C288" i="279"/>
  <c r="C287" i="279"/>
  <c r="C286" i="279"/>
  <c r="C285" i="279"/>
  <c r="C284" i="279"/>
  <c r="C283" i="279"/>
  <c r="C282" i="279"/>
  <c r="C281" i="279"/>
  <c r="C280" i="279"/>
  <c r="C279" i="279"/>
  <c r="C278" i="279"/>
  <c r="C277" i="279"/>
  <c r="C276" i="279"/>
  <c r="C275" i="279"/>
  <c r="C274" i="279"/>
  <c r="C273" i="279"/>
  <c r="C272" i="279"/>
  <c r="C271" i="279"/>
  <c r="C270" i="279"/>
  <c r="C269" i="279"/>
  <c r="C268" i="279"/>
  <c r="C267" i="279"/>
  <c r="C266" i="279"/>
  <c r="C265" i="279"/>
  <c r="C264" i="279"/>
  <c r="C263" i="279"/>
  <c r="C262" i="279"/>
  <c r="C261" i="279"/>
  <c r="C260" i="279"/>
  <c r="C259" i="279"/>
  <c r="C258" i="279"/>
  <c r="C257" i="279"/>
  <c r="C256" i="279"/>
  <c r="C255" i="279"/>
  <c r="C254" i="279"/>
  <c r="C253" i="279"/>
  <c r="C252" i="279"/>
  <c r="C251" i="279"/>
  <c r="C250" i="279"/>
  <c r="C249" i="279"/>
  <c r="C248" i="279"/>
  <c r="C247" i="279"/>
  <c r="C246" i="279"/>
  <c r="C245" i="279"/>
  <c r="C244" i="279"/>
  <c r="C243" i="279"/>
  <c r="C242" i="279"/>
  <c r="C241" i="279"/>
  <c r="C240" i="279"/>
  <c r="C239" i="279"/>
  <c r="C238" i="279"/>
  <c r="C237" i="279"/>
  <c r="C236" i="279"/>
  <c r="C235" i="279"/>
  <c r="C234" i="279"/>
  <c r="C233" i="279"/>
  <c r="C232" i="279"/>
  <c r="C231" i="279"/>
  <c r="C230" i="279"/>
  <c r="C229" i="279"/>
  <c r="C228" i="279"/>
  <c r="C227" i="279"/>
  <c r="C226" i="279"/>
  <c r="C225" i="279"/>
  <c r="C224" i="279"/>
  <c r="C223" i="279"/>
  <c r="C222" i="279"/>
  <c r="C221" i="279"/>
  <c r="C220" i="279"/>
  <c r="C219" i="279"/>
  <c r="C218" i="279"/>
  <c r="C217" i="279"/>
  <c r="C216" i="279"/>
  <c r="C215" i="279"/>
  <c r="C214" i="279"/>
  <c r="C213" i="279"/>
  <c r="C212" i="279"/>
  <c r="C211" i="279"/>
  <c r="C210" i="279"/>
  <c r="C209" i="279"/>
  <c r="C208" i="279"/>
  <c r="C207" i="279"/>
  <c r="C206" i="279"/>
  <c r="C205" i="279"/>
  <c r="C204" i="279"/>
  <c r="C203" i="279"/>
  <c r="C202" i="279"/>
  <c r="C201" i="279"/>
  <c r="C200" i="279"/>
  <c r="C199" i="279"/>
  <c r="C198" i="279"/>
  <c r="C197" i="279"/>
  <c r="C196" i="279"/>
  <c r="C195" i="279"/>
  <c r="C194" i="279"/>
  <c r="C193" i="279"/>
  <c r="C192" i="279"/>
  <c r="C191" i="279"/>
  <c r="C190" i="279"/>
  <c r="C189" i="279"/>
  <c r="C188" i="279"/>
  <c r="C187" i="279"/>
  <c r="C186" i="279"/>
  <c r="C185" i="279"/>
  <c r="C184" i="279"/>
  <c r="C183" i="279"/>
  <c r="C182" i="279"/>
  <c r="C181" i="279"/>
  <c r="C180" i="279"/>
  <c r="C179" i="279"/>
  <c r="C178" i="279"/>
  <c r="C177" i="279"/>
  <c r="C176" i="279"/>
  <c r="C175" i="279"/>
  <c r="C174" i="279"/>
  <c r="C173" i="279"/>
  <c r="C172" i="279"/>
  <c r="C171" i="279"/>
  <c r="C170" i="279"/>
  <c r="C169" i="279"/>
  <c r="C168" i="279"/>
  <c r="C167" i="279"/>
  <c r="C166" i="279"/>
  <c r="C165" i="279"/>
  <c r="C164" i="279"/>
  <c r="C163" i="279"/>
  <c r="C162" i="279"/>
  <c r="C161" i="279"/>
  <c r="C160" i="279"/>
  <c r="C159" i="279"/>
  <c r="C158" i="279"/>
  <c r="C157" i="279"/>
  <c r="C156" i="279"/>
  <c r="C155" i="279"/>
  <c r="C154" i="279"/>
  <c r="C153" i="279"/>
  <c r="C152" i="279"/>
  <c r="C151" i="279"/>
  <c r="C150" i="279"/>
  <c r="C149" i="279"/>
  <c r="C148" i="279"/>
  <c r="C147" i="279"/>
  <c r="C146" i="279"/>
  <c r="C145" i="279"/>
  <c r="C144" i="279"/>
  <c r="C143" i="279"/>
  <c r="C142" i="279"/>
  <c r="C141" i="279"/>
  <c r="C140" i="279"/>
  <c r="C139" i="279"/>
  <c r="C138" i="279"/>
  <c r="C137" i="279"/>
  <c r="C136" i="279"/>
  <c r="C135" i="279"/>
  <c r="C134" i="279"/>
  <c r="C133" i="279"/>
  <c r="C132" i="279"/>
  <c r="C131" i="279"/>
  <c r="C130" i="279"/>
  <c r="C129" i="279"/>
  <c r="C128" i="279"/>
  <c r="C127" i="279"/>
  <c r="C126" i="279"/>
  <c r="C125" i="279"/>
  <c r="C124" i="279"/>
  <c r="C123" i="279"/>
  <c r="C122" i="279"/>
  <c r="C121" i="279"/>
  <c r="C120" i="279"/>
  <c r="C119" i="279"/>
  <c r="C118" i="279"/>
  <c r="C117" i="279"/>
  <c r="C116" i="279"/>
  <c r="C115" i="279"/>
  <c r="C114" i="279"/>
  <c r="C113" i="279"/>
  <c r="C112" i="279"/>
  <c r="C111" i="279"/>
  <c r="C110" i="279"/>
  <c r="C109" i="279"/>
  <c r="C108" i="279"/>
  <c r="C107" i="279"/>
  <c r="C106" i="279"/>
  <c r="C105" i="279"/>
  <c r="C104" i="279"/>
  <c r="C103" i="279"/>
  <c r="C102" i="279"/>
  <c r="C101" i="279"/>
  <c r="C100" i="279"/>
  <c r="C99" i="279"/>
  <c r="C98" i="279"/>
  <c r="C97" i="279"/>
  <c r="C96" i="279"/>
  <c r="C95" i="279"/>
  <c r="C94" i="279"/>
  <c r="C93" i="279"/>
  <c r="C92" i="279"/>
  <c r="C91" i="279"/>
  <c r="C90" i="279"/>
  <c r="C89" i="279"/>
  <c r="C88" i="279"/>
  <c r="C87" i="279"/>
  <c r="C86" i="279"/>
  <c r="C85" i="279"/>
  <c r="C84" i="279"/>
  <c r="C83" i="279"/>
  <c r="C82" i="279"/>
  <c r="C81" i="279"/>
  <c r="C80" i="279"/>
  <c r="C79" i="279"/>
  <c r="C78" i="279"/>
  <c r="C77" i="279"/>
  <c r="C76" i="279"/>
  <c r="C75" i="279"/>
  <c r="C74" i="279"/>
  <c r="C73" i="279"/>
  <c r="C72" i="279"/>
  <c r="C71" i="279"/>
  <c r="C70" i="279"/>
  <c r="C69" i="279"/>
  <c r="C68" i="279"/>
  <c r="C67" i="279"/>
  <c r="C66" i="279"/>
  <c r="C65" i="279"/>
  <c r="C64" i="279"/>
  <c r="C63" i="279"/>
  <c r="C62" i="279"/>
  <c r="C61" i="279"/>
  <c r="C60" i="279"/>
  <c r="C59" i="279"/>
  <c r="C58" i="279"/>
  <c r="C57" i="279"/>
  <c r="C56" i="279"/>
  <c r="C55" i="279"/>
  <c r="C54" i="279"/>
  <c r="C53" i="279"/>
  <c r="C52" i="279"/>
  <c r="C51" i="279"/>
  <c r="C50" i="279"/>
  <c r="C49" i="279"/>
  <c r="C48" i="279"/>
  <c r="C47" i="279"/>
  <c r="C46" i="279"/>
  <c r="C45" i="279"/>
  <c r="C44" i="279"/>
  <c r="C43" i="279"/>
  <c r="C42" i="279"/>
  <c r="C41" i="279"/>
  <c r="C40" i="279"/>
  <c r="C39" i="279"/>
  <c r="C38" i="279"/>
  <c r="C37" i="279"/>
  <c r="C36" i="279"/>
  <c r="C35" i="279"/>
  <c r="C34" i="279"/>
  <c r="C33" i="279"/>
  <c r="C32" i="279"/>
  <c r="C31" i="279"/>
  <c r="C30" i="279"/>
  <c r="C29" i="279"/>
  <c r="C28" i="279"/>
  <c r="C27" i="279"/>
  <c r="C26" i="279"/>
  <c r="C25" i="279"/>
  <c r="C24" i="279"/>
  <c r="C23" i="279"/>
  <c r="C22" i="279"/>
  <c r="C21" i="279"/>
  <c r="C20" i="279"/>
  <c r="C19" i="279"/>
  <c r="C18" i="279"/>
  <c r="C17" i="279"/>
  <c r="C16" i="279"/>
  <c r="C15" i="279"/>
  <c r="C14" i="279"/>
  <c r="C13" i="279"/>
  <c r="C12" i="279"/>
  <c r="C11" i="279"/>
  <c r="C10" i="279"/>
  <c r="C9" i="279"/>
  <c r="C8" i="279"/>
  <c r="C7" i="279"/>
  <c r="C6" i="279"/>
  <c r="C5" i="279"/>
  <c r="C4" i="279"/>
  <c r="C3" i="279"/>
  <c r="B2" i="277"/>
</calcChain>
</file>

<file path=xl/sharedStrings.xml><?xml version="1.0" encoding="utf-8"?>
<sst xmlns="http://schemas.openxmlformats.org/spreadsheetml/2006/main" count="56" uniqueCount="21">
  <si>
    <t>Tem valores</t>
  </si>
  <si>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</si>
  <si>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</si>
  <si>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</si>
  <si>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</si>
  <si>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</si>
  <si>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</si>
  <si>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</si>
  <si>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TP1</t>
  </si>
  <si>
    <t>Exame</t>
  </si>
  <si>
    <t>Recurso</t>
  </si>
  <si>
    <t>Nomes</t>
  </si>
  <si>
    <t>Nota</t>
  </si>
  <si>
    <t>Total</t>
  </si>
  <si>
    <t>G1</t>
  </si>
  <si>
    <t>Rui</t>
  </si>
  <si>
    <t>A</t>
  </si>
  <si>
    <t>Ruben</t>
  </si>
  <si>
    <t>B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</si>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</sst>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Q2" sqref="Q2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593BD-498B-4827-8355-269FEB9821B9}">
  <sheetPr codeName="Folha98"/>
  <dimension ref="A1:ZZ1000"/>
  <sheetViews>
    <sheetView tabSelected="1" workbookViewId="0">
      <selection activeCell="H4" sqref="H4"/>
    </sheetView>
  </sheetViews>
  <sheetFormatPr defaultRowHeight="14.4" x14ac:dyDescent="0.3"/>
  <cols>
    <col min="1" max="1" width="6.88671875" style="2" bestFit="1" customWidth="1"/>
    <col min="2" max="2" width="6.5546875" style="2" bestFit="1" customWidth="1"/>
    <col min="3" max="3" width="3.21875" style="2" bestFit="1" customWidth="1"/>
    <col min="4" max="4" width="4.109375" style="2" bestFit="1" customWidth="1"/>
    <col min="5" max="5" width="5.21875" style="2" bestFit="1" customWidth="1"/>
    <col min="6" max="6" width="5.109375" style="2" bestFit="1" customWidth="1"/>
    <col min="7" max="702" width="8.88671875" style="2"/>
  </cols>
  <sheetData>
    <row r="1" spans="1:9" x14ac:dyDescent="0.3">
      <c r="B1" s="8">
        <v>12</v>
      </c>
      <c r="D1" s="8">
        <v>4</v>
      </c>
      <c r="E1" s="8">
        <v>16</v>
      </c>
      <c r="F1" s="8">
        <v>16</v>
      </c>
      <c r="G1" s="8">
        <v>12</v>
      </c>
      <c r="H1" s="8">
        <v>16</v>
      </c>
      <c r="I1" s="8">
        <v>16</v>
      </c>
    </row>
    <row r="2" spans="1:9" x14ac:dyDescent="0.3">
      <c r="A2" s="7" t="s">
        <v>11</v>
      </c>
      <c r="B2" s="7" t="s">
        <v>9</v>
      </c>
      <c r="C2" s="7" t="s">
        <v>14</v>
      </c>
      <c r="D2" s="7" t="s">
        <v>8</v>
      </c>
      <c r="E2" s="7" t="s">
        <v>13</v>
      </c>
      <c r="F2" s="7" t="s">
        <v>12</v>
      </c>
      <c r="G2" s="7" t="s">
        <v>10</v>
      </c>
      <c r="H2" s="7" t="s">
        <v>13</v>
      </c>
      <c r="I2" s="7" t="s">
        <v>12</v>
      </c>
    </row>
    <row r="3" spans="1:9" x14ac:dyDescent="0.3">
      <c r="A3" s="2" t="s">
        <v>15</v>
      </c>
      <c r="B3" s="2">
        <f>IF(A3&lt;&gt;"",VLOOKUP(Alunos!A3,Exame!A3:C1000,3, FALSE),"")</f>
        <v>1</v>
      </c>
      <c r="C3" s="2" t="str">
        <f>IF(A3&lt;&gt;"",VLOOKUP(Alunos!A3,Agrupamentos!A3:B1000,2, FALSE),"")</f>
        <v>A</v>
      </c>
      <c r="D3" s="2">
        <f>IF(A3&lt;&gt;"",VLOOKUP(Alunos!C3,'TP1'!A3:C1000,3, FALSE),"")</f>
        <v>3</v>
      </c>
      <c r="E3" s="2">
        <f>IF(A3&lt;&gt;"", SUMIF(B1:D1,"&lt;&gt;",B3:D3),"")</f>
        <v>4</v>
      </c>
      <c r="F3" s="2">
        <f>IF(AND(A3&lt;&gt;"",E3&lt;&gt;""),ROUND(E3,0),"")</f>
        <v>4</v>
      </c>
      <c r="G3" s="2">
        <f>IF(A3&lt;&gt;"",VLOOKUP(Alunos!A3,Recurso!A3:C1000,3, FALSE),"")</f>
        <v>15</v>
      </c>
      <c r="H3" s="2">
        <f>IF(OR(A3&lt;&gt;"",G3&lt;&gt;""), SUMIFS(B3:G3,B1:G1,"&lt;&gt;",B2:G2,"&lt;&gt;Exame",B2:G2,"&lt;&gt;exame",B2:G2,"&lt;&gt;Nota",B2:G2,"&lt;&gt;Total"),"")</f>
        <v>18</v>
      </c>
      <c r="I3" s="2">
        <f>IF(AND(A3&lt;&gt;"",H3&lt;&gt;""),ROUND(H3,0),"")</f>
        <v>18</v>
      </c>
    </row>
    <row r="4" spans="1:9" x14ac:dyDescent="0.3">
      <c r="A4" s="2" t="s">
        <v>17</v>
      </c>
      <c r="B4" s="2">
        <f>IF(A4&lt;&gt;"",VLOOKUP(Alunos!A4,Exame!A3:C1000,3, FALSE),"")</f>
        <v>16</v>
      </c>
      <c r="C4" s="2" t="str">
        <f>IF(A4&lt;&gt;"",VLOOKUP(Alunos!A4,Agrupamentos!A3:B1000,2, FALSE),"")</f>
        <v>B</v>
      </c>
      <c r="D4" s="2">
        <f>IF(A4&lt;&gt;"",VLOOKUP(Alunos!C4,'TP1'!A3:C1000,3, FALSE),"")</f>
        <v>15</v>
      </c>
      <c r="E4" s="2">
        <f>IF(A4&lt;&gt;"", SUMIF(B1:D1,"&lt;&gt;",B4:D4),"")</f>
        <v>31</v>
      </c>
      <c r="F4" s="2">
        <f>IF(AND(A4&lt;&gt;"",E4&lt;&gt;""),ROUND(E4,0),"")</f>
        <v>31</v>
      </c>
      <c r="G4" s="2" t="e">
        <f>IF(A4&lt;&gt;"",VLOOKUP(Alunos!A4,Recurso!A3:C1000,3, FALSE),"")</f>
        <v>#N/A</v>
      </c>
      <c r="H4" s="2" t="e">
        <f>IF(OR(A4&lt;&gt;"",G4&lt;&gt;""), SUMIFS(B4:G4,B1:G1,"&lt;&gt;",B2:G2,"&lt;&gt;Exame",B2:G2,"&lt;&gt;exame",B2:G2,"&lt;&gt;Nota",B2:G2,"&lt;&gt;Total"),"")</f>
        <v>#N/A</v>
      </c>
      <c r="I4" s="2" t="e">
        <f>IF(AND(A4&lt;&gt;"",H4&lt;&gt;""),ROUND(H4,0),"")</f>
        <v>#N/A</v>
      </c>
    </row>
    <row r="5" spans="1:9" x14ac:dyDescent="0.3">
      <c r="B5" s="2" t="str">
        <f>IF(A5&lt;&gt;"",VLOOKUP(Alunos!A5,Exame!A3:C1000,3, FALSE),"")</f>
        <v/>
      </c>
      <c r="C5" s="2" t="str">
        <f>IF(A5&lt;&gt;"",VLOOKUP(Alunos!A5,Agrupamentos!A3:B1000,2, FALSE),"")</f>
        <v/>
      </c>
      <c r="D5" s="2" t="str">
        <f>IF(A5&lt;&gt;"",VLOOKUP(Alunos!C5,'TP1'!A3:C1000,3, FALSE),"")</f>
        <v/>
      </c>
      <c r="E5" s="2" t="str">
        <f>IF(A5&lt;&gt;"", SUMIF(B1:D1,"&lt;&gt;",B5:D5),"")</f>
        <v/>
      </c>
      <c r="F5" s="2" t="str">
        <f>IF(AND(A5&lt;&gt;"",E5&lt;&gt;""),ROUND(E5,0),"")</f>
        <v/>
      </c>
      <c r="G5" s="2" t="str">
        <f>IF(A5&lt;&gt;"",VLOOKUP(Alunos!A5,Recurso!A3:C1000,3, FALSE),"")</f>
        <v/>
      </c>
      <c r="H5" s="2" t="str">
        <f>IF(OR(A5&lt;&gt;"",G5&lt;&gt;""), SUMIFS(B5:G5,B1:G1,"&lt;&gt;",B2:G2,"&lt;&gt;Exame",B2:G2,"&lt;&gt;exame",B2:G2,"&lt;&gt;Nota",B2:G2,"&lt;&gt;Total"),"")</f>
        <v/>
      </c>
      <c r="I5" s="2" t="str">
        <f>IF(AND(A5&lt;&gt;"",H5&lt;&gt;""),ROUND(H5,0),"")</f>
        <v/>
      </c>
    </row>
    <row r="6" spans="1:9" x14ac:dyDescent="0.3">
      <c r="B6" s="2" t="str">
        <f>IF(A6&lt;&gt;"",VLOOKUP(Alunos!A6,Exame!A3:C1000,3, FALSE),"")</f>
        <v/>
      </c>
      <c r="C6" s="2" t="str">
        <f>IF(A6&lt;&gt;"",VLOOKUP(Alunos!A6,Agrupamentos!A3:B1000,2, FALSE),"")</f>
        <v/>
      </c>
      <c r="D6" s="2" t="str">
        <f>IF(A6&lt;&gt;"",VLOOKUP(Alunos!C6,'TP1'!A3:C1000,3, FALSE),"")</f>
        <v/>
      </c>
      <c r="E6" s="2" t="str">
        <f>IF(A6&lt;&gt;"", SUMIF(B1:D1,"&lt;&gt;",B6:D6),"")</f>
        <v/>
      </c>
      <c r="F6" s="2" t="str">
        <f>IF(AND(A6&lt;&gt;"",E6&lt;&gt;""),ROUND(E6,0),"")</f>
        <v/>
      </c>
      <c r="G6" s="2" t="str">
        <f>IF(A6&lt;&gt;"",VLOOKUP(Alunos!A6,Recurso!A3:C1000,3, FALSE),"")</f>
        <v/>
      </c>
      <c r="H6" s="2" t="str">
        <f>IF(OR(A6&lt;&gt;"",G6&lt;&gt;""), SUMIFS(B6:G6,B1:G1,"&lt;&gt;",B2:G2,"&lt;&gt;Exame",B2:G2,"&lt;&gt;exame",B2:G2,"&lt;&gt;Nota",B2:G2,"&lt;&gt;Total"),"")</f>
        <v/>
      </c>
      <c r="I6" s="2" t="str">
        <f>IF(AND(A6&lt;&gt;"",H6&lt;&gt;""),ROUND(H6,0),"")</f>
        <v/>
      </c>
    </row>
    <row r="7" spans="1:9" x14ac:dyDescent="0.3">
      <c r="B7" s="2" t="str">
        <f>IF(A7&lt;&gt;"",VLOOKUP(Alunos!A7,Exame!A3:C1000,3, FALSE),"")</f>
        <v/>
      </c>
      <c r="C7" s="2" t="str">
        <f>IF(A7&lt;&gt;"",VLOOKUP(Alunos!A7,Agrupamentos!A3:B1000,2, FALSE),"")</f>
        <v/>
      </c>
      <c r="D7" s="2" t="str">
        <f>IF(A7&lt;&gt;"",VLOOKUP(Alunos!C7,'TP1'!A3:C1000,3, FALSE),"")</f>
        <v/>
      </c>
      <c r="E7" s="2" t="str">
        <f>IF(A7&lt;&gt;"", SUMIF(B1:D1,"&lt;&gt;",B7:D7),"")</f>
        <v/>
      </c>
      <c r="F7" s="2" t="str">
        <f>IF(AND(A7&lt;&gt;"",E7&lt;&gt;""),ROUND(E7,0),"")</f>
        <v/>
      </c>
      <c r="G7" s="2" t="str">
        <f>IF(A7&lt;&gt;"",VLOOKUP(Alunos!A7,Recurso!A3:C1000,3, FALSE),"")</f>
        <v/>
      </c>
      <c r="H7" s="2" t="str">
        <f>IF(OR(A7&lt;&gt;"",G7&lt;&gt;""), SUMIFS(B7:G7,B1:G1,"&lt;&gt;",B2:G2,"&lt;&gt;Exame",B2:G2,"&lt;&gt;exame",B2:G2,"&lt;&gt;Nota",B2:G2,"&lt;&gt;Total"),"")</f>
        <v/>
      </c>
      <c r="I7" s="2" t="str">
        <f>IF(AND(A7&lt;&gt;"",H7&lt;&gt;""),ROUND(H7,0),"")</f>
        <v/>
      </c>
    </row>
    <row r="8" spans="1:9" x14ac:dyDescent="0.3">
      <c r="B8" s="2" t="str">
        <f>IF(A8&lt;&gt;"",VLOOKUP(Alunos!A8,Exame!A3:C1000,3, FALSE),"")</f>
        <v/>
      </c>
      <c r="C8" s="2" t="str">
        <f>IF(A8&lt;&gt;"",VLOOKUP(Alunos!A8,Agrupamentos!A3:B1000,2, FALSE),"")</f>
        <v/>
      </c>
      <c r="D8" s="2" t="str">
        <f>IF(A8&lt;&gt;"",VLOOKUP(Alunos!C8,'TP1'!A3:C1000,3, FALSE),"")</f>
        <v/>
      </c>
      <c r="E8" s="2" t="str">
        <f>IF(A8&lt;&gt;"", SUMIF(B1:D1,"&lt;&gt;",B8:D8),"")</f>
        <v/>
      </c>
      <c r="F8" s="2" t="str">
        <f>IF(AND(A8&lt;&gt;"",E8&lt;&gt;""),ROUND(E8,0),"")</f>
        <v/>
      </c>
      <c r="G8" s="2" t="str">
        <f>IF(A8&lt;&gt;"",VLOOKUP(Alunos!A8,Recurso!A3:C1000,3, FALSE),"")</f>
        <v/>
      </c>
      <c r="H8" s="2" t="str">
        <f>IF(OR(A8&lt;&gt;"",G8&lt;&gt;""), SUMIFS(B8:G8,B1:G1,"&lt;&gt;",B2:G2,"&lt;&gt;Exame",B2:G2,"&lt;&gt;exame",B2:G2,"&lt;&gt;Nota",B2:G2,"&lt;&gt;Total"),"")</f>
        <v/>
      </c>
      <c r="I8" s="2" t="str">
        <f>IF(AND(A8&lt;&gt;"",H8&lt;&gt;""),ROUND(H8,0),"")</f>
        <v/>
      </c>
    </row>
    <row r="9" spans="1:9" x14ac:dyDescent="0.3">
      <c r="B9" s="2" t="str">
        <f>IF(A9&lt;&gt;"",VLOOKUP(Alunos!A9,Exame!A3:C1000,3, FALSE),"")</f>
        <v/>
      </c>
      <c r="C9" s="2" t="str">
        <f>IF(A9&lt;&gt;"",VLOOKUP(Alunos!A9,Agrupamentos!A3:B1000,2, FALSE),"")</f>
        <v/>
      </c>
      <c r="D9" s="2" t="str">
        <f>IF(A9&lt;&gt;"",VLOOKUP(Alunos!C9,'TP1'!A3:C1000,3, FALSE),"")</f>
        <v/>
      </c>
      <c r="E9" s="2" t="str">
        <f>IF(A9&lt;&gt;"", SUMIF(B1:D1,"&lt;&gt;",B9:D9),"")</f>
        <v/>
      </c>
      <c r="F9" s="2" t="str">
        <f>IF(AND(A9&lt;&gt;"",E9&lt;&gt;""),ROUND(E9,0),"")</f>
        <v/>
      </c>
      <c r="G9" s="2" t="str">
        <f>IF(A9&lt;&gt;"",VLOOKUP(Alunos!A9,Recurso!A3:C1000,3, FALSE),"")</f>
        <v/>
      </c>
      <c r="H9" s="2" t="str">
        <f>IF(OR(A9&lt;&gt;"",G9&lt;&gt;""), SUMIFS(B9:G9,B1:G1,"&lt;&gt;",B2:G2,"&lt;&gt;Exame",B2:G2,"&lt;&gt;exame",B2:G2,"&lt;&gt;Nota",B2:G2,"&lt;&gt;Total"),"")</f>
        <v/>
      </c>
      <c r="I9" s="2" t="str">
        <f>IF(AND(A9&lt;&gt;"",H9&lt;&gt;""),ROUND(H9,0),"")</f>
        <v/>
      </c>
    </row>
    <row r="10" spans="1:9" x14ac:dyDescent="0.3">
      <c r="B10" s="2" t="str">
        <f>IF(A10&lt;&gt;"",VLOOKUP(Alunos!A10,Exame!A3:C1000,3, FALSE),"")</f>
        <v/>
      </c>
      <c r="C10" s="2" t="str">
        <f>IF(A10&lt;&gt;"",VLOOKUP(Alunos!A10,Agrupamentos!A3:B1000,2, FALSE),"")</f>
        <v/>
      </c>
      <c r="D10" s="2" t="str">
        <f>IF(A10&lt;&gt;"",VLOOKUP(Alunos!C10,'TP1'!A3:C1000,3, FALSE),"")</f>
        <v/>
      </c>
      <c r="E10" s="2" t="str">
        <f>IF(A10&lt;&gt;"", SUMIF(B1:D1,"&lt;&gt;",B10:D10),"")</f>
        <v/>
      </c>
      <c r="F10" s="2" t="str">
        <f>IF(AND(A10&lt;&gt;"",E10&lt;&gt;""),ROUND(E10,0),"")</f>
        <v/>
      </c>
      <c r="G10" s="2" t="str">
        <f>IF(A10&lt;&gt;"",VLOOKUP(Alunos!A10,Recurso!A3:C1000,3, FALSE),"")</f>
        <v/>
      </c>
      <c r="H10" s="2" t="str">
        <f>IF(OR(A10&lt;&gt;"",G10&lt;&gt;""), SUMIFS(B10:G10,B1:G1,"&lt;&gt;",B2:G2,"&lt;&gt;Exame",B2:G2,"&lt;&gt;exame",B2:G2,"&lt;&gt;Nota",B2:G2,"&lt;&gt;Total"),"")</f>
        <v/>
      </c>
      <c r="I10" s="2" t="str">
        <f>IF(AND(A10&lt;&gt;"",H10&lt;&gt;""),ROUND(H10,0),"")</f>
        <v/>
      </c>
    </row>
    <row r="11" spans="1:9" x14ac:dyDescent="0.3">
      <c r="B11" s="2" t="str">
        <f>IF(A11&lt;&gt;"",VLOOKUP(Alunos!A11,Exame!A3:C1000,3, FALSE),"")</f>
        <v/>
      </c>
      <c r="C11" s="2" t="str">
        <f>IF(A11&lt;&gt;"",VLOOKUP(Alunos!A11,Agrupamentos!A3:B1000,2, FALSE),"")</f>
        <v/>
      </c>
      <c r="D11" s="2" t="str">
        <f>IF(A11&lt;&gt;"",VLOOKUP(Alunos!C11,'TP1'!A3:C1000,3, FALSE),"")</f>
        <v/>
      </c>
      <c r="E11" s="2" t="str">
        <f>IF(A11&lt;&gt;"", SUMIF(B1:D1,"&lt;&gt;",B11:D11),"")</f>
        <v/>
      </c>
      <c r="F11" s="2" t="str">
        <f>IF(AND(A11&lt;&gt;"",E11&lt;&gt;""),ROUND(E11,0),"")</f>
        <v/>
      </c>
      <c r="G11" s="2" t="str">
        <f>IF(A11&lt;&gt;"",VLOOKUP(Alunos!A11,Recurso!A3:C1000,3, FALSE),"")</f>
        <v/>
      </c>
      <c r="H11" s="2" t="str">
        <f>IF(OR(A11&lt;&gt;"",G11&lt;&gt;""), SUMIFS(B11:G11,B1:G1,"&lt;&gt;",B2:G2,"&lt;&gt;Exame",B2:G2,"&lt;&gt;exame",B2:G2,"&lt;&gt;Nota",B2:G2,"&lt;&gt;Total"),"")</f>
        <v/>
      </c>
      <c r="I11" s="2" t="str">
        <f>IF(AND(A11&lt;&gt;"",H11&lt;&gt;""),ROUND(H11,0),"")</f>
        <v/>
      </c>
    </row>
    <row r="12" spans="1:9" x14ac:dyDescent="0.3">
      <c r="B12" s="2" t="str">
        <f>IF(A12&lt;&gt;"",VLOOKUP(Alunos!A12,Exame!A3:C1000,3, FALSE),"")</f>
        <v/>
      </c>
      <c r="C12" s="2" t="str">
        <f>IF(A12&lt;&gt;"",VLOOKUP(Alunos!A12,Agrupamentos!A3:B1000,2, FALSE),"")</f>
        <v/>
      </c>
      <c r="D12" s="2" t="str">
        <f>IF(A12&lt;&gt;"",VLOOKUP(Alunos!C12,'TP1'!A3:C1000,3, FALSE),"")</f>
        <v/>
      </c>
      <c r="E12" s="2" t="str">
        <f>IF(A12&lt;&gt;"", SUMIF(B1:D1,"&lt;&gt;",B12:D12),"")</f>
        <v/>
      </c>
      <c r="F12" s="2" t="str">
        <f>IF(AND(A12&lt;&gt;"",E12&lt;&gt;""),ROUND(E12,0),"")</f>
        <v/>
      </c>
      <c r="G12" s="2" t="str">
        <f>IF(A12&lt;&gt;"",VLOOKUP(Alunos!A12,Recurso!A3:C1000,3, FALSE),"")</f>
        <v/>
      </c>
      <c r="H12" s="2" t="str">
        <f>IF(OR(A12&lt;&gt;"",G12&lt;&gt;""), SUMIFS(B12:G12,B1:G1,"&lt;&gt;",B2:G2,"&lt;&gt;Exame",B2:G2,"&lt;&gt;exame",B2:G2,"&lt;&gt;Nota",B2:G2,"&lt;&gt;Total"),"")</f>
        <v/>
      </c>
      <c r="I12" s="2" t="str">
        <f>IF(AND(A12&lt;&gt;"",H12&lt;&gt;""),ROUND(H12,0),"")</f>
        <v/>
      </c>
    </row>
    <row r="13" spans="1:9" x14ac:dyDescent="0.3">
      <c r="B13" s="2" t="str">
        <f>IF(A13&lt;&gt;"",VLOOKUP(Alunos!A13,Exame!A3:C1000,3, FALSE),"")</f>
        <v/>
      </c>
      <c r="C13" s="2" t="str">
        <f>IF(A13&lt;&gt;"",VLOOKUP(Alunos!A13,Agrupamentos!A3:B1000,2, FALSE),"")</f>
        <v/>
      </c>
      <c r="D13" s="2" t="str">
        <f>IF(A13&lt;&gt;"",VLOOKUP(Alunos!C13,'TP1'!A3:C1000,3, FALSE),"")</f>
        <v/>
      </c>
      <c r="E13" s="2" t="str">
        <f>IF(A13&lt;&gt;"", SUMIF(B1:D1,"&lt;&gt;",B13:D13),"")</f>
        <v/>
      </c>
      <c r="F13" s="2" t="str">
        <f>IF(AND(A13&lt;&gt;"",E13&lt;&gt;""),ROUND(E13,0),"")</f>
        <v/>
      </c>
      <c r="G13" s="2" t="str">
        <f>IF(A13&lt;&gt;"",VLOOKUP(Alunos!A13,Recurso!A3:C1000,3, FALSE),"")</f>
        <v/>
      </c>
      <c r="H13" s="2" t="str">
        <f>IF(OR(A13&lt;&gt;"",G13&lt;&gt;""), SUMIFS(B13:G13,B1:G1,"&lt;&gt;",B2:G2,"&lt;&gt;Exame",B2:G2,"&lt;&gt;exame",B2:G2,"&lt;&gt;Nota",B2:G2,"&lt;&gt;Total"),"")</f>
        <v/>
      </c>
      <c r="I13" s="2" t="str">
        <f>IF(AND(A13&lt;&gt;"",H13&lt;&gt;""),ROUND(H13,0),"")</f>
        <v/>
      </c>
    </row>
    <row r="14" spans="1:9" x14ac:dyDescent="0.3">
      <c r="B14" s="2" t="str">
        <f>IF(A14&lt;&gt;"",VLOOKUP(Alunos!A14,Exame!A3:C1000,3, FALSE),"")</f>
        <v/>
      </c>
      <c r="C14" s="2" t="str">
        <f>IF(A14&lt;&gt;"",VLOOKUP(Alunos!A14,Agrupamentos!A3:B1000,2, FALSE),"")</f>
        <v/>
      </c>
      <c r="D14" s="2" t="str">
        <f>IF(A14&lt;&gt;"",VLOOKUP(Alunos!C14,'TP1'!A3:C1000,3, FALSE),"")</f>
        <v/>
      </c>
      <c r="E14" s="2" t="str">
        <f>IF(A14&lt;&gt;"", SUMIF(B1:D1,"&lt;&gt;",B14:D14),"")</f>
        <v/>
      </c>
      <c r="F14" s="2" t="str">
        <f>IF(AND(A14&lt;&gt;"",E14&lt;&gt;""),ROUND(E14,0),"")</f>
        <v/>
      </c>
      <c r="G14" s="2" t="str">
        <f>IF(A14&lt;&gt;"",VLOOKUP(Alunos!A14,Recurso!A3:C1000,3, FALSE),"")</f>
        <v/>
      </c>
      <c r="H14" s="2" t="str">
        <f>IF(OR(A14&lt;&gt;"",G14&lt;&gt;""), SUMIFS(B14:G14,B1:G1,"&lt;&gt;",B2:G2,"&lt;&gt;Exame",B2:G2,"&lt;&gt;exame",B2:G2,"&lt;&gt;Nota",B2:G2,"&lt;&gt;Total"),"")</f>
        <v/>
      </c>
      <c r="I14" s="2" t="str">
        <f>IF(AND(A14&lt;&gt;"",H14&lt;&gt;""),ROUND(H14,0),"")</f>
        <v/>
      </c>
    </row>
    <row r="15" spans="1:9" x14ac:dyDescent="0.3">
      <c r="B15" s="2" t="str">
        <f>IF(A15&lt;&gt;"",VLOOKUP(Alunos!A15,Exame!A3:C1000,3, FALSE),"")</f>
        <v/>
      </c>
      <c r="C15" s="2" t="str">
        <f>IF(A15&lt;&gt;"",VLOOKUP(Alunos!A15,Agrupamentos!A3:B1000,2, FALSE),"")</f>
        <v/>
      </c>
      <c r="D15" s="2" t="str">
        <f>IF(A15&lt;&gt;"",VLOOKUP(Alunos!C15,'TP1'!A3:C1000,3, FALSE),"")</f>
        <v/>
      </c>
      <c r="E15" s="2" t="str">
        <f>IF(A15&lt;&gt;"", SUMIF(B1:D1,"&lt;&gt;",B15:D15),"")</f>
        <v/>
      </c>
      <c r="F15" s="2" t="str">
        <f>IF(AND(A15&lt;&gt;"",E15&lt;&gt;""),ROUND(E15,0),"")</f>
        <v/>
      </c>
      <c r="G15" s="2" t="str">
        <f>IF(A15&lt;&gt;"",VLOOKUP(Alunos!A15,Recurso!A3:C1000,3, FALSE),"")</f>
        <v/>
      </c>
      <c r="H15" s="2" t="str">
        <f>IF(OR(A15&lt;&gt;"",G15&lt;&gt;""), SUMIFS(B15:G15,B1:G1,"&lt;&gt;",B2:G2,"&lt;&gt;Exame",B2:G2,"&lt;&gt;exame",B2:G2,"&lt;&gt;Nota",B2:G2,"&lt;&gt;Total"),"")</f>
        <v/>
      </c>
      <c r="I15" s="2" t="str">
        <f>IF(AND(A15&lt;&gt;"",H15&lt;&gt;""),ROUND(H15,0),"")</f>
        <v/>
      </c>
    </row>
    <row r="16" spans="1:9" x14ac:dyDescent="0.3">
      <c r="B16" s="2" t="str">
        <f>IF(A16&lt;&gt;"",VLOOKUP(Alunos!A16,Exame!A3:C1000,3, FALSE),"")</f>
        <v/>
      </c>
      <c r="C16" s="2" t="str">
        <f>IF(A16&lt;&gt;"",VLOOKUP(Alunos!A16,Agrupamentos!A3:B1000,2, FALSE),"")</f>
        <v/>
      </c>
      <c r="D16" s="2" t="str">
        <f>IF(A16&lt;&gt;"",VLOOKUP(Alunos!C16,'TP1'!A3:C1000,3, FALSE),"")</f>
        <v/>
      </c>
      <c r="E16" s="2" t="str">
        <f>IF(A16&lt;&gt;"", SUMIF(B1:D1,"&lt;&gt;",B16:D16),"")</f>
        <v/>
      </c>
      <c r="F16" s="2" t="str">
        <f>IF(AND(A16&lt;&gt;"",E16&lt;&gt;""),ROUND(E16,0),"")</f>
        <v/>
      </c>
      <c r="G16" s="2" t="str">
        <f>IF(A16&lt;&gt;"",VLOOKUP(Alunos!A16,Recurso!A3:C1000,3, FALSE),"")</f>
        <v/>
      </c>
      <c r="H16" s="2" t="str">
        <f>IF(OR(A16&lt;&gt;"",G16&lt;&gt;""), SUMIFS(B16:G16,B1:G1,"&lt;&gt;",B2:G2,"&lt;&gt;Exame",B2:G2,"&lt;&gt;exame",B2:G2,"&lt;&gt;Nota",B2:G2,"&lt;&gt;Total"),"")</f>
        <v/>
      </c>
      <c r="I16" s="2" t="str">
        <f>IF(AND(A16&lt;&gt;"",H16&lt;&gt;""),ROUND(H16,0),"")</f>
        <v/>
      </c>
    </row>
    <row r="17" spans="2:9" x14ac:dyDescent="0.3">
      <c r="B17" s="2" t="str">
        <f>IF(A17&lt;&gt;"",VLOOKUP(Alunos!A17,Exame!A3:C1000,3, FALSE),"")</f>
        <v/>
      </c>
      <c r="C17" s="2" t="str">
        <f>IF(A17&lt;&gt;"",VLOOKUP(Alunos!A17,Agrupamentos!A3:B1000,2, FALSE),"")</f>
        <v/>
      </c>
      <c r="D17" s="2" t="str">
        <f>IF(A17&lt;&gt;"",VLOOKUP(Alunos!C17,'TP1'!A3:C1000,3, FALSE),"")</f>
        <v/>
      </c>
      <c r="E17" s="2" t="str">
        <f>IF(A17&lt;&gt;"", SUMIF(B1:D1,"&lt;&gt;",B17:D17),"")</f>
        <v/>
      </c>
      <c r="F17" s="2" t="str">
        <f>IF(AND(A17&lt;&gt;"",E17&lt;&gt;""),ROUND(E17,0),"")</f>
        <v/>
      </c>
      <c r="G17" s="2" t="str">
        <f>IF(A17&lt;&gt;"",VLOOKUP(Alunos!A17,Recurso!A3:C1000,3, FALSE),"")</f>
        <v/>
      </c>
      <c r="H17" s="2" t="str">
        <f>IF(OR(A17&lt;&gt;"",G17&lt;&gt;""), SUMIFS(B17:G17,B1:G1,"&lt;&gt;",B2:G2,"&lt;&gt;Exame",B2:G2,"&lt;&gt;exame",B2:G2,"&lt;&gt;Nota",B2:G2,"&lt;&gt;Total"),"")</f>
        <v/>
      </c>
      <c r="I17" s="2" t="str">
        <f>IF(AND(A17&lt;&gt;"",H17&lt;&gt;""),ROUND(H17,0),"")</f>
        <v/>
      </c>
    </row>
    <row r="18" spans="2:9" x14ac:dyDescent="0.3">
      <c r="B18" s="2" t="str">
        <f>IF(A18&lt;&gt;"",VLOOKUP(Alunos!A18,Exame!A3:C1000,3, FALSE),"")</f>
        <v/>
      </c>
      <c r="C18" s="2" t="str">
        <f>IF(A18&lt;&gt;"",VLOOKUP(Alunos!A18,Agrupamentos!A3:B1000,2, FALSE),"")</f>
        <v/>
      </c>
      <c r="D18" s="2" t="str">
        <f>IF(A18&lt;&gt;"",VLOOKUP(Alunos!C18,'TP1'!A3:C1000,3, FALSE),"")</f>
        <v/>
      </c>
      <c r="E18" s="2" t="str">
        <f>IF(A18&lt;&gt;"", SUMIF(B1:D1,"&lt;&gt;",B18:D18),"")</f>
        <v/>
      </c>
      <c r="F18" s="2" t="str">
        <f>IF(AND(A18&lt;&gt;"",E18&lt;&gt;""),ROUND(E18,0),"")</f>
        <v/>
      </c>
      <c r="G18" s="2" t="str">
        <f>IF(A18&lt;&gt;"",VLOOKUP(Alunos!A18,Recurso!A3:C1000,3, FALSE),"")</f>
        <v/>
      </c>
      <c r="H18" s="2" t="str">
        <f>IF(OR(A18&lt;&gt;"",G18&lt;&gt;""), SUMIFS(B18:G18,B1:G1,"&lt;&gt;",B2:G2,"&lt;&gt;Exame",B2:G2,"&lt;&gt;exame",B2:G2,"&lt;&gt;Nota",B2:G2,"&lt;&gt;Total"),"")</f>
        <v/>
      </c>
      <c r="I18" s="2" t="str">
        <f>IF(AND(A18&lt;&gt;"",H18&lt;&gt;""),ROUND(H18,0),"")</f>
        <v/>
      </c>
    </row>
    <row r="19" spans="2:9" x14ac:dyDescent="0.3">
      <c r="B19" s="2" t="str">
        <f>IF(A19&lt;&gt;"",VLOOKUP(Alunos!A19,Exame!A3:C1000,3, FALSE),"")</f>
        <v/>
      </c>
      <c r="C19" s="2" t="str">
        <f>IF(A19&lt;&gt;"",VLOOKUP(Alunos!A19,Agrupamentos!A3:B1000,2, FALSE),"")</f>
        <v/>
      </c>
      <c r="D19" s="2" t="str">
        <f>IF(A19&lt;&gt;"",VLOOKUP(Alunos!C19,'TP1'!A3:C1000,3, FALSE),"")</f>
        <v/>
      </c>
      <c r="E19" s="2" t="str">
        <f>IF(A19&lt;&gt;"", SUMIF(B1:D1,"&lt;&gt;",B19:D19),"")</f>
        <v/>
      </c>
      <c r="F19" s="2" t="str">
        <f>IF(AND(A19&lt;&gt;"",E19&lt;&gt;""),ROUND(E19,0),"")</f>
        <v/>
      </c>
      <c r="G19" s="2" t="str">
        <f>IF(A19&lt;&gt;"",VLOOKUP(Alunos!A19,Recurso!A3:C1000,3, FALSE),"")</f>
        <v/>
      </c>
      <c r="H19" s="2" t="str">
        <f>IF(OR(A19&lt;&gt;"",G19&lt;&gt;""), SUMIFS(B19:G19,B1:G1,"&lt;&gt;",B2:G2,"&lt;&gt;Exame",B2:G2,"&lt;&gt;exame",B2:G2,"&lt;&gt;Nota",B2:G2,"&lt;&gt;Total"),"")</f>
        <v/>
      </c>
      <c r="I19" s="2" t="str">
        <f>IF(AND(A19&lt;&gt;"",H19&lt;&gt;""),ROUND(H19,0),"")</f>
        <v/>
      </c>
    </row>
    <row r="20" spans="2:9" x14ac:dyDescent="0.3">
      <c r="B20" s="2" t="str">
        <f>IF(A20&lt;&gt;"",VLOOKUP(Alunos!A20,Exame!A3:C1000,3, FALSE),"")</f>
        <v/>
      </c>
      <c r="C20" s="2" t="str">
        <f>IF(A20&lt;&gt;"",VLOOKUP(Alunos!A20,Agrupamentos!A3:B1000,2, FALSE),"")</f>
        <v/>
      </c>
      <c r="D20" s="2" t="str">
        <f>IF(A20&lt;&gt;"",VLOOKUP(Alunos!C20,'TP1'!A3:C1000,3, FALSE),"")</f>
        <v/>
      </c>
      <c r="E20" s="2" t="str">
        <f>IF(A20&lt;&gt;"", SUMIF(B1:D1,"&lt;&gt;",B20:D20),"")</f>
        <v/>
      </c>
      <c r="F20" s="2" t="str">
        <f>IF(AND(A20&lt;&gt;"",E20&lt;&gt;""),ROUND(E20,0),"")</f>
        <v/>
      </c>
      <c r="G20" s="2" t="str">
        <f>IF(A20&lt;&gt;"",VLOOKUP(Alunos!A20,Recurso!A3:C1000,3, FALSE),"")</f>
        <v/>
      </c>
      <c r="H20" s="2" t="str">
        <f>IF(OR(A20&lt;&gt;"",G20&lt;&gt;""), SUMIFS(B20:G20,B1:G1,"&lt;&gt;",B2:G2,"&lt;&gt;Exame",B2:G2,"&lt;&gt;exame",B2:G2,"&lt;&gt;Nota",B2:G2,"&lt;&gt;Total"),"")</f>
        <v/>
      </c>
      <c r="I20" s="2" t="str">
        <f>IF(AND(A20&lt;&gt;"",H20&lt;&gt;""),ROUND(H20,0),"")</f>
        <v/>
      </c>
    </row>
    <row r="21" spans="2:9" x14ac:dyDescent="0.3">
      <c r="B21" s="2" t="str">
        <f>IF(A21&lt;&gt;"",VLOOKUP(Alunos!A21,Exame!A3:C1000,3, FALSE),"")</f>
        <v/>
      </c>
      <c r="C21" s="2" t="str">
        <f>IF(A21&lt;&gt;"",VLOOKUP(Alunos!A21,Agrupamentos!A3:B1000,2, FALSE),"")</f>
        <v/>
      </c>
      <c r="D21" s="2" t="str">
        <f>IF(A21&lt;&gt;"",VLOOKUP(Alunos!C21,'TP1'!A3:C1000,3, FALSE),"")</f>
        <v/>
      </c>
      <c r="E21" s="2" t="str">
        <f>IF(A21&lt;&gt;"", SUMIF(B1:D1,"&lt;&gt;",B21:D21),"")</f>
        <v/>
      </c>
      <c r="F21" s="2" t="str">
        <f>IF(AND(A21&lt;&gt;"",E21&lt;&gt;""),ROUND(E21,0),"")</f>
        <v/>
      </c>
      <c r="G21" s="2" t="str">
        <f>IF(A21&lt;&gt;"",VLOOKUP(Alunos!A21,Recurso!A3:C1000,3, FALSE),"")</f>
        <v/>
      </c>
      <c r="H21" s="2" t="str">
        <f>IF(OR(A21&lt;&gt;"",G21&lt;&gt;""), SUMIFS(B21:G21,B1:G1,"&lt;&gt;",B2:G2,"&lt;&gt;Exame",B2:G2,"&lt;&gt;exame",B2:G2,"&lt;&gt;Nota",B2:G2,"&lt;&gt;Total"),"")</f>
        <v/>
      </c>
      <c r="I21" s="2" t="str">
        <f>IF(AND(A21&lt;&gt;"",H21&lt;&gt;""),ROUND(H21,0),"")</f>
        <v/>
      </c>
    </row>
    <row r="22" spans="2:9" x14ac:dyDescent="0.3">
      <c r="B22" s="2" t="str">
        <f>IF(A22&lt;&gt;"",VLOOKUP(Alunos!A22,Exame!A3:C1000,3, FALSE),"")</f>
        <v/>
      </c>
      <c r="C22" s="2" t="str">
        <f>IF(A22&lt;&gt;"",VLOOKUP(Alunos!A22,Agrupamentos!A3:B1000,2, FALSE),"")</f>
        <v/>
      </c>
      <c r="D22" s="2" t="str">
        <f>IF(A22&lt;&gt;"",VLOOKUP(Alunos!C22,'TP1'!A3:C1000,3, FALSE),"")</f>
        <v/>
      </c>
      <c r="E22" s="2" t="str">
        <f>IF(A22&lt;&gt;"", SUMIF(B1:D1,"&lt;&gt;",B22:D22),"")</f>
        <v/>
      </c>
      <c r="F22" s="2" t="str">
        <f>IF(AND(A22&lt;&gt;"",E22&lt;&gt;""),ROUND(E22,0),"")</f>
        <v/>
      </c>
      <c r="G22" s="2" t="str">
        <f>IF(A22&lt;&gt;"",VLOOKUP(Alunos!A22,Recurso!A3:C1000,3, FALSE),"")</f>
        <v/>
      </c>
      <c r="H22" s="2" t="str">
        <f>IF(OR(A22&lt;&gt;"",G22&lt;&gt;""), SUMIFS(B22:G22,B1:G1,"&lt;&gt;",B2:G2,"&lt;&gt;Exame",B2:G2,"&lt;&gt;exame",B2:G2,"&lt;&gt;Nota",B2:G2,"&lt;&gt;Total"),"")</f>
        <v/>
      </c>
      <c r="I22" s="2" t="str">
        <f>IF(AND(A22&lt;&gt;"",H22&lt;&gt;""),ROUND(H22,0),"")</f>
        <v/>
      </c>
    </row>
    <row r="23" spans="2:9" x14ac:dyDescent="0.3">
      <c r="B23" s="2" t="str">
        <f>IF(A23&lt;&gt;"",VLOOKUP(Alunos!A23,Exame!A3:C1000,3, FALSE),"")</f>
        <v/>
      </c>
      <c r="C23" s="2" t="str">
        <f>IF(A23&lt;&gt;"",VLOOKUP(Alunos!A23,Agrupamentos!A3:B1000,2, FALSE),"")</f>
        <v/>
      </c>
      <c r="D23" s="2" t="str">
        <f>IF(A23&lt;&gt;"",VLOOKUP(Alunos!C23,'TP1'!A3:C1000,3, FALSE),"")</f>
        <v/>
      </c>
      <c r="E23" s="2" t="str">
        <f>IF(A23&lt;&gt;"", SUMIF(B1:D1,"&lt;&gt;",B23:D23),"")</f>
        <v/>
      </c>
      <c r="F23" s="2" t="str">
        <f>IF(AND(A23&lt;&gt;"",E23&lt;&gt;""),ROUND(E23,0),"")</f>
        <v/>
      </c>
      <c r="G23" s="2" t="str">
        <f>IF(A23&lt;&gt;"",VLOOKUP(Alunos!A23,Recurso!A3:C1000,3, FALSE),"")</f>
        <v/>
      </c>
      <c r="H23" s="2" t="str">
        <f>IF(OR(A23&lt;&gt;"",G23&lt;&gt;""), SUMIFS(B23:G23,B1:G1,"&lt;&gt;",B2:G2,"&lt;&gt;Exame",B2:G2,"&lt;&gt;exame",B2:G2,"&lt;&gt;Nota",B2:G2,"&lt;&gt;Total"),"")</f>
        <v/>
      </c>
      <c r="I23" s="2" t="str">
        <f>IF(AND(A23&lt;&gt;"",H23&lt;&gt;""),ROUND(H23,0),"")</f>
        <v/>
      </c>
    </row>
    <row r="24" spans="2:9" x14ac:dyDescent="0.3">
      <c r="B24" s="2" t="str">
        <f>IF(A24&lt;&gt;"",VLOOKUP(Alunos!A24,Exame!A3:C1000,3, FALSE),"")</f>
        <v/>
      </c>
      <c r="C24" s="2" t="str">
        <f>IF(A24&lt;&gt;"",VLOOKUP(Alunos!A24,Agrupamentos!A3:B1000,2, FALSE),"")</f>
        <v/>
      </c>
      <c r="D24" s="2" t="str">
        <f>IF(A24&lt;&gt;"",VLOOKUP(Alunos!C24,'TP1'!A3:C1000,3, FALSE),"")</f>
        <v/>
      </c>
      <c r="E24" s="2" t="str">
        <f>IF(A24&lt;&gt;"", SUMIF(B1:D1,"&lt;&gt;",B24:D24),"")</f>
        <v/>
      </c>
      <c r="F24" s="2" t="str">
        <f>IF(AND(A24&lt;&gt;"",E24&lt;&gt;""),ROUND(E24,0),"")</f>
        <v/>
      </c>
      <c r="G24" s="2" t="str">
        <f>IF(A24&lt;&gt;"",VLOOKUP(Alunos!A24,Recurso!A3:C1000,3, FALSE),"")</f>
        <v/>
      </c>
      <c r="H24" s="2" t="str">
        <f>IF(OR(A24&lt;&gt;"",G24&lt;&gt;""), SUMIFS(B24:G24,B1:G1,"&lt;&gt;",B2:G2,"&lt;&gt;Exame",B2:G2,"&lt;&gt;exame",B2:G2,"&lt;&gt;Nota",B2:G2,"&lt;&gt;Total"),"")</f>
        <v/>
      </c>
      <c r="I24" s="2" t="str">
        <f>IF(AND(A24&lt;&gt;"",H24&lt;&gt;""),ROUND(H24,0),"")</f>
        <v/>
      </c>
    </row>
    <row r="25" spans="2:9" x14ac:dyDescent="0.3">
      <c r="B25" s="2" t="str">
        <f>IF(A25&lt;&gt;"",VLOOKUP(Alunos!A25,Exame!A3:C1000,3, FALSE),"")</f>
        <v/>
      </c>
      <c r="C25" s="2" t="str">
        <f>IF(A25&lt;&gt;"",VLOOKUP(Alunos!A25,Agrupamentos!A3:B1000,2, FALSE),"")</f>
        <v/>
      </c>
      <c r="D25" s="2" t="str">
        <f>IF(A25&lt;&gt;"",VLOOKUP(Alunos!C25,'TP1'!A3:C1000,3, FALSE),"")</f>
        <v/>
      </c>
      <c r="E25" s="2" t="str">
        <f>IF(A25&lt;&gt;"", SUMIF(B1:D1,"&lt;&gt;",B25:D25),"")</f>
        <v/>
      </c>
      <c r="F25" s="2" t="str">
        <f>IF(AND(A25&lt;&gt;"",E25&lt;&gt;""),ROUND(E25,0),"")</f>
        <v/>
      </c>
      <c r="G25" s="2" t="str">
        <f>IF(A25&lt;&gt;"",VLOOKUP(Alunos!A25,Recurso!A3:C1000,3, FALSE),"")</f>
        <v/>
      </c>
      <c r="H25" s="2" t="str">
        <f>IF(OR(A25&lt;&gt;"",G25&lt;&gt;""), SUMIFS(B25:G25,B1:G1,"&lt;&gt;",B2:G2,"&lt;&gt;Exame",B2:G2,"&lt;&gt;exame",B2:G2,"&lt;&gt;Nota",B2:G2,"&lt;&gt;Total"),"")</f>
        <v/>
      </c>
      <c r="I25" s="2" t="str">
        <f>IF(AND(A25&lt;&gt;"",H25&lt;&gt;""),ROUND(H25,0),"")</f>
        <v/>
      </c>
    </row>
    <row r="26" spans="2:9" x14ac:dyDescent="0.3">
      <c r="B26" s="2" t="str">
        <f>IF(A26&lt;&gt;"",VLOOKUP(Alunos!A26,Exame!A3:C1000,3, FALSE),"")</f>
        <v/>
      </c>
      <c r="C26" s="2" t="str">
        <f>IF(A26&lt;&gt;"",VLOOKUP(Alunos!A26,Agrupamentos!A3:B1000,2, FALSE),"")</f>
        <v/>
      </c>
      <c r="D26" s="2" t="str">
        <f>IF(A26&lt;&gt;"",VLOOKUP(Alunos!C26,'TP1'!A3:C1000,3, FALSE),"")</f>
        <v/>
      </c>
      <c r="E26" s="2" t="str">
        <f>IF(A26&lt;&gt;"", SUMIF(B1:D1,"&lt;&gt;",B26:D26),"")</f>
        <v/>
      </c>
      <c r="F26" s="2" t="str">
        <f>IF(AND(A26&lt;&gt;"",E26&lt;&gt;""),ROUND(E26,0),"")</f>
        <v/>
      </c>
      <c r="G26" s="2" t="str">
        <f>IF(A26&lt;&gt;"",VLOOKUP(Alunos!A26,Recurso!A3:C1000,3, FALSE),"")</f>
        <v/>
      </c>
      <c r="H26" s="2" t="str">
        <f>IF(OR(A26&lt;&gt;"",G26&lt;&gt;""), SUMIFS(B26:G26,B1:G1,"&lt;&gt;",B2:G2,"&lt;&gt;Exame",B2:G2,"&lt;&gt;exame",B2:G2,"&lt;&gt;Nota",B2:G2,"&lt;&gt;Total"),"")</f>
        <v/>
      </c>
      <c r="I26" s="2" t="str">
        <f>IF(AND(A26&lt;&gt;"",H26&lt;&gt;""),ROUND(H26,0),"")</f>
        <v/>
      </c>
    </row>
    <row r="27" spans="2:9" x14ac:dyDescent="0.3">
      <c r="B27" s="2" t="str">
        <f>IF(A27&lt;&gt;"",VLOOKUP(Alunos!A27,Exame!A3:C1000,3, FALSE),"")</f>
        <v/>
      </c>
      <c r="C27" s="2" t="str">
        <f>IF(A27&lt;&gt;"",VLOOKUP(Alunos!A27,Agrupamentos!A3:B1000,2, FALSE),"")</f>
        <v/>
      </c>
      <c r="D27" s="2" t="str">
        <f>IF(A27&lt;&gt;"",VLOOKUP(Alunos!C27,'TP1'!A3:C1000,3, FALSE),"")</f>
        <v/>
      </c>
      <c r="E27" s="2" t="str">
        <f>IF(A27&lt;&gt;"", SUMIF(B1:D1,"&lt;&gt;",B27:D27),"")</f>
        <v/>
      </c>
      <c r="F27" s="2" t="str">
        <f>IF(AND(A27&lt;&gt;"",E27&lt;&gt;""),ROUND(E27,0),"")</f>
        <v/>
      </c>
      <c r="G27" s="2" t="str">
        <f>IF(A27&lt;&gt;"",VLOOKUP(Alunos!A27,Recurso!A3:C1000,3, FALSE),"")</f>
        <v/>
      </c>
      <c r="H27" s="2" t="str">
        <f>IF(OR(A27&lt;&gt;"",G27&lt;&gt;""), SUMIFS(B27:G27,B1:G1,"&lt;&gt;",B2:G2,"&lt;&gt;Exame",B2:G2,"&lt;&gt;exame",B2:G2,"&lt;&gt;Nota",B2:G2,"&lt;&gt;Total"),"")</f>
        <v/>
      </c>
      <c r="I27" s="2" t="str">
        <f>IF(AND(A27&lt;&gt;"",H27&lt;&gt;""),ROUND(H27,0),"")</f>
        <v/>
      </c>
    </row>
    <row r="28" spans="2:9" x14ac:dyDescent="0.3">
      <c r="B28" s="2" t="str">
        <f>IF(A28&lt;&gt;"",VLOOKUP(Alunos!A28,Exame!A3:C1000,3, FALSE),"")</f>
        <v/>
      </c>
      <c r="C28" s="2" t="str">
        <f>IF(A28&lt;&gt;"",VLOOKUP(Alunos!A28,Agrupamentos!A3:B1000,2, FALSE),"")</f>
        <v/>
      </c>
      <c r="D28" s="2" t="str">
        <f>IF(A28&lt;&gt;"",VLOOKUP(Alunos!C28,'TP1'!A3:C1000,3, FALSE),"")</f>
        <v/>
      </c>
      <c r="E28" s="2" t="str">
        <f>IF(A28&lt;&gt;"", SUMIF(B1:D1,"&lt;&gt;",B28:D28),"")</f>
        <v/>
      </c>
      <c r="F28" s="2" t="str">
        <f>IF(AND(A28&lt;&gt;"",E28&lt;&gt;""),ROUND(E28,0),"")</f>
        <v/>
      </c>
      <c r="G28" s="2" t="str">
        <f>IF(A28&lt;&gt;"",VLOOKUP(Alunos!A28,Recurso!A3:C1000,3, FALSE),"")</f>
        <v/>
      </c>
      <c r="H28" s="2" t="str">
        <f>IF(OR(A28&lt;&gt;"",G28&lt;&gt;""), SUMIFS(B28:G28,B1:G1,"&lt;&gt;",B2:G2,"&lt;&gt;Exame",B2:G2,"&lt;&gt;exame",B2:G2,"&lt;&gt;Nota",B2:G2,"&lt;&gt;Total"),"")</f>
        <v/>
      </c>
      <c r="I28" s="2" t="str">
        <f>IF(AND(A28&lt;&gt;"",H28&lt;&gt;""),ROUND(H28,0),"")</f>
        <v/>
      </c>
    </row>
    <row r="29" spans="2:9" x14ac:dyDescent="0.3">
      <c r="B29" s="2" t="str">
        <f>IF(A29&lt;&gt;"",VLOOKUP(Alunos!A29,Exame!A3:C1000,3, FALSE),"")</f>
        <v/>
      </c>
      <c r="C29" s="2" t="str">
        <f>IF(A29&lt;&gt;"",VLOOKUP(Alunos!A29,Agrupamentos!A3:B1000,2, FALSE),"")</f>
        <v/>
      </c>
      <c r="D29" s="2" t="str">
        <f>IF(A29&lt;&gt;"",VLOOKUP(Alunos!C29,'TP1'!A3:C1000,3, FALSE),"")</f>
        <v/>
      </c>
      <c r="E29" s="2" t="str">
        <f>IF(A29&lt;&gt;"", SUMIF(B1:D1,"&lt;&gt;",B29:D29),"")</f>
        <v/>
      </c>
      <c r="F29" s="2" t="str">
        <f>IF(AND(A29&lt;&gt;"",E29&lt;&gt;""),ROUND(E29,0),"")</f>
        <v/>
      </c>
      <c r="G29" s="2" t="str">
        <f>IF(A29&lt;&gt;"",VLOOKUP(Alunos!A29,Recurso!A3:C1000,3, FALSE),"")</f>
        <v/>
      </c>
      <c r="H29" s="2" t="str">
        <f>IF(OR(A29&lt;&gt;"",G29&lt;&gt;""), SUMIFS(B29:G29,B1:G1,"&lt;&gt;",B2:G2,"&lt;&gt;Exame",B2:G2,"&lt;&gt;exame",B2:G2,"&lt;&gt;Nota",B2:G2,"&lt;&gt;Total"),"")</f>
        <v/>
      </c>
      <c r="I29" s="2" t="str">
        <f>IF(AND(A29&lt;&gt;"",H29&lt;&gt;""),ROUND(H29,0),"")</f>
        <v/>
      </c>
    </row>
    <row r="30" spans="2:9" x14ac:dyDescent="0.3">
      <c r="B30" s="2" t="str">
        <f>IF(A30&lt;&gt;"",VLOOKUP(Alunos!A30,Exame!A3:C1000,3, FALSE),"")</f>
        <v/>
      </c>
      <c r="C30" s="2" t="str">
        <f>IF(A30&lt;&gt;"",VLOOKUP(Alunos!A30,Agrupamentos!A3:B1000,2, FALSE),"")</f>
        <v/>
      </c>
      <c r="D30" s="2" t="str">
        <f>IF(A30&lt;&gt;"",VLOOKUP(Alunos!C30,'TP1'!A3:C1000,3, FALSE),"")</f>
        <v/>
      </c>
      <c r="E30" s="2" t="str">
        <f>IF(A30&lt;&gt;"", SUMIF(B1:D1,"&lt;&gt;",B30:D30),"")</f>
        <v/>
      </c>
      <c r="F30" s="2" t="str">
        <f>IF(AND(A30&lt;&gt;"",E30&lt;&gt;""),ROUND(E30,0),"")</f>
        <v/>
      </c>
      <c r="G30" s="2" t="str">
        <f>IF(A30&lt;&gt;"",VLOOKUP(Alunos!A30,Recurso!A3:C1000,3, FALSE),"")</f>
        <v/>
      </c>
      <c r="H30" s="2" t="str">
        <f>IF(OR(A30&lt;&gt;"",G30&lt;&gt;""), SUMIFS(B30:G30,B1:G1,"&lt;&gt;",B2:G2,"&lt;&gt;Exame",B2:G2,"&lt;&gt;exame",B2:G2,"&lt;&gt;Nota",B2:G2,"&lt;&gt;Total"),"")</f>
        <v/>
      </c>
      <c r="I30" s="2" t="str">
        <f>IF(AND(A30&lt;&gt;"",H30&lt;&gt;""),ROUND(H30,0),"")</f>
        <v/>
      </c>
    </row>
    <row r="31" spans="2:9" x14ac:dyDescent="0.3">
      <c r="B31" s="2" t="str">
        <f>IF(A31&lt;&gt;"",VLOOKUP(Alunos!A31,Exame!A3:C1000,3, FALSE),"")</f>
        <v/>
      </c>
      <c r="C31" s="2" t="str">
        <f>IF(A31&lt;&gt;"",VLOOKUP(Alunos!A31,Agrupamentos!A3:B1000,2, FALSE),"")</f>
        <v/>
      </c>
      <c r="D31" s="2" t="str">
        <f>IF(A31&lt;&gt;"",VLOOKUP(Alunos!C31,'TP1'!A3:C1000,3, FALSE),"")</f>
        <v/>
      </c>
      <c r="E31" s="2" t="str">
        <f>IF(A31&lt;&gt;"", SUMIF(B1:D1,"&lt;&gt;",B31:D31),"")</f>
        <v/>
      </c>
      <c r="F31" s="2" t="str">
        <f>IF(AND(A31&lt;&gt;"",E31&lt;&gt;""),ROUND(E31,0),"")</f>
        <v/>
      </c>
      <c r="G31" s="2" t="str">
        <f>IF(A31&lt;&gt;"",VLOOKUP(Alunos!A31,Recurso!A3:C1000,3, FALSE),"")</f>
        <v/>
      </c>
      <c r="H31" s="2" t="str">
        <f>IF(OR(A31&lt;&gt;"",G31&lt;&gt;""), SUMIFS(B31:G31,B1:G1,"&lt;&gt;",B2:G2,"&lt;&gt;Exame",B2:G2,"&lt;&gt;exame",B2:G2,"&lt;&gt;Nota",B2:G2,"&lt;&gt;Total"),"")</f>
        <v/>
      </c>
      <c r="I31" s="2" t="str">
        <f>IF(AND(A31&lt;&gt;"",H31&lt;&gt;""),ROUND(H31,0),"")</f>
        <v/>
      </c>
    </row>
    <row r="32" spans="2:9" x14ac:dyDescent="0.3">
      <c r="B32" s="2" t="str">
        <f>IF(A32&lt;&gt;"",VLOOKUP(Alunos!A32,Exame!A3:C1000,3, FALSE),"")</f>
        <v/>
      </c>
      <c r="C32" s="2" t="str">
        <f>IF(A32&lt;&gt;"",VLOOKUP(Alunos!A32,Agrupamentos!A3:B1000,2, FALSE),"")</f>
        <v/>
      </c>
      <c r="D32" s="2" t="str">
        <f>IF(A32&lt;&gt;"",VLOOKUP(Alunos!C32,'TP1'!A3:C1000,3, FALSE),"")</f>
        <v/>
      </c>
      <c r="E32" s="2" t="str">
        <f>IF(A32&lt;&gt;"", SUMIF(B1:D1,"&lt;&gt;",B32:D32),"")</f>
        <v/>
      </c>
      <c r="F32" s="2" t="str">
        <f>IF(AND(A32&lt;&gt;"",E32&lt;&gt;""),ROUND(E32,0),"")</f>
        <v/>
      </c>
      <c r="G32" s="2" t="str">
        <f>IF(A32&lt;&gt;"",VLOOKUP(Alunos!A32,Recurso!A3:C1000,3, FALSE),"")</f>
        <v/>
      </c>
      <c r="H32" s="2" t="str">
        <f>IF(OR(A32&lt;&gt;"",G32&lt;&gt;""), SUMIFS(B32:G32,B1:G1,"&lt;&gt;",B2:G2,"&lt;&gt;Exame",B2:G2,"&lt;&gt;exame",B2:G2,"&lt;&gt;Nota",B2:G2,"&lt;&gt;Total"),"")</f>
        <v/>
      </c>
      <c r="I32" s="2" t="str">
        <f>IF(AND(A32&lt;&gt;"",H32&lt;&gt;""),ROUND(H32,0),"")</f>
        <v/>
      </c>
    </row>
    <row r="33" spans="2:9" x14ac:dyDescent="0.3">
      <c r="B33" s="2" t="str">
        <f>IF(A33&lt;&gt;"",VLOOKUP(Alunos!A33,Exame!A3:C1000,3, FALSE),"")</f>
        <v/>
      </c>
      <c r="C33" s="2" t="str">
        <f>IF(A33&lt;&gt;"",VLOOKUP(Alunos!A33,Agrupamentos!A3:B1000,2, FALSE),"")</f>
        <v/>
      </c>
      <c r="D33" s="2" t="str">
        <f>IF(A33&lt;&gt;"",VLOOKUP(Alunos!C33,'TP1'!A3:C1000,3, FALSE),"")</f>
        <v/>
      </c>
      <c r="E33" s="2" t="str">
        <f>IF(A33&lt;&gt;"", SUMIF(B1:D1,"&lt;&gt;",B33:D33),"")</f>
        <v/>
      </c>
      <c r="F33" s="2" t="str">
        <f>IF(AND(A33&lt;&gt;"",E33&lt;&gt;""),ROUND(E33,0),"")</f>
        <v/>
      </c>
      <c r="G33" s="2" t="str">
        <f>IF(A33&lt;&gt;"",VLOOKUP(Alunos!A33,Recurso!A3:C1000,3, FALSE),"")</f>
        <v/>
      </c>
      <c r="H33" s="2" t="str">
        <f>IF(OR(A33&lt;&gt;"",G33&lt;&gt;""), SUMIFS(B33:G33,B1:G1,"&lt;&gt;",B2:G2,"&lt;&gt;Exame",B2:G2,"&lt;&gt;exame",B2:G2,"&lt;&gt;Nota",B2:G2,"&lt;&gt;Total"),"")</f>
        <v/>
      </c>
      <c r="I33" s="2" t="str">
        <f>IF(AND(A33&lt;&gt;"",H33&lt;&gt;""),ROUND(H33,0),"")</f>
        <v/>
      </c>
    </row>
    <row r="34" spans="2:9" x14ac:dyDescent="0.3">
      <c r="B34" s="2" t="str">
        <f>IF(A34&lt;&gt;"",VLOOKUP(Alunos!A34,Exame!A3:C1000,3, FALSE),"")</f>
        <v/>
      </c>
      <c r="C34" s="2" t="str">
        <f>IF(A34&lt;&gt;"",VLOOKUP(Alunos!A34,Agrupamentos!A3:B1000,2, FALSE),"")</f>
        <v/>
      </c>
      <c r="D34" s="2" t="str">
        <f>IF(A34&lt;&gt;"",VLOOKUP(Alunos!C34,'TP1'!A3:C1000,3, FALSE),"")</f>
        <v/>
      </c>
      <c r="E34" s="2" t="str">
        <f>IF(A34&lt;&gt;"", SUMIF(B1:D1,"&lt;&gt;",B34:D34),"")</f>
        <v/>
      </c>
      <c r="F34" s="2" t="str">
        <f>IF(AND(A34&lt;&gt;"",E34&lt;&gt;""),ROUND(E34,0),"")</f>
        <v/>
      </c>
      <c r="G34" s="2" t="str">
        <f>IF(A34&lt;&gt;"",VLOOKUP(Alunos!A34,Recurso!A3:C1000,3, FALSE),"")</f>
        <v/>
      </c>
      <c r="H34" s="2" t="str">
        <f>IF(OR(A34&lt;&gt;"",G34&lt;&gt;""), SUMIFS(B34:G34,B1:G1,"&lt;&gt;",B2:G2,"&lt;&gt;Exame",B2:G2,"&lt;&gt;exame",B2:G2,"&lt;&gt;Nota",B2:G2,"&lt;&gt;Total"),"")</f>
        <v/>
      </c>
      <c r="I34" s="2" t="str">
        <f>IF(AND(A34&lt;&gt;"",H34&lt;&gt;""),ROUND(H34,0),"")</f>
        <v/>
      </c>
    </row>
    <row r="35" spans="2:9" x14ac:dyDescent="0.3">
      <c r="B35" s="2" t="str">
        <f>IF(A35&lt;&gt;"",VLOOKUP(Alunos!A35,Exame!A3:C1000,3, FALSE),"")</f>
        <v/>
      </c>
      <c r="C35" s="2" t="str">
        <f>IF(A35&lt;&gt;"",VLOOKUP(Alunos!A35,Agrupamentos!A3:B1000,2, FALSE),"")</f>
        <v/>
      </c>
      <c r="D35" s="2" t="str">
        <f>IF(A35&lt;&gt;"",VLOOKUP(Alunos!C35,'TP1'!A3:C1000,3, FALSE),"")</f>
        <v/>
      </c>
      <c r="E35" s="2" t="str">
        <f>IF(A35&lt;&gt;"", SUMIF(B1:D1,"&lt;&gt;",B35:D35),"")</f>
        <v/>
      </c>
      <c r="F35" s="2" t="str">
        <f>IF(AND(A35&lt;&gt;"",E35&lt;&gt;""),ROUND(E35,0),"")</f>
        <v/>
      </c>
      <c r="G35" s="2" t="str">
        <f>IF(A35&lt;&gt;"",VLOOKUP(Alunos!A35,Recurso!A3:C1000,3, FALSE),"")</f>
        <v/>
      </c>
      <c r="H35" s="2" t="str">
        <f>IF(OR(A35&lt;&gt;"",G35&lt;&gt;""), SUMIFS(B35:G35,B1:G1,"&lt;&gt;",B2:G2,"&lt;&gt;Exame",B2:G2,"&lt;&gt;exame",B2:G2,"&lt;&gt;Nota",B2:G2,"&lt;&gt;Total"),"")</f>
        <v/>
      </c>
      <c r="I35" s="2" t="str">
        <f>IF(AND(A35&lt;&gt;"",H35&lt;&gt;""),ROUND(H35,0),"")</f>
        <v/>
      </c>
    </row>
    <row r="36" spans="2:9" x14ac:dyDescent="0.3">
      <c r="B36" s="2" t="str">
        <f>IF(A36&lt;&gt;"",VLOOKUP(Alunos!A36,Exame!A3:C1000,3, FALSE),"")</f>
        <v/>
      </c>
      <c r="C36" s="2" t="str">
        <f>IF(A36&lt;&gt;"",VLOOKUP(Alunos!A36,Agrupamentos!A3:B1000,2, FALSE),"")</f>
        <v/>
      </c>
      <c r="D36" s="2" t="str">
        <f>IF(A36&lt;&gt;"",VLOOKUP(Alunos!C36,'TP1'!A3:C1000,3, FALSE),"")</f>
        <v/>
      </c>
      <c r="E36" s="2" t="str">
        <f>IF(A36&lt;&gt;"", SUMIF(B1:D1,"&lt;&gt;",B36:D36),"")</f>
        <v/>
      </c>
      <c r="F36" s="2" t="str">
        <f>IF(AND(A36&lt;&gt;"",E36&lt;&gt;""),ROUND(E36,0),"")</f>
        <v/>
      </c>
      <c r="G36" s="2" t="str">
        <f>IF(A36&lt;&gt;"",VLOOKUP(Alunos!A36,Recurso!A3:C1000,3, FALSE),"")</f>
        <v/>
      </c>
      <c r="H36" s="2" t="str">
        <f>IF(OR(A36&lt;&gt;"",G36&lt;&gt;""), SUMIFS(B36:G36,B1:G1,"&lt;&gt;",B2:G2,"&lt;&gt;Exame",B2:G2,"&lt;&gt;exame",B2:G2,"&lt;&gt;Nota",B2:G2,"&lt;&gt;Total"),"")</f>
        <v/>
      </c>
      <c r="I36" s="2" t="str">
        <f>IF(AND(A36&lt;&gt;"",H36&lt;&gt;""),ROUND(H36,0),"")</f>
        <v/>
      </c>
    </row>
    <row r="37" spans="2:9" x14ac:dyDescent="0.3">
      <c r="B37" s="2" t="str">
        <f>IF(A37&lt;&gt;"",VLOOKUP(Alunos!A37,Exame!A3:C1000,3, FALSE),"")</f>
        <v/>
      </c>
      <c r="C37" s="2" t="str">
        <f>IF(A37&lt;&gt;"",VLOOKUP(Alunos!A37,Agrupamentos!A3:B1000,2, FALSE),"")</f>
        <v/>
      </c>
      <c r="D37" s="2" t="str">
        <f>IF(A37&lt;&gt;"",VLOOKUP(Alunos!C37,'TP1'!A3:C1000,3, FALSE),"")</f>
        <v/>
      </c>
      <c r="E37" s="2" t="str">
        <f>IF(A37&lt;&gt;"", SUMIF(B1:D1,"&lt;&gt;",B37:D37),"")</f>
        <v/>
      </c>
      <c r="F37" s="2" t="str">
        <f>IF(AND(A37&lt;&gt;"",E37&lt;&gt;""),ROUND(E37,0),"")</f>
        <v/>
      </c>
      <c r="G37" s="2" t="str">
        <f>IF(A37&lt;&gt;"",VLOOKUP(Alunos!A37,Recurso!A3:C1000,3, FALSE),"")</f>
        <v/>
      </c>
      <c r="H37" s="2" t="str">
        <f>IF(OR(A37&lt;&gt;"",G37&lt;&gt;""), SUMIFS(B37:G37,B1:G1,"&lt;&gt;",B2:G2,"&lt;&gt;Exame",B2:G2,"&lt;&gt;exame",B2:G2,"&lt;&gt;Nota",B2:G2,"&lt;&gt;Total"),"")</f>
        <v/>
      </c>
      <c r="I37" s="2" t="str">
        <f>IF(AND(A37&lt;&gt;"",H37&lt;&gt;""),ROUND(H37,0),"")</f>
        <v/>
      </c>
    </row>
    <row r="38" spans="2:9" x14ac:dyDescent="0.3">
      <c r="B38" s="2" t="str">
        <f>IF(A38&lt;&gt;"",VLOOKUP(Alunos!A38,Exame!A3:C1000,3, FALSE),"")</f>
        <v/>
      </c>
      <c r="C38" s="2" t="str">
        <f>IF(A38&lt;&gt;"",VLOOKUP(Alunos!A38,Agrupamentos!A3:B1000,2, FALSE),"")</f>
        <v/>
      </c>
      <c r="D38" s="2" t="str">
        <f>IF(A38&lt;&gt;"",VLOOKUP(Alunos!C38,'TP1'!A3:C1000,3, FALSE),"")</f>
        <v/>
      </c>
      <c r="E38" s="2" t="str">
        <f>IF(A38&lt;&gt;"", SUMIF(B1:D1,"&lt;&gt;",B38:D38),"")</f>
        <v/>
      </c>
      <c r="F38" s="2" t="str">
        <f>IF(AND(A38&lt;&gt;"",E38&lt;&gt;""),ROUND(E38,0),"")</f>
        <v/>
      </c>
      <c r="G38" s="2" t="str">
        <f>IF(A38&lt;&gt;"",VLOOKUP(Alunos!A38,Recurso!A3:C1000,3, FALSE),"")</f>
        <v/>
      </c>
      <c r="H38" s="2" t="str">
        <f>IF(OR(A38&lt;&gt;"",G38&lt;&gt;""), SUMIFS(B38:G38,B1:G1,"&lt;&gt;",B2:G2,"&lt;&gt;Exame",B2:G2,"&lt;&gt;exame",B2:G2,"&lt;&gt;Nota",B2:G2,"&lt;&gt;Total"),"")</f>
        <v/>
      </c>
      <c r="I38" s="2" t="str">
        <f>IF(AND(A38&lt;&gt;"",H38&lt;&gt;""),ROUND(H38,0),"")</f>
        <v/>
      </c>
    </row>
    <row r="39" spans="2:9" x14ac:dyDescent="0.3">
      <c r="B39" s="2" t="str">
        <f>IF(A39&lt;&gt;"",VLOOKUP(Alunos!A39,Exame!A3:C1000,3, FALSE),"")</f>
        <v/>
      </c>
      <c r="C39" s="2" t="str">
        <f>IF(A39&lt;&gt;"",VLOOKUP(Alunos!A39,Agrupamentos!A3:B1000,2, FALSE),"")</f>
        <v/>
      </c>
      <c r="D39" s="2" t="str">
        <f>IF(A39&lt;&gt;"",VLOOKUP(Alunos!C39,'TP1'!A3:C1000,3, FALSE),"")</f>
        <v/>
      </c>
      <c r="E39" s="2" t="str">
        <f>IF(A39&lt;&gt;"", SUMIF(B1:D1,"&lt;&gt;",B39:D39),"")</f>
        <v/>
      </c>
      <c r="F39" s="2" t="str">
        <f>IF(AND(A39&lt;&gt;"",E39&lt;&gt;""),ROUND(E39,0),"")</f>
        <v/>
      </c>
      <c r="G39" s="2" t="str">
        <f>IF(A39&lt;&gt;"",VLOOKUP(Alunos!A39,Recurso!A3:C1000,3, FALSE),"")</f>
        <v/>
      </c>
      <c r="H39" s="2" t="str">
        <f>IF(OR(A39&lt;&gt;"",G39&lt;&gt;""), SUMIFS(B39:G39,B1:G1,"&lt;&gt;",B2:G2,"&lt;&gt;Exame",B2:G2,"&lt;&gt;exame",B2:G2,"&lt;&gt;Nota",B2:G2,"&lt;&gt;Total"),"")</f>
        <v/>
      </c>
      <c r="I39" s="2" t="str">
        <f>IF(AND(A39&lt;&gt;"",H39&lt;&gt;""),ROUND(H39,0),"")</f>
        <v/>
      </c>
    </row>
    <row r="40" spans="2:9" x14ac:dyDescent="0.3">
      <c r="B40" s="2" t="str">
        <f>IF(A40&lt;&gt;"",VLOOKUP(Alunos!A40,Exame!A3:C1000,3, FALSE),"")</f>
        <v/>
      </c>
      <c r="C40" s="2" t="str">
        <f>IF(A40&lt;&gt;"",VLOOKUP(Alunos!A40,Agrupamentos!A3:B1000,2, FALSE),"")</f>
        <v/>
      </c>
      <c r="D40" s="2" t="str">
        <f>IF(A40&lt;&gt;"",VLOOKUP(Alunos!C40,'TP1'!A3:C1000,3, FALSE),"")</f>
        <v/>
      </c>
      <c r="E40" s="2" t="str">
        <f>IF(A40&lt;&gt;"", SUMIF(B1:D1,"&lt;&gt;",B40:D40),"")</f>
        <v/>
      </c>
      <c r="F40" s="2" t="str">
        <f>IF(AND(A40&lt;&gt;"",E40&lt;&gt;""),ROUND(E40,0),"")</f>
        <v/>
      </c>
      <c r="G40" s="2" t="str">
        <f>IF(A40&lt;&gt;"",VLOOKUP(Alunos!A40,Recurso!A3:C1000,3, FALSE),"")</f>
        <v/>
      </c>
      <c r="H40" s="2" t="str">
        <f>IF(OR(A40&lt;&gt;"",G40&lt;&gt;""), SUMIFS(B40:G40,B1:G1,"&lt;&gt;",B2:G2,"&lt;&gt;Exame",B2:G2,"&lt;&gt;exame",B2:G2,"&lt;&gt;Nota",B2:G2,"&lt;&gt;Total"),"")</f>
        <v/>
      </c>
      <c r="I40" s="2" t="str">
        <f>IF(AND(A40&lt;&gt;"",H40&lt;&gt;""),ROUND(H40,0),"")</f>
        <v/>
      </c>
    </row>
    <row r="41" spans="2:9" x14ac:dyDescent="0.3">
      <c r="B41" s="2" t="str">
        <f>IF(A41&lt;&gt;"",VLOOKUP(Alunos!A41,Exame!A3:C1000,3, FALSE),"")</f>
        <v/>
      </c>
      <c r="C41" s="2" t="str">
        <f>IF(A41&lt;&gt;"",VLOOKUP(Alunos!A41,Agrupamentos!A3:B1000,2, FALSE),"")</f>
        <v/>
      </c>
      <c r="D41" s="2" t="str">
        <f>IF(A41&lt;&gt;"",VLOOKUP(Alunos!C41,'TP1'!A3:C1000,3, FALSE),"")</f>
        <v/>
      </c>
      <c r="E41" s="2" t="str">
        <f>IF(A41&lt;&gt;"", SUMIF(B1:D1,"&lt;&gt;",B41:D41),"")</f>
        <v/>
      </c>
      <c r="F41" s="2" t="str">
        <f>IF(AND(A41&lt;&gt;"",E41&lt;&gt;""),ROUND(E41,0),"")</f>
        <v/>
      </c>
      <c r="G41" s="2" t="str">
        <f>IF(A41&lt;&gt;"",VLOOKUP(Alunos!A41,Recurso!A3:C1000,3, FALSE),"")</f>
        <v/>
      </c>
      <c r="H41" s="2" t="str">
        <f>IF(OR(A41&lt;&gt;"",G41&lt;&gt;""), SUMIFS(B41:G41,B1:G1,"&lt;&gt;",B2:G2,"&lt;&gt;Exame",B2:G2,"&lt;&gt;exame",B2:G2,"&lt;&gt;Nota",B2:G2,"&lt;&gt;Total"),"")</f>
        <v/>
      </c>
      <c r="I41" s="2" t="str">
        <f>IF(AND(A41&lt;&gt;"",H41&lt;&gt;""),ROUND(H41,0),"")</f>
        <v/>
      </c>
    </row>
    <row r="42" spans="2:9" x14ac:dyDescent="0.3">
      <c r="B42" s="2" t="str">
        <f>IF(A42&lt;&gt;"",VLOOKUP(Alunos!A42,Exame!A3:C1000,3, FALSE),"")</f>
        <v/>
      </c>
      <c r="C42" s="2" t="str">
        <f>IF(A42&lt;&gt;"",VLOOKUP(Alunos!A42,Agrupamentos!A3:B1000,2, FALSE),"")</f>
        <v/>
      </c>
      <c r="D42" s="2" t="str">
        <f>IF(A42&lt;&gt;"",VLOOKUP(Alunos!C42,'TP1'!A3:C1000,3, FALSE),"")</f>
        <v/>
      </c>
      <c r="E42" s="2" t="str">
        <f>IF(A42&lt;&gt;"", SUMIF(B1:D1,"&lt;&gt;",B42:D42),"")</f>
        <v/>
      </c>
      <c r="F42" s="2" t="str">
        <f>IF(AND(A42&lt;&gt;"",E42&lt;&gt;""),ROUND(E42,0),"")</f>
        <v/>
      </c>
      <c r="G42" s="2" t="str">
        <f>IF(A42&lt;&gt;"",VLOOKUP(Alunos!A42,Recurso!A3:C1000,3, FALSE),"")</f>
        <v/>
      </c>
      <c r="H42" s="2" t="str">
        <f>IF(OR(A42&lt;&gt;"",G42&lt;&gt;""), SUMIFS(B42:G42,B1:G1,"&lt;&gt;",B2:G2,"&lt;&gt;Exame",B2:G2,"&lt;&gt;exame",B2:G2,"&lt;&gt;Nota",B2:G2,"&lt;&gt;Total"),"")</f>
        <v/>
      </c>
      <c r="I42" s="2" t="str">
        <f>IF(AND(A42&lt;&gt;"",H42&lt;&gt;""),ROUND(H42,0),"")</f>
        <v/>
      </c>
    </row>
    <row r="43" spans="2:9" x14ac:dyDescent="0.3">
      <c r="B43" s="2" t="str">
        <f>IF(A43&lt;&gt;"",VLOOKUP(Alunos!A43,Exame!A3:C1000,3, FALSE),"")</f>
        <v/>
      </c>
      <c r="C43" s="2" t="str">
        <f>IF(A43&lt;&gt;"",VLOOKUP(Alunos!A43,Agrupamentos!A3:B1000,2, FALSE),"")</f>
        <v/>
      </c>
      <c r="D43" s="2" t="str">
        <f>IF(A43&lt;&gt;"",VLOOKUP(Alunos!C43,'TP1'!A3:C1000,3, FALSE),"")</f>
        <v/>
      </c>
      <c r="E43" s="2" t="str">
        <f>IF(A43&lt;&gt;"", SUMIF(B1:D1,"&lt;&gt;",B43:D43),"")</f>
        <v/>
      </c>
      <c r="F43" s="2" t="str">
        <f>IF(AND(A43&lt;&gt;"",E43&lt;&gt;""),ROUND(E43,0),"")</f>
        <v/>
      </c>
      <c r="G43" s="2" t="str">
        <f>IF(A43&lt;&gt;"",VLOOKUP(Alunos!A43,Recurso!A3:C1000,3, FALSE),"")</f>
        <v/>
      </c>
      <c r="H43" s="2" t="str">
        <f>IF(OR(A43&lt;&gt;"",G43&lt;&gt;""), SUMIFS(B43:G43,B1:G1,"&lt;&gt;",B2:G2,"&lt;&gt;Exame",B2:G2,"&lt;&gt;exame",B2:G2,"&lt;&gt;Nota",B2:G2,"&lt;&gt;Total"),"")</f>
        <v/>
      </c>
      <c r="I43" s="2" t="str">
        <f>IF(AND(A43&lt;&gt;"",H43&lt;&gt;""),ROUND(H43,0),"")</f>
        <v/>
      </c>
    </row>
    <row r="44" spans="2:9" x14ac:dyDescent="0.3">
      <c r="B44" s="2" t="str">
        <f>IF(A44&lt;&gt;"",VLOOKUP(Alunos!A44,Exame!A3:C1000,3, FALSE),"")</f>
        <v/>
      </c>
      <c r="C44" s="2" t="str">
        <f>IF(A44&lt;&gt;"",VLOOKUP(Alunos!A44,Agrupamentos!A3:B1000,2, FALSE),"")</f>
        <v/>
      </c>
      <c r="D44" s="2" t="str">
        <f>IF(A44&lt;&gt;"",VLOOKUP(Alunos!C44,'TP1'!A3:C1000,3, FALSE),"")</f>
        <v/>
      </c>
      <c r="E44" s="2" t="str">
        <f>IF(A44&lt;&gt;"", SUMIF(B1:D1,"&lt;&gt;",B44:D44),"")</f>
        <v/>
      </c>
      <c r="F44" s="2" t="str">
        <f>IF(AND(A44&lt;&gt;"",E44&lt;&gt;""),ROUND(E44,0),"")</f>
        <v/>
      </c>
      <c r="G44" s="2" t="str">
        <f>IF(A44&lt;&gt;"",VLOOKUP(Alunos!A44,Recurso!A3:C1000,3, FALSE),"")</f>
        <v/>
      </c>
      <c r="H44" s="2" t="str">
        <f>IF(OR(A44&lt;&gt;"",G44&lt;&gt;""), SUMIFS(B44:G44,B1:G1,"&lt;&gt;",B2:G2,"&lt;&gt;Exame",B2:G2,"&lt;&gt;exame",B2:G2,"&lt;&gt;Nota",B2:G2,"&lt;&gt;Total"),"")</f>
        <v/>
      </c>
      <c r="I44" s="2" t="str">
        <f>IF(AND(A44&lt;&gt;"",H44&lt;&gt;""),ROUND(H44,0),"")</f>
        <v/>
      </c>
    </row>
    <row r="45" spans="2:9" x14ac:dyDescent="0.3">
      <c r="B45" s="2" t="str">
        <f>IF(A45&lt;&gt;"",VLOOKUP(Alunos!A45,Exame!A3:C1000,3, FALSE),"")</f>
        <v/>
      </c>
      <c r="C45" s="2" t="str">
        <f>IF(A45&lt;&gt;"",VLOOKUP(Alunos!A45,Agrupamentos!A3:B1000,2, FALSE),"")</f>
        <v/>
      </c>
      <c r="D45" s="2" t="str">
        <f>IF(A45&lt;&gt;"",VLOOKUP(Alunos!C45,'TP1'!A3:C1000,3, FALSE),"")</f>
        <v/>
      </c>
      <c r="E45" s="2" t="str">
        <f>IF(A45&lt;&gt;"", SUMIF(B1:D1,"&lt;&gt;",B45:D45),"")</f>
        <v/>
      </c>
      <c r="F45" s="2" t="str">
        <f>IF(AND(A45&lt;&gt;"",E45&lt;&gt;""),ROUND(E45,0),"")</f>
        <v/>
      </c>
      <c r="G45" s="2" t="str">
        <f>IF(A45&lt;&gt;"",VLOOKUP(Alunos!A45,Recurso!A3:C1000,3, FALSE),"")</f>
        <v/>
      </c>
      <c r="H45" s="2" t="str">
        <f>IF(OR(A45&lt;&gt;"",G45&lt;&gt;""), SUMIFS(B45:G45,B1:G1,"&lt;&gt;",B2:G2,"&lt;&gt;Exame",B2:G2,"&lt;&gt;exame",B2:G2,"&lt;&gt;Nota",B2:G2,"&lt;&gt;Total"),"")</f>
        <v/>
      </c>
      <c r="I45" s="2" t="str">
        <f>IF(AND(A45&lt;&gt;"",H45&lt;&gt;""),ROUND(H45,0),"")</f>
        <v/>
      </c>
    </row>
    <row r="46" spans="2:9" x14ac:dyDescent="0.3">
      <c r="B46" s="2" t="str">
        <f>IF(A46&lt;&gt;"",VLOOKUP(Alunos!A46,Exame!A3:C1000,3, FALSE),"")</f>
        <v/>
      </c>
      <c r="C46" s="2" t="str">
        <f>IF(A46&lt;&gt;"",VLOOKUP(Alunos!A46,Agrupamentos!A3:B1000,2, FALSE),"")</f>
        <v/>
      </c>
      <c r="D46" s="2" t="str">
        <f>IF(A46&lt;&gt;"",VLOOKUP(Alunos!C46,'TP1'!A3:C1000,3, FALSE),"")</f>
        <v/>
      </c>
      <c r="E46" s="2" t="str">
        <f>IF(A46&lt;&gt;"", SUMIF(B1:D1,"&lt;&gt;",B46:D46),"")</f>
        <v/>
      </c>
      <c r="F46" s="2" t="str">
        <f>IF(AND(A46&lt;&gt;"",E46&lt;&gt;""),ROUND(E46,0),"")</f>
        <v/>
      </c>
      <c r="G46" s="2" t="str">
        <f>IF(A46&lt;&gt;"",VLOOKUP(Alunos!A46,Recurso!A3:C1000,3, FALSE),"")</f>
        <v/>
      </c>
      <c r="H46" s="2" t="str">
        <f>IF(OR(A46&lt;&gt;"",G46&lt;&gt;""), SUMIFS(B46:G46,B1:G1,"&lt;&gt;",B2:G2,"&lt;&gt;Exame",B2:G2,"&lt;&gt;exame",B2:G2,"&lt;&gt;Nota",B2:G2,"&lt;&gt;Total"),"")</f>
        <v/>
      </c>
      <c r="I46" s="2" t="str">
        <f>IF(AND(A46&lt;&gt;"",H46&lt;&gt;""),ROUND(H46,0),"")</f>
        <v/>
      </c>
    </row>
    <row r="47" spans="2:9" x14ac:dyDescent="0.3">
      <c r="B47" s="2" t="str">
        <f>IF(A47&lt;&gt;"",VLOOKUP(Alunos!A47,Exame!A3:C1000,3, FALSE),"")</f>
        <v/>
      </c>
      <c r="C47" s="2" t="str">
        <f>IF(A47&lt;&gt;"",VLOOKUP(Alunos!A47,Agrupamentos!A3:B1000,2, FALSE),"")</f>
        <v/>
      </c>
      <c r="D47" s="2" t="str">
        <f>IF(A47&lt;&gt;"",VLOOKUP(Alunos!C47,'TP1'!A3:C1000,3, FALSE),"")</f>
        <v/>
      </c>
      <c r="E47" s="2" t="str">
        <f>IF(A47&lt;&gt;"", SUMIF(B1:D1,"&lt;&gt;",B47:D47),"")</f>
        <v/>
      </c>
      <c r="F47" s="2" t="str">
        <f>IF(AND(A47&lt;&gt;"",E47&lt;&gt;""),ROUND(E47,0),"")</f>
        <v/>
      </c>
      <c r="G47" s="2" t="str">
        <f>IF(A47&lt;&gt;"",VLOOKUP(Alunos!A47,Recurso!A3:C1000,3, FALSE),"")</f>
        <v/>
      </c>
      <c r="H47" s="2" t="str">
        <f>IF(OR(A47&lt;&gt;"",G47&lt;&gt;""), SUMIFS(B47:G47,B1:G1,"&lt;&gt;",B2:G2,"&lt;&gt;Exame",B2:G2,"&lt;&gt;exame",B2:G2,"&lt;&gt;Nota",B2:G2,"&lt;&gt;Total"),"")</f>
        <v/>
      </c>
      <c r="I47" s="2" t="str">
        <f>IF(AND(A47&lt;&gt;"",H47&lt;&gt;""),ROUND(H47,0),"")</f>
        <v/>
      </c>
    </row>
    <row r="48" spans="2:9" x14ac:dyDescent="0.3">
      <c r="B48" s="2" t="str">
        <f>IF(A48&lt;&gt;"",VLOOKUP(Alunos!A48,Exame!A3:C1000,3, FALSE),"")</f>
        <v/>
      </c>
      <c r="C48" s="2" t="str">
        <f>IF(A48&lt;&gt;"",VLOOKUP(Alunos!A48,Agrupamentos!A3:B1000,2, FALSE),"")</f>
        <v/>
      </c>
      <c r="D48" s="2" t="str">
        <f>IF(A48&lt;&gt;"",VLOOKUP(Alunos!C48,'TP1'!A3:C1000,3, FALSE),"")</f>
        <v/>
      </c>
      <c r="E48" s="2" t="str">
        <f>IF(A48&lt;&gt;"", SUMIF(B1:D1,"&lt;&gt;",B48:D48),"")</f>
        <v/>
      </c>
      <c r="F48" s="2" t="str">
        <f>IF(AND(A48&lt;&gt;"",E48&lt;&gt;""),ROUND(E48,0),"")</f>
        <v/>
      </c>
      <c r="G48" s="2" t="str">
        <f>IF(A48&lt;&gt;"",VLOOKUP(Alunos!A48,Recurso!A3:C1000,3, FALSE),"")</f>
        <v/>
      </c>
      <c r="H48" s="2" t="str">
        <f>IF(OR(A48&lt;&gt;"",G48&lt;&gt;""), SUMIFS(B48:G48,B1:G1,"&lt;&gt;",B2:G2,"&lt;&gt;Exame",B2:G2,"&lt;&gt;exame",B2:G2,"&lt;&gt;Nota",B2:G2,"&lt;&gt;Total"),"")</f>
        <v/>
      </c>
      <c r="I48" s="2" t="str">
        <f>IF(AND(A48&lt;&gt;"",H48&lt;&gt;""),ROUND(H48,0),"")</f>
        <v/>
      </c>
    </row>
    <row r="49" spans="2:9" x14ac:dyDescent="0.3">
      <c r="B49" s="2" t="str">
        <f>IF(A49&lt;&gt;"",VLOOKUP(Alunos!A49,Exame!A3:C1000,3, FALSE),"")</f>
        <v/>
      </c>
      <c r="C49" s="2" t="str">
        <f>IF(A49&lt;&gt;"",VLOOKUP(Alunos!A49,Agrupamentos!A3:B1000,2, FALSE),"")</f>
        <v/>
      </c>
      <c r="D49" s="2" t="str">
        <f>IF(A49&lt;&gt;"",VLOOKUP(Alunos!C49,'TP1'!A3:C1000,3, FALSE),"")</f>
        <v/>
      </c>
      <c r="E49" s="2" t="str">
        <f>IF(A49&lt;&gt;"", SUMIF(B1:D1,"&lt;&gt;",B49:D49),"")</f>
        <v/>
      </c>
      <c r="F49" s="2" t="str">
        <f>IF(AND(A49&lt;&gt;"",E49&lt;&gt;""),ROUND(E49,0),"")</f>
        <v/>
      </c>
      <c r="G49" s="2" t="str">
        <f>IF(A49&lt;&gt;"",VLOOKUP(Alunos!A49,Recurso!A3:C1000,3, FALSE),"")</f>
        <v/>
      </c>
      <c r="H49" s="2" t="str">
        <f>IF(OR(A49&lt;&gt;"",G49&lt;&gt;""), SUMIFS(B49:G49,B1:G1,"&lt;&gt;",B2:G2,"&lt;&gt;Exame",B2:G2,"&lt;&gt;exame",B2:G2,"&lt;&gt;Nota",B2:G2,"&lt;&gt;Total"),"")</f>
        <v/>
      </c>
      <c r="I49" s="2" t="str">
        <f>IF(AND(A49&lt;&gt;"",H49&lt;&gt;""),ROUND(H49,0),"")</f>
        <v/>
      </c>
    </row>
    <row r="50" spans="2:9" x14ac:dyDescent="0.3">
      <c r="B50" s="2" t="str">
        <f>IF(A50&lt;&gt;"",VLOOKUP(Alunos!A50,Exame!A3:C1000,3, FALSE),"")</f>
        <v/>
      </c>
      <c r="C50" s="2" t="str">
        <f>IF(A50&lt;&gt;"",VLOOKUP(Alunos!A50,Agrupamentos!A3:B1000,2, FALSE),"")</f>
        <v/>
      </c>
      <c r="D50" s="2" t="str">
        <f>IF(A50&lt;&gt;"",VLOOKUP(Alunos!C50,'TP1'!A3:C1000,3, FALSE),"")</f>
        <v/>
      </c>
      <c r="E50" s="2" t="str">
        <f>IF(A50&lt;&gt;"", SUMIF(B1:D1,"&lt;&gt;",B50:D50),"")</f>
        <v/>
      </c>
      <c r="F50" s="2" t="str">
        <f>IF(AND(A50&lt;&gt;"",E50&lt;&gt;""),ROUND(E50,0),"")</f>
        <v/>
      </c>
      <c r="G50" s="2" t="str">
        <f>IF(A50&lt;&gt;"",VLOOKUP(Alunos!A50,Recurso!A3:C1000,3, FALSE),"")</f>
        <v/>
      </c>
      <c r="H50" s="2" t="str">
        <f>IF(OR(A50&lt;&gt;"",G50&lt;&gt;""), SUMIFS(B50:G50,B1:G1,"&lt;&gt;",B2:G2,"&lt;&gt;Exame",B2:G2,"&lt;&gt;exame",B2:G2,"&lt;&gt;Nota",B2:G2,"&lt;&gt;Total"),"")</f>
        <v/>
      </c>
      <c r="I50" s="2" t="str">
        <f>IF(AND(A50&lt;&gt;"",H50&lt;&gt;""),ROUND(H50,0),"")</f>
        <v/>
      </c>
    </row>
    <row r="51" spans="2:9" x14ac:dyDescent="0.3">
      <c r="B51" s="2" t="str">
        <f>IF(A51&lt;&gt;"",VLOOKUP(Alunos!A51,Exame!A3:C1000,3, FALSE),"")</f>
        <v/>
      </c>
      <c r="C51" s="2" t="str">
        <f>IF(A51&lt;&gt;"",VLOOKUP(Alunos!A51,Agrupamentos!A3:B1000,2, FALSE),"")</f>
        <v/>
      </c>
      <c r="D51" s="2" t="str">
        <f>IF(A51&lt;&gt;"",VLOOKUP(Alunos!C51,'TP1'!A3:C1000,3, FALSE),"")</f>
        <v/>
      </c>
      <c r="E51" s="2" t="str">
        <f>IF(A51&lt;&gt;"", SUMIF(B1:D1,"&lt;&gt;",B51:D51),"")</f>
        <v/>
      </c>
      <c r="F51" s="2" t="str">
        <f>IF(AND(A51&lt;&gt;"",E51&lt;&gt;""),ROUND(E51,0),"")</f>
        <v/>
      </c>
      <c r="G51" s="2" t="str">
        <f>IF(A51&lt;&gt;"",VLOOKUP(Alunos!A51,Recurso!A3:C1000,3, FALSE),"")</f>
        <v/>
      </c>
      <c r="H51" s="2" t="str">
        <f>IF(OR(A51&lt;&gt;"",G51&lt;&gt;""), SUMIFS(B51:G51,B1:G1,"&lt;&gt;",B2:G2,"&lt;&gt;Exame",B2:G2,"&lt;&gt;exame",B2:G2,"&lt;&gt;Nota",B2:G2,"&lt;&gt;Total"),"")</f>
        <v/>
      </c>
      <c r="I51" s="2" t="str">
        <f>IF(AND(A51&lt;&gt;"",H51&lt;&gt;""),ROUND(H51,0),"")</f>
        <v/>
      </c>
    </row>
    <row r="52" spans="2:9" x14ac:dyDescent="0.3">
      <c r="B52" s="2" t="str">
        <f>IF(A52&lt;&gt;"",VLOOKUP(Alunos!A52,Exame!A3:C1000,3, FALSE),"")</f>
        <v/>
      </c>
      <c r="C52" s="2" t="str">
        <f>IF(A52&lt;&gt;"",VLOOKUP(Alunos!A52,Agrupamentos!A3:B1000,2, FALSE),"")</f>
        <v/>
      </c>
      <c r="D52" s="2" t="str">
        <f>IF(A52&lt;&gt;"",VLOOKUP(Alunos!C52,'TP1'!A3:C1000,3, FALSE),"")</f>
        <v/>
      </c>
      <c r="E52" s="2" t="str">
        <f>IF(A52&lt;&gt;"", SUMIF(B1:D1,"&lt;&gt;",B52:D52),"")</f>
        <v/>
      </c>
      <c r="F52" s="2" t="str">
        <f>IF(AND(A52&lt;&gt;"",E52&lt;&gt;""),ROUND(E52,0),"")</f>
        <v/>
      </c>
      <c r="G52" s="2" t="str">
        <f>IF(A52&lt;&gt;"",VLOOKUP(Alunos!A52,Recurso!A3:C1000,3, FALSE),"")</f>
        <v/>
      </c>
      <c r="H52" s="2" t="str">
        <f>IF(OR(A52&lt;&gt;"",G52&lt;&gt;""), SUMIFS(B52:G52,B1:G1,"&lt;&gt;",B2:G2,"&lt;&gt;Exame",B2:G2,"&lt;&gt;exame",B2:G2,"&lt;&gt;Nota",B2:G2,"&lt;&gt;Total"),"")</f>
        <v/>
      </c>
      <c r="I52" s="2" t="str">
        <f>IF(AND(A52&lt;&gt;"",H52&lt;&gt;""),ROUND(H52,0),"")</f>
        <v/>
      </c>
    </row>
    <row r="53" spans="2:9" x14ac:dyDescent="0.3">
      <c r="B53" s="2" t="str">
        <f>IF(A53&lt;&gt;"",VLOOKUP(Alunos!A53,Exame!A3:C1000,3, FALSE),"")</f>
        <v/>
      </c>
      <c r="C53" s="2" t="str">
        <f>IF(A53&lt;&gt;"",VLOOKUP(Alunos!A53,Agrupamentos!A3:B1000,2, FALSE),"")</f>
        <v/>
      </c>
      <c r="D53" s="2" t="str">
        <f>IF(A53&lt;&gt;"",VLOOKUP(Alunos!C53,'TP1'!A3:C1000,3, FALSE),"")</f>
        <v/>
      </c>
      <c r="E53" s="2" t="str">
        <f>IF(A53&lt;&gt;"", SUMIF(B1:D1,"&lt;&gt;",B53:D53),"")</f>
        <v/>
      </c>
      <c r="F53" s="2" t="str">
        <f>IF(AND(A53&lt;&gt;"",E53&lt;&gt;""),ROUND(E53,0),"")</f>
        <v/>
      </c>
      <c r="G53" s="2" t="str">
        <f>IF(A53&lt;&gt;"",VLOOKUP(Alunos!A53,Recurso!A3:C1000,3, FALSE),"")</f>
        <v/>
      </c>
      <c r="H53" s="2" t="str">
        <f>IF(OR(A53&lt;&gt;"",G53&lt;&gt;""), SUMIFS(B53:G53,B1:G1,"&lt;&gt;",B2:G2,"&lt;&gt;Exame",B2:G2,"&lt;&gt;exame",B2:G2,"&lt;&gt;Nota",B2:G2,"&lt;&gt;Total"),"")</f>
        <v/>
      </c>
      <c r="I53" s="2" t="str">
        <f>IF(AND(A53&lt;&gt;"",H53&lt;&gt;""),ROUND(H53,0),"")</f>
        <v/>
      </c>
    </row>
    <row r="54" spans="2:9" x14ac:dyDescent="0.3">
      <c r="B54" s="2" t="str">
        <f>IF(A54&lt;&gt;"",VLOOKUP(Alunos!A54,Exame!A3:C1000,3, FALSE),"")</f>
        <v/>
      </c>
      <c r="C54" s="2" t="str">
        <f>IF(A54&lt;&gt;"",VLOOKUP(Alunos!A54,Agrupamentos!A3:B1000,2, FALSE),"")</f>
        <v/>
      </c>
      <c r="D54" s="2" t="str">
        <f>IF(A54&lt;&gt;"",VLOOKUP(Alunos!C54,'TP1'!A3:C1000,3, FALSE),"")</f>
        <v/>
      </c>
      <c r="E54" s="2" t="str">
        <f>IF(A54&lt;&gt;"", SUMIF(B1:D1,"&lt;&gt;",B54:D54),"")</f>
        <v/>
      </c>
      <c r="F54" s="2" t="str">
        <f>IF(AND(A54&lt;&gt;"",E54&lt;&gt;""),ROUND(E54,0),"")</f>
        <v/>
      </c>
      <c r="G54" s="2" t="str">
        <f>IF(A54&lt;&gt;"",VLOOKUP(Alunos!A54,Recurso!A3:C1000,3, FALSE),"")</f>
        <v/>
      </c>
      <c r="H54" s="2" t="str">
        <f>IF(OR(A54&lt;&gt;"",G54&lt;&gt;""), SUMIFS(B54:G54,B1:G1,"&lt;&gt;",B2:G2,"&lt;&gt;Exame",B2:G2,"&lt;&gt;exame",B2:G2,"&lt;&gt;Nota",B2:G2,"&lt;&gt;Total"),"")</f>
        <v/>
      </c>
      <c r="I54" s="2" t="str">
        <f>IF(AND(A54&lt;&gt;"",H54&lt;&gt;""),ROUND(H54,0),"")</f>
        <v/>
      </c>
    </row>
    <row r="55" spans="2:9" x14ac:dyDescent="0.3">
      <c r="B55" s="2" t="str">
        <f>IF(A55&lt;&gt;"",VLOOKUP(Alunos!A55,Exame!A3:C1000,3, FALSE),"")</f>
        <v/>
      </c>
      <c r="C55" s="2" t="str">
        <f>IF(A55&lt;&gt;"",VLOOKUP(Alunos!A55,Agrupamentos!A3:B1000,2, FALSE),"")</f>
        <v/>
      </c>
      <c r="D55" s="2" t="str">
        <f>IF(A55&lt;&gt;"",VLOOKUP(Alunos!C55,'TP1'!A3:C1000,3, FALSE),"")</f>
        <v/>
      </c>
      <c r="E55" s="2" t="str">
        <f>IF(A55&lt;&gt;"", SUMIF(B1:D1,"&lt;&gt;",B55:D55),"")</f>
        <v/>
      </c>
      <c r="F55" s="2" t="str">
        <f>IF(AND(A55&lt;&gt;"",E55&lt;&gt;""),ROUND(E55,0),"")</f>
        <v/>
      </c>
      <c r="G55" s="2" t="str">
        <f>IF(A55&lt;&gt;"",VLOOKUP(Alunos!A55,Recurso!A3:C1000,3, FALSE),"")</f>
        <v/>
      </c>
      <c r="H55" s="2" t="str">
        <f>IF(OR(A55&lt;&gt;"",G55&lt;&gt;""), SUMIFS(B55:G55,B1:G1,"&lt;&gt;",B2:G2,"&lt;&gt;Exame",B2:G2,"&lt;&gt;exame",B2:G2,"&lt;&gt;Nota",B2:G2,"&lt;&gt;Total"),"")</f>
        <v/>
      </c>
      <c r="I55" s="2" t="str">
        <f>IF(AND(A55&lt;&gt;"",H55&lt;&gt;""),ROUND(H55,0),"")</f>
        <v/>
      </c>
    </row>
    <row r="56" spans="2:9" x14ac:dyDescent="0.3">
      <c r="B56" s="2" t="str">
        <f>IF(A56&lt;&gt;"",VLOOKUP(Alunos!A56,Exame!A3:C1000,3, FALSE),"")</f>
        <v/>
      </c>
      <c r="C56" s="2" t="str">
        <f>IF(A56&lt;&gt;"",VLOOKUP(Alunos!A56,Agrupamentos!A3:B1000,2, FALSE),"")</f>
        <v/>
      </c>
      <c r="D56" s="2" t="str">
        <f>IF(A56&lt;&gt;"",VLOOKUP(Alunos!C56,'TP1'!A3:C1000,3, FALSE),"")</f>
        <v/>
      </c>
      <c r="E56" s="2" t="str">
        <f>IF(A56&lt;&gt;"", SUMIF(B1:D1,"&lt;&gt;",B56:D56),"")</f>
        <v/>
      </c>
      <c r="F56" s="2" t="str">
        <f>IF(AND(A56&lt;&gt;"",E56&lt;&gt;""),ROUND(E56,0),"")</f>
        <v/>
      </c>
      <c r="G56" s="2" t="str">
        <f>IF(A56&lt;&gt;"",VLOOKUP(Alunos!A56,Recurso!A3:C1000,3, FALSE),"")</f>
        <v/>
      </c>
      <c r="H56" s="2" t="str">
        <f>IF(OR(A56&lt;&gt;"",G56&lt;&gt;""), SUMIFS(B56:G56,B1:G1,"&lt;&gt;",B2:G2,"&lt;&gt;Exame",B2:G2,"&lt;&gt;exame",B2:G2,"&lt;&gt;Nota",B2:G2,"&lt;&gt;Total"),"")</f>
        <v/>
      </c>
      <c r="I56" s="2" t="str">
        <f>IF(AND(A56&lt;&gt;"",H56&lt;&gt;""),ROUND(H56,0),"")</f>
        <v/>
      </c>
    </row>
    <row r="57" spans="2:9" x14ac:dyDescent="0.3">
      <c r="B57" s="2" t="str">
        <f>IF(A57&lt;&gt;"",VLOOKUP(Alunos!A57,Exame!A3:C1000,3, FALSE),"")</f>
        <v/>
      </c>
      <c r="C57" s="2" t="str">
        <f>IF(A57&lt;&gt;"",VLOOKUP(Alunos!A57,Agrupamentos!A3:B1000,2, FALSE),"")</f>
        <v/>
      </c>
      <c r="D57" s="2" t="str">
        <f>IF(A57&lt;&gt;"",VLOOKUP(Alunos!C57,'TP1'!A3:C1000,3, FALSE),"")</f>
        <v/>
      </c>
      <c r="E57" s="2" t="str">
        <f>IF(A57&lt;&gt;"", SUMIF(B1:D1,"&lt;&gt;",B57:D57),"")</f>
        <v/>
      </c>
      <c r="F57" s="2" t="str">
        <f>IF(AND(A57&lt;&gt;"",E57&lt;&gt;""),ROUND(E57,0),"")</f>
        <v/>
      </c>
      <c r="G57" s="2" t="str">
        <f>IF(A57&lt;&gt;"",VLOOKUP(Alunos!A57,Recurso!A3:C1000,3, FALSE),"")</f>
        <v/>
      </c>
      <c r="H57" s="2" t="str">
        <f>IF(OR(A57&lt;&gt;"",G57&lt;&gt;""), SUMIFS(B57:G57,B1:G1,"&lt;&gt;",B2:G2,"&lt;&gt;Exame",B2:G2,"&lt;&gt;exame",B2:G2,"&lt;&gt;Nota",B2:G2,"&lt;&gt;Total"),"")</f>
        <v/>
      </c>
      <c r="I57" s="2" t="str">
        <f>IF(AND(A57&lt;&gt;"",H57&lt;&gt;""),ROUND(H57,0),"")</f>
        <v/>
      </c>
    </row>
    <row r="58" spans="2:9" x14ac:dyDescent="0.3">
      <c r="B58" s="2" t="str">
        <f>IF(A58&lt;&gt;"",VLOOKUP(Alunos!A58,Exame!A3:C1000,3, FALSE),"")</f>
        <v/>
      </c>
      <c r="C58" s="2" t="str">
        <f>IF(A58&lt;&gt;"",VLOOKUP(Alunos!A58,Agrupamentos!A3:B1000,2, FALSE),"")</f>
        <v/>
      </c>
      <c r="D58" s="2" t="str">
        <f>IF(A58&lt;&gt;"",VLOOKUP(Alunos!C58,'TP1'!A3:C1000,3, FALSE),"")</f>
        <v/>
      </c>
      <c r="E58" s="2" t="str">
        <f>IF(A58&lt;&gt;"", SUMIF(B1:D1,"&lt;&gt;",B58:D58),"")</f>
        <v/>
      </c>
      <c r="F58" s="2" t="str">
        <f>IF(AND(A58&lt;&gt;"",E58&lt;&gt;""),ROUND(E58,0),"")</f>
        <v/>
      </c>
      <c r="G58" s="2" t="str">
        <f>IF(A58&lt;&gt;"",VLOOKUP(Alunos!A58,Recurso!A3:C1000,3, FALSE),"")</f>
        <v/>
      </c>
      <c r="H58" s="2" t="str">
        <f>IF(OR(A58&lt;&gt;"",G58&lt;&gt;""), SUMIFS(B58:G58,B1:G1,"&lt;&gt;",B2:G2,"&lt;&gt;Exame",B2:G2,"&lt;&gt;exame",B2:G2,"&lt;&gt;Nota",B2:G2,"&lt;&gt;Total"),"")</f>
        <v/>
      </c>
      <c r="I58" s="2" t="str">
        <f>IF(AND(A58&lt;&gt;"",H58&lt;&gt;""),ROUND(H58,0),"")</f>
        <v/>
      </c>
    </row>
    <row r="59" spans="2:9" x14ac:dyDescent="0.3">
      <c r="B59" s="2" t="str">
        <f>IF(A59&lt;&gt;"",VLOOKUP(Alunos!A59,Exame!A3:C1000,3, FALSE),"")</f>
        <v/>
      </c>
      <c r="C59" s="2" t="str">
        <f>IF(A59&lt;&gt;"",VLOOKUP(Alunos!A59,Agrupamentos!A3:B1000,2, FALSE),"")</f>
        <v/>
      </c>
      <c r="D59" s="2" t="str">
        <f>IF(A59&lt;&gt;"",VLOOKUP(Alunos!C59,'TP1'!A3:C1000,3, FALSE),"")</f>
        <v/>
      </c>
      <c r="E59" s="2" t="str">
        <f>IF(A59&lt;&gt;"", SUMIF(B1:D1,"&lt;&gt;",B59:D59),"")</f>
        <v/>
      </c>
      <c r="F59" s="2" t="str">
        <f>IF(AND(A59&lt;&gt;"",E59&lt;&gt;""),ROUND(E59,0),"")</f>
        <v/>
      </c>
      <c r="G59" s="2" t="str">
        <f>IF(A59&lt;&gt;"",VLOOKUP(Alunos!A59,Recurso!A3:C1000,3, FALSE),"")</f>
        <v/>
      </c>
      <c r="H59" s="2" t="str">
        <f>IF(OR(A59&lt;&gt;"",G59&lt;&gt;""), SUMIFS(B59:G59,B1:G1,"&lt;&gt;",B2:G2,"&lt;&gt;Exame",B2:G2,"&lt;&gt;exame",B2:G2,"&lt;&gt;Nota",B2:G2,"&lt;&gt;Total"),"")</f>
        <v/>
      </c>
      <c r="I59" s="2" t="str">
        <f>IF(AND(A59&lt;&gt;"",H59&lt;&gt;""),ROUND(H59,0),"")</f>
        <v/>
      </c>
    </row>
    <row r="60" spans="2:9" x14ac:dyDescent="0.3">
      <c r="B60" s="2" t="str">
        <f>IF(A60&lt;&gt;"",VLOOKUP(Alunos!A60,Exame!A3:C1000,3, FALSE),"")</f>
        <v/>
      </c>
      <c r="C60" s="2" t="str">
        <f>IF(A60&lt;&gt;"",VLOOKUP(Alunos!A60,Agrupamentos!A3:B1000,2, FALSE),"")</f>
        <v/>
      </c>
      <c r="D60" s="2" t="str">
        <f>IF(A60&lt;&gt;"",VLOOKUP(Alunos!C60,'TP1'!A3:C1000,3, FALSE),"")</f>
        <v/>
      </c>
      <c r="E60" s="2" t="str">
        <f>IF(A60&lt;&gt;"", SUMIF(B1:D1,"&lt;&gt;",B60:D60),"")</f>
        <v/>
      </c>
      <c r="F60" s="2" t="str">
        <f>IF(AND(A60&lt;&gt;"",E60&lt;&gt;""),ROUND(E60,0),"")</f>
        <v/>
      </c>
      <c r="G60" s="2" t="str">
        <f>IF(A60&lt;&gt;"",VLOOKUP(Alunos!A60,Recurso!A3:C1000,3, FALSE),"")</f>
        <v/>
      </c>
      <c r="H60" s="2" t="str">
        <f>IF(OR(A60&lt;&gt;"",G60&lt;&gt;""), SUMIFS(B60:G60,B1:G1,"&lt;&gt;",B2:G2,"&lt;&gt;Exame",B2:G2,"&lt;&gt;exame",B2:G2,"&lt;&gt;Nota",B2:G2,"&lt;&gt;Total"),"")</f>
        <v/>
      </c>
      <c r="I60" s="2" t="str">
        <f>IF(AND(A60&lt;&gt;"",H60&lt;&gt;""),ROUND(H60,0),"")</f>
        <v/>
      </c>
    </row>
    <row r="61" spans="2:9" x14ac:dyDescent="0.3">
      <c r="B61" s="2" t="str">
        <f>IF(A61&lt;&gt;"",VLOOKUP(Alunos!A61,Exame!A3:C1000,3, FALSE),"")</f>
        <v/>
      </c>
      <c r="C61" s="2" t="str">
        <f>IF(A61&lt;&gt;"",VLOOKUP(Alunos!A61,Agrupamentos!A3:B1000,2, FALSE),"")</f>
        <v/>
      </c>
      <c r="D61" s="2" t="str">
        <f>IF(A61&lt;&gt;"",VLOOKUP(Alunos!C61,'TP1'!A3:C1000,3, FALSE),"")</f>
        <v/>
      </c>
      <c r="E61" s="2" t="str">
        <f>IF(A61&lt;&gt;"", SUMIF(B1:D1,"&lt;&gt;",B61:D61),"")</f>
        <v/>
      </c>
      <c r="F61" s="2" t="str">
        <f>IF(AND(A61&lt;&gt;"",E61&lt;&gt;""),ROUND(E61,0),"")</f>
        <v/>
      </c>
      <c r="G61" s="2" t="str">
        <f>IF(A61&lt;&gt;"",VLOOKUP(Alunos!A61,Recurso!A3:C1000,3, FALSE),"")</f>
        <v/>
      </c>
      <c r="H61" s="2" t="str">
        <f>IF(OR(A61&lt;&gt;"",G61&lt;&gt;""), SUMIFS(B61:G61,B1:G1,"&lt;&gt;",B2:G2,"&lt;&gt;Exame",B2:G2,"&lt;&gt;exame",B2:G2,"&lt;&gt;Nota",B2:G2,"&lt;&gt;Total"),"")</f>
        <v/>
      </c>
      <c r="I61" s="2" t="str">
        <f>IF(AND(A61&lt;&gt;"",H61&lt;&gt;""),ROUND(H61,0),"")</f>
        <v/>
      </c>
    </row>
    <row r="62" spans="2:9" x14ac:dyDescent="0.3">
      <c r="B62" s="2" t="str">
        <f>IF(A62&lt;&gt;"",VLOOKUP(Alunos!A62,Exame!A3:C1000,3, FALSE),"")</f>
        <v/>
      </c>
      <c r="C62" s="2" t="str">
        <f>IF(A62&lt;&gt;"",VLOOKUP(Alunos!A62,Agrupamentos!A3:B1000,2, FALSE),"")</f>
        <v/>
      </c>
      <c r="D62" s="2" t="str">
        <f>IF(A62&lt;&gt;"",VLOOKUP(Alunos!C62,'TP1'!A3:C1000,3, FALSE),"")</f>
        <v/>
      </c>
      <c r="E62" s="2" t="str">
        <f>IF(A62&lt;&gt;"", SUMIF(B1:D1,"&lt;&gt;",B62:D62),"")</f>
        <v/>
      </c>
      <c r="F62" s="2" t="str">
        <f>IF(AND(A62&lt;&gt;"",E62&lt;&gt;""),ROUND(E62,0),"")</f>
        <v/>
      </c>
      <c r="G62" s="2" t="str">
        <f>IF(A62&lt;&gt;"",VLOOKUP(Alunos!A62,Recurso!A3:C1000,3, FALSE),"")</f>
        <v/>
      </c>
      <c r="H62" s="2" t="str">
        <f>IF(OR(A62&lt;&gt;"",G62&lt;&gt;""), SUMIFS(B62:G62,B1:G1,"&lt;&gt;",B2:G2,"&lt;&gt;Exame",B2:G2,"&lt;&gt;exame",B2:G2,"&lt;&gt;Nota",B2:G2,"&lt;&gt;Total"),"")</f>
        <v/>
      </c>
      <c r="I62" s="2" t="str">
        <f>IF(AND(A62&lt;&gt;"",H62&lt;&gt;""),ROUND(H62,0),"")</f>
        <v/>
      </c>
    </row>
    <row r="63" spans="2:9" x14ac:dyDescent="0.3">
      <c r="B63" s="2" t="str">
        <f>IF(A63&lt;&gt;"",VLOOKUP(Alunos!A63,Exame!A3:C1000,3, FALSE),"")</f>
        <v/>
      </c>
      <c r="C63" s="2" t="str">
        <f>IF(A63&lt;&gt;"",VLOOKUP(Alunos!A63,Agrupamentos!A3:B1000,2, FALSE),"")</f>
        <v/>
      </c>
      <c r="D63" s="2" t="str">
        <f>IF(A63&lt;&gt;"",VLOOKUP(Alunos!C63,'TP1'!A3:C1000,3, FALSE),"")</f>
        <v/>
      </c>
      <c r="E63" s="2" t="str">
        <f>IF(A63&lt;&gt;"", SUMIF(B1:D1,"&lt;&gt;",B63:D63),"")</f>
        <v/>
      </c>
      <c r="F63" s="2" t="str">
        <f>IF(AND(A63&lt;&gt;"",E63&lt;&gt;""),ROUND(E63,0),"")</f>
        <v/>
      </c>
      <c r="G63" s="2" t="str">
        <f>IF(A63&lt;&gt;"",VLOOKUP(Alunos!A63,Recurso!A3:C1000,3, FALSE),"")</f>
        <v/>
      </c>
      <c r="H63" s="2" t="str">
        <f>IF(OR(A63&lt;&gt;"",G63&lt;&gt;""), SUMIFS(B63:G63,B1:G1,"&lt;&gt;",B2:G2,"&lt;&gt;Exame",B2:G2,"&lt;&gt;exame",B2:G2,"&lt;&gt;Nota",B2:G2,"&lt;&gt;Total"),"")</f>
        <v/>
      </c>
      <c r="I63" s="2" t="str">
        <f>IF(AND(A63&lt;&gt;"",H63&lt;&gt;""),ROUND(H63,0),"")</f>
        <v/>
      </c>
    </row>
    <row r="64" spans="2:9" x14ac:dyDescent="0.3">
      <c r="B64" s="2" t="str">
        <f>IF(A64&lt;&gt;"",VLOOKUP(Alunos!A64,Exame!A3:C1000,3, FALSE),"")</f>
        <v/>
      </c>
      <c r="C64" s="2" t="str">
        <f>IF(A64&lt;&gt;"",VLOOKUP(Alunos!A64,Agrupamentos!A3:B1000,2, FALSE),"")</f>
        <v/>
      </c>
      <c r="D64" s="2" t="str">
        <f>IF(A64&lt;&gt;"",VLOOKUP(Alunos!C64,'TP1'!A3:C1000,3, FALSE),"")</f>
        <v/>
      </c>
      <c r="E64" s="2" t="str">
        <f>IF(A64&lt;&gt;"", SUMIF(B1:D1,"&lt;&gt;",B64:D64),"")</f>
        <v/>
      </c>
      <c r="F64" s="2" t="str">
        <f>IF(AND(A64&lt;&gt;"",E64&lt;&gt;""),ROUND(E64,0),"")</f>
        <v/>
      </c>
      <c r="G64" s="2" t="str">
        <f>IF(A64&lt;&gt;"",VLOOKUP(Alunos!A64,Recurso!A3:C1000,3, FALSE),"")</f>
        <v/>
      </c>
      <c r="H64" s="2" t="str">
        <f>IF(OR(A64&lt;&gt;"",G64&lt;&gt;""), SUMIFS(B64:G64,B1:G1,"&lt;&gt;",B2:G2,"&lt;&gt;Exame",B2:G2,"&lt;&gt;exame",B2:G2,"&lt;&gt;Nota",B2:G2,"&lt;&gt;Total"),"")</f>
        <v/>
      </c>
      <c r="I64" s="2" t="str">
        <f>IF(AND(A64&lt;&gt;"",H64&lt;&gt;""),ROUND(H64,0),"")</f>
        <v/>
      </c>
    </row>
    <row r="65" spans="2:9" x14ac:dyDescent="0.3">
      <c r="B65" s="2" t="str">
        <f>IF(A65&lt;&gt;"",VLOOKUP(Alunos!A65,Exame!A3:C1000,3, FALSE),"")</f>
        <v/>
      </c>
      <c r="C65" s="2" t="str">
        <f>IF(A65&lt;&gt;"",VLOOKUP(Alunos!A65,Agrupamentos!A3:B1000,2, FALSE),"")</f>
        <v/>
      </c>
      <c r="D65" s="2" t="str">
        <f>IF(A65&lt;&gt;"",VLOOKUP(Alunos!C65,'TP1'!A3:C1000,3, FALSE),"")</f>
        <v/>
      </c>
      <c r="E65" s="2" t="str">
        <f>IF(A65&lt;&gt;"", SUMIF(B1:D1,"&lt;&gt;",B65:D65),"")</f>
        <v/>
      </c>
      <c r="F65" s="2" t="str">
        <f>IF(AND(A65&lt;&gt;"",E65&lt;&gt;""),ROUND(E65,0),"")</f>
        <v/>
      </c>
      <c r="G65" s="2" t="str">
        <f>IF(A65&lt;&gt;"",VLOOKUP(Alunos!A65,Recurso!A3:C1000,3, FALSE),"")</f>
        <v/>
      </c>
      <c r="H65" s="2" t="str">
        <f>IF(OR(A65&lt;&gt;"",G65&lt;&gt;""), SUMIFS(B65:G65,B1:G1,"&lt;&gt;",B2:G2,"&lt;&gt;Exame",B2:G2,"&lt;&gt;exame",B2:G2,"&lt;&gt;Nota",B2:G2,"&lt;&gt;Total"),"")</f>
        <v/>
      </c>
      <c r="I65" s="2" t="str">
        <f>IF(AND(A65&lt;&gt;"",H65&lt;&gt;""),ROUND(H65,0),"")</f>
        <v/>
      </c>
    </row>
    <row r="66" spans="2:9" x14ac:dyDescent="0.3">
      <c r="B66" s="2" t="str">
        <f>IF(A66&lt;&gt;"",VLOOKUP(Alunos!A66,Exame!A3:C1000,3, FALSE),"")</f>
        <v/>
      </c>
      <c r="C66" s="2" t="str">
        <f>IF(A66&lt;&gt;"",VLOOKUP(Alunos!A66,Agrupamentos!A3:B1000,2, FALSE),"")</f>
        <v/>
      </c>
      <c r="D66" s="2" t="str">
        <f>IF(A66&lt;&gt;"",VLOOKUP(Alunos!C66,'TP1'!A3:C1000,3, FALSE),"")</f>
        <v/>
      </c>
      <c r="E66" s="2" t="str">
        <f>IF(A66&lt;&gt;"", SUMIF(B1:D1,"&lt;&gt;",B66:D66),"")</f>
        <v/>
      </c>
      <c r="F66" s="2" t="str">
        <f>IF(AND(A66&lt;&gt;"",E66&lt;&gt;""),ROUND(E66,0),"")</f>
        <v/>
      </c>
      <c r="G66" s="2" t="str">
        <f>IF(A66&lt;&gt;"",VLOOKUP(Alunos!A66,Recurso!A3:C1000,3, FALSE),"")</f>
        <v/>
      </c>
      <c r="H66" s="2" t="str">
        <f>IF(OR(A66&lt;&gt;"",G66&lt;&gt;""), SUMIFS(B66:G66,B1:G1,"&lt;&gt;",B2:G2,"&lt;&gt;Exame",B2:G2,"&lt;&gt;exame",B2:G2,"&lt;&gt;Nota",B2:G2,"&lt;&gt;Total"),"")</f>
        <v/>
      </c>
      <c r="I66" s="2" t="str">
        <f>IF(AND(A66&lt;&gt;"",H66&lt;&gt;""),ROUND(H66,0),"")</f>
        <v/>
      </c>
    </row>
    <row r="67" spans="2:9" x14ac:dyDescent="0.3">
      <c r="B67" s="2" t="str">
        <f>IF(A67&lt;&gt;"",VLOOKUP(Alunos!A67,Exame!A3:C1000,3, FALSE),"")</f>
        <v/>
      </c>
      <c r="C67" s="2" t="str">
        <f>IF(A67&lt;&gt;"",VLOOKUP(Alunos!A67,Agrupamentos!A3:B1000,2, FALSE),"")</f>
        <v/>
      </c>
      <c r="D67" s="2" t="str">
        <f>IF(A67&lt;&gt;"",VLOOKUP(Alunos!C67,'TP1'!A3:C1000,3, FALSE),"")</f>
        <v/>
      </c>
      <c r="E67" s="2" t="str">
        <f>IF(A67&lt;&gt;"", SUMIF(B1:D1,"&lt;&gt;",B67:D67),"")</f>
        <v/>
      </c>
      <c r="F67" s="2" t="str">
        <f>IF(AND(A67&lt;&gt;"",E67&lt;&gt;""),ROUND(E67,0),"")</f>
        <v/>
      </c>
      <c r="G67" s="2" t="str">
        <f>IF(A67&lt;&gt;"",VLOOKUP(Alunos!A67,Recurso!A3:C1000,3, FALSE),"")</f>
        <v/>
      </c>
      <c r="H67" s="2" t="str">
        <f>IF(OR(A67&lt;&gt;"",G67&lt;&gt;""), SUMIFS(B67:G67,B1:G1,"&lt;&gt;",B2:G2,"&lt;&gt;Exame",B2:G2,"&lt;&gt;exame",B2:G2,"&lt;&gt;Nota",B2:G2,"&lt;&gt;Total"),"")</f>
        <v/>
      </c>
      <c r="I67" s="2" t="str">
        <f>IF(AND(A67&lt;&gt;"",H67&lt;&gt;""),ROUND(H67,0),"")</f>
        <v/>
      </c>
    </row>
    <row r="68" spans="2:9" x14ac:dyDescent="0.3">
      <c r="B68" s="2" t="str">
        <f>IF(A68&lt;&gt;"",VLOOKUP(Alunos!A68,Exame!A3:C1000,3, FALSE),"")</f>
        <v/>
      </c>
      <c r="C68" s="2" t="str">
        <f>IF(A68&lt;&gt;"",VLOOKUP(Alunos!A68,Agrupamentos!A3:B1000,2, FALSE),"")</f>
        <v/>
      </c>
      <c r="D68" s="2" t="str">
        <f>IF(A68&lt;&gt;"",VLOOKUP(Alunos!C68,'TP1'!A3:C1000,3, FALSE),"")</f>
        <v/>
      </c>
      <c r="E68" s="2" t="str">
        <f>IF(A68&lt;&gt;"", SUMIF(B1:D1,"&lt;&gt;",B68:D68),"")</f>
        <v/>
      </c>
      <c r="F68" s="2" t="str">
        <f>IF(AND(A68&lt;&gt;"",E68&lt;&gt;""),ROUND(E68,0),"")</f>
        <v/>
      </c>
      <c r="G68" s="2" t="str">
        <f>IF(A68&lt;&gt;"",VLOOKUP(Alunos!A68,Recurso!A3:C1000,3, FALSE),"")</f>
        <v/>
      </c>
      <c r="H68" s="2" t="str">
        <f>IF(OR(A68&lt;&gt;"",G68&lt;&gt;""), SUMIFS(B68:G68,B1:G1,"&lt;&gt;",B2:G2,"&lt;&gt;Exame",B2:G2,"&lt;&gt;exame",B2:G2,"&lt;&gt;Nota",B2:G2,"&lt;&gt;Total"),"")</f>
        <v/>
      </c>
      <c r="I68" s="2" t="str">
        <f>IF(AND(A68&lt;&gt;"",H68&lt;&gt;""),ROUND(H68,0),"")</f>
        <v/>
      </c>
    </row>
    <row r="69" spans="2:9" x14ac:dyDescent="0.3">
      <c r="B69" s="2" t="str">
        <f>IF(A69&lt;&gt;"",VLOOKUP(Alunos!A69,Exame!A3:C1000,3, FALSE),"")</f>
        <v/>
      </c>
      <c r="C69" s="2" t="str">
        <f>IF(A69&lt;&gt;"",VLOOKUP(Alunos!A69,Agrupamentos!A3:B1000,2, FALSE),"")</f>
        <v/>
      </c>
      <c r="D69" s="2" t="str">
        <f>IF(A69&lt;&gt;"",VLOOKUP(Alunos!C69,'TP1'!A3:C1000,3, FALSE),"")</f>
        <v/>
      </c>
      <c r="E69" s="2" t="str">
        <f>IF(A69&lt;&gt;"", SUMIF(B1:D1,"&lt;&gt;",B69:D69),"")</f>
        <v/>
      </c>
      <c r="F69" s="2" t="str">
        <f>IF(AND(A69&lt;&gt;"",E69&lt;&gt;""),ROUND(E69,0),"")</f>
        <v/>
      </c>
      <c r="G69" s="2" t="str">
        <f>IF(A69&lt;&gt;"",VLOOKUP(Alunos!A69,Recurso!A3:C1000,3, FALSE),"")</f>
        <v/>
      </c>
      <c r="H69" s="2" t="str">
        <f>IF(OR(A69&lt;&gt;"",G69&lt;&gt;""), SUMIFS(B69:G69,B1:G1,"&lt;&gt;",B2:G2,"&lt;&gt;Exame",B2:G2,"&lt;&gt;exame",B2:G2,"&lt;&gt;Nota",B2:G2,"&lt;&gt;Total"),"")</f>
        <v/>
      </c>
      <c r="I69" s="2" t="str">
        <f>IF(AND(A69&lt;&gt;"",H69&lt;&gt;""),ROUND(H69,0),"")</f>
        <v/>
      </c>
    </row>
    <row r="70" spans="2:9" x14ac:dyDescent="0.3">
      <c r="B70" s="2" t="str">
        <f>IF(A70&lt;&gt;"",VLOOKUP(Alunos!A70,Exame!A3:C1000,3, FALSE),"")</f>
        <v/>
      </c>
      <c r="C70" s="2" t="str">
        <f>IF(A70&lt;&gt;"",VLOOKUP(Alunos!A70,Agrupamentos!A3:B1000,2, FALSE),"")</f>
        <v/>
      </c>
      <c r="D70" s="2" t="str">
        <f>IF(A70&lt;&gt;"",VLOOKUP(Alunos!C70,'TP1'!A3:C1000,3, FALSE),"")</f>
        <v/>
      </c>
      <c r="E70" s="2" t="str">
        <f>IF(A70&lt;&gt;"", SUMIF(B1:D1,"&lt;&gt;",B70:D70),"")</f>
        <v/>
      </c>
      <c r="F70" s="2" t="str">
        <f>IF(AND(A70&lt;&gt;"",E70&lt;&gt;""),ROUND(E70,0),"")</f>
        <v/>
      </c>
      <c r="G70" s="2" t="str">
        <f>IF(A70&lt;&gt;"",VLOOKUP(Alunos!A70,Recurso!A3:C1000,3, FALSE),"")</f>
        <v/>
      </c>
      <c r="H70" s="2" t="str">
        <f>IF(OR(A70&lt;&gt;"",G70&lt;&gt;""), SUMIFS(B70:G70,B1:G1,"&lt;&gt;",B2:G2,"&lt;&gt;Exame",B2:G2,"&lt;&gt;exame",B2:G2,"&lt;&gt;Nota",B2:G2,"&lt;&gt;Total"),"")</f>
        <v/>
      </c>
      <c r="I70" s="2" t="str">
        <f>IF(AND(A70&lt;&gt;"",H70&lt;&gt;""),ROUND(H70,0),"")</f>
        <v/>
      </c>
    </row>
    <row r="71" spans="2:9" x14ac:dyDescent="0.3">
      <c r="B71" s="2" t="str">
        <f>IF(A71&lt;&gt;"",VLOOKUP(Alunos!A71,Exame!A3:C1000,3, FALSE),"")</f>
        <v/>
      </c>
      <c r="C71" s="2" t="str">
        <f>IF(A71&lt;&gt;"",VLOOKUP(Alunos!A71,Agrupamentos!A3:B1000,2, FALSE),"")</f>
        <v/>
      </c>
      <c r="D71" s="2" t="str">
        <f>IF(A71&lt;&gt;"",VLOOKUP(Alunos!C71,'TP1'!A3:C1000,3, FALSE),"")</f>
        <v/>
      </c>
      <c r="E71" s="2" t="str">
        <f>IF(A71&lt;&gt;"", SUMIF(B1:D1,"&lt;&gt;",B71:D71),"")</f>
        <v/>
      </c>
      <c r="F71" s="2" t="str">
        <f>IF(AND(A71&lt;&gt;"",E71&lt;&gt;""),ROUND(E71,0),"")</f>
        <v/>
      </c>
      <c r="G71" s="2" t="str">
        <f>IF(A71&lt;&gt;"",VLOOKUP(Alunos!A71,Recurso!A3:C1000,3, FALSE),"")</f>
        <v/>
      </c>
      <c r="H71" s="2" t="str">
        <f>IF(OR(A71&lt;&gt;"",G71&lt;&gt;""), SUMIFS(B71:G71,B1:G1,"&lt;&gt;",B2:G2,"&lt;&gt;Exame",B2:G2,"&lt;&gt;exame",B2:G2,"&lt;&gt;Nota",B2:G2,"&lt;&gt;Total"),"")</f>
        <v/>
      </c>
      <c r="I71" s="2" t="str">
        <f>IF(AND(A71&lt;&gt;"",H71&lt;&gt;""),ROUND(H71,0),"")</f>
        <v/>
      </c>
    </row>
    <row r="72" spans="2:9" x14ac:dyDescent="0.3">
      <c r="B72" s="2" t="str">
        <f>IF(A72&lt;&gt;"",VLOOKUP(Alunos!A72,Exame!A3:C1000,3, FALSE),"")</f>
        <v/>
      </c>
      <c r="C72" s="2" t="str">
        <f>IF(A72&lt;&gt;"",VLOOKUP(Alunos!A72,Agrupamentos!A3:B1000,2, FALSE),"")</f>
        <v/>
      </c>
      <c r="D72" s="2" t="str">
        <f>IF(A72&lt;&gt;"",VLOOKUP(Alunos!C72,'TP1'!A3:C1000,3, FALSE),"")</f>
        <v/>
      </c>
      <c r="E72" s="2" t="str">
        <f>IF(A72&lt;&gt;"", SUMIF(B1:D1,"&lt;&gt;",B72:D72),"")</f>
        <v/>
      </c>
      <c r="F72" s="2" t="str">
        <f>IF(AND(A72&lt;&gt;"",E72&lt;&gt;""),ROUND(E72,0),"")</f>
        <v/>
      </c>
      <c r="G72" s="2" t="str">
        <f>IF(A72&lt;&gt;"",VLOOKUP(Alunos!A72,Recurso!A3:C1000,3, FALSE),"")</f>
        <v/>
      </c>
      <c r="H72" s="2" t="str">
        <f>IF(OR(A72&lt;&gt;"",G72&lt;&gt;""), SUMIFS(B72:G72,B1:G1,"&lt;&gt;",B2:G2,"&lt;&gt;Exame",B2:G2,"&lt;&gt;exame",B2:G2,"&lt;&gt;Nota",B2:G2,"&lt;&gt;Total"),"")</f>
        <v/>
      </c>
      <c r="I72" s="2" t="str">
        <f>IF(AND(A72&lt;&gt;"",H72&lt;&gt;""),ROUND(H72,0),"")</f>
        <v/>
      </c>
    </row>
    <row r="73" spans="2:9" x14ac:dyDescent="0.3">
      <c r="B73" s="2" t="str">
        <f>IF(A73&lt;&gt;"",VLOOKUP(Alunos!A73,Exame!A3:C1000,3, FALSE),"")</f>
        <v/>
      </c>
      <c r="C73" s="2" t="str">
        <f>IF(A73&lt;&gt;"",VLOOKUP(Alunos!A73,Agrupamentos!A3:B1000,2, FALSE),"")</f>
        <v/>
      </c>
      <c r="D73" s="2" t="str">
        <f>IF(A73&lt;&gt;"",VLOOKUP(Alunos!C73,'TP1'!A3:C1000,3, FALSE),"")</f>
        <v/>
      </c>
      <c r="E73" s="2" t="str">
        <f>IF(A73&lt;&gt;"", SUMIF(B1:D1,"&lt;&gt;",B73:D73),"")</f>
        <v/>
      </c>
      <c r="F73" s="2" t="str">
        <f>IF(AND(A73&lt;&gt;"",E73&lt;&gt;""),ROUND(E73,0),"")</f>
        <v/>
      </c>
      <c r="G73" s="2" t="str">
        <f>IF(A73&lt;&gt;"",VLOOKUP(Alunos!A73,Recurso!A3:C1000,3, FALSE),"")</f>
        <v/>
      </c>
      <c r="H73" s="2" t="str">
        <f>IF(OR(A73&lt;&gt;"",G73&lt;&gt;""), SUMIFS(B73:G73,B1:G1,"&lt;&gt;",B2:G2,"&lt;&gt;Exame",B2:G2,"&lt;&gt;exame",B2:G2,"&lt;&gt;Nota",B2:G2,"&lt;&gt;Total"),"")</f>
        <v/>
      </c>
      <c r="I73" s="2" t="str">
        <f>IF(AND(A73&lt;&gt;"",H73&lt;&gt;""),ROUND(H73,0),"")</f>
        <v/>
      </c>
    </row>
    <row r="74" spans="2:9" x14ac:dyDescent="0.3">
      <c r="B74" s="2" t="str">
        <f>IF(A74&lt;&gt;"",VLOOKUP(Alunos!A74,Exame!A3:C1000,3, FALSE),"")</f>
        <v/>
      </c>
      <c r="C74" s="2" t="str">
        <f>IF(A74&lt;&gt;"",VLOOKUP(Alunos!A74,Agrupamentos!A3:B1000,2, FALSE),"")</f>
        <v/>
      </c>
      <c r="D74" s="2" t="str">
        <f>IF(A74&lt;&gt;"",VLOOKUP(Alunos!C74,'TP1'!A3:C1000,3, FALSE),"")</f>
        <v/>
      </c>
      <c r="E74" s="2" t="str">
        <f>IF(A74&lt;&gt;"", SUMIF(B1:D1,"&lt;&gt;",B74:D74),"")</f>
        <v/>
      </c>
      <c r="F74" s="2" t="str">
        <f>IF(AND(A74&lt;&gt;"",E74&lt;&gt;""),ROUND(E74,0),"")</f>
        <v/>
      </c>
      <c r="G74" s="2" t="str">
        <f>IF(A74&lt;&gt;"",VLOOKUP(Alunos!A74,Recurso!A3:C1000,3, FALSE),"")</f>
        <v/>
      </c>
      <c r="H74" s="2" t="str">
        <f>IF(OR(A74&lt;&gt;"",G74&lt;&gt;""), SUMIFS(B74:G74,B1:G1,"&lt;&gt;",B2:G2,"&lt;&gt;Exame",B2:G2,"&lt;&gt;exame",B2:G2,"&lt;&gt;Nota",B2:G2,"&lt;&gt;Total"),"")</f>
        <v/>
      </c>
      <c r="I74" s="2" t="str">
        <f>IF(AND(A74&lt;&gt;"",H74&lt;&gt;""),ROUND(H74,0),"")</f>
        <v/>
      </c>
    </row>
    <row r="75" spans="2:9" x14ac:dyDescent="0.3">
      <c r="B75" s="2" t="str">
        <f>IF(A75&lt;&gt;"",VLOOKUP(Alunos!A75,Exame!A3:C1000,3, FALSE),"")</f>
        <v/>
      </c>
      <c r="C75" s="2" t="str">
        <f>IF(A75&lt;&gt;"",VLOOKUP(Alunos!A75,Agrupamentos!A3:B1000,2, FALSE),"")</f>
        <v/>
      </c>
      <c r="D75" s="2" t="str">
        <f>IF(A75&lt;&gt;"",VLOOKUP(Alunos!C75,'TP1'!A3:C1000,3, FALSE),"")</f>
        <v/>
      </c>
      <c r="E75" s="2" t="str">
        <f>IF(A75&lt;&gt;"", SUMIF(B1:D1,"&lt;&gt;",B75:D75),"")</f>
        <v/>
      </c>
      <c r="F75" s="2" t="str">
        <f>IF(AND(A75&lt;&gt;"",E75&lt;&gt;""),ROUND(E75,0),"")</f>
        <v/>
      </c>
      <c r="G75" s="2" t="str">
        <f>IF(A75&lt;&gt;"",VLOOKUP(Alunos!A75,Recurso!A3:C1000,3, FALSE),"")</f>
        <v/>
      </c>
      <c r="H75" s="2" t="str">
        <f>IF(OR(A75&lt;&gt;"",G75&lt;&gt;""), SUMIFS(B75:G75,B1:G1,"&lt;&gt;",B2:G2,"&lt;&gt;Exame",B2:G2,"&lt;&gt;exame",B2:G2,"&lt;&gt;Nota",B2:G2,"&lt;&gt;Total"),"")</f>
        <v/>
      </c>
      <c r="I75" s="2" t="str">
        <f>IF(AND(A75&lt;&gt;"",H75&lt;&gt;""),ROUND(H75,0),"")</f>
        <v/>
      </c>
    </row>
    <row r="76" spans="2:9" x14ac:dyDescent="0.3">
      <c r="B76" s="2" t="str">
        <f>IF(A76&lt;&gt;"",VLOOKUP(Alunos!A76,Exame!A3:C1000,3, FALSE),"")</f>
        <v/>
      </c>
      <c r="C76" s="2" t="str">
        <f>IF(A76&lt;&gt;"",VLOOKUP(Alunos!A76,Agrupamentos!A3:B1000,2, FALSE),"")</f>
        <v/>
      </c>
      <c r="D76" s="2" t="str">
        <f>IF(A76&lt;&gt;"",VLOOKUP(Alunos!C76,'TP1'!A3:C1000,3, FALSE),"")</f>
        <v/>
      </c>
      <c r="E76" s="2" t="str">
        <f>IF(A76&lt;&gt;"", SUMIF(B1:D1,"&lt;&gt;",B76:D76),"")</f>
        <v/>
      </c>
      <c r="F76" s="2" t="str">
        <f>IF(AND(A76&lt;&gt;"",E76&lt;&gt;""),ROUND(E76,0),"")</f>
        <v/>
      </c>
      <c r="G76" s="2" t="str">
        <f>IF(A76&lt;&gt;"",VLOOKUP(Alunos!A76,Recurso!A3:C1000,3, FALSE),"")</f>
        <v/>
      </c>
      <c r="H76" s="2" t="str">
        <f>IF(OR(A76&lt;&gt;"",G76&lt;&gt;""), SUMIFS(B76:G76,B1:G1,"&lt;&gt;",B2:G2,"&lt;&gt;Exame",B2:G2,"&lt;&gt;exame",B2:G2,"&lt;&gt;Nota",B2:G2,"&lt;&gt;Total"),"")</f>
        <v/>
      </c>
      <c r="I76" s="2" t="str">
        <f>IF(AND(A76&lt;&gt;"",H76&lt;&gt;""),ROUND(H76,0),"")</f>
        <v/>
      </c>
    </row>
    <row r="77" spans="2:9" x14ac:dyDescent="0.3">
      <c r="B77" s="2" t="str">
        <f>IF(A77&lt;&gt;"",VLOOKUP(Alunos!A77,Exame!A3:C1000,3, FALSE),"")</f>
        <v/>
      </c>
      <c r="C77" s="2" t="str">
        <f>IF(A77&lt;&gt;"",VLOOKUP(Alunos!A77,Agrupamentos!A3:B1000,2, FALSE),"")</f>
        <v/>
      </c>
      <c r="D77" s="2" t="str">
        <f>IF(A77&lt;&gt;"",VLOOKUP(Alunos!C77,'TP1'!A3:C1000,3, FALSE),"")</f>
        <v/>
      </c>
      <c r="E77" s="2" t="str">
        <f>IF(A77&lt;&gt;"", SUMIF(B1:D1,"&lt;&gt;",B77:D77),"")</f>
        <v/>
      </c>
      <c r="F77" s="2" t="str">
        <f>IF(AND(A77&lt;&gt;"",E77&lt;&gt;""),ROUND(E77,0),"")</f>
        <v/>
      </c>
      <c r="G77" s="2" t="str">
        <f>IF(A77&lt;&gt;"",VLOOKUP(Alunos!A77,Recurso!A3:C1000,3, FALSE),"")</f>
        <v/>
      </c>
      <c r="H77" s="2" t="str">
        <f>IF(OR(A77&lt;&gt;"",G77&lt;&gt;""), SUMIFS(B77:G77,B1:G1,"&lt;&gt;",B2:G2,"&lt;&gt;Exame",B2:G2,"&lt;&gt;exame",B2:G2,"&lt;&gt;Nota",B2:G2,"&lt;&gt;Total"),"")</f>
        <v/>
      </c>
      <c r="I77" s="2" t="str">
        <f>IF(AND(A77&lt;&gt;"",H77&lt;&gt;""),ROUND(H77,0),"")</f>
        <v/>
      </c>
    </row>
    <row r="78" spans="2:9" x14ac:dyDescent="0.3">
      <c r="B78" s="2" t="str">
        <f>IF(A78&lt;&gt;"",VLOOKUP(Alunos!A78,Exame!A3:C1000,3, FALSE),"")</f>
        <v/>
      </c>
      <c r="C78" s="2" t="str">
        <f>IF(A78&lt;&gt;"",VLOOKUP(Alunos!A78,Agrupamentos!A3:B1000,2, FALSE),"")</f>
        <v/>
      </c>
      <c r="D78" s="2" t="str">
        <f>IF(A78&lt;&gt;"",VLOOKUP(Alunos!C78,'TP1'!A3:C1000,3, FALSE),"")</f>
        <v/>
      </c>
      <c r="E78" s="2" t="str">
        <f>IF(A78&lt;&gt;"", SUMIF(B1:D1,"&lt;&gt;",B78:D78),"")</f>
        <v/>
      </c>
      <c r="F78" s="2" t="str">
        <f>IF(AND(A78&lt;&gt;"",E78&lt;&gt;""),ROUND(E78,0),"")</f>
        <v/>
      </c>
      <c r="G78" s="2" t="str">
        <f>IF(A78&lt;&gt;"",VLOOKUP(Alunos!A78,Recurso!A3:C1000,3, FALSE),"")</f>
        <v/>
      </c>
      <c r="H78" s="2" t="str">
        <f>IF(OR(A78&lt;&gt;"",G78&lt;&gt;""), SUMIFS(B78:G78,B1:G1,"&lt;&gt;",B2:G2,"&lt;&gt;Exame",B2:G2,"&lt;&gt;exame",B2:G2,"&lt;&gt;Nota",B2:G2,"&lt;&gt;Total"),"")</f>
        <v/>
      </c>
      <c r="I78" s="2" t="str">
        <f>IF(AND(A78&lt;&gt;"",H78&lt;&gt;""),ROUND(H78,0),"")</f>
        <v/>
      </c>
    </row>
    <row r="79" spans="2:9" x14ac:dyDescent="0.3">
      <c r="B79" s="2" t="str">
        <f>IF(A79&lt;&gt;"",VLOOKUP(Alunos!A79,Exame!A3:C1000,3, FALSE),"")</f>
        <v/>
      </c>
      <c r="C79" s="2" t="str">
        <f>IF(A79&lt;&gt;"",VLOOKUP(Alunos!A79,Agrupamentos!A3:B1000,2, FALSE),"")</f>
        <v/>
      </c>
      <c r="D79" s="2" t="str">
        <f>IF(A79&lt;&gt;"",VLOOKUP(Alunos!C79,'TP1'!A3:C1000,3, FALSE),"")</f>
        <v/>
      </c>
      <c r="E79" s="2" t="str">
        <f>IF(A79&lt;&gt;"", SUMIF(B1:D1,"&lt;&gt;",B79:D79),"")</f>
        <v/>
      </c>
      <c r="F79" s="2" t="str">
        <f>IF(AND(A79&lt;&gt;"",E79&lt;&gt;""),ROUND(E79,0),"")</f>
        <v/>
      </c>
      <c r="G79" s="2" t="str">
        <f>IF(A79&lt;&gt;"",VLOOKUP(Alunos!A79,Recurso!A3:C1000,3, FALSE),"")</f>
        <v/>
      </c>
      <c r="H79" s="2" t="str">
        <f>IF(OR(A79&lt;&gt;"",G79&lt;&gt;""), SUMIFS(B79:G79,B1:G1,"&lt;&gt;",B2:G2,"&lt;&gt;Exame",B2:G2,"&lt;&gt;exame",B2:G2,"&lt;&gt;Nota",B2:G2,"&lt;&gt;Total"),"")</f>
        <v/>
      </c>
      <c r="I79" s="2" t="str">
        <f>IF(AND(A79&lt;&gt;"",H79&lt;&gt;""),ROUND(H79,0),"")</f>
        <v/>
      </c>
    </row>
    <row r="80" spans="2:9" x14ac:dyDescent="0.3">
      <c r="B80" s="2" t="str">
        <f>IF(A80&lt;&gt;"",VLOOKUP(Alunos!A80,Exame!A3:C1000,3, FALSE),"")</f>
        <v/>
      </c>
      <c r="C80" s="2" t="str">
        <f>IF(A80&lt;&gt;"",VLOOKUP(Alunos!A80,Agrupamentos!A3:B1000,2, FALSE),"")</f>
        <v/>
      </c>
      <c r="D80" s="2" t="str">
        <f>IF(A80&lt;&gt;"",VLOOKUP(Alunos!C80,'TP1'!A3:C1000,3, FALSE),"")</f>
        <v/>
      </c>
      <c r="E80" s="2" t="str">
        <f>IF(A80&lt;&gt;"", SUMIF(B1:D1,"&lt;&gt;",B80:D80),"")</f>
        <v/>
      </c>
      <c r="F80" s="2" t="str">
        <f>IF(AND(A80&lt;&gt;"",E80&lt;&gt;""),ROUND(E80,0),"")</f>
        <v/>
      </c>
      <c r="G80" s="2" t="str">
        <f>IF(A80&lt;&gt;"",VLOOKUP(Alunos!A80,Recurso!A3:C1000,3, FALSE),"")</f>
        <v/>
      </c>
      <c r="H80" s="2" t="str">
        <f>IF(OR(A80&lt;&gt;"",G80&lt;&gt;""), SUMIFS(B80:G80,B1:G1,"&lt;&gt;",B2:G2,"&lt;&gt;Exame",B2:G2,"&lt;&gt;exame",B2:G2,"&lt;&gt;Nota",B2:G2,"&lt;&gt;Total"),"")</f>
        <v/>
      </c>
      <c r="I80" s="2" t="str">
        <f>IF(AND(A80&lt;&gt;"",H80&lt;&gt;""),ROUND(H80,0),"")</f>
        <v/>
      </c>
    </row>
    <row r="81" spans="2:9" x14ac:dyDescent="0.3">
      <c r="B81" s="2" t="str">
        <f>IF(A81&lt;&gt;"",VLOOKUP(Alunos!A81,Exame!A3:C1000,3, FALSE),"")</f>
        <v/>
      </c>
      <c r="C81" s="2" t="str">
        <f>IF(A81&lt;&gt;"",VLOOKUP(Alunos!A81,Agrupamentos!A3:B1000,2, FALSE),"")</f>
        <v/>
      </c>
      <c r="D81" s="2" t="str">
        <f>IF(A81&lt;&gt;"",VLOOKUP(Alunos!C81,'TP1'!A3:C1000,3, FALSE),"")</f>
        <v/>
      </c>
      <c r="E81" s="2" t="str">
        <f>IF(A81&lt;&gt;"", SUMIF(B1:D1,"&lt;&gt;",B81:D81),"")</f>
        <v/>
      </c>
      <c r="F81" s="2" t="str">
        <f>IF(AND(A81&lt;&gt;"",E81&lt;&gt;""),ROUND(E81,0),"")</f>
        <v/>
      </c>
      <c r="G81" s="2" t="str">
        <f>IF(A81&lt;&gt;"",VLOOKUP(Alunos!A81,Recurso!A3:C1000,3, FALSE),"")</f>
        <v/>
      </c>
      <c r="H81" s="2" t="str">
        <f>IF(OR(A81&lt;&gt;"",G81&lt;&gt;""), SUMIFS(B81:G81,B1:G1,"&lt;&gt;",B2:G2,"&lt;&gt;Exame",B2:G2,"&lt;&gt;exame",B2:G2,"&lt;&gt;Nota",B2:G2,"&lt;&gt;Total"),"")</f>
        <v/>
      </c>
      <c r="I81" s="2" t="str">
        <f>IF(AND(A81&lt;&gt;"",H81&lt;&gt;""),ROUND(H81,0),"")</f>
        <v/>
      </c>
    </row>
    <row r="82" spans="2:9" x14ac:dyDescent="0.3">
      <c r="B82" s="2" t="str">
        <f>IF(A82&lt;&gt;"",VLOOKUP(Alunos!A82,Exame!A3:C1000,3, FALSE),"")</f>
        <v/>
      </c>
      <c r="C82" s="2" t="str">
        <f>IF(A82&lt;&gt;"",VLOOKUP(Alunos!A82,Agrupamentos!A3:B1000,2, FALSE),"")</f>
        <v/>
      </c>
      <c r="D82" s="2" t="str">
        <f>IF(A82&lt;&gt;"",VLOOKUP(Alunos!C82,'TP1'!A3:C1000,3, FALSE),"")</f>
        <v/>
      </c>
      <c r="E82" s="2" t="str">
        <f>IF(A82&lt;&gt;"", SUMIF(B1:D1,"&lt;&gt;",B82:D82),"")</f>
        <v/>
      </c>
      <c r="F82" s="2" t="str">
        <f>IF(AND(A82&lt;&gt;"",E82&lt;&gt;""),ROUND(E82,0),"")</f>
        <v/>
      </c>
      <c r="G82" s="2" t="str">
        <f>IF(A82&lt;&gt;"",VLOOKUP(Alunos!A82,Recurso!A3:C1000,3, FALSE),"")</f>
        <v/>
      </c>
      <c r="H82" s="2" t="str">
        <f>IF(OR(A82&lt;&gt;"",G82&lt;&gt;""), SUMIFS(B82:G82,B1:G1,"&lt;&gt;",B2:G2,"&lt;&gt;Exame",B2:G2,"&lt;&gt;exame",B2:G2,"&lt;&gt;Nota",B2:G2,"&lt;&gt;Total"),"")</f>
        <v/>
      </c>
      <c r="I82" s="2" t="str">
        <f>IF(AND(A82&lt;&gt;"",H82&lt;&gt;""),ROUND(H82,0),"")</f>
        <v/>
      </c>
    </row>
    <row r="83" spans="2:9" x14ac:dyDescent="0.3">
      <c r="B83" s="2" t="str">
        <f>IF(A83&lt;&gt;"",VLOOKUP(Alunos!A83,Exame!A3:C1000,3, FALSE),"")</f>
        <v/>
      </c>
      <c r="C83" s="2" t="str">
        <f>IF(A83&lt;&gt;"",VLOOKUP(Alunos!A83,Agrupamentos!A3:B1000,2, FALSE),"")</f>
        <v/>
      </c>
      <c r="D83" s="2" t="str">
        <f>IF(A83&lt;&gt;"",VLOOKUP(Alunos!C83,'TP1'!A3:C1000,3, FALSE),"")</f>
        <v/>
      </c>
      <c r="E83" s="2" t="str">
        <f>IF(A83&lt;&gt;"", SUMIF(B1:D1,"&lt;&gt;",B83:D83),"")</f>
        <v/>
      </c>
      <c r="F83" s="2" t="str">
        <f>IF(AND(A83&lt;&gt;"",E83&lt;&gt;""),ROUND(E83,0),"")</f>
        <v/>
      </c>
      <c r="G83" s="2" t="str">
        <f>IF(A83&lt;&gt;"",VLOOKUP(Alunos!A83,Recurso!A3:C1000,3, FALSE),"")</f>
        <v/>
      </c>
      <c r="H83" s="2" t="str">
        <f>IF(OR(A83&lt;&gt;"",G83&lt;&gt;""), SUMIFS(B83:G83,B1:G1,"&lt;&gt;",B2:G2,"&lt;&gt;Exame",B2:G2,"&lt;&gt;exame",B2:G2,"&lt;&gt;Nota",B2:G2,"&lt;&gt;Total"),"")</f>
        <v/>
      </c>
      <c r="I83" s="2" t="str">
        <f>IF(AND(A83&lt;&gt;"",H83&lt;&gt;""),ROUND(H83,0),"")</f>
        <v/>
      </c>
    </row>
    <row r="84" spans="2:9" x14ac:dyDescent="0.3">
      <c r="B84" s="2" t="str">
        <f>IF(A84&lt;&gt;"",VLOOKUP(Alunos!A84,Exame!A3:C1000,3, FALSE),"")</f>
        <v/>
      </c>
      <c r="C84" s="2" t="str">
        <f>IF(A84&lt;&gt;"",VLOOKUP(Alunos!A84,Agrupamentos!A3:B1000,2, FALSE),"")</f>
        <v/>
      </c>
      <c r="D84" s="2" t="str">
        <f>IF(A84&lt;&gt;"",VLOOKUP(Alunos!C84,'TP1'!A3:C1000,3, FALSE),"")</f>
        <v/>
      </c>
      <c r="E84" s="2" t="str">
        <f>IF(A84&lt;&gt;"", SUMIF(B1:D1,"&lt;&gt;",B84:D84),"")</f>
        <v/>
      </c>
      <c r="F84" s="2" t="str">
        <f>IF(AND(A84&lt;&gt;"",E84&lt;&gt;""),ROUND(E84,0),"")</f>
        <v/>
      </c>
      <c r="G84" s="2" t="str">
        <f>IF(A84&lt;&gt;"",VLOOKUP(Alunos!A84,Recurso!A3:C1000,3, FALSE),"")</f>
        <v/>
      </c>
      <c r="H84" s="2" t="str">
        <f>IF(OR(A84&lt;&gt;"",G84&lt;&gt;""), SUMIFS(B84:G84,B1:G1,"&lt;&gt;",B2:G2,"&lt;&gt;Exame",B2:G2,"&lt;&gt;exame",B2:G2,"&lt;&gt;Nota",B2:G2,"&lt;&gt;Total"),"")</f>
        <v/>
      </c>
      <c r="I84" s="2" t="str">
        <f>IF(AND(A84&lt;&gt;"",H84&lt;&gt;""),ROUND(H84,0),"")</f>
        <v/>
      </c>
    </row>
    <row r="85" spans="2:9" x14ac:dyDescent="0.3">
      <c r="B85" s="2" t="str">
        <f>IF(A85&lt;&gt;"",VLOOKUP(Alunos!A85,Exame!A3:C1000,3, FALSE),"")</f>
        <v/>
      </c>
      <c r="C85" s="2" t="str">
        <f>IF(A85&lt;&gt;"",VLOOKUP(Alunos!A85,Agrupamentos!A3:B1000,2, FALSE),"")</f>
        <v/>
      </c>
      <c r="D85" s="2" t="str">
        <f>IF(A85&lt;&gt;"",VLOOKUP(Alunos!C85,'TP1'!A3:C1000,3, FALSE),"")</f>
        <v/>
      </c>
      <c r="E85" s="2" t="str">
        <f>IF(A85&lt;&gt;"", SUMIF(B1:D1,"&lt;&gt;",B85:D85),"")</f>
        <v/>
      </c>
      <c r="F85" s="2" t="str">
        <f>IF(AND(A85&lt;&gt;"",E85&lt;&gt;""),ROUND(E85,0),"")</f>
        <v/>
      </c>
      <c r="G85" s="2" t="str">
        <f>IF(A85&lt;&gt;"",VLOOKUP(Alunos!A85,Recurso!A3:C1000,3, FALSE),"")</f>
        <v/>
      </c>
      <c r="H85" s="2" t="str">
        <f>IF(OR(A85&lt;&gt;"",G85&lt;&gt;""), SUMIFS(B85:G85,B1:G1,"&lt;&gt;",B2:G2,"&lt;&gt;Exame",B2:G2,"&lt;&gt;exame",B2:G2,"&lt;&gt;Nota",B2:G2,"&lt;&gt;Total"),"")</f>
        <v/>
      </c>
      <c r="I85" s="2" t="str">
        <f>IF(AND(A85&lt;&gt;"",H85&lt;&gt;""),ROUND(H85,0),"")</f>
        <v/>
      </c>
    </row>
    <row r="86" spans="2:9" x14ac:dyDescent="0.3">
      <c r="B86" s="2" t="str">
        <f>IF(A86&lt;&gt;"",VLOOKUP(Alunos!A86,Exame!A3:C1000,3, FALSE),"")</f>
        <v/>
      </c>
      <c r="C86" s="2" t="str">
        <f>IF(A86&lt;&gt;"",VLOOKUP(Alunos!A86,Agrupamentos!A3:B1000,2, FALSE),"")</f>
        <v/>
      </c>
      <c r="D86" s="2" t="str">
        <f>IF(A86&lt;&gt;"",VLOOKUP(Alunos!C86,'TP1'!A3:C1000,3, FALSE),"")</f>
        <v/>
      </c>
      <c r="E86" s="2" t="str">
        <f>IF(A86&lt;&gt;"", SUMIF(B1:D1,"&lt;&gt;",B86:D86),"")</f>
        <v/>
      </c>
      <c r="F86" s="2" t="str">
        <f>IF(AND(A86&lt;&gt;"",E86&lt;&gt;""),ROUND(E86,0),"")</f>
        <v/>
      </c>
      <c r="G86" s="2" t="str">
        <f>IF(A86&lt;&gt;"",VLOOKUP(Alunos!A86,Recurso!A3:C1000,3, FALSE),"")</f>
        <v/>
      </c>
      <c r="H86" s="2" t="str">
        <f>IF(OR(A86&lt;&gt;"",G86&lt;&gt;""), SUMIFS(B86:G86,B1:G1,"&lt;&gt;",B2:G2,"&lt;&gt;Exame",B2:G2,"&lt;&gt;exame",B2:G2,"&lt;&gt;Nota",B2:G2,"&lt;&gt;Total"),"")</f>
        <v/>
      </c>
      <c r="I86" s="2" t="str">
        <f>IF(AND(A86&lt;&gt;"",H86&lt;&gt;""),ROUND(H86,0),"")</f>
        <v/>
      </c>
    </row>
    <row r="87" spans="2:9" x14ac:dyDescent="0.3">
      <c r="B87" s="2" t="str">
        <f>IF(A87&lt;&gt;"",VLOOKUP(Alunos!A87,Exame!A3:C1000,3, FALSE),"")</f>
        <v/>
      </c>
      <c r="C87" s="2" t="str">
        <f>IF(A87&lt;&gt;"",VLOOKUP(Alunos!A87,Agrupamentos!A3:B1000,2, FALSE),"")</f>
        <v/>
      </c>
      <c r="D87" s="2" t="str">
        <f>IF(A87&lt;&gt;"",VLOOKUP(Alunos!C87,'TP1'!A3:C1000,3, FALSE),"")</f>
        <v/>
      </c>
      <c r="E87" s="2" t="str">
        <f>IF(A87&lt;&gt;"", SUMIF(B1:D1,"&lt;&gt;",B87:D87),"")</f>
        <v/>
      </c>
      <c r="F87" s="2" t="str">
        <f>IF(AND(A87&lt;&gt;"",E87&lt;&gt;""),ROUND(E87,0),"")</f>
        <v/>
      </c>
      <c r="G87" s="2" t="str">
        <f>IF(A87&lt;&gt;"",VLOOKUP(Alunos!A87,Recurso!A3:C1000,3, FALSE),"")</f>
        <v/>
      </c>
      <c r="H87" s="2" t="str">
        <f>IF(OR(A87&lt;&gt;"",G87&lt;&gt;""), SUMIFS(B87:G87,B1:G1,"&lt;&gt;",B2:G2,"&lt;&gt;Exame",B2:G2,"&lt;&gt;exame",B2:G2,"&lt;&gt;Nota",B2:G2,"&lt;&gt;Total"),"")</f>
        <v/>
      </c>
      <c r="I87" s="2" t="str">
        <f>IF(AND(A87&lt;&gt;"",H87&lt;&gt;""),ROUND(H87,0),"")</f>
        <v/>
      </c>
    </row>
    <row r="88" spans="2:9" x14ac:dyDescent="0.3">
      <c r="B88" s="2" t="str">
        <f>IF(A88&lt;&gt;"",VLOOKUP(Alunos!A88,Exame!A3:C1000,3, FALSE),"")</f>
        <v/>
      </c>
      <c r="C88" s="2" t="str">
        <f>IF(A88&lt;&gt;"",VLOOKUP(Alunos!A88,Agrupamentos!A3:B1000,2, FALSE),"")</f>
        <v/>
      </c>
      <c r="D88" s="2" t="str">
        <f>IF(A88&lt;&gt;"",VLOOKUP(Alunos!C88,'TP1'!A3:C1000,3, FALSE),"")</f>
        <v/>
      </c>
      <c r="E88" s="2" t="str">
        <f>IF(A88&lt;&gt;"", SUMIF(B1:D1,"&lt;&gt;",B88:D88),"")</f>
        <v/>
      </c>
      <c r="F88" s="2" t="str">
        <f>IF(AND(A88&lt;&gt;"",E88&lt;&gt;""),ROUND(E88,0),"")</f>
        <v/>
      </c>
      <c r="G88" s="2" t="str">
        <f>IF(A88&lt;&gt;"",VLOOKUP(Alunos!A88,Recurso!A3:C1000,3, FALSE),"")</f>
        <v/>
      </c>
      <c r="H88" s="2" t="str">
        <f>IF(OR(A88&lt;&gt;"",G88&lt;&gt;""), SUMIFS(B88:G88,B1:G1,"&lt;&gt;",B2:G2,"&lt;&gt;Exame",B2:G2,"&lt;&gt;exame",B2:G2,"&lt;&gt;Nota",B2:G2,"&lt;&gt;Total"),"")</f>
        <v/>
      </c>
      <c r="I88" s="2" t="str">
        <f>IF(AND(A88&lt;&gt;"",H88&lt;&gt;""),ROUND(H88,0),"")</f>
        <v/>
      </c>
    </row>
    <row r="89" spans="2:9" x14ac:dyDescent="0.3">
      <c r="B89" s="2" t="str">
        <f>IF(A89&lt;&gt;"",VLOOKUP(Alunos!A89,Exame!A3:C1000,3, FALSE),"")</f>
        <v/>
      </c>
      <c r="C89" s="2" t="str">
        <f>IF(A89&lt;&gt;"",VLOOKUP(Alunos!A89,Agrupamentos!A3:B1000,2, FALSE),"")</f>
        <v/>
      </c>
      <c r="D89" s="2" t="str">
        <f>IF(A89&lt;&gt;"",VLOOKUP(Alunos!C89,'TP1'!A3:C1000,3, FALSE),"")</f>
        <v/>
      </c>
      <c r="E89" s="2" t="str">
        <f>IF(A89&lt;&gt;"", SUMIF(B1:D1,"&lt;&gt;",B89:D89),"")</f>
        <v/>
      </c>
      <c r="F89" s="2" t="str">
        <f>IF(AND(A89&lt;&gt;"",E89&lt;&gt;""),ROUND(E89,0),"")</f>
        <v/>
      </c>
      <c r="G89" s="2" t="str">
        <f>IF(A89&lt;&gt;"",VLOOKUP(Alunos!A89,Recurso!A3:C1000,3, FALSE),"")</f>
        <v/>
      </c>
      <c r="H89" s="2" t="str">
        <f>IF(OR(A89&lt;&gt;"",G89&lt;&gt;""), SUMIFS(B89:G89,B1:G1,"&lt;&gt;",B2:G2,"&lt;&gt;Exame",B2:G2,"&lt;&gt;exame",B2:G2,"&lt;&gt;Nota",B2:G2,"&lt;&gt;Total"),"")</f>
        <v/>
      </c>
      <c r="I89" s="2" t="str">
        <f>IF(AND(A89&lt;&gt;"",H89&lt;&gt;""),ROUND(H89,0),"")</f>
        <v/>
      </c>
    </row>
    <row r="90" spans="2:9" x14ac:dyDescent="0.3">
      <c r="B90" s="2" t="str">
        <f>IF(A90&lt;&gt;"",VLOOKUP(Alunos!A90,Exame!A3:C1000,3, FALSE),"")</f>
        <v/>
      </c>
      <c r="C90" s="2" t="str">
        <f>IF(A90&lt;&gt;"",VLOOKUP(Alunos!A90,Agrupamentos!A3:B1000,2, FALSE),"")</f>
        <v/>
      </c>
      <c r="D90" s="2" t="str">
        <f>IF(A90&lt;&gt;"",VLOOKUP(Alunos!C90,'TP1'!A3:C1000,3, FALSE),"")</f>
        <v/>
      </c>
      <c r="E90" s="2" t="str">
        <f>IF(A90&lt;&gt;"", SUMIF(B1:D1,"&lt;&gt;",B90:D90),"")</f>
        <v/>
      </c>
      <c r="F90" s="2" t="str">
        <f>IF(AND(A90&lt;&gt;"",E90&lt;&gt;""),ROUND(E90,0),"")</f>
        <v/>
      </c>
      <c r="G90" s="2" t="str">
        <f>IF(A90&lt;&gt;"",VLOOKUP(Alunos!A90,Recurso!A3:C1000,3, FALSE),"")</f>
        <v/>
      </c>
      <c r="H90" s="2" t="str">
        <f>IF(OR(A90&lt;&gt;"",G90&lt;&gt;""), SUMIFS(B90:G90,B1:G1,"&lt;&gt;",B2:G2,"&lt;&gt;Exame",B2:G2,"&lt;&gt;exame",B2:G2,"&lt;&gt;Nota",B2:G2,"&lt;&gt;Total"),"")</f>
        <v/>
      </c>
      <c r="I90" s="2" t="str">
        <f>IF(AND(A90&lt;&gt;"",H90&lt;&gt;""),ROUND(H90,0),"")</f>
        <v/>
      </c>
    </row>
    <row r="91" spans="2:9" x14ac:dyDescent="0.3">
      <c r="B91" s="2" t="str">
        <f>IF(A91&lt;&gt;"",VLOOKUP(Alunos!A91,Exame!A3:C1000,3, FALSE),"")</f>
        <v/>
      </c>
      <c r="C91" s="2" t="str">
        <f>IF(A91&lt;&gt;"",VLOOKUP(Alunos!A91,Agrupamentos!A3:B1000,2, FALSE),"")</f>
        <v/>
      </c>
      <c r="D91" s="2" t="str">
        <f>IF(A91&lt;&gt;"",VLOOKUP(Alunos!C91,'TP1'!A3:C1000,3, FALSE),"")</f>
        <v/>
      </c>
      <c r="E91" s="2" t="str">
        <f>IF(A91&lt;&gt;"", SUMIF(B1:D1,"&lt;&gt;",B91:D91),"")</f>
        <v/>
      </c>
      <c r="F91" s="2" t="str">
        <f>IF(AND(A91&lt;&gt;"",E91&lt;&gt;""),ROUND(E91,0),"")</f>
        <v/>
      </c>
      <c r="G91" s="2" t="str">
        <f>IF(A91&lt;&gt;"",VLOOKUP(Alunos!A91,Recurso!A3:C1000,3, FALSE),"")</f>
        <v/>
      </c>
      <c r="H91" s="2" t="str">
        <f>IF(OR(A91&lt;&gt;"",G91&lt;&gt;""), SUMIFS(B91:G91,B1:G1,"&lt;&gt;",B2:G2,"&lt;&gt;Exame",B2:G2,"&lt;&gt;exame",B2:G2,"&lt;&gt;Nota",B2:G2,"&lt;&gt;Total"),"")</f>
        <v/>
      </c>
      <c r="I91" s="2" t="str">
        <f>IF(AND(A91&lt;&gt;"",H91&lt;&gt;""),ROUND(H91,0),"")</f>
        <v/>
      </c>
    </row>
    <row r="92" spans="2:9" x14ac:dyDescent="0.3">
      <c r="B92" s="2" t="str">
        <f>IF(A92&lt;&gt;"",VLOOKUP(Alunos!A92,Exame!A3:C1000,3, FALSE),"")</f>
        <v/>
      </c>
      <c r="C92" s="2" t="str">
        <f>IF(A92&lt;&gt;"",VLOOKUP(Alunos!A92,Agrupamentos!A3:B1000,2, FALSE),"")</f>
        <v/>
      </c>
      <c r="D92" s="2" t="str">
        <f>IF(A92&lt;&gt;"",VLOOKUP(Alunos!C92,'TP1'!A3:C1000,3, FALSE),"")</f>
        <v/>
      </c>
      <c r="E92" s="2" t="str">
        <f>IF(A92&lt;&gt;"", SUMIF(B1:D1,"&lt;&gt;",B92:D92),"")</f>
        <v/>
      </c>
      <c r="F92" s="2" t="str">
        <f>IF(AND(A92&lt;&gt;"",E92&lt;&gt;""),ROUND(E92,0),"")</f>
        <v/>
      </c>
      <c r="G92" s="2" t="str">
        <f>IF(A92&lt;&gt;"",VLOOKUP(Alunos!A92,Recurso!A3:C1000,3, FALSE),"")</f>
        <v/>
      </c>
      <c r="H92" s="2" t="str">
        <f>IF(OR(A92&lt;&gt;"",G92&lt;&gt;""), SUMIFS(B92:G92,B1:G1,"&lt;&gt;",B2:G2,"&lt;&gt;Exame",B2:G2,"&lt;&gt;exame",B2:G2,"&lt;&gt;Nota",B2:G2,"&lt;&gt;Total"),"")</f>
        <v/>
      </c>
      <c r="I92" s="2" t="str">
        <f>IF(AND(A92&lt;&gt;"",H92&lt;&gt;""),ROUND(H92,0),"")</f>
        <v/>
      </c>
    </row>
    <row r="93" spans="2:9" x14ac:dyDescent="0.3">
      <c r="B93" s="2" t="str">
        <f>IF(A93&lt;&gt;"",VLOOKUP(Alunos!A93,Exame!A3:C1000,3, FALSE),"")</f>
        <v/>
      </c>
      <c r="C93" s="2" t="str">
        <f>IF(A93&lt;&gt;"",VLOOKUP(Alunos!A93,Agrupamentos!A3:B1000,2, FALSE),"")</f>
        <v/>
      </c>
      <c r="D93" s="2" t="str">
        <f>IF(A93&lt;&gt;"",VLOOKUP(Alunos!C93,'TP1'!A3:C1000,3, FALSE),"")</f>
        <v/>
      </c>
      <c r="E93" s="2" t="str">
        <f>IF(A93&lt;&gt;"", SUMIF(B1:D1,"&lt;&gt;",B93:D93),"")</f>
        <v/>
      </c>
      <c r="F93" s="2" t="str">
        <f>IF(AND(A93&lt;&gt;"",E93&lt;&gt;""),ROUND(E93,0),"")</f>
        <v/>
      </c>
      <c r="G93" s="2" t="str">
        <f>IF(A93&lt;&gt;"",VLOOKUP(Alunos!A93,Recurso!A3:C1000,3, FALSE),"")</f>
        <v/>
      </c>
      <c r="H93" s="2" t="str">
        <f>IF(OR(A93&lt;&gt;"",G93&lt;&gt;""), SUMIFS(B93:G93,B1:G1,"&lt;&gt;",B2:G2,"&lt;&gt;Exame",B2:G2,"&lt;&gt;exame",B2:G2,"&lt;&gt;Nota",B2:G2,"&lt;&gt;Total"),"")</f>
        <v/>
      </c>
      <c r="I93" s="2" t="str">
        <f>IF(AND(A93&lt;&gt;"",H93&lt;&gt;""),ROUND(H93,0),"")</f>
        <v/>
      </c>
    </row>
    <row r="94" spans="2:9" x14ac:dyDescent="0.3">
      <c r="B94" s="2" t="str">
        <f>IF(A94&lt;&gt;"",VLOOKUP(Alunos!A94,Exame!A3:C1000,3, FALSE),"")</f>
        <v/>
      </c>
      <c r="C94" s="2" t="str">
        <f>IF(A94&lt;&gt;"",VLOOKUP(Alunos!A94,Agrupamentos!A3:B1000,2, FALSE),"")</f>
        <v/>
      </c>
      <c r="D94" s="2" t="str">
        <f>IF(A94&lt;&gt;"",VLOOKUP(Alunos!C94,'TP1'!A3:C1000,3, FALSE),"")</f>
        <v/>
      </c>
      <c r="E94" s="2" t="str">
        <f>IF(A94&lt;&gt;"", SUMIF(B1:D1,"&lt;&gt;",B94:D94),"")</f>
        <v/>
      </c>
      <c r="F94" s="2" t="str">
        <f>IF(AND(A94&lt;&gt;"",E94&lt;&gt;""),ROUND(E94,0),"")</f>
        <v/>
      </c>
      <c r="G94" s="2" t="str">
        <f>IF(A94&lt;&gt;"",VLOOKUP(Alunos!A94,Recurso!A3:C1000,3, FALSE),"")</f>
        <v/>
      </c>
      <c r="H94" s="2" t="str">
        <f>IF(OR(A94&lt;&gt;"",G94&lt;&gt;""), SUMIFS(B94:G94,B1:G1,"&lt;&gt;",B2:G2,"&lt;&gt;Exame",B2:G2,"&lt;&gt;exame",B2:G2,"&lt;&gt;Nota",B2:G2,"&lt;&gt;Total"),"")</f>
        <v/>
      </c>
      <c r="I94" s="2" t="str">
        <f>IF(AND(A94&lt;&gt;"",H94&lt;&gt;""),ROUND(H94,0),"")</f>
        <v/>
      </c>
    </row>
    <row r="95" spans="2:9" x14ac:dyDescent="0.3">
      <c r="B95" s="2" t="str">
        <f>IF(A95&lt;&gt;"",VLOOKUP(Alunos!A95,Exame!A3:C1000,3, FALSE),"")</f>
        <v/>
      </c>
      <c r="C95" s="2" t="str">
        <f>IF(A95&lt;&gt;"",VLOOKUP(Alunos!A95,Agrupamentos!A3:B1000,2, FALSE),"")</f>
        <v/>
      </c>
      <c r="D95" s="2" t="str">
        <f>IF(A95&lt;&gt;"",VLOOKUP(Alunos!C95,'TP1'!A3:C1000,3, FALSE),"")</f>
        <v/>
      </c>
      <c r="E95" s="2" t="str">
        <f>IF(A95&lt;&gt;"", SUMIF(B1:D1,"&lt;&gt;",B95:D95),"")</f>
        <v/>
      </c>
      <c r="F95" s="2" t="str">
        <f>IF(AND(A95&lt;&gt;"",E95&lt;&gt;""),ROUND(E95,0),"")</f>
        <v/>
      </c>
      <c r="G95" s="2" t="str">
        <f>IF(A95&lt;&gt;"",VLOOKUP(Alunos!A95,Recurso!A3:C1000,3, FALSE),"")</f>
        <v/>
      </c>
      <c r="H95" s="2" t="str">
        <f>IF(OR(A95&lt;&gt;"",G95&lt;&gt;""), SUMIFS(B95:G95,B1:G1,"&lt;&gt;",B2:G2,"&lt;&gt;Exame",B2:G2,"&lt;&gt;exame",B2:G2,"&lt;&gt;Nota",B2:G2,"&lt;&gt;Total"),"")</f>
        <v/>
      </c>
      <c r="I95" s="2" t="str">
        <f>IF(AND(A95&lt;&gt;"",H95&lt;&gt;""),ROUND(H95,0),"")</f>
        <v/>
      </c>
    </row>
    <row r="96" spans="2:9" x14ac:dyDescent="0.3">
      <c r="B96" s="2" t="str">
        <f>IF(A96&lt;&gt;"",VLOOKUP(Alunos!A96,Exame!A3:C1000,3, FALSE),"")</f>
        <v/>
      </c>
      <c r="C96" s="2" t="str">
        <f>IF(A96&lt;&gt;"",VLOOKUP(Alunos!A96,Agrupamentos!A3:B1000,2, FALSE),"")</f>
        <v/>
      </c>
      <c r="D96" s="2" t="str">
        <f>IF(A96&lt;&gt;"",VLOOKUP(Alunos!C96,'TP1'!A3:C1000,3, FALSE),"")</f>
        <v/>
      </c>
      <c r="E96" s="2" t="str">
        <f>IF(A96&lt;&gt;"", SUMIF(B1:D1,"&lt;&gt;",B96:D96),"")</f>
        <v/>
      </c>
      <c r="F96" s="2" t="str">
        <f>IF(AND(A96&lt;&gt;"",E96&lt;&gt;""),ROUND(E96,0),"")</f>
        <v/>
      </c>
      <c r="G96" s="2" t="str">
        <f>IF(A96&lt;&gt;"",VLOOKUP(Alunos!A96,Recurso!A3:C1000,3, FALSE),"")</f>
        <v/>
      </c>
      <c r="H96" s="2" t="str">
        <f>IF(OR(A96&lt;&gt;"",G96&lt;&gt;""), SUMIFS(B96:G96,B1:G1,"&lt;&gt;",B2:G2,"&lt;&gt;Exame",B2:G2,"&lt;&gt;exame",B2:G2,"&lt;&gt;Nota",B2:G2,"&lt;&gt;Total"),"")</f>
        <v/>
      </c>
      <c r="I96" s="2" t="str">
        <f>IF(AND(A96&lt;&gt;"",H96&lt;&gt;""),ROUND(H96,0),"")</f>
        <v/>
      </c>
    </row>
    <row r="97" spans="2:9" x14ac:dyDescent="0.3">
      <c r="B97" s="2" t="str">
        <f>IF(A97&lt;&gt;"",VLOOKUP(Alunos!A97,Exame!A3:C1000,3, FALSE),"")</f>
        <v/>
      </c>
      <c r="C97" s="2" t="str">
        <f>IF(A97&lt;&gt;"",VLOOKUP(Alunos!A97,Agrupamentos!A3:B1000,2, FALSE),"")</f>
        <v/>
      </c>
      <c r="D97" s="2" t="str">
        <f>IF(A97&lt;&gt;"",VLOOKUP(Alunos!C97,'TP1'!A3:C1000,3, FALSE),"")</f>
        <v/>
      </c>
      <c r="E97" s="2" t="str">
        <f>IF(A97&lt;&gt;"", SUMIF(B1:D1,"&lt;&gt;",B97:D97),"")</f>
        <v/>
      </c>
      <c r="F97" s="2" t="str">
        <f>IF(AND(A97&lt;&gt;"",E97&lt;&gt;""),ROUND(E97,0),"")</f>
        <v/>
      </c>
      <c r="G97" s="2" t="str">
        <f>IF(A97&lt;&gt;"",VLOOKUP(Alunos!A97,Recurso!A3:C1000,3, FALSE),"")</f>
        <v/>
      </c>
      <c r="H97" s="2" t="str">
        <f>IF(OR(A97&lt;&gt;"",G97&lt;&gt;""), SUMIFS(B97:G97,B1:G1,"&lt;&gt;",B2:G2,"&lt;&gt;Exame",B2:G2,"&lt;&gt;exame",B2:G2,"&lt;&gt;Nota",B2:G2,"&lt;&gt;Total"),"")</f>
        <v/>
      </c>
      <c r="I97" s="2" t="str">
        <f>IF(AND(A97&lt;&gt;"",H97&lt;&gt;""),ROUND(H97,0),"")</f>
        <v/>
      </c>
    </row>
    <row r="98" spans="2:9" x14ac:dyDescent="0.3">
      <c r="B98" s="2" t="str">
        <f>IF(A98&lt;&gt;"",VLOOKUP(Alunos!A98,Exame!A3:C1000,3, FALSE),"")</f>
        <v/>
      </c>
      <c r="C98" s="2" t="str">
        <f>IF(A98&lt;&gt;"",VLOOKUP(Alunos!A98,Agrupamentos!A3:B1000,2, FALSE),"")</f>
        <v/>
      </c>
      <c r="D98" s="2" t="str">
        <f>IF(A98&lt;&gt;"",VLOOKUP(Alunos!C98,'TP1'!A3:C1000,3, FALSE),"")</f>
        <v/>
      </c>
      <c r="E98" s="2" t="str">
        <f>IF(A98&lt;&gt;"", SUMIF(B1:D1,"&lt;&gt;",B98:D98),"")</f>
        <v/>
      </c>
      <c r="F98" s="2" t="str">
        <f>IF(AND(A98&lt;&gt;"",E98&lt;&gt;""),ROUND(E98,0),"")</f>
        <v/>
      </c>
      <c r="G98" s="2" t="str">
        <f>IF(A98&lt;&gt;"",VLOOKUP(Alunos!A98,Recurso!A3:C1000,3, FALSE),"")</f>
        <v/>
      </c>
      <c r="H98" s="2" t="str">
        <f>IF(OR(A98&lt;&gt;"",G98&lt;&gt;""), SUMIFS(B98:G98,B1:G1,"&lt;&gt;",B2:G2,"&lt;&gt;Exame",B2:G2,"&lt;&gt;exame",B2:G2,"&lt;&gt;Nota",B2:G2,"&lt;&gt;Total"),"")</f>
        <v/>
      </c>
      <c r="I98" s="2" t="str">
        <f>IF(AND(A98&lt;&gt;"",H98&lt;&gt;""),ROUND(H98,0),"")</f>
        <v/>
      </c>
    </row>
    <row r="99" spans="2:9" x14ac:dyDescent="0.3">
      <c r="B99" s="2" t="str">
        <f>IF(A99&lt;&gt;"",VLOOKUP(Alunos!A99,Exame!A3:C1000,3, FALSE),"")</f>
        <v/>
      </c>
      <c r="C99" s="2" t="str">
        <f>IF(A99&lt;&gt;"",VLOOKUP(Alunos!A99,Agrupamentos!A3:B1000,2, FALSE),"")</f>
        <v/>
      </c>
      <c r="D99" s="2" t="str">
        <f>IF(A99&lt;&gt;"",VLOOKUP(Alunos!C99,'TP1'!A3:C1000,3, FALSE),"")</f>
        <v/>
      </c>
      <c r="E99" s="2" t="str">
        <f>IF(A99&lt;&gt;"", SUMIF(B1:D1,"&lt;&gt;",B99:D99),"")</f>
        <v/>
      </c>
      <c r="F99" s="2" t="str">
        <f>IF(AND(A99&lt;&gt;"",E99&lt;&gt;""),ROUND(E99,0),"")</f>
        <v/>
      </c>
      <c r="G99" s="2" t="str">
        <f>IF(A99&lt;&gt;"",VLOOKUP(Alunos!A99,Recurso!A3:C1000,3, FALSE),"")</f>
        <v/>
      </c>
      <c r="H99" s="2" t="str">
        <f>IF(OR(A99&lt;&gt;"",G99&lt;&gt;""), SUMIFS(B99:G99,B1:G1,"&lt;&gt;",B2:G2,"&lt;&gt;Exame",B2:G2,"&lt;&gt;exame",B2:G2,"&lt;&gt;Nota",B2:G2,"&lt;&gt;Total"),"")</f>
        <v/>
      </c>
      <c r="I99" s="2" t="str">
        <f>IF(AND(A99&lt;&gt;"",H99&lt;&gt;""),ROUND(H99,0),"")</f>
        <v/>
      </c>
    </row>
    <row r="100" spans="2:9" x14ac:dyDescent="0.3">
      <c r="B100" s="2" t="str">
        <f>IF(A100&lt;&gt;"",VLOOKUP(Alunos!A100,Exame!A3:C1000,3, FALSE),"")</f>
        <v/>
      </c>
      <c r="C100" s="2" t="str">
        <f>IF(A100&lt;&gt;"",VLOOKUP(Alunos!A100,Agrupamentos!A3:B1000,2, FALSE),"")</f>
        <v/>
      </c>
      <c r="D100" s="2" t="str">
        <f>IF(A100&lt;&gt;"",VLOOKUP(Alunos!C100,'TP1'!A3:C1000,3, FALSE),"")</f>
        <v/>
      </c>
      <c r="E100" s="2" t="str">
        <f>IF(A100&lt;&gt;"", SUMIF(B1:D1,"&lt;&gt;",B100:D100),"")</f>
        <v/>
      </c>
      <c r="F100" s="2" t="str">
        <f>IF(AND(A100&lt;&gt;"",E100&lt;&gt;""),ROUND(E100,0),"")</f>
        <v/>
      </c>
      <c r="G100" s="2" t="str">
        <f>IF(A100&lt;&gt;"",VLOOKUP(Alunos!A100,Recurso!A3:C1000,3, FALSE),"")</f>
        <v/>
      </c>
      <c r="H100" s="2" t="str">
        <f>IF(OR(A100&lt;&gt;"",G100&lt;&gt;""), SUMIFS(B100:G100,B1:G1,"&lt;&gt;",B2:G2,"&lt;&gt;Exame",B2:G2,"&lt;&gt;exame",B2:G2,"&lt;&gt;Nota",B2:G2,"&lt;&gt;Total"),"")</f>
        <v/>
      </c>
      <c r="I100" s="2" t="str">
        <f>IF(AND(A100&lt;&gt;"",H100&lt;&gt;""),ROUND(H100,0),"")</f>
        <v/>
      </c>
    </row>
    <row r="101" spans="2:9" x14ac:dyDescent="0.3">
      <c r="B101" s="2" t="str">
        <f>IF(A101&lt;&gt;"",VLOOKUP(Alunos!A101,Exame!A3:C1000,3, FALSE),"")</f>
        <v/>
      </c>
      <c r="C101" s="2" t="str">
        <f>IF(A101&lt;&gt;"",VLOOKUP(Alunos!A101,Agrupamentos!A3:B1000,2, FALSE),"")</f>
        <v/>
      </c>
      <c r="D101" s="2" t="str">
        <f>IF(A101&lt;&gt;"",VLOOKUP(Alunos!C101,'TP1'!A3:C1000,3, FALSE),"")</f>
        <v/>
      </c>
      <c r="E101" s="2" t="str">
        <f>IF(A101&lt;&gt;"", SUMIF(B1:D1,"&lt;&gt;",B101:D101),"")</f>
        <v/>
      </c>
      <c r="F101" s="2" t="str">
        <f>IF(AND(A101&lt;&gt;"",E101&lt;&gt;""),ROUND(E101,0),"")</f>
        <v/>
      </c>
      <c r="G101" s="2" t="str">
        <f>IF(A101&lt;&gt;"",VLOOKUP(Alunos!A101,Recurso!A3:C1000,3, FALSE),"")</f>
        <v/>
      </c>
      <c r="H101" s="2" t="str">
        <f>IF(OR(A101&lt;&gt;"",G101&lt;&gt;""), SUMIFS(B101:G101,B1:G1,"&lt;&gt;",B2:G2,"&lt;&gt;Exame",B2:G2,"&lt;&gt;exame",B2:G2,"&lt;&gt;Nota",B2:G2,"&lt;&gt;Total"),"")</f>
        <v/>
      </c>
      <c r="I101" s="2" t="str">
        <f>IF(AND(A101&lt;&gt;"",H101&lt;&gt;""),ROUND(H101,0),"")</f>
        <v/>
      </c>
    </row>
    <row r="102" spans="2:9" x14ac:dyDescent="0.3">
      <c r="B102" s="2" t="str">
        <f>IF(A102&lt;&gt;"",VLOOKUP(Alunos!A102,Exame!A3:C1000,3, FALSE),"")</f>
        <v/>
      </c>
      <c r="C102" s="2" t="str">
        <f>IF(A102&lt;&gt;"",VLOOKUP(Alunos!A102,Agrupamentos!A3:B1000,2, FALSE),"")</f>
        <v/>
      </c>
      <c r="D102" s="2" t="str">
        <f>IF(A102&lt;&gt;"",VLOOKUP(Alunos!C102,'TP1'!A3:C1000,3, FALSE),"")</f>
        <v/>
      </c>
      <c r="E102" s="2" t="str">
        <f>IF(A102&lt;&gt;"", SUMIF(B1:D1,"&lt;&gt;",B102:D102),"")</f>
        <v/>
      </c>
      <c r="F102" s="2" t="str">
        <f>IF(AND(A102&lt;&gt;"",E102&lt;&gt;""),ROUND(E102,0),"")</f>
        <v/>
      </c>
      <c r="G102" s="2" t="str">
        <f>IF(A102&lt;&gt;"",VLOOKUP(Alunos!A102,Recurso!A3:C1000,3, FALSE),"")</f>
        <v/>
      </c>
      <c r="H102" s="2" t="str">
        <f>IF(OR(A102&lt;&gt;"",G102&lt;&gt;""), SUMIFS(B102:G102,B1:G1,"&lt;&gt;",B2:G2,"&lt;&gt;Exame",B2:G2,"&lt;&gt;exame",B2:G2,"&lt;&gt;Nota",B2:G2,"&lt;&gt;Total"),"")</f>
        <v/>
      </c>
      <c r="I102" s="2" t="str">
        <f>IF(AND(A102&lt;&gt;"",H102&lt;&gt;""),ROUND(H102,0),"")</f>
        <v/>
      </c>
    </row>
    <row r="103" spans="2:9" x14ac:dyDescent="0.3">
      <c r="B103" s="2" t="str">
        <f>IF(A103&lt;&gt;"",VLOOKUP(Alunos!A103,Exame!A3:C1000,3, FALSE),"")</f>
        <v/>
      </c>
      <c r="C103" s="2" t="str">
        <f>IF(A103&lt;&gt;"",VLOOKUP(Alunos!A103,Agrupamentos!A3:B1000,2, FALSE),"")</f>
        <v/>
      </c>
      <c r="D103" s="2" t="str">
        <f>IF(A103&lt;&gt;"",VLOOKUP(Alunos!C103,'TP1'!A3:C1000,3, FALSE),"")</f>
        <v/>
      </c>
      <c r="E103" s="2" t="str">
        <f>IF(A103&lt;&gt;"", SUMIF(B1:D1,"&lt;&gt;",B103:D103),"")</f>
        <v/>
      </c>
      <c r="F103" s="2" t="str">
        <f>IF(AND(A103&lt;&gt;"",E103&lt;&gt;""),ROUND(E103,0),"")</f>
        <v/>
      </c>
      <c r="G103" s="2" t="str">
        <f>IF(A103&lt;&gt;"",VLOOKUP(Alunos!A103,Recurso!A3:C1000,3, FALSE),"")</f>
        <v/>
      </c>
      <c r="H103" s="2" t="str">
        <f>IF(OR(A103&lt;&gt;"",G103&lt;&gt;""), SUMIFS(B103:G103,B1:G1,"&lt;&gt;",B2:G2,"&lt;&gt;Exame",B2:G2,"&lt;&gt;exame",B2:G2,"&lt;&gt;Nota",B2:G2,"&lt;&gt;Total"),"")</f>
        <v/>
      </c>
      <c r="I103" s="2" t="str">
        <f>IF(AND(A103&lt;&gt;"",H103&lt;&gt;""),ROUND(H103,0),"")</f>
        <v/>
      </c>
    </row>
    <row r="104" spans="2:9" x14ac:dyDescent="0.3">
      <c r="B104" s="2" t="str">
        <f>IF(A104&lt;&gt;"",VLOOKUP(Alunos!A104,Exame!A3:C1000,3, FALSE),"")</f>
        <v/>
      </c>
      <c r="C104" s="2" t="str">
        <f>IF(A104&lt;&gt;"",VLOOKUP(Alunos!A104,Agrupamentos!A3:B1000,2, FALSE),"")</f>
        <v/>
      </c>
      <c r="D104" s="2" t="str">
        <f>IF(A104&lt;&gt;"",VLOOKUP(Alunos!C104,'TP1'!A3:C1000,3, FALSE),"")</f>
        <v/>
      </c>
      <c r="E104" s="2" t="str">
        <f>IF(A104&lt;&gt;"", SUMIF(B1:D1,"&lt;&gt;",B104:D104),"")</f>
        <v/>
      </c>
      <c r="F104" s="2" t="str">
        <f>IF(AND(A104&lt;&gt;"",E104&lt;&gt;""),ROUND(E104,0),"")</f>
        <v/>
      </c>
      <c r="G104" s="2" t="str">
        <f>IF(A104&lt;&gt;"",VLOOKUP(Alunos!A104,Recurso!A3:C1000,3, FALSE),"")</f>
        <v/>
      </c>
      <c r="H104" s="2" t="str">
        <f>IF(OR(A104&lt;&gt;"",G104&lt;&gt;""), SUMIFS(B104:G104,B1:G1,"&lt;&gt;",B2:G2,"&lt;&gt;Exame",B2:G2,"&lt;&gt;exame",B2:G2,"&lt;&gt;Nota",B2:G2,"&lt;&gt;Total"),"")</f>
        <v/>
      </c>
      <c r="I104" s="2" t="str">
        <f>IF(AND(A104&lt;&gt;"",H104&lt;&gt;""),ROUND(H104,0),"")</f>
        <v/>
      </c>
    </row>
    <row r="105" spans="2:9" x14ac:dyDescent="0.3">
      <c r="B105" s="2" t="str">
        <f>IF(A105&lt;&gt;"",VLOOKUP(Alunos!A105,Exame!A3:C1000,3, FALSE),"")</f>
        <v/>
      </c>
      <c r="C105" s="2" t="str">
        <f>IF(A105&lt;&gt;"",VLOOKUP(Alunos!A105,Agrupamentos!A3:B1000,2, FALSE),"")</f>
        <v/>
      </c>
      <c r="D105" s="2" t="str">
        <f>IF(A105&lt;&gt;"",VLOOKUP(Alunos!C105,'TP1'!A3:C1000,3, FALSE),"")</f>
        <v/>
      </c>
      <c r="E105" s="2" t="str">
        <f>IF(A105&lt;&gt;"", SUMIF(B1:D1,"&lt;&gt;",B105:D105),"")</f>
        <v/>
      </c>
      <c r="F105" s="2" t="str">
        <f>IF(AND(A105&lt;&gt;"",E105&lt;&gt;""),ROUND(E105,0),"")</f>
        <v/>
      </c>
      <c r="G105" s="2" t="str">
        <f>IF(A105&lt;&gt;"",VLOOKUP(Alunos!A105,Recurso!A3:C1000,3, FALSE),"")</f>
        <v/>
      </c>
      <c r="H105" s="2" t="str">
        <f>IF(OR(A105&lt;&gt;"",G105&lt;&gt;""), SUMIFS(B105:G105,B1:G1,"&lt;&gt;",B2:G2,"&lt;&gt;Exame",B2:G2,"&lt;&gt;exame",B2:G2,"&lt;&gt;Nota",B2:G2,"&lt;&gt;Total"),"")</f>
        <v/>
      </c>
      <c r="I105" s="2" t="str">
        <f>IF(AND(A105&lt;&gt;"",H105&lt;&gt;""),ROUND(H105,0),"")</f>
        <v/>
      </c>
    </row>
    <row r="106" spans="2:9" x14ac:dyDescent="0.3">
      <c r="B106" s="2" t="str">
        <f>IF(A106&lt;&gt;"",VLOOKUP(Alunos!A106,Exame!A3:C1000,3, FALSE),"")</f>
        <v/>
      </c>
      <c r="C106" s="2" t="str">
        <f>IF(A106&lt;&gt;"",VLOOKUP(Alunos!A106,Agrupamentos!A3:B1000,2, FALSE),"")</f>
        <v/>
      </c>
      <c r="D106" s="2" t="str">
        <f>IF(A106&lt;&gt;"",VLOOKUP(Alunos!C106,'TP1'!A3:C1000,3, FALSE),"")</f>
        <v/>
      </c>
      <c r="E106" s="2" t="str">
        <f>IF(A106&lt;&gt;"", SUMIF(B1:D1,"&lt;&gt;",B106:D106),"")</f>
        <v/>
      </c>
      <c r="F106" s="2" t="str">
        <f>IF(AND(A106&lt;&gt;"",E106&lt;&gt;""),ROUND(E106,0),"")</f>
        <v/>
      </c>
      <c r="G106" s="2" t="str">
        <f>IF(A106&lt;&gt;"",VLOOKUP(Alunos!A106,Recurso!A3:C1000,3, FALSE),"")</f>
        <v/>
      </c>
      <c r="H106" s="2" t="str">
        <f>IF(OR(A106&lt;&gt;"",G106&lt;&gt;""), SUMIFS(B106:G106,B1:G1,"&lt;&gt;",B2:G2,"&lt;&gt;Exame",B2:G2,"&lt;&gt;exame",B2:G2,"&lt;&gt;Nota",B2:G2,"&lt;&gt;Total"),"")</f>
        <v/>
      </c>
      <c r="I106" s="2" t="str">
        <f>IF(AND(A106&lt;&gt;"",H106&lt;&gt;""),ROUND(H106,0),"")</f>
        <v/>
      </c>
    </row>
    <row r="107" spans="2:9" x14ac:dyDescent="0.3">
      <c r="B107" s="2" t="str">
        <f>IF(A107&lt;&gt;"",VLOOKUP(Alunos!A107,Exame!A3:C1000,3, FALSE),"")</f>
        <v/>
      </c>
      <c r="C107" s="2" t="str">
        <f>IF(A107&lt;&gt;"",VLOOKUP(Alunos!A107,Agrupamentos!A3:B1000,2, FALSE),"")</f>
        <v/>
      </c>
      <c r="D107" s="2" t="str">
        <f>IF(A107&lt;&gt;"",VLOOKUP(Alunos!C107,'TP1'!A3:C1000,3, FALSE),"")</f>
        <v/>
      </c>
      <c r="E107" s="2" t="str">
        <f>IF(A107&lt;&gt;"", SUMIF(B1:D1,"&lt;&gt;",B107:D107),"")</f>
        <v/>
      </c>
      <c r="F107" s="2" t="str">
        <f>IF(AND(A107&lt;&gt;"",E107&lt;&gt;""),ROUND(E107,0),"")</f>
        <v/>
      </c>
      <c r="G107" s="2" t="str">
        <f>IF(A107&lt;&gt;"",VLOOKUP(Alunos!A107,Recurso!A3:C1000,3, FALSE),"")</f>
        <v/>
      </c>
      <c r="H107" s="2" t="str">
        <f>IF(OR(A107&lt;&gt;"",G107&lt;&gt;""), SUMIFS(B107:G107,B1:G1,"&lt;&gt;",B2:G2,"&lt;&gt;Exame",B2:G2,"&lt;&gt;exame",B2:G2,"&lt;&gt;Nota",B2:G2,"&lt;&gt;Total"),"")</f>
        <v/>
      </c>
      <c r="I107" s="2" t="str">
        <f>IF(AND(A107&lt;&gt;"",H107&lt;&gt;""),ROUND(H107,0),"")</f>
        <v/>
      </c>
    </row>
    <row r="108" spans="2:9" x14ac:dyDescent="0.3">
      <c r="B108" s="2" t="str">
        <f>IF(A108&lt;&gt;"",VLOOKUP(Alunos!A108,Exame!A3:C1000,3, FALSE),"")</f>
        <v/>
      </c>
      <c r="C108" s="2" t="str">
        <f>IF(A108&lt;&gt;"",VLOOKUP(Alunos!A108,Agrupamentos!A3:B1000,2, FALSE),"")</f>
        <v/>
      </c>
      <c r="D108" s="2" t="str">
        <f>IF(A108&lt;&gt;"",VLOOKUP(Alunos!C108,'TP1'!A3:C1000,3, FALSE),"")</f>
        <v/>
      </c>
      <c r="E108" s="2" t="str">
        <f>IF(A108&lt;&gt;"", SUMIF(B1:D1,"&lt;&gt;",B108:D108),"")</f>
        <v/>
      </c>
      <c r="F108" s="2" t="str">
        <f>IF(AND(A108&lt;&gt;"",E108&lt;&gt;""),ROUND(E108,0),"")</f>
        <v/>
      </c>
      <c r="G108" s="2" t="str">
        <f>IF(A108&lt;&gt;"",VLOOKUP(Alunos!A108,Recurso!A3:C1000,3, FALSE),"")</f>
        <v/>
      </c>
      <c r="H108" s="2" t="str">
        <f>IF(OR(A108&lt;&gt;"",G108&lt;&gt;""), SUMIFS(B108:G108,B1:G1,"&lt;&gt;",B2:G2,"&lt;&gt;Exame",B2:G2,"&lt;&gt;exame",B2:G2,"&lt;&gt;Nota",B2:G2,"&lt;&gt;Total"),"")</f>
        <v/>
      </c>
      <c r="I108" s="2" t="str">
        <f>IF(AND(A108&lt;&gt;"",H108&lt;&gt;""),ROUND(H108,0),"")</f>
        <v/>
      </c>
    </row>
    <row r="109" spans="2:9" x14ac:dyDescent="0.3">
      <c r="B109" s="2" t="str">
        <f>IF(A109&lt;&gt;"",VLOOKUP(Alunos!A109,Exame!A3:C1000,3, FALSE),"")</f>
        <v/>
      </c>
      <c r="C109" s="2" t="str">
        <f>IF(A109&lt;&gt;"",VLOOKUP(Alunos!A109,Agrupamentos!A3:B1000,2, FALSE),"")</f>
        <v/>
      </c>
      <c r="D109" s="2" t="str">
        <f>IF(A109&lt;&gt;"",VLOOKUP(Alunos!C109,'TP1'!A3:C1000,3, FALSE),"")</f>
        <v/>
      </c>
      <c r="E109" s="2" t="str">
        <f>IF(A109&lt;&gt;"", SUMIF(B1:D1,"&lt;&gt;",B109:D109),"")</f>
        <v/>
      </c>
      <c r="F109" s="2" t="str">
        <f>IF(AND(A109&lt;&gt;"",E109&lt;&gt;""),ROUND(E109,0),"")</f>
        <v/>
      </c>
      <c r="G109" s="2" t="str">
        <f>IF(A109&lt;&gt;"",VLOOKUP(Alunos!A109,Recurso!A3:C1000,3, FALSE),"")</f>
        <v/>
      </c>
      <c r="H109" s="2" t="str">
        <f>IF(OR(A109&lt;&gt;"",G109&lt;&gt;""), SUMIFS(B109:G109,B1:G1,"&lt;&gt;",B2:G2,"&lt;&gt;Exame",B2:G2,"&lt;&gt;exame",B2:G2,"&lt;&gt;Nota",B2:G2,"&lt;&gt;Total"),"")</f>
        <v/>
      </c>
      <c r="I109" s="2" t="str">
        <f>IF(AND(A109&lt;&gt;"",H109&lt;&gt;""),ROUND(H109,0),"")</f>
        <v/>
      </c>
    </row>
    <row r="110" spans="2:9" x14ac:dyDescent="0.3">
      <c r="B110" s="2" t="str">
        <f>IF(A110&lt;&gt;"",VLOOKUP(Alunos!A110,Exame!A3:C1000,3, FALSE),"")</f>
        <v/>
      </c>
      <c r="C110" s="2" t="str">
        <f>IF(A110&lt;&gt;"",VLOOKUP(Alunos!A110,Agrupamentos!A3:B1000,2, FALSE),"")</f>
        <v/>
      </c>
      <c r="D110" s="2" t="str">
        <f>IF(A110&lt;&gt;"",VLOOKUP(Alunos!C110,'TP1'!A3:C1000,3, FALSE),"")</f>
        <v/>
      </c>
      <c r="E110" s="2" t="str">
        <f>IF(A110&lt;&gt;"", SUMIF(B1:D1,"&lt;&gt;",B110:D110),"")</f>
        <v/>
      </c>
      <c r="F110" s="2" t="str">
        <f>IF(AND(A110&lt;&gt;"",E110&lt;&gt;""),ROUND(E110,0),"")</f>
        <v/>
      </c>
      <c r="G110" s="2" t="str">
        <f>IF(A110&lt;&gt;"",VLOOKUP(Alunos!A110,Recurso!A3:C1000,3, FALSE),"")</f>
        <v/>
      </c>
      <c r="H110" s="2" t="str">
        <f>IF(OR(A110&lt;&gt;"",G110&lt;&gt;""), SUMIFS(B110:G110,B1:G1,"&lt;&gt;",B2:G2,"&lt;&gt;Exame",B2:G2,"&lt;&gt;exame",B2:G2,"&lt;&gt;Nota",B2:G2,"&lt;&gt;Total"),"")</f>
        <v/>
      </c>
      <c r="I110" s="2" t="str">
        <f>IF(AND(A110&lt;&gt;"",H110&lt;&gt;""),ROUND(H110,0),"")</f>
        <v/>
      </c>
    </row>
    <row r="111" spans="2:9" x14ac:dyDescent="0.3">
      <c r="B111" s="2" t="str">
        <f>IF(A111&lt;&gt;"",VLOOKUP(Alunos!A111,Exame!A3:C1000,3, FALSE),"")</f>
        <v/>
      </c>
      <c r="C111" s="2" t="str">
        <f>IF(A111&lt;&gt;"",VLOOKUP(Alunos!A111,Agrupamentos!A3:B1000,2, FALSE),"")</f>
        <v/>
      </c>
      <c r="D111" s="2" t="str">
        <f>IF(A111&lt;&gt;"",VLOOKUP(Alunos!C111,'TP1'!A3:C1000,3, FALSE),"")</f>
        <v/>
      </c>
      <c r="E111" s="2" t="str">
        <f>IF(A111&lt;&gt;"", SUMIF(B1:D1,"&lt;&gt;",B111:D111),"")</f>
        <v/>
      </c>
      <c r="F111" s="2" t="str">
        <f>IF(AND(A111&lt;&gt;"",E111&lt;&gt;""),ROUND(E111,0),"")</f>
        <v/>
      </c>
      <c r="G111" s="2" t="str">
        <f>IF(A111&lt;&gt;"",VLOOKUP(Alunos!A111,Recurso!A3:C1000,3, FALSE),"")</f>
        <v/>
      </c>
      <c r="H111" s="2" t="str">
        <f>IF(OR(A111&lt;&gt;"",G111&lt;&gt;""), SUMIFS(B111:G111,B1:G1,"&lt;&gt;",B2:G2,"&lt;&gt;Exame",B2:G2,"&lt;&gt;exame",B2:G2,"&lt;&gt;Nota",B2:G2,"&lt;&gt;Total"),"")</f>
        <v/>
      </c>
      <c r="I111" s="2" t="str">
        <f>IF(AND(A111&lt;&gt;"",H111&lt;&gt;""),ROUND(H111,0),"")</f>
        <v/>
      </c>
    </row>
    <row r="112" spans="2:9" x14ac:dyDescent="0.3">
      <c r="B112" s="2" t="str">
        <f>IF(A112&lt;&gt;"",VLOOKUP(Alunos!A112,Exame!A3:C1000,3, FALSE),"")</f>
        <v/>
      </c>
      <c r="C112" s="2" t="str">
        <f>IF(A112&lt;&gt;"",VLOOKUP(Alunos!A112,Agrupamentos!A3:B1000,2, FALSE),"")</f>
        <v/>
      </c>
      <c r="D112" s="2" t="str">
        <f>IF(A112&lt;&gt;"",VLOOKUP(Alunos!C112,'TP1'!A3:C1000,3, FALSE),"")</f>
        <v/>
      </c>
      <c r="E112" s="2" t="str">
        <f>IF(A112&lt;&gt;"", SUMIF(B1:D1,"&lt;&gt;",B112:D112),"")</f>
        <v/>
      </c>
      <c r="F112" s="2" t="str">
        <f>IF(AND(A112&lt;&gt;"",E112&lt;&gt;""),ROUND(E112,0),"")</f>
        <v/>
      </c>
      <c r="G112" s="2" t="str">
        <f>IF(A112&lt;&gt;"",VLOOKUP(Alunos!A112,Recurso!A3:C1000,3, FALSE),"")</f>
        <v/>
      </c>
      <c r="H112" s="2" t="str">
        <f>IF(OR(A112&lt;&gt;"",G112&lt;&gt;""), SUMIFS(B112:G112,B1:G1,"&lt;&gt;",B2:G2,"&lt;&gt;Exame",B2:G2,"&lt;&gt;exame",B2:G2,"&lt;&gt;Nota",B2:G2,"&lt;&gt;Total"),"")</f>
        <v/>
      </c>
      <c r="I112" s="2" t="str">
        <f>IF(AND(A112&lt;&gt;"",H112&lt;&gt;""),ROUND(H112,0),"")</f>
        <v/>
      </c>
    </row>
    <row r="113" spans="2:9" x14ac:dyDescent="0.3">
      <c r="B113" s="2" t="str">
        <f>IF(A113&lt;&gt;"",VLOOKUP(Alunos!A113,Exame!A3:C1000,3, FALSE),"")</f>
        <v/>
      </c>
      <c r="C113" s="2" t="str">
        <f>IF(A113&lt;&gt;"",VLOOKUP(Alunos!A113,Agrupamentos!A3:B1000,2, FALSE),"")</f>
        <v/>
      </c>
      <c r="D113" s="2" t="str">
        <f>IF(A113&lt;&gt;"",VLOOKUP(Alunos!C113,'TP1'!A3:C1000,3, FALSE),"")</f>
        <v/>
      </c>
      <c r="E113" s="2" t="str">
        <f>IF(A113&lt;&gt;"", SUMIF(B1:D1,"&lt;&gt;",B113:D113),"")</f>
        <v/>
      </c>
      <c r="F113" s="2" t="str">
        <f>IF(AND(A113&lt;&gt;"",E113&lt;&gt;""),ROUND(E113,0),"")</f>
        <v/>
      </c>
      <c r="G113" s="2" t="str">
        <f>IF(A113&lt;&gt;"",VLOOKUP(Alunos!A113,Recurso!A3:C1000,3, FALSE),"")</f>
        <v/>
      </c>
      <c r="H113" s="2" t="str">
        <f>IF(OR(A113&lt;&gt;"",G113&lt;&gt;""), SUMIFS(B113:G113,B1:G1,"&lt;&gt;",B2:G2,"&lt;&gt;Exame",B2:G2,"&lt;&gt;exame",B2:G2,"&lt;&gt;Nota",B2:G2,"&lt;&gt;Total"),"")</f>
        <v/>
      </c>
      <c r="I113" s="2" t="str">
        <f>IF(AND(A113&lt;&gt;"",H113&lt;&gt;""),ROUND(H113,0),"")</f>
        <v/>
      </c>
    </row>
    <row r="114" spans="2:9" x14ac:dyDescent="0.3">
      <c r="B114" s="2" t="str">
        <f>IF(A114&lt;&gt;"",VLOOKUP(Alunos!A114,Exame!A3:C1000,3, FALSE),"")</f>
        <v/>
      </c>
      <c r="C114" s="2" t="str">
        <f>IF(A114&lt;&gt;"",VLOOKUP(Alunos!A114,Agrupamentos!A3:B1000,2, FALSE),"")</f>
        <v/>
      </c>
      <c r="D114" s="2" t="str">
        <f>IF(A114&lt;&gt;"",VLOOKUP(Alunos!C114,'TP1'!A3:C1000,3, FALSE),"")</f>
        <v/>
      </c>
      <c r="E114" s="2" t="str">
        <f>IF(A114&lt;&gt;"", SUMIF(B1:D1,"&lt;&gt;",B114:D114),"")</f>
        <v/>
      </c>
      <c r="F114" s="2" t="str">
        <f>IF(AND(A114&lt;&gt;"",E114&lt;&gt;""),ROUND(E114,0),"")</f>
        <v/>
      </c>
      <c r="G114" s="2" t="str">
        <f>IF(A114&lt;&gt;"",VLOOKUP(Alunos!A114,Recurso!A3:C1000,3, FALSE),"")</f>
        <v/>
      </c>
      <c r="H114" s="2" t="str">
        <f>IF(OR(A114&lt;&gt;"",G114&lt;&gt;""), SUMIFS(B114:G114,B1:G1,"&lt;&gt;",B2:G2,"&lt;&gt;Exame",B2:G2,"&lt;&gt;exame",B2:G2,"&lt;&gt;Nota",B2:G2,"&lt;&gt;Total"),"")</f>
        <v/>
      </c>
      <c r="I114" s="2" t="str">
        <f>IF(AND(A114&lt;&gt;"",H114&lt;&gt;""),ROUND(H114,0),"")</f>
        <v/>
      </c>
    </row>
    <row r="115" spans="2:9" x14ac:dyDescent="0.3">
      <c r="B115" s="2" t="str">
        <f>IF(A115&lt;&gt;"",VLOOKUP(Alunos!A115,Exame!A3:C1000,3, FALSE),"")</f>
        <v/>
      </c>
      <c r="C115" s="2" t="str">
        <f>IF(A115&lt;&gt;"",VLOOKUP(Alunos!A115,Agrupamentos!A3:B1000,2, FALSE),"")</f>
        <v/>
      </c>
      <c r="D115" s="2" t="str">
        <f>IF(A115&lt;&gt;"",VLOOKUP(Alunos!C115,'TP1'!A3:C1000,3, FALSE),"")</f>
        <v/>
      </c>
      <c r="E115" s="2" t="str">
        <f>IF(A115&lt;&gt;"", SUMIF(B1:D1,"&lt;&gt;",B115:D115),"")</f>
        <v/>
      </c>
      <c r="F115" s="2" t="str">
        <f>IF(AND(A115&lt;&gt;"",E115&lt;&gt;""),ROUND(E115,0),"")</f>
        <v/>
      </c>
      <c r="G115" s="2" t="str">
        <f>IF(A115&lt;&gt;"",VLOOKUP(Alunos!A115,Recurso!A3:C1000,3, FALSE),"")</f>
        <v/>
      </c>
      <c r="H115" s="2" t="str">
        <f>IF(OR(A115&lt;&gt;"",G115&lt;&gt;""), SUMIFS(B115:G115,B1:G1,"&lt;&gt;",B2:G2,"&lt;&gt;Exame",B2:G2,"&lt;&gt;exame",B2:G2,"&lt;&gt;Nota",B2:G2,"&lt;&gt;Total"),"")</f>
        <v/>
      </c>
      <c r="I115" s="2" t="str">
        <f>IF(AND(A115&lt;&gt;"",H115&lt;&gt;""),ROUND(H115,0),"")</f>
        <v/>
      </c>
    </row>
    <row r="116" spans="2:9" x14ac:dyDescent="0.3">
      <c r="B116" s="2" t="str">
        <f>IF(A116&lt;&gt;"",VLOOKUP(Alunos!A116,Exame!A3:C1000,3, FALSE),"")</f>
        <v/>
      </c>
      <c r="C116" s="2" t="str">
        <f>IF(A116&lt;&gt;"",VLOOKUP(Alunos!A116,Agrupamentos!A3:B1000,2, FALSE),"")</f>
        <v/>
      </c>
      <c r="D116" s="2" t="str">
        <f>IF(A116&lt;&gt;"",VLOOKUP(Alunos!C116,'TP1'!A3:C1000,3, FALSE),"")</f>
        <v/>
      </c>
      <c r="E116" s="2" t="str">
        <f>IF(A116&lt;&gt;"", SUMIF(B1:D1,"&lt;&gt;",B116:D116),"")</f>
        <v/>
      </c>
      <c r="F116" s="2" t="str">
        <f>IF(AND(A116&lt;&gt;"",E116&lt;&gt;""),ROUND(E116,0),"")</f>
        <v/>
      </c>
      <c r="G116" s="2" t="str">
        <f>IF(A116&lt;&gt;"",VLOOKUP(Alunos!A116,Recurso!A3:C1000,3, FALSE),"")</f>
        <v/>
      </c>
      <c r="H116" s="2" t="str">
        <f>IF(OR(A116&lt;&gt;"",G116&lt;&gt;""), SUMIFS(B116:G116,B1:G1,"&lt;&gt;",B2:G2,"&lt;&gt;Exame",B2:G2,"&lt;&gt;exame",B2:G2,"&lt;&gt;Nota",B2:G2,"&lt;&gt;Total"),"")</f>
        <v/>
      </c>
      <c r="I116" s="2" t="str">
        <f>IF(AND(A116&lt;&gt;"",H116&lt;&gt;""),ROUND(H116,0),"")</f>
        <v/>
      </c>
    </row>
    <row r="117" spans="2:9" x14ac:dyDescent="0.3">
      <c r="B117" s="2" t="str">
        <f>IF(A117&lt;&gt;"",VLOOKUP(Alunos!A117,Exame!A3:C1000,3, FALSE),"")</f>
        <v/>
      </c>
      <c r="C117" s="2" t="str">
        <f>IF(A117&lt;&gt;"",VLOOKUP(Alunos!A117,Agrupamentos!A3:B1000,2, FALSE),"")</f>
        <v/>
      </c>
      <c r="D117" s="2" t="str">
        <f>IF(A117&lt;&gt;"",VLOOKUP(Alunos!C117,'TP1'!A3:C1000,3, FALSE),"")</f>
        <v/>
      </c>
      <c r="E117" s="2" t="str">
        <f>IF(A117&lt;&gt;"", SUMIF(B1:D1,"&lt;&gt;",B117:D117),"")</f>
        <v/>
      </c>
      <c r="F117" s="2" t="str">
        <f>IF(AND(A117&lt;&gt;"",E117&lt;&gt;""),ROUND(E117,0),"")</f>
        <v/>
      </c>
      <c r="G117" s="2" t="str">
        <f>IF(A117&lt;&gt;"",VLOOKUP(Alunos!A117,Recurso!A3:C1000,3, FALSE),"")</f>
        <v/>
      </c>
      <c r="H117" s="2" t="str">
        <f>IF(OR(A117&lt;&gt;"",G117&lt;&gt;""), SUMIFS(B117:G117,B1:G1,"&lt;&gt;",B2:G2,"&lt;&gt;Exame",B2:G2,"&lt;&gt;exame",B2:G2,"&lt;&gt;Nota",B2:G2,"&lt;&gt;Total"),"")</f>
        <v/>
      </c>
      <c r="I117" s="2" t="str">
        <f>IF(AND(A117&lt;&gt;"",H117&lt;&gt;""),ROUND(H117,0),"")</f>
        <v/>
      </c>
    </row>
    <row r="118" spans="2:9" x14ac:dyDescent="0.3">
      <c r="B118" s="2" t="str">
        <f>IF(A118&lt;&gt;"",VLOOKUP(Alunos!A118,Exame!A3:C1000,3, FALSE),"")</f>
        <v/>
      </c>
      <c r="C118" s="2" t="str">
        <f>IF(A118&lt;&gt;"",VLOOKUP(Alunos!A118,Agrupamentos!A3:B1000,2, FALSE),"")</f>
        <v/>
      </c>
      <c r="D118" s="2" t="str">
        <f>IF(A118&lt;&gt;"",VLOOKUP(Alunos!C118,'TP1'!A3:C1000,3, FALSE),"")</f>
        <v/>
      </c>
      <c r="E118" s="2" t="str">
        <f>IF(A118&lt;&gt;"", SUMIF(B1:D1,"&lt;&gt;",B118:D118),"")</f>
        <v/>
      </c>
      <c r="F118" s="2" t="str">
        <f>IF(AND(A118&lt;&gt;"",E118&lt;&gt;""),ROUND(E118,0),"")</f>
        <v/>
      </c>
      <c r="G118" s="2" t="str">
        <f>IF(A118&lt;&gt;"",VLOOKUP(Alunos!A118,Recurso!A3:C1000,3, FALSE),"")</f>
        <v/>
      </c>
      <c r="H118" s="2" t="str">
        <f>IF(OR(A118&lt;&gt;"",G118&lt;&gt;""), SUMIFS(B118:G118,B1:G1,"&lt;&gt;",B2:G2,"&lt;&gt;Exame",B2:G2,"&lt;&gt;exame",B2:G2,"&lt;&gt;Nota",B2:G2,"&lt;&gt;Total"),"")</f>
        <v/>
      </c>
      <c r="I118" s="2" t="str">
        <f>IF(AND(A118&lt;&gt;"",H118&lt;&gt;""),ROUND(H118,0),"")</f>
        <v/>
      </c>
    </row>
    <row r="119" spans="2:9" x14ac:dyDescent="0.3">
      <c r="B119" s="2" t="str">
        <f>IF(A119&lt;&gt;"",VLOOKUP(Alunos!A119,Exame!A3:C1000,3, FALSE),"")</f>
        <v/>
      </c>
      <c r="C119" s="2" t="str">
        <f>IF(A119&lt;&gt;"",VLOOKUP(Alunos!A119,Agrupamentos!A3:B1000,2, FALSE),"")</f>
        <v/>
      </c>
      <c r="D119" s="2" t="str">
        <f>IF(A119&lt;&gt;"",VLOOKUP(Alunos!C119,'TP1'!A3:C1000,3, FALSE),"")</f>
        <v/>
      </c>
      <c r="E119" s="2" t="str">
        <f>IF(A119&lt;&gt;"", SUMIF(B1:D1,"&lt;&gt;",B119:D119),"")</f>
        <v/>
      </c>
      <c r="F119" s="2" t="str">
        <f>IF(AND(A119&lt;&gt;"",E119&lt;&gt;""),ROUND(E119,0),"")</f>
        <v/>
      </c>
      <c r="G119" s="2" t="str">
        <f>IF(A119&lt;&gt;"",VLOOKUP(Alunos!A119,Recurso!A3:C1000,3, FALSE),"")</f>
        <v/>
      </c>
      <c r="H119" s="2" t="str">
        <f>IF(OR(A119&lt;&gt;"",G119&lt;&gt;""), SUMIFS(B119:G119,B1:G1,"&lt;&gt;",B2:G2,"&lt;&gt;Exame",B2:G2,"&lt;&gt;exame",B2:G2,"&lt;&gt;Nota",B2:G2,"&lt;&gt;Total"),"")</f>
        <v/>
      </c>
      <c r="I119" s="2" t="str">
        <f>IF(AND(A119&lt;&gt;"",H119&lt;&gt;""),ROUND(H119,0),"")</f>
        <v/>
      </c>
    </row>
    <row r="120" spans="2:9" x14ac:dyDescent="0.3">
      <c r="B120" s="2" t="str">
        <f>IF(A120&lt;&gt;"",VLOOKUP(Alunos!A120,Exame!A3:C1000,3, FALSE),"")</f>
        <v/>
      </c>
      <c r="C120" s="2" t="str">
        <f>IF(A120&lt;&gt;"",VLOOKUP(Alunos!A120,Agrupamentos!A3:B1000,2, FALSE),"")</f>
        <v/>
      </c>
      <c r="D120" s="2" t="str">
        <f>IF(A120&lt;&gt;"",VLOOKUP(Alunos!C120,'TP1'!A3:C1000,3, FALSE),"")</f>
        <v/>
      </c>
      <c r="E120" s="2" t="str">
        <f>IF(A120&lt;&gt;"", SUMIF(B1:D1,"&lt;&gt;",B120:D120),"")</f>
        <v/>
      </c>
      <c r="F120" s="2" t="str">
        <f>IF(AND(A120&lt;&gt;"",E120&lt;&gt;""),ROUND(E120,0),"")</f>
        <v/>
      </c>
      <c r="G120" s="2" t="str">
        <f>IF(A120&lt;&gt;"",VLOOKUP(Alunos!A120,Recurso!A3:C1000,3, FALSE),"")</f>
        <v/>
      </c>
      <c r="H120" s="2" t="str">
        <f>IF(OR(A120&lt;&gt;"",G120&lt;&gt;""), SUMIFS(B120:G120,B1:G1,"&lt;&gt;",B2:G2,"&lt;&gt;Exame",B2:G2,"&lt;&gt;exame",B2:G2,"&lt;&gt;Nota",B2:G2,"&lt;&gt;Total"),"")</f>
        <v/>
      </c>
      <c r="I120" s="2" t="str">
        <f>IF(AND(A120&lt;&gt;"",H120&lt;&gt;""),ROUND(H120,0),"")</f>
        <v/>
      </c>
    </row>
    <row r="121" spans="2:9" x14ac:dyDescent="0.3">
      <c r="B121" s="2" t="str">
        <f>IF(A121&lt;&gt;"",VLOOKUP(Alunos!A121,Exame!A3:C1000,3, FALSE),"")</f>
        <v/>
      </c>
      <c r="C121" s="2" t="str">
        <f>IF(A121&lt;&gt;"",VLOOKUP(Alunos!A121,Agrupamentos!A3:B1000,2, FALSE),"")</f>
        <v/>
      </c>
      <c r="D121" s="2" t="str">
        <f>IF(A121&lt;&gt;"",VLOOKUP(Alunos!C121,'TP1'!A3:C1000,3, FALSE),"")</f>
        <v/>
      </c>
      <c r="E121" s="2" t="str">
        <f>IF(A121&lt;&gt;"", SUMIF(B1:D1,"&lt;&gt;",B121:D121),"")</f>
        <v/>
      </c>
      <c r="F121" s="2" t="str">
        <f>IF(AND(A121&lt;&gt;"",E121&lt;&gt;""),ROUND(E121,0),"")</f>
        <v/>
      </c>
      <c r="G121" s="2" t="str">
        <f>IF(A121&lt;&gt;"",VLOOKUP(Alunos!A121,Recurso!A3:C1000,3, FALSE),"")</f>
        <v/>
      </c>
      <c r="H121" s="2" t="str">
        <f>IF(OR(A121&lt;&gt;"",G121&lt;&gt;""), SUMIFS(B121:G121,B1:G1,"&lt;&gt;",B2:G2,"&lt;&gt;Exame",B2:G2,"&lt;&gt;exame",B2:G2,"&lt;&gt;Nota",B2:G2,"&lt;&gt;Total"),"")</f>
        <v/>
      </c>
      <c r="I121" s="2" t="str">
        <f>IF(AND(A121&lt;&gt;"",H121&lt;&gt;""),ROUND(H121,0),"")</f>
        <v/>
      </c>
    </row>
    <row r="122" spans="2:9" x14ac:dyDescent="0.3">
      <c r="B122" s="2" t="str">
        <f>IF(A122&lt;&gt;"",VLOOKUP(Alunos!A122,Exame!A3:C1000,3, FALSE),"")</f>
        <v/>
      </c>
      <c r="C122" s="2" t="str">
        <f>IF(A122&lt;&gt;"",VLOOKUP(Alunos!A122,Agrupamentos!A3:B1000,2, FALSE),"")</f>
        <v/>
      </c>
      <c r="D122" s="2" t="str">
        <f>IF(A122&lt;&gt;"",VLOOKUP(Alunos!C122,'TP1'!A3:C1000,3, FALSE),"")</f>
        <v/>
      </c>
      <c r="E122" s="2" t="str">
        <f>IF(A122&lt;&gt;"", SUMIF(B1:D1,"&lt;&gt;",B122:D122),"")</f>
        <v/>
      </c>
      <c r="F122" s="2" t="str">
        <f>IF(AND(A122&lt;&gt;"",E122&lt;&gt;""),ROUND(E122,0),"")</f>
        <v/>
      </c>
      <c r="G122" s="2" t="str">
        <f>IF(A122&lt;&gt;"",VLOOKUP(Alunos!A122,Recurso!A3:C1000,3, FALSE),"")</f>
        <v/>
      </c>
      <c r="H122" s="2" t="str">
        <f>IF(OR(A122&lt;&gt;"",G122&lt;&gt;""), SUMIFS(B122:G122,B1:G1,"&lt;&gt;",B2:G2,"&lt;&gt;Exame",B2:G2,"&lt;&gt;exame",B2:G2,"&lt;&gt;Nota",B2:G2,"&lt;&gt;Total"),"")</f>
        <v/>
      </c>
      <c r="I122" s="2" t="str">
        <f>IF(AND(A122&lt;&gt;"",H122&lt;&gt;""),ROUND(H122,0),"")</f>
        <v/>
      </c>
    </row>
    <row r="123" spans="2:9" x14ac:dyDescent="0.3">
      <c r="B123" s="2" t="str">
        <f>IF(A123&lt;&gt;"",VLOOKUP(Alunos!A123,Exame!A3:C1000,3, FALSE),"")</f>
        <v/>
      </c>
      <c r="C123" s="2" t="str">
        <f>IF(A123&lt;&gt;"",VLOOKUP(Alunos!A123,Agrupamentos!A3:B1000,2, FALSE),"")</f>
        <v/>
      </c>
      <c r="D123" s="2" t="str">
        <f>IF(A123&lt;&gt;"",VLOOKUP(Alunos!C123,'TP1'!A3:C1000,3, FALSE),"")</f>
        <v/>
      </c>
      <c r="E123" s="2" t="str">
        <f>IF(A123&lt;&gt;"", SUMIF(B1:D1,"&lt;&gt;",B123:D123),"")</f>
        <v/>
      </c>
      <c r="F123" s="2" t="str">
        <f>IF(AND(A123&lt;&gt;"",E123&lt;&gt;""),ROUND(E123,0),"")</f>
        <v/>
      </c>
      <c r="G123" s="2" t="str">
        <f>IF(A123&lt;&gt;"",VLOOKUP(Alunos!A123,Recurso!A3:C1000,3, FALSE),"")</f>
        <v/>
      </c>
      <c r="H123" s="2" t="str">
        <f>IF(OR(A123&lt;&gt;"",G123&lt;&gt;""), SUMIFS(B123:G123,B1:G1,"&lt;&gt;",B2:G2,"&lt;&gt;Exame",B2:G2,"&lt;&gt;exame",B2:G2,"&lt;&gt;Nota",B2:G2,"&lt;&gt;Total"),"")</f>
        <v/>
      </c>
      <c r="I123" s="2" t="str">
        <f>IF(AND(A123&lt;&gt;"",H123&lt;&gt;""),ROUND(H123,0),"")</f>
        <v/>
      </c>
    </row>
    <row r="124" spans="2:9" x14ac:dyDescent="0.3">
      <c r="B124" s="2" t="str">
        <f>IF(A124&lt;&gt;"",VLOOKUP(Alunos!A124,Exame!A3:C1000,3, FALSE),"")</f>
        <v/>
      </c>
      <c r="C124" s="2" t="str">
        <f>IF(A124&lt;&gt;"",VLOOKUP(Alunos!A124,Agrupamentos!A3:B1000,2, FALSE),"")</f>
        <v/>
      </c>
      <c r="D124" s="2" t="str">
        <f>IF(A124&lt;&gt;"",VLOOKUP(Alunos!C124,'TP1'!A3:C1000,3, FALSE),"")</f>
        <v/>
      </c>
      <c r="E124" s="2" t="str">
        <f>IF(A124&lt;&gt;"", SUMIF(B1:D1,"&lt;&gt;",B124:D124),"")</f>
        <v/>
      </c>
      <c r="F124" s="2" t="str">
        <f>IF(AND(A124&lt;&gt;"",E124&lt;&gt;""),ROUND(E124,0),"")</f>
        <v/>
      </c>
      <c r="G124" s="2" t="str">
        <f>IF(A124&lt;&gt;"",VLOOKUP(Alunos!A124,Recurso!A3:C1000,3, FALSE),"")</f>
        <v/>
      </c>
      <c r="H124" s="2" t="str">
        <f>IF(OR(A124&lt;&gt;"",G124&lt;&gt;""), SUMIFS(B124:G124,B1:G1,"&lt;&gt;",B2:G2,"&lt;&gt;Exame",B2:G2,"&lt;&gt;exame",B2:G2,"&lt;&gt;Nota",B2:G2,"&lt;&gt;Total"),"")</f>
        <v/>
      </c>
      <c r="I124" s="2" t="str">
        <f>IF(AND(A124&lt;&gt;"",H124&lt;&gt;""),ROUND(H124,0),"")</f>
        <v/>
      </c>
    </row>
    <row r="125" spans="2:9" x14ac:dyDescent="0.3">
      <c r="B125" s="2" t="str">
        <f>IF(A125&lt;&gt;"",VLOOKUP(Alunos!A125,Exame!A3:C1000,3, FALSE),"")</f>
        <v/>
      </c>
      <c r="C125" s="2" t="str">
        <f>IF(A125&lt;&gt;"",VLOOKUP(Alunos!A125,Agrupamentos!A3:B1000,2, FALSE),"")</f>
        <v/>
      </c>
      <c r="D125" s="2" t="str">
        <f>IF(A125&lt;&gt;"",VLOOKUP(Alunos!C125,'TP1'!A3:C1000,3, FALSE),"")</f>
        <v/>
      </c>
      <c r="E125" s="2" t="str">
        <f>IF(A125&lt;&gt;"", SUMIF(B1:D1,"&lt;&gt;",B125:D125),"")</f>
        <v/>
      </c>
      <c r="F125" s="2" t="str">
        <f>IF(AND(A125&lt;&gt;"",E125&lt;&gt;""),ROUND(E125,0),"")</f>
        <v/>
      </c>
      <c r="G125" s="2" t="str">
        <f>IF(A125&lt;&gt;"",VLOOKUP(Alunos!A125,Recurso!A3:C1000,3, FALSE),"")</f>
        <v/>
      </c>
      <c r="H125" s="2" t="str">
        <f>IF(OR(A125&lt;&gt;"",G125&lt;&gt;""), SUMIFS(B125:G125,B1:G1,"&lt;&gt;",B2:G2,"&lt;&gt;Exame",B2:G2,"&lt;&gt;exame",B2:G2,"&lt;&gt;Nota",B2:G2,"&lt;&gt;Total"),"")</f>
        <v/>
      </c>
      <c r="I125" s="2" t="str">
        <f>IF(AND(A125&lt;&gt;"",H125&lt;&gt;""),ROUND(H125,0),"")</f>
        <v/>
      </c>
    </row>
    <row r="126" spans="2:9" x14ac:dyDescent="0.3">
      <c r="B126" s="2" t="str">
        <f>IF(A126&lt;&gt;"",VLOOKUP(Alunos!A126,Exame!A3:C1000,3, FALSE),"")</f>
        <v/>
      </c>
      <c r="C126" s="2" t="str">
        <f>IF(A126&lt;&gt;"",VLOOKUP(Alunos!A126,Agrupamentos!A3:B1000,2, FALSE),"")</f>
        <v/>
      </c>
      <c r="D126" s="2" t="str">
        <f>IF(A126&lt;&gt;"",VLOOKUP(Alunos!C126,'TP1'!A3:C1000,3, FALSE),"")</f>
        <v/>
      </c>
      <c r="E126" s="2" t="str">
        <f>IF(A126&lt;&gt;"", SUMIF(B1:D1,"&lt;&gt;",B126:D126),"")</f>
        <v/>
      </c>
      <c r="F126" s="2" t="str">
        <f>IF(AND(A126&lt;&gt;"",E126&lt;&gt;""),ROUND(E126,0),"")</f>
        <v/>
      </c>
      <c r="G126" s="2" t="str">
        <f>IF(A126&lt;&gt;"",VLOOKUP(Alunos!A126,Recurso!A3:C1000,3, FALSE),"")</f>
        <v/>
      </c>
      <c r="H126" s="2" t="str">
        <f>IF(OR(A126&lt;&gt;"",G126&lt;&gt;""), SUMIFS(B126:G126,B1:G1,"&lt;&gt;",B2:G2,"&lt;&gt;Exame",B2:G2,"&lt;&gt;exame",B2:G2,"&lt;&gt;Nota",B2:G2,"&lt;&gt;Total"),"")</f>
        <v/>
      </c>
      <c r="I126" s="2" t="str">
        <f>IF(AND(A126&lt;&gt;"",H126&lt;&gt;""),ROUND(H126,0),"")</f>
        <v/>
      </c>
    </row>
    <row r="127" spans="2:9" x14ac:dyDescent="0.3">
      <c r="B127" s="2" t="str">
        <f>IF(A127&lt;&gt;"",VLOOKUP(Alunos!A127,Exame!A3:C1000,3, FALSE),"")</f>
        <v/>
      </c>
      <c r="C127" s="2" t="str">
        <f>IF(A127&lt;&gt;"",VLOOKUP(Alunos!A127,Agrupamentos!A3:B1000,2, FALSE),"")</f>
        <v/>
      </c>
      <c r="D127" s="2" t="str">
        <f>IF(A127&lt;&gt;"",VLOOKUP(Alunos!C127,'TP1'!A3:C1000,3, FALSE),"")</f>
        <v/>
      </c>
      <c r="E127" s="2" t="str">
        <f>IF(A127&lt;&gt;"", SUMIF(B1:D1,"&lt;&gt;",B127:D127),"")</f>
        <v/>
      </c>
      <c r="F127" s="2" t="str">
        <f>IF(AND(A127&lt;&gt;"",E127&lt;&gt;""),ROUND(E127,0),"")</f>
        <v/>
      </c>
      <c r="G127" s="2" t="str">
        <f>IF(A127&lt;&gt;"",VLOOKUP(Alunos!A127,Recurso!A3:C1000,3, FALSE),"")</f>
        <v/>
      </c>
      <c r="H127" s="2" t="str">
        <f>IF(OR(A127&lt;&gt;"",G127&lt;&gt;""), SUMIFS(B127:G127,B1:G1,"&lt;&gt;",B2:G2,"&lt;&gt;Exame",B2:G2,"&lt;&gt;exame",B2:G2,"&lt;&gt;Nota",B2:G2,"&lt;&gt;Total"),"")</f>
        <v/>
      </c>
      <c r="I127" s="2" t="str">
        <f>IF(AND(A127&lt;&gt;"",H127&lt;&gt;""),ROUND(H127,0),"")</f>
        <v/>
      </c>
    </row>
    <row r="128" spans="2:9" x14ac:dyDescent="0.3">
      <c r="B128" s="2" t="str">
        <f>IF(A128&lt;&gt;"",VLOOKUP(Alunos!A128,Exame!A3:C1000,3, FALSE),"")</f>
        <v/>
      </c>
      <c r="C128" s="2" t="str">
        <f>IF(A128&lt;&gt;"",VLOOKUP(Alunos!A128,Agrupamentos!A3:B1000,2, FALSE),"")</f>
        <v/>
      </c>
      <c r="D128" s="2" t="str">
        <f>IF(A128&lt;&gt;"",VLOOKUP(Alunos!C128,'TP1'!A3:C1000,3, FALSE),"")</f>
        <v/>
      </c>
      <c r="E128" s="2" t="str">
        <f>IF(A128&lt;&gt;"", SUMIF(B1:D1,"&lt;&gt;",B128:D128),"")</f>
        <v/>
      </c>
      <c r="F128" s="2" t="str">
        <f>IF(AND(A128&lt;&gt;"",E128&lt;&gt;""),ROUND(E128,0),"")</f>
        <v/>
      </c>
      <c r="G128" s="2" t="str">
        <f>IF(A128&lt;&gt;"",VLOOKUP(Alunos!A128,Recurso!A3:C1000,3, FALSE),"")</f>
        <v/>
      </c>
      <c r="H128" s="2" t="str">
        <f>IF(OR(A128&lt;&gt;"",G128&lt;&gt;""), SUMIFS(B128:G128,B1:G1,"&lt;&gt;",B2:G2,"&lt;&gt;Exame",B2:G2,"&lt;&gt;exame",B2:G2,"&lt;&gt;Nota",B2:G2,"&lt;&gt;Total"),"")</f>
        <v/>
      </c>
      <c r="I128" s="2" t="str">
        <f>IF(AND(A128&lt;&gt;"",H128&lt;&gt;""),ROUND(H128,0),"")</f>
        <v/>
      </c>
    </row>
    <row r="129" spans="2:9" x14ac:dyDescent="0.3">
      <c r="B129" s="2" t="str">
        <f>IF(A129&lt;&gt;"",VLOOKUP(Alunos!A129,Exame!A3:C1000,3, FALSE),"")</f>
        <v/>
      </c>
      <c r="C129" s="2" t="str">
        <f>IF(A129&lt;&gt;"",VLOOKUP(Alunos!A129,Agrupamentos!A3:B1000,2, FALSE),"")</f>
        <v/>
      </c>
      <c r="D129" s="2" t="str">
        <f>IF(A129&lt;&gt;"",VLOOKUP(Alunos!C129,'TP1'!A3:C1000,3, FALSE),"")</f>
        <v/>
      </c>
      <c r="E129" s="2" t="str">
        <f>IF(A129&lt;&gt;"", SUMIF(B1:D1,"&lt;&gt;",B129:D129),"")</f>
        <v/>
      </c>
      <c r="F129" s="2" t="str">
        <f>IF(AND(A129&lt;&gt;"",E129&lt;&gt;""),ROUND(E129,0),"")</f>
        <v/>
      </c>
      <c r="G129" s="2" t="str">
        <f>IF(A129&lt;&gt;"",VLOOKUP(Alunos!A129,Recurso!A3:C1000,3, FALSE),"")</f>
        <v/>
      </c>
      <c r="H129" s="2" t="str">
        <f>IF(OR(A129&lt;&gt;"",G129&lt;&gt;""), SUMIFS(B129:G129,B1:G1,"&lt;&gt;",B2:G2,"&lt;&gt;Exame",B2:G2,"&lt;&gt;exame",B2:G2,"&lt;&gt;Nota",B2:G2,"&lt;&gt;Total"),"")</f>
        <v/>
      </c>
      <c r="I129" s="2" t="str">
        <f>IF(AND(A129&lt;&gt;"",H129&lt;&gt;""),ROUND(H129,0),"")</f>
        <v/>
      </c>
    </row>
    <row r="130" spans="2:9" x14ac:dyDescent="0.3">
      <c r="B130" s="2" t="str">
        <f>IF(A130&lt;&gt;"",VLOOKUP(Alunos!A130,Exame!A3:C1000,3, FALSE),"")</f>
        <v/>
      </c>
      <c r="C130" s="2" t="str">
        <f>IF(A130&lt;&gt;"",VLOOKUP(Alunos!A130,Agrupamentos!A3:B1000,2, FALSE),"")</f>
        <v/>
      </c>
      <c r="D130" s="2" t="str">
        <f>IF(A130&lt;&gt;"",VLOOKUP(Alunos!C130,'TP1'!A3:C1000,3, FALSE),"")</f>
        <v/>
      </c>
      <c r="E130" s="2" t="str">
        <f>IF(A130&lt;&gt;"", SUMIF(B1:D1,"&lt;&gt;",B130:D130),"")</f>
        <v/>
      </c>
      <c r="F130" s="2" t="str">
        <f>IF(AND(A130&lt;&gt;"",E130&lt;&gt;""),ROUND(E130,0),"")</f>
        <v/>
      </c>
      <c r="G130" s="2" t="str">
        <f>IF(A130&lt;&gt;"",VLOOKUP(Alunos!A130,Recurso!A3:C1000,3, FALSE),"")</f>
        <v/>
      </c>
      <c r="H130" s="2" t="str">
        <f>IF(OR(A130&lt;&gt;"",G130&lt;&gt;""), SUMIFS(B130:G130,B1:G1,"&lt;&gt;",B2:G2,"&lt;&gt;Exame",B2:G2,"&lt;&gt;exame",B2:G2,"&lt;&gt;Nota",B2:G2,"&lt;&gt;Total"),"")</f>
        <v/>
      </c>
      <c r="I130" s="2" t="str">
        <f>IF(AND(A130&lt;&gt;"",H130&lt;&gt;""),ROUND(H130,0),"")</f>
        <v/>
      </c>
    </row>
    <row r="131" spans="2:9" x14ac:dyDescent="0.3">
      <c r="B131" s="2" t="str">
        <f>IF(A131&lt;&gt;"",VLOOKUP(Alunos!A131,Exame!A3:C1000,3, FALSE),"")</f>
        <v/>
      </c>
      <c r="C131" s="2" t="str">
        <f>IF(A131&lt;&gt;"",VLOOKUP(Alunos!A131,Agrupamentos!A3:B1000,2, FALSE),"")</f>
        <v/>
      </c>
      <c r="D131" s="2" t="str">
        <f>IF(A131&lt;&gt;"",VLOOKUP(Alunos!C131,'TP1'!A3:C1000,3, FALSE),"")</f>
        <v/>
      </c>
      <c r="E131" s="2" t="str">
        <f>IF(A131&lt;&gt;"", SUMIF(B1:D1,"&lt;&gt;",B131:D131),"")</f>
        <v/>
      </c>
      <c r="F131" s="2" t="str">
        <f>IF(AND(A131&lt;&gt;"",E131&lt;&gt;""),ROUND(E131,0),"")</f>
        <v/>
      </c>
      <c r="G131" s="2" t="str">
        <f>IF(A131&lt;&gt;"",VLOOKUP(Alunos!A131,Recurso!A3:C1000,3, FALSE),"")</f>
        <v/>
      </c>
      <c r="H131" s="2" t="str">
        <f>IF(OR(A131&lt;&gt;"",G131&lt;&gt;""), SUMIFS(B131:G131,B1:G1,"&lt;&gt;",B2:G2,"&lt;&gt;Exame",B2:G2,"&lt;&gt;exame",B2:G2,"&lt;&gt;Nota",B2:G2,"&lt;&gt;Total"),"")</f>
        <v/>
      </c>
      <c r="I131" s="2" t="str">
        <f>IF(AND(A131&lt;&gt;"",H131&lt;&gt;""),ROUND(H131,0),"")</f>
        <v/>
      </c>
    </row>
    <row r="132" spans="2:9" x14ac:dyDescent="0.3">
      <c r="B132" s="2" t="str">
        <f>IF(A132&lt;&gt;"",VLOOKUP(Alunos!A132,Exame!A3:C1000,3, FALSE),"")</f>
        <v/>
      </c>
      <c r="C132" s="2" t="str">
        <f>IF(A132&lt;&gt;"",VLOOKUP(Alunos!A132,Agrupamentos!A3:B1000,2, FALSE),"")</f>
        <v/>
      </c>
      <c r="D132" s="2" t="str">
        <f>IF(A132&lt;&gt;"",VLOOKUP(Alunos!C132,'TP1'!A3:C1000,3, FALSE),"")</f>
        <v/>
      </c>
      <c r="E132" s="2" t="str">
        <f>IF(A132&lt;&gt;"", SUMIF(B1:D1,"&lt;&gt;",B132:D132),"")</f>
        <v/>
      </c>
      <c r="F132" s="2" t="str">
        <f>IF(AND(A132&lt;&gt;"",E132&lt;&gt;""),ROUND(E132,0),"")</f>
        <v/>
      </c>
      <c r="G132" s="2" t="str">
        <f>IF(A132&lt;&gt;"",VLOOKUP(Alunos!A132,Recurso!A3:C1000,3, FALSE),"")</f>
        <v/>
      </c>
      <c r="H132" s="2" t="str">
        <f>IF(OR(A132&lt;&gt;"",G132&lt;&gt;""), SUMIFS(B132:G132,B1:G1,"&lt;&gt;",B2:G2,"&lt;&gt;Exame",B2:G2,"&lt;&gt;exame",B2:G2,"&lt;&gt;Nota",B2:G2,"&lt;&gt;Total"),"")</f>
        <v/>
      </c>
      <c r="I132" s="2" t="str">
        <f>IF(AND(A132&lt;&gt;"",H132&lt;&gt;""),ROUND(H132,0),"")</f>
        <v/>
      </c>
    </row>
    <row r="133" spans="2:9" x14ac:dyDescent="0.3">
      <c r="B133" s="2" t="str">
        <f>IF(A133&lt;&gt;"",VLOOKUP(Alunos!A133,Exame!A3:C1000,3, FALSE),"")</f>
        <v/>
      </c>
      <c r="C133" s="2" t="str">
        <f>IF(A133&lt;&gt;"",VLOOKUP(Alunos!A133,Agrupamentos!A3:B1000,2, FALSE),"")</f>
        <v/>
      </c>
      <c r="D133" s="2" t="str">
        <f>IF(A133&lt;&gt;"",VLOOKUP(Alunos!C133,'TP1'!A3:C1000,3, FALSE),"")</f>
        <v/>
      </c>
      <c r="E133" s="2" t="str">
        <f>IF(A133&lt;&gt;"", SUMIF(B1:D1,"&lt;&gt;",B133:D133),"")</f>
        <v/>
      </c>
      <c r="F133" s="2" t="str">
        <f>IF(AND(A133&lt;&gt;"",E133&lt;&gt;""),ROUND(E133,0),"")</f>
        <v/>
      </c>
      <c r="G133" s="2" t="str">
        <f>IF(A133&lt;&gt;"",VLOOKUP(Alunos!A133,Recurso!A3:C1000,3, FALSE),"")</f>
        <v/>
      </c>
      <c r="H133" s="2" t="str">
        <f>IF(OR(A133&lt;&gt;"",G133&lt;&gt;""), SUMIFS(B133:G133,B1:G1,"&lt;&gt;",B2:G2,"&lt;&gt;Exame",B2:G2,"&lt;&gt;exame",B2:G2,"&lt;&gt;Nota",B2:G2,"&lt;&gt;Total"),"")</f>
        <v/>
      </c>
      <c r="I133" s="2" t="str">
        <f>IF(AND(A133&lt;&gt;"",H133&lt;&gt;""),ROUND(H133,0),"")</f>
        <v/>
      </c>
    </row>
    <row r="134" spans="2:9" x14ac:dyDescent="0.3">
      <c r="B134" s="2" t="str">
        <f>IF(A134&lt;&gt;"",VLOOKUP(Alunos!A134,Exame!A3:C1000,3, FALSE),"")</f>
        <v/>
      </c>
      <c r="C134" s="2" t="str">
        <f>IF(A134&lt;&gt;"",VLOOKUP(Alunos!A134,Agrupamentos!A3:B1000,2, FALSE),"")</f>
        <v/>
      </c>
      <c r="D134" s="2" t="str">
        <f>IF(A134&lt;&gt;"",VLOOKUP(Alunos!C134,'TP1'!A3:C1000,3, FALSE),"")</f>
        <v/>
      </c>
      <c r="E134" s="2" t="str">
        <f>IF(A134&lt;&gt;"", SUMIF(B1:D1,"&lt;&gt;",B134:D134),"")</f>
        <v/>
      </c>
      <c r="F134" s="2" t="str">
        <f>IF(AND(A134&lt;&gt;"",E134&lt;&gt;""),ROUND(E134,0),"")</f>
        <v/>
      </c>
      <c r="G134" s="2" t="str">
        <f>IF(A134&lt;&gt;"",VLOOKUP(Alunos!A134,Recurso!A3:C1000,3, FALSE),"")</f>
        <v/>
      </c>
      <c r="H134" s="2" t="str">
        <f>IF(OR(A134&lt;&gt;"",G134&lt;&gt;""), SUMIFS(B134:G134,B1:G1,"&lt;&gt;",B2:G2,"&lt;&gt;Exame",B2:G2,"&lt;&gt;exame",B2:G2,"&lt;&gt;Nota",B2:G2,"&lt;&gt;Total"),"")</f>
        <v/>
      </c>
      <c r="I134" s="2" t="str">
        <f>IF(AND(A134&lt;&gt;"",H134&lt;&gt;""),ROUND(H134,0),"")</f>
        <v/>
      </c>
    </row>
    <row r="135" spans="2:9" x14ac:dyDescent="0.3">
      <c r="B135" s="2" t="str">
        <f>IF(A135&lt;&gt;"",VLOOKUP(Alunos!A135,Exame!A3:C1000,3, FALSE),"")</f>
        <v/>
      </c>
      <c r="C135" s="2" t="str">
        <f>IF(A135&lt;&gt;"",VLOOKUP(Alunos!A135,Agrupamentos!A3:B1000,2, FALSE),"")</f>
        <v/>
      </c>
      <c r="D135" s="2" t="str">
        <f>IF(A135&lt;&gt;"",VLOOKUP(Alunos!C135,'TP1'!A3:C1000,3, FALSE),"")</f>
        <v/>
      </c>
      <c r="E135" s="2" t="str">
        <f>IF(A135&lt;&gt;"", SUMIF(B1:D1,"&lt;&gt;",B135:D135),"")</f>
        <v/>
      </c>
      <c r="F135" s="2" t="str">
        <f>IF(AND(A135&lt;&gt;"",E135&lt;&gt;""),ROUND(E135,0),"")</f>
        <v/>
      </c>
      <c r="G135" s="2" t="str">
        <f>IF(A135&lt;&gt;"",VLOOKUP(Alunos!A135,Recurso!A3:C1000,3, FALSE),"")</f>
        <v/>
      </c>
      <c r="H135" s="2" t="str">
        <f>IF(OR(A135&lt;&gt;"",G135&lt;&gt;""), SUMIFS(B135:G135,B1:G1,"&lt;&gt;",B2:G2,"&lt;&gt;Exame",B2:G2,"&lt;&gt;exame",B2:G2,"&lt;&gt;Nota",B2:G2,"&lt;&gt;Total"),"")</f>
        <v/>
      </c>
      <c r="I135" s="2" t="str">
        <f>IF(AND(A135&lt;&gt;"",H135&lt;&gt;""),ROUND(H135,0),"")</f>
        <v/>
      </c>
    </row>
    <row r="136" spans="2:9" x14ac:dyDescent="0.3">
      <c r="B136" s="2" t="str">
        <f>IF(A136&lt;&gt;"",VLOOKUP(Alunos!A136,Exame!A3:C1000,3, FALSE),"")</f>
        <v/>
      </c>
      <c r="C136" s="2" t="str">
        <f>IF(A136&lt;&gt;"",VLOOKUP(Alunos!A136,Agrupamentos!A3:B1000,2, FALSE),"")</f>
        <v/>
      </c>
      <c r="D136" s="2" t="str">
        <f>IF(A136&lt;&gt;"",VLOOKUP(Alunos!C136,'TP1'!A3:C1000,3, FALSE),"")</f>
        <v/>
      </c>
      <c r="E136" s="2" t="str">
        <f>IF(A136&lt;&gt;"", SUMIF(B1:D1,"&lt;&gt;",B136:D136),"")</f>
        <v/>
      </c>
      <c r="F136" s="2" t="str">
        <f>IF(AND(A136&lt;&gt;"",E136&lt;&gt;""),ROUND(E136,0),"")</f>
        <v/>
      </c>
      <c r="G136" s="2" t="str">
        <f>IF(A136&lt;&gt;"",VLOOKUP(Alunos!A136,Recurso!A3:C1000,3, FALSE),"")</f>
        <v/>
      </c>
      <c r="H136" s="2" t="str">
        <f>IF(OR(A136&lt;&gt;"",G136&lt;&gt;""), SUMIFS(B136:G136,B1:G1,"&lt;&gt;",B2:G2,"&lt;&gt;Exame",B2:G2,"&lt;&gt;exame",B2:G2,"&lt;&gt;Nota",B2:G2,"&lt;&gt;Total"),"")</f>
        <v/>
      </c>
      <c r="I136" s="2" t="str">
        <f>IF(AND(A136&lt;&gt;"",H136&lt;&gt;""),ROUND(H136,0),"")</f>
        <v/>
      </c>
    </row>
    <row r="137" spans="2:9" x14ac:dyDescent="0.3">
      <c r="B137" s="2" t="str">
        <f>IF(A137&lt;&gt;"",VLOOKUP(Alunos!A137,Exame!A3:C1000,3, FALSE),"")</f>
        <v/>
      </c>
      <c r="C137" s="2" t="str">
        <f>IF(A137&lt;&gt;"",VLOOKUP(Alunos!A137,Agrupamentos!A3:B1000,2, FALSE),"")</f>
        <v/>
      </c>
      <c r="D137" s="2" t="str">
        <f>IF(A137&lt;&gt;"",VLOOKUP(Alunos!C137,'TP1'!A3:C1000,3, FALSE),"")</f>
        <v/>
      </c>
      <c r="E137" s="2" t="str">
        <f>IF(A137&lt;&gt;"", SUMIF(B1:D1,"&lt;&gt;",B137:D137),"")</f>
        <v/>
      </c>
      <c r="F137" s="2" t="str">
        <f>IF(AND(A137&lt;&gt;"",E137&lt;&gt;""),ROUND(E137,0),"")</f>
        <v/>
      </c>
      <c r="G137" s="2" t="str">
        <f>IF(A137&lt;&gt;"",VLOOKUP(Alunos!A137,Recurso!A3:C1000,3, FALSE),"")</f>
        <v/>
      </c>
      <c r="H137" s="2" t="str">
        <f>IF(OR(A137&lt;&gt;"",G137&lt;&gt;""), SUMIFS(B137:G137,B1:G1,"&lt;&gt;",B2:G2,"&lt;&gt;Exame",B2:G2,"&lt;&gt;exame",B2:G2,"&lt;&gt;Nota",B2:G2,"&lt;&gt;Total"),"")</f>
        <v/>
      </c>
      <c r="I137" s="2" t="str">
        <f>IF(AND(A137&lt;&gt;"",H137&lt;&gt;""),ROUND(H137,0),"")</f>
        <v/>
      </c>
    </row>
    <row r="138" spans="2:9" x14ac:dyDescent="0.3">
      <c r="B138" s="2" t="str">
        <f>IF(A138&lt;&gt;"",VLOOKUP(Alunos!A138,Exame!A3:C1000,3, FALSE),"")</f>
        <v/>
      </c>
      <c r="C138" s="2" t="str">
        <f>IF(A138&lt;&gt;"",VLOOKUP(Alunos!A138,Agrupamentos!A3:B1000,2, FALSE),"")</f>
        <v/>
      </c>
      <c r="D138" s="2" t="str">
        <f>IF(A138&lt;&gt;"",VLOOKUP(Alunos!C138,'TP1'!A3:C1000,3, FALSE),"")</f>
        <v/>
      </c>
      <c r="E138" s="2" t="str">
        <f>IF(A138&lt;&gt;"", SUMIF(B1:D1,"&lt;&gt;",B138:D138),"")</f>
        <v/>
      </c>
      <c r="F138" s="2" t="str">
        <f>IF(AND(A138&lt;&gt;"",E138&lt;&gt;""),ROUND(E138,0),"")</f>
        <v/>
      </c>
      <c r="G138" s="2" t="str">
        <f>IF(A138&lt;&gt;"",VLOOKUP(Alunos!A138,Recurso!A3:C1000,3, FALSE),"")</f>
        <v/>
      </c>
      <c r="H138" s="2" t="str">
        <f>IF(OR(A138&lt;&gt;"",G138&lt;&gt;""), SUMIFS(B138:G138,B1:G1,"&lt;&gt;",B2:G2,"&lt;&gt;Exame",B2:G2,"&lt;&gt;exame",B2:G2,"&lt;&gt;Nota",B2:G2,"&lt;&gt;Total"),"")</f>
        <v/>
      </c>
      <c r="I138" s="2" t="str">
        <f>IF(AND(A138&lt;&gt;"",H138&lt;&gt;""),ROUND(H138,0),"")</f>
        <v/>
      </c>
    </row>
    <row r="139" spans="2:9" x14ac:dyDescent="0.3">
      <c r="B139" s="2" t="str">
        <f>IF(A139&lt;&gt;"",VLOOKUP(Alunos!A139,Exame!A3:C1000,3, FALSE),"")</f>
        <v/>
      </c>
      <c r="C139" s="2" t="str">
        <f>IF(A139&lt;&gt;"",VLOOKUP(Alunos!A139,Agrupamentos!A3:B1000,2, FALSE),"")</f>
        <v/>
      </c>
      <c r="D139" s="2" t="str">
        <f>IF(A139&lt;&gt;"",VLOOKUP(Alunos!C139,'TP1'!A3:C1000,3, FALSE),"")</f>
        <v/>
      </c>
      <c r="E139" s="2" t="str">
        <f>IF(A139&lt;&gt;"", SUMIF(B1:D1,"&lt;&gt;",B139:D139),"")</f>
        <v/>
      </c>
      <c r="F139" s="2" t="str">
        <f>IF(AND(A139&lt;&gt;"",E139&lt;&gt;""),ROUND(E139,0),"")</f>
        <v/>
      </c>
      <c r="G139" s="2" t="str">
        <f>IF(A139&lt;&gt;"",VLOOKUP(Alunos!A139,Recurso!A3:C1000,3, FALSE),"")</f>
        <v/>
      </c>
      <c r="H139" s="2" t="str">
        <f>IF(OR(A139&lt;&gt;"",G139&lt;&gt;""), SUMIFS(B139:G139,B1:G1,"&lt;&gt;",B2:G2,"&lt;&gt;Exame",B2:G2,"&lt;&gt;exame",B2:G2,"&lt;&gt;Nota",B2:G2,"&lt;&gt;Total"),"")</f>
        <v/>
      </c>
      <c r="I139" s="2" t="str">
        <f>IF(AND(A139&lt;&gt;"",H139&lt;&gt;""),ROUND(H139,0),"")</f>
        <v/>
      </c>
    </row>
    <row r="140" spans="2:9" x14ac:dyDescent="0.3">
      <c r="B140" s="2" t="str">
        <f>IF(A140&lt;&gt;"",VLOOKUP(Alunos!A140,Exame!A3:C1000,3, FALSE),"")</f>
        <v/>
      </c>
      <c r="C140" s="2" t="str">
        <f>IF(A140&lt;&gt;"",VLOOKUP(Alunos!A140,Agrupamentos!A3:B1000,2, FALSE),"")</f>
        <v/>
      </c>
      <c r="D140" s="2" t="str">
        <f>IF(A140&lt;&gt;"",VLOOKUP(Alunos!C140,'TP1'!A3:C1000,3, FALSE),"")</f>
        <v/>
      </c>
      <c r="E140" s="2" t="str">
        <f>IF(A140&lt;&gt;"", SUMIF(B1:D1,"&lt;&gt;",B140:D140),"")</f>
        <v/>
      </c>
      <c r="F140" s="2" t="str">
        <f>IF(AND(A140&lt;&gt;"",E140&lt;&gt;""),ROUND(E140,0),"")</f>
        <v/>
      </c>
      <c r="G140" s="2" t="str">
        <f>IF(A140&lt;&gt;"",VLOOKUP(Alunos!A140,Recurso!A3:C1000,3, FALSE),"")</f>
        <v/>
      </c>
      <c r="H140" s="2" t="str">
        <f>IF(OR(A140&lt;&gt;"",G140&lt;&gt;""), SUMIFS(B140:G140,B1:G1,"&lt;&gt;",B2:G2,"&lt;&gt;Exame",B2:G2,"&lt;&gt;exame",B2:G2,"&lt;&gt;Nota",B2:G2,"&lt;&gt;Total"),"")</f>
        <v/>
      </c>
      <c r="I140" s="2" t="str">
        <f>IF(AND(A140&lt;&gt;"",H140&lt;&gt;""),ROUND(H140,0),"")</f>
        <v/>
      </c>
    </row>
    <row r="141" spans="2:9" x14ac:dyDescent="0.3">
      <c r="B141" s="2" t="str">
        <f>IF(A141&lt;&gt;"",VLOOKUP(Alunos!A141,Exame!A3:C1000,3, FALSE),"")</f>
        <v/>
      </c>
      <c r="C141" s="2" t="str">
        <f>IF(A141&lt;&gt;"",VLOOKUP(Alunos!A141,Agrupamentos!A3:B1000,2, FALSE),"")</f>
        <v/>
      </c>
      <c r="D141" s="2" t="str">
        <f>IF(A141&lt;&gt;"",VLOOKUP(Alunos!C141,'TP1'!A3:C1000,3, FALSE),"")</f>
        <v/>
      </c>
      <c r="E141" s="2" t="str">
        <f>IF(A141&lt;&gt;"", SUMIF(B1:D1,"&lt;&gt;",B141:D141),"")</f>
        <v/>
      </c>
      <c r="F141" s="2" t="str">
        <f>IF(AND(A141&lt;&gt;"",E141&lt;&gt;""),ROUND(E141,0),"")</f>
        <v/>
      </c>
      <c r="G141" s="2" t="str">
        <f>IF(A141&lt;&gt;"",VLOOKUP(Alunos!A141,Recurso!A3:C1000,3, FALSE),"")</f>
        <v/>
      </c>
      <c r="H141" s="2" t="str">
        <f>IF(OR(A141&lt;&gt;"",G141&lt;&gt;""), SUMIFS(B141:G141,B1:G1,"&lt;&gt;",B2:G2,"&lt;&gt;Exame",B2:G2,"&lt;&gt;exame",B2:G2,"&lt;&gt;Nota",B2:G2,"&lt;&gt;Total"),"")</f>
        <v/>
      </c>
      <c r="I141" s="2" t="str">
        <f>IF(AND(A141&lt;&gt;"",H141&lt;&gt;""),ROUND(H141,0),"")</f>
        <v/>
      </c>
    </row>
    <row r="142" spans="2:9" x14ac:dyDescent="0.3">
      <c r="B142" s="2" t="str">
        <f>IF(A142&lt;&gt;"",VLOOKUP(Alunos!A142,Exame!A3:C1000,3, FALSE),"")</f>
        <v/>
      </c>
      <c r="C142" s="2" t="str">
        <f>IF(A142&lt;&gt;"",VLOOKUP(Alunos!A142,Agrupamentos!A3:B1000,2, FALSE),"")</f>
        <v/>
      </c>
      <c r="D142" s="2" t="str">
        <f>IF(A142&lt;&gt;"",VLOOKUP(Alunos!C142,'TP1'!A3:C1000,3, FALSE),"")</f>
        <v/>
      </c>
      <c r="E142" s="2" t="str">
        <f>IF(A142&lt;&gt;"", SUMIF(B1:D1,"&lt;&gt;",B142:D142),"")</f>
        <v/>
      </c>
      <c r="F142" s="2" t="str">
        <f>IF(AND(A142&lt;&gt;"",E142&lt;&gt;""),ROUND(E142,0),"")</f>
        <v/>
      </c>
      <c r="G142" s="2" t="str">
        <f>IF(A142&lt;&gt;"",VLOOKUP(Alunos!A142,Recurso!A3:C1000,3, FALSE),"")</f>
        <v/>
      </c>
      <c r="H142" s="2" t="str">
        <f>IF(OR(A142&lt;&gt;"",G142&lt;&gt;""), SUMIFS(B142:G142,B1:G1,"&lt;&gt;",B2:G2,"&lt;&gt;Exame",B2:G2,"&lt;&gt;exame",B2:G2,"&lt;&gt;Nota",B2:G2,"&lt;&gt;Total"),"")</f>
        <v/>
      </c>
      <c r="I142" s="2" t="str">
        <f>IF(AND(A142&lt;&gt;"",H142&lt;&gt;""),ROUND(H142,0),"")</f>
        <v/>
      </c>
    </row>
    <row r="143" spans="2:9" x14ac:dyDescent="0.3">
      <c r="B143" s="2" t="str">
        <f>IF(A143&lt;&gt;"",VLOOKUP(Alunos!A143,Exame!A3:C1000,3, FALSE),"")</f>
        <v/>
      </c>
      <c r="C143" s="2" t="str">
        <f>IF(A143&lt;&gt;"",VLOOKUP(Alunos!A143,Agrupamentos!A3:B1000,2, FALSE),"")</f>
        <v/>
      </c>
      <c r="D143" s="2" t="str">
        <f>IF(A143&lt;&gt;"",VLOOKUP(Alunos!C143,'TP1'!A3:C1000,3, FALSE),"")</f>
        <v/>
      </c>
      <c r="E143" s="2" t="str">
        <f>IF(A143&lt;&gt;"", SUMIF(B1:D1,"&lt;&gt;",B143:D143),"")</f>
        <v/>
      </c>
      <c r="F143" s="2" t="str">
        <f>IF(AND(A143&lt;&gt;"",E143&lt;&gt;""),ROUND(E143,0),"")</f>
        <v/>
      </c>
      <c r="G143" s="2" t="str">
        <f>IF(A143&lt;&gt;"",VLOOKUP(Alunos!A143,Recurso!A3:C1000,3, FALSE),"")</f>
        <v/>
      </c>
      <c r="H143" s="2" t="str">
        <f>IF(OR(A143&lt;&gt;"",G143&lt;&gt;""), SUMIFS(B143:G143,B1:G1,"&lt;&gt;",B2:G2,"&lt;&gt;Exame",B2:G2,"&lt;&gt;exame",B2:G2,"&lt;&gt;Nota",B2:G2,"&lt;&gt;Total"),"")</f>
        <v/>
      </c>
      <c r="I143" s="2" t="str">
        <f>IF(AND(A143&lt;&gt;"",H143&lt;&gt;""),ROUND(H143,0),"")</f>
        <v/>
      </c>
    </row>
    <row r="144" spans="2:9" x14ac:dyDescent="0.3">
      <c r="B144" s="2" t="str">
        <f>IF(A144&lt;&gt;"",VLOOKUP(Alunos!A144,Exame!A3:C1000,3, FALSE),"")</f>
        <v/>
      </c>
      <c r="C144" s="2" t="str">
        <f>IF(A144&lt;&gt;"",VLOOKUP(Alunos!A144,Agrupamentos!A3:B1000,2, FALSE),"")</f>
        <v/>
      </c>
      <c r="D144" s="2" t="str">
        <f>IF(A144&lt;&gt;"",VLOOKUP(Alunos!C144,'TP1'!A3:C1000,3, FALSE),"")</f>
        <v/>
      </c>
      <c r="E144" s="2" t="str">
        <f>IF(A144&lt;&gt;"", SUMIF(B1:D1,"&lt;&gt;",B144:D144),"")</f>
        <v/>
      </c>
      <c r="F144" s="2" t="str">
        <f>IF(AND(A144&lt;&gt;"",E144&lt;&gt;""),ROUND(E144,0),"")</f>
        <v/>
      </c>
      <c r="G144" s="2" t="str">
        <f>IF(A144&lt;&gt;"",VLOOKUP(Alunos!A144,Recurso!A3:C1000,3, FALSE),"")</f>
        <v/>
      </c>
      <c r="H144" s="2" t="str">
        <f>IF(OR(A144&lt;&gt;"",G144&lt;&gt;""), SUMIFS(B144:G144,B1:G1,"&lt;&gt;",B2:G2,"&lt;&gt;Exame",B2:G2,"&lt;&gt;exame",B2:G2,"&lt;&gt;Nota",B2:G2,"&lt;&gt;Total"),"")</f>
        <v/>
      </c>
      <c r="I144" s="2" t="str">
        <f>IF(AND(A144&lt;&gt;"",H144&lt;&gt;""),ROUND(H144,0),"")</f>
        <v/>
      </c>
    </row>
    <row r="145" spans="2:9" x14ac:dyDescent="0.3">
      <c r="B145" s="2" t="str">
        <f>IF(A145&lt;&gt;"",VLOOKUP(Alunos!A145,Exame!A3:C1000,3, FALSE),"")</f>
        <v/>
      </c>
      <c r="C145" s="2" t="str">
        <f>IF(A145&lt;&gt;"",VLOOKUP(Alunos!A145,Agrupamentos!A3:B1000,2, FALSE),"")</f>
        <v/>
      </c>
      <c r="D145" s="2" t="str">
        <f>IF(A145&lt;&gt;"",VLOOKUP(Alunos!C145,'TP1'!A3:C1000,3, FALSE),"")</f>
        <v/>
      </c>
      <c r="E145" s="2" t="str">
        <f>IF(A145&lt;&gt;"", SUMIF(B1:D1,"&lt;&gt;",B145:D145),"")</f>
        <v/>
      </c>
      <c r="F145" s="2" t="str">
        <f>IF(AND(A145&lt;&gt;"",E145&lt;&gt;""),ROUND(E145,0),"")</f>
        <v/>
      </c>
      <c r="G145" s="2" t="str">
        <f>IF(A145&lt;&gt;"",VLOOKUP(Alunos!A145,Recurso!A3:C1000,3, FALSE),"")</f>
        <v/>
      </c>
      <c r="H145" s="2" t="str">
        <f>IF(OR(A145&lt;&gt;"",G145&lt;&gt;""), SUMIFS(B145:G145,B1:G1,"&lt;&gt;",B2:G2,"&lt;&gt;Exame",B2:G2,"&lt;&gt;exame",B2:G2,"&lt;&gt;Nota",B2:G2,"&lt;&gt;Total"),"")</f>
        <v/>
      </c>
      <c r="I145" s="2" t="str">
        <f>IF(AND(A145&lt;&gt;"",H145&lt;&gt;""),ROUND(H145,0),"")</f>
        <v/>
      </c>
    </row>
    <row r="146" spans="2:9" x14ac:dyDescent="0.3">
      <c r="B146" s="2" t="str">
        <f>IF(A146&lt;&gt;"",VLOOKUP(Alunos!A146,Exame!A3:C1000,3, FALSE),"")</f>
        <v/>
      </c>
      <c r="C146" s="2" t="str">
        <f>IF(A146&lt;&gt;"",VLOOKUP(Alunos!A146,Agrupamentos!A3:B1000,2, FALSE),"")</f>
        <v/>
      </c>
      <c r="D146" s="2" t="str">
        <f>IF(A146&lt;&gt;"",VLOOKUP(Alunos!C146,'TP1'!A3:C1000,3, FALSE),"")</f>
        <v/>
      </c>
      <c r="E146" s="2" t="str">
        <f>IF(A146&lt;&gt;"", SUMIF(B1:D1,"&lt;&gt;",B146:D146),"")</f>
        <v/>
      </c>
      <c r="F146" s="2" t="str">
        <f>IF(AND(A146&lt;&gt;"",E146&lt;&gt;""),ROUND(E146,0),"")</f>
        <v/>
      </c>
      <c r="G146" s="2" t="str">
        <f>IF(A146&lt;&gt;"",VLOOKUP(Alunos!A146,Recurso!A3:C1000,3, FALSE),"")</f>
        <v/>
      </c>
      <c r="H146" s="2" t="str">
        <f>IF(OR(A146&lt;&gt;"",G146&lt;&gt;""), SUMIFS(B146:G146,B1:G1,"&lt;&gt;",B2:G2,"&lt;&gt;Exame",B2:G2,"&lt;&gt;exame",B2:G2,"&lt;&gt;Nota",B2:G2,"&lt;&gt;Total"),"")</f>
        <v/>
      </c>
      <c r="I146" s="2" t="str">
        <f>IF(AND(A146&lt;&gt;"",H146&lt;&gt;""),ROUND(H146,0),"")</f>
        <v/>
      </c>
    </row>
    <row r="147" spans="2:9" x14ac:dyDescent="0.3">
      <c r="B147" s="2" t="str">
        <f>IF(A147&lt;&gt;"",VLOOKUP(Alunos!A147,Exame!A3:C1000,3, FALSE),"")</f>
        <v/>
      </c>
      <c r="C147" s="2" t="str">
        <f>IF(A147&lt;&gt;"",VLOOKUP(Alunos!A147,Agrupamentos!A3:B1000,2, FALSE),"")</f>
        <v/>
      </c>
      <c r="D147" s="2" t="str">
        <f>IF(A147&lt;&gt;"",VLOOKUP(Alunos!C147,'TP1'!A3:C1000,3, FALSE),"")</f>
        <v/>
      </c>
      <c r="E147" s="2" t="str">
        <f>IF(A147&lt;&gt;"", SUMIF(B1:D1,"&lt;&gt;",B147:D147),"")</f>
        <v/>
      </c>
      <c r="F147" s="2" t="str">
        <f>IF(AND(A147&lt;&gt;"",E147&lt;&gt;""),ROUND(E147,0),"")</f>
        <v/>
      </c>
      <c r="G147" s="2" t="str">
        <f>IF(A147&lt;&gt;"",VLOOKUP(Alunos!A147,Recurso!A3:C1000,3, FALSE),"")</f>
        <v/>
      </c>
      <c r="H147" s="2" t="str">
        <f>IF(OR(A147&lt;&gt;"",G147&lt;&gt;""), SUMIFS(B147:G147,B1:G1,"&lt;&gt;",B2:G2,"&lt;&gt;Exame",B2:G2,"&lt;&gt;exame",B2:G2,"&lt;&gt;Nota",B2:G2,"&lt;&gt;Total"),"")</f>
        <v/>
      </c>
      <c r="I147" s="2" t="str">
        <f>IF(AND(A147&lt;&gt;"",H147&lt;&gt;""),ROUND(H147,0),"")</f>
        <v/>
      </c>
    </row>
    <row r="148" spans="2:9" x14ac:dyDescent="0.3">
      <c r="B148" s="2" t="str">
        <f>IF(A148&lt;&gt;"",VLOOKUP(Alunos!A148,Exame!A3:C1000,3, FALSE),"")</f>
        <v/>
      </c>
      <c r="C148" s="2" t="str">
        <f>IF(A148&lt;&gt;"",VLOOKUP(Alunos!A148,Agrupamentos!A3:B1000,2, FALSE),"")</f>
        <v/>
      </c>
      <c r="D148" s="2" t="str">
        <f>IF(A148&lt;&gt;"",VLOOKUP(Alunos!C148,'TP1'!A3:C1000,3, FALSE),"")</f>
        <v/>
      </c>
      <c r="E148" s="2" t="str">
        <f>IF(A148&lt;&gt;"", SUMIF(B1:D1,"&lt;&gt;",B148:D148),"")</f>
        <v/>
      </c>
      <c r="F148" s="2" t="str">
        <f>IF(AND(A148&lt;&gt;"",E148&lt;&gt;""),ROUND(E148,0),"")</f>
        <v/>
      </c>
      <c r="G148" s="2" t="str">
        <f>IF(A148&lt;&gt;"",VLOOKUP(Alunos!A148,Recurso!A3:C1000,3, FALSE),"")</f>
        <v/>
      </c>
      <c r="H148" s="2" t="str">
        <f>IF(OR(A148&lt;&gt;"",G148&lt;&gt;""), SUMIFS(B148:G148,B1:G1,"&lt;&gt;",B2:G2,"&lt;&gt;Exame",B2:G2,"&lt;&gt;exame",B2:G2,"&lt;&gt;Nota",B2:G2,"&lt;&gt;Total"),"")</f>
        <v/>
      </c>
      <c r="I148" s="2" t="str">
        <f>IF(AND(A148&lt;&gt;"",H148&lt;&gt;""),ROUND(H148,0),"")</f>
        <v/>
      </c>
    </row>
    <row r="149" spans="2:9" x14ac:dyDescent="0.3">
      <c r="B149" s="2" t="str">
        <f>IF(A149&lt;&gt;"",VLOOKUP(Alunos!A149,Exame!A3:C1000,3, FALSE),"")</f>
        <v/>
      </c>
      <c r="C149" s="2" t="str">
        <f>IF(A149&lt;&gt;"",VLOOKUP(Alunos!A149,Agrupamentos!A3:B1000,2, FALSE),"")</f>
        <v/>
      </c>
      <c r="D149" s="2" t="str">
        <f>IF(A149&lt;&gt;"",VLOOKUP(Alunos!C149,'TP1'!A3:C1000,3, FALSE),"")</f>
        <v/>
      </c>
      <c r="E149" s="2" t="str">
        <f>IF(A149&lt;&gt;"", SUMIF(B1:D1,"&lt;&gt;",B149:D149),"")</f>
        <v/>
      </c>
      <c r="F149" s="2" t="str">
        <f>IF(AND(A149&lt;&gt;"",E149&lt;&gt;""),ROUND(E149,0),"")</f>
        <v/>
      </c>
      <c r="G149" s="2" t="str">
        <f>IF(A149&lt;&gt;"",VLOOKUP(Alunos!A149,Recurso!A3:C1000,3, FALSE),"")</f>
        <v/>
      </c>
      <c r="H149" s="2" t="str">
        <f>IF(OR(A149&lt;&gt;"",G149&lt;&gt;""), SUMIFS(B149:G149,B1:G1,"&lt;&gt;",B2:G2,"&lt;&gt;Exame",B2:G2,"&lt;&gt;exame",B2:G2,"&lt;&gt;Nota",B2:G2,"&lt;&gt;Total"),"")</f>
        <v/>
      </c>
      <c r="I149" s="2" t="str">
        <f>IF(AND(A149&lt;&gt;"",H149&lt;&gt;""),ROUND(H149,0),"")</f>
        <v/>
      </c>
    </row>
    <row r="150" spans="2:9" x14ac:dyDescent="0.3">
      <c r="B150" s="2" t="str">
        <f>IF(A150&lt;&gt;"",VLOOKUP(Alunos!A150,Exame!A3:C1000,3, FALSE),"")</f>
        <v/>
      </c>
      <c r="C150" s="2" t="str">
        <f>IF(A150&lt;&gt;"",VLOOKUP(Alunos!A150,Agrupamentos!A3:B1000,2, FALSE),"")</f>
        <v/>
      </c>
      <c r="D150" s="2" t="str">
        <f>IF(A150&lt;&gt;"",VLOOKUP(Alunos!C150,'TP1'!A3:C1000,3, FALSE),"")</f>
        <v/>
      </c>
      <c r="E150" s="2" t="str">
        <f>IF(A150&lt;&gt;"", SUMIF(B1:D1,"&lt;&gt;",B150:D150),"")</f>
        <v/>
      </c>
      <c r="F150" s="2" t="str">
        <f>IF(AND(A150&lt;&gt;"",E150&lt;&gt;""),ROUND(E150,0),"")</f>
        <v/>
      </c>
      <c r="G150" s="2" t="str">
        <f>IF(A150&lt;&gt;"",VLOOKUP(Alunos!A150,Recurso!A3:C1000,3, FALSE),"")</f>
        <v/>
      </c>
      <c r="H150" s="2" t="str">
        <f>IF(OR(A150&lt;&gt;"",G150&lt;&gt;""), SUMIFS(B150:G150,B1:G1,"&lt;&gt;",B2:G2,"&lt;&gt;Exame",B2:G2,"&lt;&gt;exame",B2:G2,"&lt;&gt;Nota",B2:G2,"&lt;&gt;Total"),"")</f>
        <v/>
      </c>
      <c r="I150" s="2" t="str">
        <f>IF(AND(A150&lt;&gt;"",H150&lt;&gt;""),ROUND(H150,0),"")</f>
        <v/>
      </c>
    </row>
    <row r="151" spans="2:9" x14ac:dyDescent="0.3">
      <c r="B151" s="2" t="str">
        <f>IF(A151&lt;&gt;"",VLOOKUP(Alunos!A151,Exame!A3:C1000,3, FALSE),"")</f>
        <v/>
      </c>
      <c r="C151" s="2" t="str">
        <f>IF(A151&lt;&gt;"",VLOOKUP(Alunos!A151,Agrupamentos!A3:B1000,2, FALSE),"")</f>
        <v/>
      </c>
      <c r="D151" s="2" t="str">
        <f>IF(A151&lt;&gt;"",VLOOKUP(Alunos!C151,'TP1'!A3:C1000,3, FALSE),"")</f>
        <v/>
      </c>
      <c r="E151" s="2" t="str">
        <f>IF(A151&lt;&gt;"", SUMIF(B1:D1,"&lt;&gt;",B151:D151),"")</f>
        <v/>
      </c>
      <c r="F151" s="2" t="str">
        <f>IF(AND(A151&lt;&gt;"",E151&lt;&gt;""),ROUND(E151,0),"")</f>
        <v/>
      </c>
      <c r="G151" s="2" t="str">
        <f>IF(A151&lt;&gt;"",VLOOKUP(Alunos!A151,Recurso!A3:C1000,3, FALSE),"")</f>
        <v/>
      </c>
      <c r="H151" s="2" t="str">
        <f>IF(OR(A151&lt;&gt;"",G151&lt;&gt;""), SUMIFS(B151:G151,B1:G1,"&lt;&gt;",B2:G2,"&lt;&gt;Exame",B2:G2,"&lt;&gt;exame",B2:G2,"&lt;&gt;Nota",B2:G2,"&lt;&gt;Total"),"")</f>
        <v/>
      </c>
      <c r="I151" s="2" t="str">
        <f>IF(AND(A151&lt;&gt;"",H151&lt;&gt;""),ROUND(H151,0),"")</f>
        <v/>
      </c>
    </row>
    <row r="152" spans="2:9" x14ac:dyDescent="0.3">
      <c r="B152" s="2" t="str">
        <f>IF(A152&lt;&gt;"",VLOOKUP(Alunos!A152,Exame!A3:C1000,3, FALSE),"")</f>
        <v/>
      </c>
      <c r="C152" s="2" t="str">
        <f>IF(A152&lt;&gt;"",VLOOKUP(Alunos!A152,Agrupamentos!A3:B1000,2, FALSE),"")</f>
        <v/>
      </c>
      <c r="D152" s="2" t="str">
        <f>IF(A152&lt;&gt;"",VLOOKUP(Alunos!C152,'TP1'!A3:C1000,3, FALSE),"")</f>
        <v/>
      </c>
      <c r="E152" s="2" t="str">
        <f>IF(A152&lt;&gt;"", SUMIF(B1:D1,"&lt;&gt;",B152:D152),"")</f>
        <v/>
      </c>
      <c r="F152" s="2" t="str">
        <f>IF(AND(A152&lt;&gt;"",E152&lt;&gt;""),ROUND(E152,0),"")</f>
        <v/>
      </c>
      <c r="G152" s="2" t="str">
        <f>IF(A152&lt;&gt;"",VLOOKUP(Alunos!A152,Recurso!A3:C1000,3, FALSE),"")</f>
        <v/>
      </c>
      <c r="H152" s="2" t="str">
        <f>IF(OR(A152&lt;&gt;"",G152&lt;&gt;""), SUMIFS(B152:G152,B1:G1,"&lt;&gt;",B2:G2,"&lt;&gt;Exame",B2:G2,"&lt;&gt;exame",B2:G2,"&lt;&gt;Nota",B2:G2,"&lt;&gt;Total"),"")</f>
        <v/>
      </c>
      <c r="I152" s="2" t="str">
        <f>IF(AND(A152&lt;&gt;"",H152&lt;&gt;""),ROUND(H152,0),"")</f>
        <v/>
      </c>
    </row>
    <row r="153" spans="2:9" x14ac:dyDescent="0.3">
      <c r="B153" s="2" t="str">
        <f>IF(A153&lt;&gt;"",VLOOKUP(Alunos!A153,Exame!A3:C1000,3, FALSE),"")</f>
        <v/>
      </c>
      <c r="C153" s="2" t="str">
        <f>IF(A153&lt;&gt;"",VLOOKUP(Alunos!A153,Agrupamentos!A3:B1000,2, FALSE),"")</f>
        <v/>
      </c>
      <c r="D153" s="2" t="str">
        <f>IF(A153&lt;&gt;"",VLOOKUP(Alunos!C153,'TP1'!A3:C1000,3, FALSE),"")</f>
        <v/>
      </c>
      <c r="E153" s="2" t="str">
        <f>IF(A153&lt;&gt;"", SUMIF(B1:D1,"&lt;&gt;",B153:D153),"")</f>
        <v/>
      </c>
      <c r="F153" s="2" t="str">
        <f>IF(AND(A153&lt;&gt;"",E153&lt;&gt;""),ROUND(E153,0),"")</f>
        <v/>
      </c>
      <c r="G153" s="2" t="str">
        <f>IF(A153&lt;&gt;"",VLOOKUP(Alunos!A153,Recurso!A3:C1000,3, FALSE),"")</f>
        <v/>
      </c>
      <c r="H153" s="2" t="str">
        <f>IF(OR(A153&lt;&gt;"",G153&lt;&gt;""), SUMIFS(B153:G153,B1:G1,"&lt;&gt;",B2:G2,"&lt;&gt;Exame",B2:G2,"&lt;&gt;exame",B2:G2,"&lt;&gt;Nota",B2:G2,"&lt;&gt;Total"),"")</f>
        <v/>
      </c>
      <c r="I153" s="2" t="str">
        <f>IF(AND(A153&lt;&gt;"",H153&lt;&gt;""),ROUND(H153,0),"")</f>
        <v/>
      </c>
    </row>
    <row r="154" spans="2:9" x14ac:dyDescent="0.3">
      <c r="B154" s="2" t="str">
        <f>IF(A154&lt;&gt;"",VLOOKUP(Alunos!A154,Exame!A3:C1000,3, FALSE),"")</f>
        <v/>
      </c>
      <c r="C154" s="2" t="str">
        <f>IF(A154&lt;&gt;"",VLOOKUP(Alunos!A154,Agrupamentos!A3:B1000,2, FALSE),"")</f>
        <v/>
      </c>
      <c r="D154" s="2" t="str">
        <f>IF(A154&lt;&gt;"",VLOOKUP(Alunos!C154,'TP1'!A3:C1000,3, FALSE),"")</f>
        <v/>
      </c>
      <c r="E154" s="2" t="str">
        <f>IF(A154&lt;&gt;"", SUMIF(B1:D1,"&lt;&gt;",B154:D154),"")</f>
        <v/>
      </c>
      <c r="F154" s="2" t="str">
        <f>IF(AND(A154&lt;&gt;"",E154&lt;&gt;""),ROUND(E154,0),"")</f>
        <v/>
      </c>
      <c r="G154" s="2" t="str">
        <f>IF(A154&lt;&gt;"",VLOOKUP(Alunos!A154,Recurso!A3:C1000,3, FALSE),"")</f>
        <v/>
      </c>
      <c r="H154" s="2" t="str">
        <f>IF(OR(A154&lt;&gt;"",G154&lt;&gt;""), SUMIFS(B154:G154,B1:G1,"&lt;&gt;",B2:G2,"&lt;&gt;Exame",B2:G2,"&lt;&gt;exame",B2:G2,"&lt;&gt;Nota",B2:G2,"&lt;&gt;Total"),"")</f>
        <v/>
      </c>
      <c r="I154" s="2" t="str">
        <f>IF(AND(A154&lt;&gt;"",H154&lt;&gt;""),ROUND(H154,0),"")</f>
        <v/>
      </c>
    </row>
    <row r="155" spans="2:9" x14ac:dyDescent="0.3">
      <c r="B155" s="2" t="str">
        <f>IF(A155&lt;&gt;"",VLOOKUP(Alunos!A155,Exame!A3:C1000,3, FALSE),"")</f>
        <v/>
      </c>
      <c r="C155" s="2" t="str">
        <f>IF(A155&lt;&gt;"",VLOOKUP(Alunos!A155,Agrupamentos!A3:B1000,2, FALSE),"")</f>
        <v/>
      </c>
      <c r="D155" s="2" t="str">
        <f>IF(A155&lt;&gt;"",VLOOKUP(Alunos!C155,'TP1'!A3:C1000,3, FALSE),"")</f>
        <v/>
      </c>
      <c r="E155" s="2" t="str">
        <f>IF(A155&lt;&gt;"", SUMIF(B1:D1,"&lt;&gt;",B155:D155),"")</f>
        <v/>
      </c>
      <c r="F155" s="2" t="str">
        <f>IF(AND(A155&lt;&gt;"",E155&lt;&gt;""),ROUND(E155,0),"")</f>
        <v/>
      </c>
      <c r="G155" s="2" t="str">
        <f>IF(A155&lt;&gt;"",VLOOKUP(Alunos!A155,Recurso!A3:C1000,3, FALSE),"")</f>
        <v/>
      </c>
      <c r="H155" s="2" t="str">
        <f>IF(OR(A155&lt;&gt;"",G155&lt;&gt;""), SUMIFS(B155:G155,B1:G1,"&lt;&gt;",B2:G2,"&lt;&gt;Exame",B2:G2,"&lt;&gt;exame",B2:G2,"&lt;&gt;Nota",B2:G2,"&lt;&gt;Total"),"")</f>
        <v/>
      </c>
      <c r="I155" s="2" t="str">
        <f>IF(AND(A155&lt;&gt;"",H155&lt;&gt;""),ROUND(H155,0),"")</f>
        <v/>
      </c>
    </row>
    <row r="156" spans="2:9" x14ac:dyDescent="0.3">
      <c r="B156" s="2" t="str">
        <f>IF(A156&lt;&gt;"",VLOOKUP(Alunos!A156,Exame!A3:C1000,3, FALSE),"")</f>
        <v/>
      </c>
      <c r="C156" s="2" t="str">
        <f>IF(A156&lt;&gt;"",VLOOKUP(Alunos!A156,Agrupamentos!A3:B1000,2, FALSE),"")</f>
        <v/>
      </c>
      <c r="D156" s="2" t="str">
        <f>IF(A156&lt;&gt;"",VLOOKUP(Alunos!C156,'TP1'!A3:C1000,3, FALSE),"")</f>
        <v/>
      </c>
      <c r="E156" s="2" t="str">
        <f>IF(A156&lt;&gt;"", SUMIF(B1:D1,"&lt;&gt;",B156:D156),"")</f>
        <v/>
      </c>
      <c r="F156" s="2" t="str">
        <f>IF(AND(A156&lt;&gt;"",E156&lt;&gt;""),ROUND(E156,0),"")</f>
        <v/>
      </c>
      <c r="G156" s="2" t="str">
        <f>IF(A156&lt;&gt;"",VLOOKUP(Alunos!A156,Recurso!A3:C1000,3, FALSE),"")</f>
        <v/>
      </c>
      <c r="H156" s="2" t="str">
        <f>IF(OR(A156&lt;&gt;"",G156&lt;&gt;""), SUMIFS(B156:G156,B1:G1,"&lt;&gt;",B2:G2,"&lt;&gt;Exame",B2:G2,"&lt;&gt;exame",B2:G2,"&lt;&gt;Nota",B2:G2,"&lt;&gt;Total"),"")</f>
        <v/>
      </c>
      <c r="I156" s="2" t="str">
        <f>IF(AND(A156&lt;&gt;"",H156&lt;&gt;""),ROUND(H156,0),"")</f>
        <v/>
      </c>
    </row>
    <row r="157" spans="2:9" x14ac:dyDescent="0.3">
      <c r="B157" s="2" t="str">
        <f>IF(A157&lt;&gt;"",VLOOKUP(Alunos!A157,Exame!A3:C1000,3, FALSE),"")</f>
        <v/>
      </c>
      <c r="C157" s="2" t="str">
        <f>IF(A157&lt;&gt;"",VLOOKUP(Alunos!A157,Agrupamentos!A3:B1000,2, FALSE),"")</f>
        <v/>
      </c>
      <c r="D157" s="2" t="str">
        <f>IF(A157&lt;&gt;"",VLOOKUP(Alunos!C157,'TP1'!A3:C1000,3, FALSE),"")</f>
        <v/>
      </c>
      <c r="E157" s="2" t="str">
        <f>IF(A157&lt;&gt;"", SUMIF(B1:D1,"&lt;&gt;",B157:D157),"")</f>
        <v/>
      </c>
      <c r="F157" s="2" t="str">
        <f>IF(AND(A157&lt;&gt;"",E157&lt;&gt;""),ROUND(E157,0),"")</f>
        <v/>
      </c>
      <c r="G157" s="2" t="str">
        <f>IF(A157&lt;&gt;"",VLOOKUP(Alunos!A157,Recurso!A3:C1000,3, FALSE),"")</f>
        <v/>
      </c>
      <c r="H157" s="2" t="str">
        <f>IF(OR(A157&lt;&gt;"",G157&lt;&gt;""), SUMIFS(B157:G157,B1:G1,"&lt;&gt;",B2:G2,"&lt;&gt;Exame",B2:G2,"&lt;&gt;exame",B2:G2,"&lt;&gt;Nota",B2:G2,"&lt;&gt;Total"),"")</f>
        <v/>
      </c>
      <c r="I157" s="2" t="str">
        <f>IF(AND(A157&lt;&gt;"",H157&lt;&gt;""),ROUND(H157,0),"")</f>
        <v/>
      </c>
    </row>
    <row r="158" spans="2:9" x14ac:dyDescent="0.3">
      <c r="B158" s="2" t="str">
        <f>IF(A158&lt;&gt;"",VLOOKUP(Alunos!A158,Exame!A3:C1000,3, FALSE),"")</f>
        <v/>
      </c>
      <c r="C158" s="2" t="str">
        <f>IF(A158&lt;&gt;"",VLOOKUP(Alunos!A158,Agrupamentos!A3:B1000,2, FALSE),"")</f>
        <v/>
      </c>
      <c r="D158" s="2" t="str">
        <f>IF(A158&lt;&gt;"",VLOOKUP(Alunos!C158,'TP1'!A3:C1000,3, FALSE),"")</f>
        <v/>
      </c>
      <c r="E158" s="2" t="str">
        <f>IF(A158&lt;&gt;"", SUMIF(B1:D1,"&lt;&gt;",B158:D158),"")</f>
        <v/>
      </c>
      <c r="F158" s="2" t="str">
        <f>IF(AND(A158&lt;&gt;"",E158&lt;&gt;""),ROUND(E158,0),"")</f>
        <v/>
      </c>
      <c r="G158" s="2" t="str">
        <f>IF(A158&lt;&gt;"",VLOOKUP(Alunos!A158,Recurso!A3:C1000,3, FALSE),"")</f>
        <v/>
      </c>
      <c r="H158" s="2" t="str">
        <f>IF(OR(A158&lt;&gt;"",G158&lt;&gt;""), SUMIFS(B158:G158,B1:G1,"&lt;&gt;",B2:G2,"&lt;&gt;Exame",B2:G2,"&lt;&gt;exame",B2:G2,"&lt;&gt;Nota",B2:G2,"&lt;&gt;Total"),"")</f>
        <v/>
      </c>
      <c r="I158" s="2" t="str">
        <f>IF(AND(A158&lt;&gt;"",H158&lt;&gt;""),ROUND(H158,0),"")</f>
        <v/>
      </c>
    </row>
    <row r="159" spans="2:9" x14ac:dyDescent="0.3">
      <c r="B159" s="2" t="str">
        <f>IF(A159&lt;&gt;"",VLOOKUP(Alunos!A159,Exame!A3:C1000,3, FALSE),"")</f>
        <v/>
      </c>
      <c r="C159" s="2" t="str">
        <f>IF(A159&lt;&gt;"",VLOOKUP(Alunos!A159,Agrupamentos!A3:B1000,2, FALSE),"")</f>
        <v/>
      </c>
      <c r="D159" s="2" t="str">
        <f>IF(A159&lt;&gt;"",VLOOKUP(Alunos!C159,'TP1'!A3:C1000,3, FALSE),"")</f>
        <v/>
      </c>
      <c r="E159" s="2" t="str">
        <f>IF(A159&lt;&gt;"", SUMIF(B1:D1,"&lt;&gt;",B159:D159),"")</f>
        <v/>
      </c>
      <c r="F159" s="2" t="str">
        <f>IF(AND(A159&lt;&gt;"",E159&lt;&gt;""),ROUND(E159,0),"")</f>
        <v/>
      </c>
      <c r="G159" s="2" t="str">
        <f>IF(A159&lt;&gt;"",VLOOKUP(Alunos!A159,Recurso!A3:C1000,3, FALSE),"")</f>
        <v/>
      </c>
      <c r="H159" s="2" t="str">
        <f>IF(OR(A159&lt;&gt;"",G159&lt;&gt;""), SUMIFS(B159:G159,B1:G1,"&lt;&gt;",B2:G2,"&lt;&gt;Exame",B2:G2,"&lt;&gt;exame",B2:G2,"&lt;&gt;Nota",B2:G2,"&lt;&gt;Total"),"")</f>
        <v/>
      </c>
      <c r="I159" s="2" t="str">
        <f>IF(AND(A159&lt;&gt;"",H159&lt;&gt;""),ROUND(H159,0),"")</f>
        <v/>
      </c>
    </row>
    <row r="160" spans="2:9" x14ac:dyDescent="0.3">
      <c r="B160" s="2" t="str">
        <f>IF(A160&lt;&gt;"",VLOOKUP(Alunos!A160,Exame!A3:C1000,3, FALSE),"")</f>
        <v/>
      </c>
      <c r="C160" s="2" t="str">
        <f>IF(A160&lt;&gt;"",VLOOKUP(Alunos!A160,Agrupamentos!A3:B1000,2, FALSE),"")</f>
        <v/>
      </c>
      <c r="D160" s="2" t="str">
        <f>IF(A160&lt;&gt;"",VLOOKUP(Alunos!C160,'TP1'!A3:C1000,3, FALSE),"")</f>
        <v/>
      </c>
      <c r="E160" s="2" t="str">
        <f>IF(A160&lt;&gt;"", SUMIF(B1:D1,"&lt;&gt;",B160:D160),"")</f>
        <v/>
      </c>
      <c r="F160" s="2" t="str">
        <f>IF(AND(A160&lt;&gt;"",E160&lt;&gt;""),ROUND(E160,0),"")</f>
        <v/>
      </c>
      <c r="G160" s="2" t="str">
        <f>IF(A160&lt;&gt;"",VLOOKUP(Alunos!A160,Recurso!A3:C1000,3, FALSE),"")</f>
        <v/>
      </c>
      <c r="H160" s="2" t="str">
        <f>IF(OR(A160&lt;&gt;"",G160&lt;&gt;""), SUMIFS(B160:G160,B1:G1,"&lt;&gt;",B2:G2,"&lt;&gt;Exame",B2:G2,"&lt;&gt;exame",B2:G2,"&lt;&gt;Nota",B2:G2,"&lt;&gt;Total"),"")</f>
        <v/>
      </c>
      <c r="I160" s="2" t="str">
        <f>IF(AND(A160&lt;&gt;"",H160&lt;&gt;""),ROUND(H160,0),"")</f>
        <v/>
      </c>
    </row>
    <row r="161" spans="2:9" x14ac:dyDescent="0.3">
      <c r="B161" s="2" t="str">
        <f>IF(A161&lt;&gt;"",VLOOKUP(Alunos!A161,Exame!A3:C1000,3, FALSE),"")</f>
        <v/>
      </c>
      <c r="C161" s="2" t="str">
        <f>IF(A161&lt;&gt;"",VLOOKUP(Alunos!A161,Agrupamentos!A3:B1000,2, FALSE),"")</f>
        <v/>
      </c>
      <c r="D161" s="2" t="str">
        <f>IF(A161&lt;&gt;"",VLOOKUP(Alunos!C161,'TP1'!A3:C1000,3, FALSE),"")</f>
        <v/>
      </c>
      <c r="E161" s="2" t="str">
        <f>IF(A161&lt;&gt;"", SUMIF(B1:D1,"&lt;&gt;",B161:D161),"")</f>
        <v/>
      </c>
      <c r="F161" s="2" t="str">
        <f>IF(AND(A161&lt;&gt;"",E161&lt;&gt;""),ROUND(E161,0),"")</f>
        <v/>
      </c>
      <c r="G161" s="2" t="str">
        <f>IF(A161&lt;&gt;"",VLOOKUP(Alunos!A161,Recurso!A3:C1000,3, FALSE),"")</f>
        <v/>
      </c>
      <c r="H161" s="2" t="str">
        <f>IF(OR(A161&lt;&gt;"",G161&lt;&gt;""), SUMIFS(B161:G161,B1:G1,"&lt;&gt;",B2:G2,"&lt;&gt;Exame",B2:G2,"&lt;&gt;exame",B2:G2,"&lt;&gt;Nota",B2:G2,"&lt;&gt;Total"),"")</f>
        <v/>
      </c>
      <c r="I161" s="2" t="str">
        <f>IF(AND(A161&lt;&gt;"",H161&lt;&gt;""),ROUND(H161,0),"")</f>
        <v/>
      </c>
    </row>
    <row r="162" spans="2:9" x14ac:dyDescent="0.3">
      <c r="B162" s="2" t="str">
        <f>IF(A162&lt;&gt;"",VLOOKUP(Alunos!A162,Exame!A3:C1000,3, FALSE),"")</f>
        <v/>
      </c>
      <c r="C162" s="2" t="str">
        <f>IF(A162&lt;&gt;"",VLOOKUP(Alunos!A162,Agrupamentos!A3:B1000,2, FALSE),"")</f>
        <v/>
      </c>
      <c r="D162" s="2" t="str">
        <f>IF(A162&lt;&gt;"",VLOOKUP(Alunos!C162,'TP1'!A3:C1000,3, FALSE),"")</f>
        <v/>
      </c>
      <c r="E162" s="2" t="str">
        <f>IF(A162&lt;&gt;"", SUMIF(B1:D1,"&lt;&gt;",B162:D162),"")</f>
        <v/>
      </c>
      <c r="F162" s="2" t="str">
        <f>IF(AND(A162&lt;&gt;"",E162&lt;&gt;""),ROUND(E162,0),"")</f>
        <v/>
      </c>
      <c r="G162" s="2" t="str">
        <f>IF(A162&lt;&gt;"",VLOOKUP(Alunos!A162,Recurso!A3:C1000,3, FALSE),"")</f>
        <v/>
      </c>
      <c r="H162" s="2" t="str">
        <f>IF(OR(A162&lt;&gt;"",G162&lt;&gt;""), SUMIFS(B162:G162,B1:G1,"&lt;&gt;",B2:G2,"&lt;&gt;Exame",B2:G2,"&lt;&gt;exame",B2:G2,"&lt;&gt;Nota",B2:G2,"&lt;&gt;Total"),"")</f>
        <v/>
      </c>
      <c r="I162" s="2" t="str">
        <f>IF(AND(A162&lt;&gt;"",H162&lt;&gt;""),ROUND(H162,0),"")</f>
        <v/>
      </c>
    </row>
    <row r="163" spans="2:9" x14ac:dyDescent="0.3">
      <c r="B163" s="2" t="str">
        <f>IF(A163&lt;&gt;"",VLOOKUP(Alunos!A163,Exame!A3:C1000,3, FALSE),"")</f>
        <v/>
      </c>
      <c r="C163" s="2" t="str">
        <f>IF(A163&lt;&gt;"",VLOOKUP(Alunos!A163,Agrupamentos!A3:B1000,2, FALSE),"")</f>
        <v/>
      </c>
      <c r="D163" s="2" t="str">
        <f>IF(A163&lt;&gt;"",VLOOKUP(Alunos!C163,'TP1'!A3:C1000,3, FALSE),"")</f>
        <v/>
      </c>
      <c r="E163" s="2" t="str">
        <f>IF(A163&lt;&gt;"", SUMIF(B1:D1,"&lt;&gt;",B163:D163),"")</f>
        <v/>
      </c>
      <c r="F163" s="2" t="str">
        <f>IF(AND(A163&lt;&gt;"",E163&lt;&gt;""),ROUND(E163,0),"")</f>
        <v/>
      </c>
      <c r="G163" s="2" t="str">
        <f>IF(A163&lt;&gt;"",VLOOKUP(Alunos!A163,Recurso!A3:C1000,3, FALSE),"")</f>
        <v/>
      </c>
      <c r="H163" s="2" t="str">
        <f>IF(OR(A163&lt;&gt;"",G163&lt;&gt;""), SUMIFS(B163:G163,B1:G1,"&lt;&gt;",B2:G2,"&lt;&gt;Exame",B2:G2,"&lt;&gt;exame",B2:G2,"&lt;&gt;Nota",B2:G2,"&lt;&gt;Total"),"")</f>
        <v/>
      </c>
      <c r="I163" s="2" t="str">
        <f>IF(AND(A163&lt;&gt;"",H163&lt;&gt;""),ROUND(H163,0),"")</f>
        <v/>
      </c>
    </row>
    <row r="164" spans="2:9" x14ac:dyDescent="0.3">
      <c r="B164" s="2" t="str">
        <f>IF(A164&lt;&gt;"",VLOOKUP(Alunos!A164,Exame!A3:C1000,3, FALSE),"")</f>
        <v/>
      </c>
      <c r="C164" s="2" t="str">
        <f>IF(A164&lt;&gt;"",VLOOKUP(Alunos!A164,Agrupamentos!A3:B1000,2, FALSE),"")</f>
        <v/>
      </c>
      <c r="D164" s="2" t="str">
        <f>IF(A164&lt;&gt;"",VLOOKUP(Alunos!C164,'TP1'!A3:C1000,3, FALSE),"")</f>
        <v/>
      </c>
      <c r="E164" s="2" t="str">
        <f>IF(A164&lt;&gt;"", SUMIF(B1:D1,"&lt;&gt;",B164:D164),"")</f>
        <v/>
      </c>
      <c r="F164" s="2" t="str">
        <f>IF(AND(A164&lt;&gt;"",E164&lt;&gt;""),ROUND(E164,0),"")</f>
        <v/>
      </c>
      <c r="G164" s="2" t="str">
        <f>IF(A164&lt;&gt;"",VLOOKUP(Alunos!A164,Recurso!A3:C1000,3, FALSE),"")</f>
        <v/>
      </c>
      <c r="H164" s="2" t="str">
        <f>IF(OR(A164&lt;&gt;"",G164&lt;&gt;""), SUMIFS(B164:G164,B1:G1,"&lt;&gt;",B2:G2,"&lt;&gt;Exame",B2:G2,"&lt;&gt;exame",B2:G2,"&lt;&gt;Nota",B2:G2,"&lt;&gt;Total"),"")</f>
        <v/>
      </c>
      <c r="I164" s="2" t="str">
        <f>IF(AND(A164&lt;&gt;"",H164&lt;&gt;""),ROUND(H164,0),"")</f>
        <v/>
      </c>
    </row>
    <row r="165" spans="2:9" x14ac:dyDescent="0.3">
      <c r="B165" s="2" t="str">
        <f>IF(A165&lt;&gt;"",VLOOKUP(Alunos!A165,Exame!A3:C1000,3, FALSE),"")</f>
        <v/>
      </c>
      <c r="C165" s="2" t="str">
        <f>IF(A165&lt;&gt;"",VLOOKUP(Alunos!A165,Agrupamentos!A3:B1000,2, FALSE),"")</f>
        <v/>
      </c>
      <c r="D165" s="2" t="str">
        <f>IF(A165&lt;&gt;"",VLOOKUP(Alunos!C165,'TP1'!A3:C1000,3, FALSE),"")</f>
        <v/>
      </c>
      <c r="E165" s="2" t="str">
        <f>IF(A165&lt;&gt;"", SUMIF(B1:D1,"&lt;&gt;",B165:D165),"")</f>
        <v/>
      </c>
      <c r="F165" s="2" t="str">
        <f>IF(AND(A165&lt;&gt;"",E165&lt;&gt;""),ROUND(E165,0),"")</f>
        <v/>
      </c>
      <c r="G165" s="2" t="str">
        <f>IF(A165&lt;&gt;"",VLOOKUP(Alunos!A165,Recurso!A3:C1000,3, FALSE),"")</f>
        <v/>
      </c>
      <c r="H165" s="2" t="str">
        <f>IF(OR(A165&lt;&gt;"",G165&lt;&gt;""), SUMIFS(B165:G165,B1:G1,"&lt;&gt;",B2:G2,"&lt;&gt;Exame",B2:G2,"&lt;&gt;exame",B2:G2,"&lt;&gt;Nota",B2:G2,"&lt;&gt;Total"),"")</f>
        <v/>
      </c>
      <c r="I165" s="2" t="str">
        <f>IF(AND(A165&lt;&gt;"",H165&lt;&gt;""),ROUND(H165,0),"")</f>
        <v/>
      </c>
    </row>
    <row r="166" spans="2:9" x14ac:dyDescent="0.3">
      <c r="B166" s="2" t="str">
        <f>IF(A166&lt;&gt;"",VLOOKUP(Alunos!A166,Exame!A3:C1000,3, FALSE),"")</f>
        <v/>
      </c>
      <c r="C166" s="2" t="str">
        <f>IF(A166&lt;&gt;"",VLOOKUP(Alunos!A166,Agrupamentos!A3:B1000,2, FALSE),"")</f>
        <v/>
      </c>
      <c r="D166" s="2" t="str">
        <f>IF(A166&lt;&gt;"",VLOOKUP(Alunos!C166,'TP1'!A3:C1000,3, FALSE),"")</f>
        <v/>
      </c>
      <c r="E166" s="2" t="str">
        <f>IF(A166&lt;&gt;"", SUMIF(B1:D1,"&lt;&gt;",B166:D166),"")</f>
        <v/>
      </c>
      <c r="F166" s="2" t="str">
        <f>IF(AND(A166&lt;&gt;"",E166&lt;&gt;""),ROUND(E166,0),"")</f>
        <v/>
      </c>
      <c r="G166" s="2" t="str">
        <f>IF(A166&lt;&gt;"",VLOOKUP(Alunos!A166,Recurso!A3:C1000,3, FALSE),"")</f>
        <v/>
      </c>
      <c r="H166" s="2" t="str">
        <f>IF(OR(A166&lt;&gt;"",G166&lt;&gt;""), SUMIFS(B166:G166,B1:G1,"&lt;&gt;",B2:G2,"&lt;&gt;Exame",B2:G2,"&lt;&gt;exame",B2:G2,"&lt;&gt;Nota",B2:G2,"&lt;&gt;Total"),"")</f>
        <v/>
      </c>
      <c r="I166" s="2" t="str">
        <f>IF(AND(A166&lt;&gt;"",H166&lt;&gt;""),ROUND(H166,0),"")</f>
        <v/>
      </c>
    </row>
    <row r="167" spans="2:9" x14ac:dyDescent="0.3">
      <c r="B167" s="2" t="str">
        <f>IF(A167&lt;&gt;"",VLOOKUP(Alunos!A167,Exame!A3:C1000,3, FALSE),"")</f>
        <v/>
      </c>
      <c r="C167" s="2" t="str">
        <f>IF(A167&lt;&gt;"",VLOOKUP(Alunos!A167,Agrupamentos!A3:B1000,2, FALSE),"")</f>
        <v/>
      </c>
      <c r="D167" s="2" t="str">
        <f>IF(A167&lt;&gt;"",VLOOKUP(Alunos!C167,'TP1'!A3:C1000,3, FALSE),"")</f>
        <v/>
      </c>
      <c r="E167" s="2" t="str">
        <f>IF(A167&lt;&gt;"", SUMIF(B1:D1,"&lt;&gt;",B167:D167),"")</f>
        <v/>
      </c>
      <c r="F167" s="2" t="str">
        <f>IF(AND(A167&lt;&gt;"",E167&lt;&gt;""),ROUND(E167,0),"")</f>
        <v/>
      </c>
      <c r="G167" s="2" t="str">
        <f>IF(A167&lt;&gt;"",VLOOKUP(Alunos!A167,Recurso!A3:C1000,3, FALSE),"")</f>
        <v/>
      </c>
      <c r="H167" s="2" t="str">
        <f>IF(OR(A167&lt;&gt;"",G167&lt;&gt;""), SUMIFS(B167:G167,B1:G1,"&lt;&gt;",B2:G2,"&lt;&gt;Exame",B2:G2,"&lt;&gt;exame",B2:G2,"&lt;&gt;Nota",B2:G2,"&lt;&gt;Total"),"")</f>
        <v/>
      </c>
      <c r="I167" s="2" t="str">
        <f>IF(AND(A167&lt;&gt;"",H167&lt;&gt;""),ROUND(H167,0),"")</f>
        <v/>
      </c>
    </row>
    <row r="168" spans="2:9" x14ac:dyDescent="0.3">
      <c r="B168" s="2" t="str">
        <f>IF(A168&lt;&gt;"",VLOOKUP(Alunos!A168,Exame!A3:C1000,3, FALSE),"")</f>
        <v/>
      </c>
      <c r="C168" s="2" t="str">
        <f>IF(A168&lt;&gt;"",VLOOKUP(Alunos!A168,Agrupamentos!A3:B1000,2, FALSE),"")</f>
        <v/>
      </c>
      <c r="D168" s="2" t="str">
        <f>IF(A168&lt;&gt;"",VLOOKUP(Alunos!C168,'TP1'!A3:C1000,3, FALSE),"")</f>
        <v/>
      </c>
      <c r="E168" s="2" t="str">
        <f>IF(A168&lt;&gt;"", SUMIF(B1:D1,"&lt;&gt;",B168:D168),"")</f>
        <v/>
      </c>
      <c r="F168" s="2" t="str">
        <f>IF(AND(A168&lt;&gt;"",E168&lt;&gt;""),ROUND(E168,0),"")</f>
        <v/>
      </c>
      <c r="G168" s="2" t="str">
        <f>IF(A168&lt;&gt;"",VLOOKUP(Alunos!A168,Recurso!A3:C1000,3, FALSE),"")</f>
        <v/>
      </c>
      <c r="H168" s="2" t="str">
        <f>IF(OR(A168&lt;&gt;"",G168&lt;&gt;""), SUMIFS(B168:G168,B1:G1,"&lt;&gt;",B2:G2,"&lt;&gt;Exame",B2:G2,"&lt;&gt;exame",B2:G2,"&lt;&gt;Nota",B2:G2,"&lt;&gt;Total"),"")</f>
        <v/>
      </c>
      <c r="I168" s="2" t="str">
        <f>IF(AND(A168&lt;&gt;"",H168&lt;&gt;""),ROUND(H168,0),"")</f>
        <v/>
      </c>
    </row>
    <row r="169" spans="2:9" x14ac:dyDescent="0.3">
      <c r="B169" s="2" t="str">
        <f>IF(A169&lt;&gt;"",VLOOKUP(Alunos!A169,Exame!A3:C1000,3, FALSE),"")</f>
        <v/>
      </c>
      <c r="C169" s="2" t="str">
        <f>IF(A169&lt;&gt;"",VLOOKUP(Alunos!A169,Agrupamentos!A3:B1000,2, FALSE),"")</f>
        <v/>
      </c>
      <c r="D169" s="2" t="str">
        <f>IF(A169&lt;&gt;"",VLOOKUP(Alunos!C169,'TP1'!A3:C1000,3, FALSE),"")</f>
        <v/>
      </c>
      <c r="E169" s="2" t="str">
        <f>IF(A169&lt;&gt;"", SUMIF(B1:D1,"&lt;&gt;",B169:D169),"")</f>
        <v/>
      </c>
      <c r="F169" s="2" t="str">
        <f>IF(AND(A169&lt;&gt;"",E169&lt;&gt;""),ROUND(E169,0),"")</f>
        <v/>
      </c>
      <c r="G169" s="2" t="str">
        <f>IF(A169&lt;&gt;"",VLOOKUP(Alunos!A169,Recurso!A3:C1000,3, FALSE),"")</f>
        <v/>
      </c>
      <c r="H169" s="2" t="str">
        <f>IF(OR(A169&lt;&gt;"",G169&lt;&gt;""), SUMIFS(B169:G169,B1:G1,"&lt;&gt;",B2:G2,"&lt;&gt;Exame",B2:G2,"&lt;&gt;exame",B2:G2,"&lt;&gt;Nota",B2:G2,"&lt;&gt;Total"),"")</f>
        <v/>
      </c>
      <c r="I169" s="2" t="str">
        <f>IF(AND(A169&lt;&gt;"",H169&lt;&gt;""),ROUND(H169,0),"")</f>
        <v/>
      </c>
    </row>
    <row r="170" spans="2:9" x14ac:dyDescent="0.3">
      <c r="B170" s="2" t="str">
        <f>IF(A170&lt;&gt;"",VLOOKUP(Alunos!A170,Exame!A3:C1000,3, FALSE),"")</f>
        <v/>
      </c>
      <c r="C170" s="2" t="str">
        <f>IF(A170&lt;&gt;"",VLOOKUP(Alunos!A170,Agrupamentos!A3:B1000,2, FALSE),"")</f>
        <v/>
      </c>
      <c r="D170" s="2" t="str">
        <f>IF(A170&lt;&gt;"",VLOOKUP(Alunos!C170,'TP1'!A3:C1000,3, FALSE),"")</f>
        <v/>
      </c>
      <c r="E170" s="2" t="str">
        <f>IF(A170&lt;&gt;"", SUMIF(B1:D1,"&lt;&gt;",B170:D170),"")</f>
        <v/>
      </c>
      <c r="F170" s="2" t="str">
        <f>IF(AND(A170&lt;&gt;"",E170&lt;&gt;""),ROUND(E170,0),"")</f>
        <v/>
      </c>
      <c r="G170" s="2" t="str">
        <f>IF(A170&lt;&gt;"",VLOOKUP(Alunos!A170,Recurso!A3:C1000,3, FALSE),"")</f>
        <v/>
      </c>
      <c r="H170" s="2" t="str">
        <f>IF(OR(A170&lt;&gt;"",G170&lt;&gt;""), SUMIFS(B170:G170,B1:G1,"&lt;&gt;",B2:G2,"&lt;&gt;Exame",B2:G2,"&lt;&gt;exame",B2:G2,"&lt;&gt;Nota",B2:G2,"&lt;&gt;Total"),"")</f>
        <v/>
      </c>
      <c r="I170" s="2" t="str">
        <f>IF(AND(A170&lt;&gt;"",H170&lt;&gt;""),ROUND(H170,0),"")</f>
        <v/>
      </c>
    </row>
    <row r="171" spans="2:9" x14ac:dyDescent="0.3">
      <c r="B171" s="2" t="str">
        <f>IF(A171&lt;&gt;"",VLOOKUP(Alunos!A171,Exame!A3:C1000,3, FALSE),"")</f>
        <v/>
      </c>
      <c r="C171" s="2" t="str">
        <f>IF(A171&lt;&gt;"",VLOOKUP(Alunos!A171,Agrupamentos!A3:B1000,2, FALSE),"")</f>
        <v/>
      </c>
      <c r="D171" s="2" t="str">
        <f>IF(A171&lt;&gt;"",VLOOKUP(Alunos!C171,'TP1'!A3:C1000,3, FALSE),"")</f>
        <v/>
      </c>
      <c r="E171" s="2" t="str">
        <f>IF(A171&lt;&gt;"", SUMIF(B1:D1,"&lt;&gt;",B171:D171),"")</f>
        <v/>
      </c>
      <c r="F171" s="2" t="str">
        <f>IF(AND(A171&lt;&gt;"",E171&lt;&gt;""),ROUND(E171,0),"")</f>
        <v/>
      </c>
      <c r="G171" s="2" t="str">
        <f>IF(A171&lt;&gt;"",VLOOKUP(Alunos!A171,Recurso!A3:C1000,3, FALSE),"")</f>
        <v/>
      </c>
      <c r="H171" s="2" t="str">
        <f>IF(OR(A171&lt;&gt;"",G171&lt;&gt;""), SUMIFS(B171:G171,B1:G1,"&lt;&gt;",B2:G2,"&lt;&gt;Exame",B2:G2,"&lt;&gt;exame",B2:G2,"&lt;&gt;Nota",B2:G2,"&lt;&gt;Total"),"")</f>
        <v/>
      </c>
      <c r="I171" s="2" t="str">
        <f>IF(AND(A171&lt;&gt;"",H171&lt;&gt;""),ROUND(H171,0),"")</f>
        <v/>
      </c>
    </row>
    <row r="172" spans="2:9" x14ac:dyDescent="0.3">
      <c r="B172" s="2" t="str">
        <f>IF(A172&lt;&gt;"",VLOOKUP(Alunos!A172,Exame!A3:C1000,3, FALSE),"")</f>
        <v/>
      </c>
      <c r="C172" s="2" t="str">
        <f>IF(A172&lt;&gt;"",VLOOKUP(Alunos!A172,Agrupamentos!A3:B1000,2, FALSE),"")</f>
        <v/>
      </c>
      <c r="D172" s="2" t="str">
        <f>IF(A172&lt;&gt;"",VLOOKUP(Alunos!C172,'TP1'!A3:C1000,3, FALSE),"")</f>
        <v/>
      </c>
      <c r="E172" s="2" t="str">
        <f>IF(A172&lt;&gt;"", SUMIF(B1:D1,"&lt;&gt;",B172:D172),"")</f>
        <v/>
      </c>
      <c r="F172" s="2" t="str">
        <f>IF(AND(A172&lt;&gt;"",E172&lt;&gt;""),ROUND(E172,0),"")</f>
        <v/>
      </c>
      <c r="G172" s="2" t="str">
        <f>IF(A172&lt;&gt;"",VLOOKUP(Alunos!A172,Recurso!A3:C1000,3, FALSE),"")</f>
        <v/>
      </c>
      <c r="H172" s="2" t="str">
        <f>IF(OR(A172&lt;&gt;"",G172&lt;&gt;""), SUMIFS(B172:G172,B1:G1,"&lt;&gt;",B2:G2,"&lt;&gt;Exame",B2:G2,"&lt;&gt;exame",B2:G2,"&lt;&gt;Nota",B2:G2,"&lt;&gt;Total"),"")</f>
        <v/>
      </c>
      <c r="I172" s="2" t="str">
        <f>IF(AND(A172&lt;&gt;"",H172&lt;&gt;""),ROUND(H172,0),"")</f>
        <v/>
      </c>
    </row>
    <row r="173" spans="2:9" x14ac:dyDescent="0.3">
      <c r="B173" s="2" t="str">
        <f>IF(A173&lt;&gt;"",VLOOKUP(Alunos!A173,Exame!A3:C1000,3, FALSE),"")</f>
        <v/>
      </c>
      <c r="C173" s="2" t="str">
        <f>IF(A173&lt;&gt;"",VLOOKUP(Alunos!A173,Agrupamentos!A3:B1000,2, FALSE),"")</f>
        <v/>
      </c>
      <c r="D173" s="2" t="str">
        <f>IF(A173&lt;&gt;"",VLOOKUP(Alunos!C173,'TP1'!A3:C1000,3, FALSE),"")</f>
        <v/>
      </c>
      <c r="E173" s="2" t="str">
        <f>IF(A173&lt;&gt;"", SUMIF(B1:D1,"&lt;&gt;",B173:D173),"")</f>
        <v/>
      </c>
      <c r="F173" s="2" t="str">
        <f>IF(AND(A173&lt;&gt;"",E173&lt;&gt;""),ROUND(E173,0),"")</f>
        <v/>
      </c>
      <c r="G173" s="2" t="str">
        <f>IF(A173&lt;&gt;"",VLOOKUP(Alunos!A173,Recurso!A3:C1000,3, FALSE),"")</f>
        <v/>
      </c>
      <c r="H173" s="2" t="str">
        <f>IF(OR(A173&lt;&gt;"",G173&lt;&gt;""), SUMIFS(B173:G173,B1:G1,"&lt;&gt;",B2:G2,"&lt;&gt;Exame",B2:G2,"&lt;&gt;exame",B2:G2,"&lt;&gt;Nota",B2:G2,"&lt;&gt;Total"),"")</f>
        <v/>
      </c>
      <c r="I173" s="2" t="str">
        <f>IF(AND(A173&lt;&gt;"",H173&lt;&gt;""),ROUND(H173,0),"")</f>
        <v/>
      </c>
    </row>
    <row r="174" spans="2:9" x14ac:dyDescent="0.3">
      <c r="B174" s="2" t="str">
        <f>IF(A174&lt;&gt;"",VLOOKUP(Alunos!A174,Exame!A3:C1000,3, FALSE),"")</f>
        <v/>
      </c>
      <c r="C174" s="2" t="str">
        <f>IF(A174&lt;&gt;"",VLOOKUP(Alunos!A174,Agrupamentos!A3:B1000,2, FALSE),"")</f>
        <v/>
      </c>
      <c r="D174" s="2" t="str">
        <f>IF(A174&lt;&gt;"",VLOOKUP(Alunos!C174,'TP1'!A3:C1000,3, FALSE),"")</f>
        <v/>
      </c>
      <c r="E174" s="2" t="str">
        <f>IF(A174&lt;&gt;"", SUMIF(B1:D1,"&lt;&gt;",B174:D174),"")</f>
        <v/>
      </c>
      <c r="F174" s="2" t="str">
        <f>IF(AND(A174&lt;&gt;"",E174&lt;&gt;""),ROUND(E174,0),"")</f>
        <v/>
      </c>
      <c r="G174" s="2" t="str">
        <f>IF(A174&lt;&gt;"",VLOOKUP(Alunos!A174,Recurso!A3:C1000,3, FALSE),"")</f>
        <v/>
      </c>
      <c r="H174" s="2" t="str">
        <f>IF(OR(A174&lt;&gt;"",G174&lt;&gt;""), SUMIFS(B174:G174,B1:G1,"&lt;&gt;",B2:G2,"&lt;&gt;Exame",B2:G2,"&lt;&gt;exame",B2:G2,"&lt;&gt;Nota",B2:G2,"&lt;&gt;Total"),"")</f>
        <v/>
      </c>
      <c r="I174" s="2" t="str">
        <f>IF(AND(A174&lt;&gt;"",H174&lt;&gt;""),ROUND(H174,0),"")</f>
        <v/>
      </c>
    </row>
    <row r="175" spans="2:9" x14ac:dyDescent="0.3">
      <c r="B175" s="2" t="str">
        <f>IF(A175&lt;&gt;"",VLOOKUP(Alunos!A175,Exame!A3:C1000,3, FALSE),"")</f>
        <v/>
      </c>
      <c r="C175" s="2" t="str">
        <f>IF(A175&lt;&gt;"",VLOOKUP(Alunos!A175,Agrupamentos!A3:B1000,2, FALSE),"")</f>
        <v/>
      </c>
      <c r="D175" s="2" t="str">
        <f>IF(A175&lt;&gt;"",VLOOKUP(Alunos!C175,'TP1'!A3:C1000,3, FALSE),"")</f>
        <v/>
      </c>
      <c r="E175" s="2" t="str">
        <f>IF(A175&lt;&gt;"", SUMIF(B1:D1,"&lt;&gt;",B175:D175),"")</f>
        <v/>
      </c>
      <c r="F175" s="2" t="str">
        <f>IF(AND(A175&lt;&gt;"",E175&lt;&gt;""),ROUND(E175,0),"")</f>
        <v/>
      </c>
      <c r="G175" s="2" t="str">
        <f>IF(A175&lt;&gt;"",VLOOKUP(Alunos!A175,Recurso!A3:C1000,3, FALSE),"")</f>
        <v/>
      </c>
      <c r="H175" s="2" t="str">
        <f>IF(OR(A175&lt;&gt;"",G175&lt;&gt;""), SUMIFS(B175:G175,B1:G1,"&lt;&gt;",B2:G2,"&lt;&gt;Exame",B2:G2,"&lt;&gt;exame",B2:G2,"&lt;&gt;Nota",B2:G2,"&lt;&gt;Total"),"")</f>
        <v/>
      </c>
      <c r="I175" s="2" t="str">
        <f>IF(AND(A175&lt;&gt;"",H175&lt;&gt;""),ROUND(H175,0),"")</f>
        <v/>
      </c>
    </row>
    <row r="176" spans="2:9" x14ac:dyDescent="0.3">
      <c r="B176" s="2" t="str">
        <f>IF(A176&lt;&gt;"",VLOOKUP(Alunos!A176,Exame!A3:C1000,3, FALSE),"")</f>
        <v/>
      </c>
      <c r="C176" s="2" t="str">
        <f>IF(A176&lt;&gt;"",VLOOKUP(Alunos!A176,Agrupamentos!A3:B1000,2, FALSE),"")</f>
        <v/>
      </c>
      <c r="D176" s="2" t="str">
        <f>IF(A176&lt;&gt;"",VLOOKUP(Alunos!C176,'TP1'!A3:C1000,3, FALSE),"")</f>
        <v/>
      </c>
      <c r="E176" s="2" t="str">
        <f>IF(A176&lt;&gt;"", SUMIF(B1:D1,"&lt;&gt;",B176:D176),"")</f>
        <v/>
      </c>
      <c r="F176" s="2" t="str">
        <f>IF(AND(A176&lt;&gt;"",E176&lt;&gt;""),ROUND(E176,0),"")</f>
        <v/>
      </c>
      <c r="G176" s="2" t="str">
        <f>IF(A176&lt;&gt;"",VLOOKUP(Alunos!A176,Recurso!A3:C1000,3, FALSE),"")</f>
        <v/>
      </c>
      <c r="H176" s="2" t="str">
        <f>IF(OR(A176&lt;&gt;"",G176&lt;&gt;""), SUMIFS(B176:G176,B1:G1,"&lt;&gt;",B2:G2,"&lt;&gt;Exame",B2:G2,"&lt;&gt;exame",B2:G2,"&lt;&gt;Nota",B2:G2,"&lt;&gt;Total"),"")</f>
        <v/>
      </c>
      <c r="I176" s="2" t="str">
        <f>IF(AND(A176&lt;&gt;"",H176&lt;&gt;""),ROUND(H176,0),"")</f>
        <v/>
      </c>
    </row>
    <row r="177" spans="2:9" x14ac:dyDescent="0.3">
      <c r="B177" s="2" t="str">
        <f>IF(A177&lt;&gt;"",VLOOKUP(Alunos!A177,Exame!A3:C1000,3, FALSE),"")</f>
        <v/>
      </c>
      <c r="C177" s="2" t="str">
        <f>IF(A177&lt;&gt;"",VLOOKUP(Alunos!A177,Agrupamentos!A3:B1000,2, FALSE),"")</f>
        <v/>
      </c>
      <c r="D177" s="2" t="str">
        <f>IF(A177&lt;&gt;"",VLOOKUP(Alunos!C177,'TP1'!A3:C1000,3, FALSE),"")</f>
        <v/>
      </c>
      <c r="E177" s="2" t="str">
        <f>IF(A177&lt;&gt;"", SUMIF(B1:D1,"&lt;&gt;",B177:D177),"")</f>
        <v/>
      </c>
      <c r="F177" s="2" t="str">
        <f>IF(AND(A177&lt;&gt;"",E177&lt;&gt;""),ROUND(E177,0),"")</f>
        <v/>
      </c>
      <c r="G177" s="2" t="str">
        <f>IF(A177&lt;&gt;"",VLOOKUP(Alunos!A177,Recurso!A3:C1000,3, FALSE),"")</f>
        <v/>
      </c>
      <c r="H177" s="2" t="str">
        <f>IF(OR(A177&lt;&gt;"",G177&lt;&gt;""), SUMIFS(B177:G177,B1:G1,"&lt;&gt;",B2:G2,"&lt;&gt;Exame",B2:G2,"&lt;&gt;exame",B2:G2,"&lt;&gt;Nota",B2:G2,"&lt;&gt;Total"),"")</f>
        <v/>
      </c>
      <c r="I177" s="2" t="str">
        <f>IF(AND(A177&lt;&gt;"",H177&lt;&gt;""),ROUND(H177,0),"")</f>
        <v/>
      </c>
    </row>
    <row r="178" spans="2:9" x14ac:dyDescent="0.3">
      <c r="B178" s="2" t="str">
        <f>IF(A178&lt;&gt;"",VLOOKUP(Alunos!A178,Exame!A3:C1000,3, FALSE),"")</f>
        <v/>
      </c>
      <c r="C178" s="2" t="str">
        <f>IF(A178&lt;&gt;"",VLOOKUP(Alunos!A178,Agrupamentos!A3:B1000,2, FALSE),"")</f>
        <v/>
      </c>
      <c r="D178" s="2" t="str">
        <f>IF(A178&lt;&gt;"",VLOOKUP(Alunos!C178,'TP1'!A3:C1000,3, FALSE),"")</f>
        <v/>
      </c>
      <c r="E178" s="2" t="str">
        <f>IF(A178&lt;&gt;"", SUMIF(B1:D1,"&lt;&gt;",B178:D178),"")</f>
        <v/>
      </c>
      <c r="F178" s="2" t="str">
        <f>IF(AND(A178&lt;&gt;"",E178&lt;&gt;""),ROUND(E178,0),"")</f>
        <v/>
      </c>
      <c r="G178" s="2" t="str">
        <f>IF(A178&lt;&gt;"",VLOOKUP(Alunos!A178,Recurso!A3:C1000,3, FALSE),"")</f>
        <v/>
      </c>
      <c r="H178" s="2" t="str">
        <f>IF(OR(A178&lt;&gt;"",G178&lt;&gt;""), SUMIFS(B178:G178,B1:G1,"&lt;&gt;",B2:G2,"&lt;&gt;Exame",B2:G2,"&lt;&gt;exame",B2:G2,"&lt;&gt;Nota",B2:G2,"&lt;&gt;Total"),"")</f>
        <v/>
      </c>
      <c r="I178" s="2" t="str">
        <f>IF(AND(A178&lt;&gt;"",H178&lt;&gt;""),ROUND(H178,0),"")</f>
        <v/>
      </c>
    </row>
    <row r="179" spans="2:9" x14ac:dyDescent="0.3">
      <c r="B179" s="2" t="str">
        <f>IF(A179&lt;&gt;"",VLOOKUP(Alunos!A179,Exame!A3:C1000,3, FALSE),"")</f>
        <v/>
      </c>
      <c r="C179" s="2" t="str">
        <f>IF(A179&lt;&gt;"",VLOOKUP(Alunos!A179,Agrupamentos!A3:B1000,2, FALSE),"")</f>
        <v/>
      </c>
      <c r="D179" s="2" t="str">
        <f>IF(A179&lt;&gt;"",VLOOKUP(Alunos!C179,'TP1'!A3:C1000,3, FALSE),"")</f>
        <v/>
      </c>
      <c r="E179" s="2" t="str">
        <f>IF(A179&lt;&gt;"", SUMIF(B1:D1,"&lt;&gt;",B179:D179),"")</f>
        <v/>
      </c>
      <c r="F179" s="2" t="str">
        <f>IF(AND(A179&lt;&gt;"",E179&lt;&gt;""),ROUND(E179,0),"")</f>
        <v/>
      </c>
      <c r="G179" s="2" t="str">
        <f>IF(A179&lt;&gt;"",VLOOKUP(Alunos!A179,Recurso!A3:C1000,3, FALSE),"")</f>
        <v/>
      </c>
      <c r="H179" s="2" t="str">
        <f>IF(OR(A179&lt;&gt;"",G179&lt;&gt;""), SUMIFS(B179:G179,B1:G1,"&lt;&gt;",B2:G2,"&lt;&gt;Exame",B2:G2,"&lt;&gt;exame",B2:G2,"&lt;&gt;Nota",B2:G2,"&lt;&gt;Total"),"")</f>
        <v/>
      </c>
      <c r="I179" s="2" t="str">
        <f>IF(AND(A179&lt;&gt;"",H179&lt;&gt;""),ROUND(H179,0),"")</f>
        <v/>
      </c>
    </row>
    <row r="180" spans="2:9" x14ac:dyDescent="0.3">
      <c r="B180" s="2" t="str">
        <f>IF(A180&lt;&gt;"",VLOOKUP(Alunos!A180,Exame!A3:C1000,3, FALSE),"")</f>
        <v/>
      </c>
      <c r="C180" s="2" t="str">
        <f>IF(A180&lt;&gt;"",VLOOKUP(Alunos!A180,Agrupamentos!A3:B1000,2, FALSE),"")</f>
        <v/>
      </c>
      <c r="D180" s="2" t="str">
        <f>IF(A180&lt;&gt;"",VLOOKUP(Alunos!C180,'TP1'!A3:C1000,3, FALSE),"")</f>
        <v/>
      </c>
      <c r="E180" s="2" t="str">
        <f>IF(A180&lt;&gt;"", SUMIF(B1:D1,"&lt;&gt;",B180:D180),"")</f>
        <v/>
      </c>
      <c r="F180" s="2" t="str">
        <f>IF(AND(A180&lt;&gt;"",E180&lt;&gt;""),ROUND(E180,0),"")</f>
        <v/>
      </c>
      <c r="G180" s="2" t="str">
        <f>IF(A180&lt;&gt;"",VLOOKUP(Alunos!A180,Recurso!A3:C1000,3, FALSE),"")</f>
        <v/>
      </c>
      <c r="H180" s="2" t="str">
        <f>IF(OR(A180&lt;&gt;"",G180&lt;&gt;""), SUMIFS(B180:G180,B1:G1,"&lt;&gt;",B2:G2,"&lt;&gt;Exame",B2:G2,"&lt;&gt;exame",B2:G2,"&lt;&gt;Nota",B2:G2,"&lt;&gt;Total"),"")</f>
        <v/>
      </c>
      <c r="I180" s="2" t="str">
        <f>IF(AND(A180&lt;&gt;"",H180&lt;&gt;""),ROUND(H180,0),"")</f>
        <v/>
      </c>
    </row>
    <row r="181" spans="2:9" x14ac:dyDescent="0.3">
      <c r="B181" s="2" t="str">
        <f>IF(A181&lt;&gt;"",VLOOKUP(Alunos!A181,Exame!A3:C1000,3, FALSE),"")</f>
        <v/>
      </c>
      <c r="C181" s="2" t="str">
        <f>IF(A181&lt;&gt;"",VLOOKUP(Alunos!A181,Agrupamentos!A3:B1000,2, FALSE),"")</f>
        <v/>
      </c>
      <c r="D181" s="2" t="str">
        <f>IF(A181&lt;&gt;"",VLOOKUP(Alunos!C181,'TP1'!A3:C1000,3, FALSE),"")</f>
        <v/>
      </c>
      <c r="E181" s="2" t="str">
        <f>IF(A181&lt;&gt;"", SUMIF(B1:D1,"&lt;&gt;",B181:D181),"")</f>
        <v/>
      </c>
      <c r="F181" s="2" t="str">
        <f>IF(AND(A181&lt;&gt;"",E181&lt;&gt;""),ROUND(E181,0),"")</f>
        <v/>
      </c>
      <c r="G181" s="2" t="str">
        <f>IF(A181&lt;&gt;"",VLOOKUP(Alunos!A181,Recurso!A3:C1000,3, FALSE),"")</f>
        <v/>
      </c>
      <c r="H181" s="2" t="str">
        <f>IF(OR(A181&lt;&gt;"",G181&lt;&gt;""), SUMIFS(B181:G181,B1:G1,"&lt;&gt;",B2:G2,"&lt;&gt;Exame",B2:G2,"&lt;&gt;exame",B2:G2,"&lt;&gt;Nota",B2:G2,"&lt;&gt;Total"),"")</f>
        <v/>
      </c>
      <c r="I181" s="2" t="str">
        <f>IF(AND(A181&lt;&gt;"",H181&lt;&gt;""),ROUND(H181,0),"")</f>
        <v/>
      </c>
    </row>
    <row r="182" spans="2:9" x14ac:dyDescent="0.3">
      <c r="B182" s="2" t="str">
        <f>IF(A182&lt;&gt;"",VLOOKUP(Alunos!A182,Exame!A3:C1000,3, FALSE),"")</f>
        <v/>
      </c>
      <c r="C182" s="2" t="str">
        <f>IF(A182&lt;&gt;"",VLOOKUP(Alunos!A182,Agrupamentos!A3:B1000,2, FALSE),"")</f>
        <v/>
      </c>
      <c r="D182" s="2" t="str">
        <f>IF(A182&lt;&gt;"",VLOOKUP(Alunos!C182,'TP1'!A3:C1000,3, FALSE),"")</f>
        <v/>
      </c>
      <c r="E182" s="2" t="str">
        <f>IF(A182&lt;&gt;"", SUMIF(B1:D1,"&lt;&gt;",B182:D182),"")</f>
        <v/>
      </c>
      <c r="F182" s="2" t="str">
        <f>IF(AND(A182&lt;&gt;"",E182&lt;&gt;""),ROUND(E182,0),"")</f>
        <v/>
      </c>
      <c r="G182" s="2" t="str">
        <f>IF(A182&lt;&gt;"",VLOOKUP(Alunos!A182,Recurso!A3:C1000,3, FALSE),"")</f>
        <v/>
      </c>
      <c r="H182" s="2" t="str">
        <f>IF(OR(A182&lt;&gt;"",G182&lt;&gt;""), SUMIFS(B182:G182,B1:G1,"&lt;&gt;",B2:G2,"&lt;&gt;Exame",B2:G2,"&lt;&gt;exame",B2:G2,"&lt;&gt;Nota",B2:G2,"&lt;&gt;Total"),"")</f>
        <v/>
      </c>
      <c r="I182" s="2" t="str">
        <f>IF(AND(A182&lt;&gt;"",H182&lt;&gt;""),ROUND(H182,0),"")</f>
        <v/>
      </c>
    </row>
    <row r="183" spans="2:9" x14ac:dyDescent="0.3">
      <c r="B183" s="2" t="str">
        <f>IF(A183&lt;&gt;"",VLOOKUP(Alunos!A183,Exame!A3:C1000,3, FALSE),"")</f>
        <v/>
      </c>
      <c r="C183" s="2" t="str">
        <f>IF(A183&lt;&gt;"",VLOOKUP(Alunos!A183,Agrupamentos!A3:B1000,2, FALSE),"")</f>
        <v/>
      </c>
      <c r="D183" s="2" t="str">
        <f>IF(A183&lt;&gt;"",VLOOKUP(Alunos!C183,'TP1'!A3:C1000,3, FALSE),"")</f>
        <v/>
      </c>
      <c r="E183" s="2" t="str">
        <f>IF(A183&lt;&gt;"", SUMIF(B1:D1,"&lt;&gt;",B183:D183),"")</f>
        <v/>
      </c>
      <c r="F183" s="2" t="str">
        <f>IF(AND(A183&lt;&gt;"",E183&lt;&gt;""),ROUND(E183,0),"")</f>
        <v/>
      </c>
      <c r="G183" s="2" t="str">
        <f>IF(A183&lt;&gt;"",VLOOKUP(Alunos!A183,Recurso!A3:C1000,3, FALSE),"")</f>
        <v/>
      </c>
      <c r="H183" s="2" t="str">
        <f>IF(OR(A183&lt;&gt;"",G183&lt;&gt;""), SUMIFS(B183:G183,B1:G1,"&lt;&gt;",B2:G2,"&lt;&gt;Exame",B2:G2,"&lt;&gt;exame",B2:G2,"&lt;&gt;Nota",B2:G2,"&lt;&gt;Total"),"")</f>
        <v/>
      </c>
      <c r="I183" s="2" t="str">
        <f>IF(AND(A183&lt;&gt;"",H183&lt;&gt;""),ROUND(H183,0),"")</f>
        <v/>
      </c>
    </row>
    <row r="184" spans="2:9" x14ac:dyDescent="0.3">
      <c r="B184" s="2" t="str">
        <f>IF(A184&lt;&gt;"",VLOOKUP(Alunos!A184,Exame!A3:C1000,3, FALSE),"")</f>
        <v/>
      </c>
      <c r="C184" s="2" t="str">
        <f>IF(A184&lt;&gt;"",VLOOKUP(Alunos!A184,Agrupamentos!A3:B1000,2, FALSE),"")</f>
        <v/>
      </c>
      <c r="D184" s="2" t="str">
        <f>IF(A184&lt;&gt;"",VLOOKUP(Alunos!C184,'TP1'!A3:C1000,3, FALSE),"")</f>
        <v/>
      </c>
      <c r="E184" s="2" t="str">
        <f>IF(A184&lt;&gt;"", SUMIF(B1:D1,"&lt;&gt;",B184:D184),"")</f>
        <v/>
      </c>
      <c r="F184" s="2" t="str">
        <f>IF(AND(A184&lt;&gt;"",E184&lt;&gt;""),ROUND(E184,0),"")</f>
        <v/>
      </c>
      <c r="G184" s="2" t="str">
        <f>IF(A184&lt;&gt;"",VLOOKUP(Alunos!A184,Recurso!A3:C1000,3, FALSE),"")</f>
        <v/>
      </c>
      <c r="H184" s="2" t="str">
        <f>IF(OR(A184&lt;&gt;"",G184&lt;&gt;""), SUMIFS(B184:G184,B1:G1,"&lt;&gt;",B2:G2,"&lt;&gt;Exame",B2:G2,"&lt;&gt;exame",B2:G2,"&lt;&gt;Nota",B2:G2,"&lt;&gt;Total"),"")</f>
        <v/>
      </c>
      <c r="I184" s="2" t="str">
        <f>IF(AND(A184&lt;&gt;"",H184&lt;&gt;""),ROUND(H184,0),"")</f>
        <v/>
      </c>
    </row>
    <row r="185" spans="2:9" x14ac:dyDescent="0.3">
      <c r="B185" s="2" t="str">
        <f>IF(A185&lt;&gt;"",VLOOKUP(Alunos!A185,Exame!A3:C1000,3, FALSE),"")</f>
        <v/>
      </c>
      <c r="C185" s="2" t="str">
        <f>IF(A185&lt;&gt;"",VLOOKUP(Alunos!A185,Agrupamentos!A3:B1000,2, FALSE),"")</f>
        <v/>
      </c>
      <c r="D185" s="2" t="str">
        <f>IF(A185&lt;&gt;"",VLOOKUP(Alunos!C185,'TP1'!A3:C1000,3, FALSE),"")</f>
        <v/>
      </c>
      <c r="E185" s="2" t="str">
        <f>IF(A185&lt;&gt;"", SUMIF(B1:D1,"&lt;&gt;",B185:D185),"")</f>
        <v/>
      </c>
      <c r="F185" s="2" t="str">
        <f>IF(AND(A185&lt;&gt;"",E185&lt;&gt;""),ROUND(E185,0),"")</f>
        <v/>
      </c>
      <c r="G185" s="2" t="str">
        <f>IF(A185&lt;&gt;"",VLOOKUP(Alunos!A185,Recurso!A3:C1000,3, FALSE),"")</f>
        <v/>
      </c>
      <c r="H185" s="2" t="str">
        <f>IF(OR(A185&lt;&gt;"",G185&lt;&gt;""), SUMIFS(B185:G185,B1:G1,"&lt;&gt;",B2:G2,"&lt;&gt;Exame",B2:G2,"&lt;&gt;exame",B2:G2,"&lt;&gt;Nota",B2:G2,"&lt;&gt;Total"),"")</f>
        <v/>
      </c>
      <c r="I185" s="2" t="str">
        <f>IF(AND(A185&lt;&gt;"",H185&lt;&gt;""),ROUND(H185,0),"")</f>
        <v/>
      </c>
    </row>
    <row r="186" spans="2:9" x14ac:dyDescent="0.3">
      <c r="B186" s="2" t="str">
        <f>IF(A186&lt;&gt;"",VLOOKUP(Alunos!A186,Exame!A3:C1000,3, FALSE),"")</f>
        <v/>
      </c>
      <c r="C186" s="2" t="str">
        <f>IF(A186&lt;&gt;"",VLOOKUP(Alunos!A186,Agrupamentos!A3:B1000,2, FALSE),"")</f>
        <v/>
      </c>
      <c r="D186" s="2" t="str">
        <f>IF(A186&lt;&gt;"",VLOOKUP(Alunos!C186,'TP1'!A3:C1000,3, FALSE),"")</f>
        <v/>
      </c>
      <c r="E186" s="2" t="str">
        <f>IF(A186&lt;&gt;"", SUMIF(B1:D1,"&lt;&gt;",B186:D186),"")</f>
        <v/>
      </c>
      <c r="F186" s="2" t="str">
        <f>IF(AND(A186&lt;&gt;"",E186&lt;&gt;""),ROUND(E186,0),"")</f>
        <v/>
      </c>
      <c r="G186" s="2" t="str">
        <f>IF(A186&lt;&gt;"",VLOOKUP(Alunos!A186,Recurso!A3:C1000,3, FALSE),"")</f>
        <v/>
      </c>
      <c r="H186" s="2" t="str">
        <f>IF(OR(A186&lt;&gt;"",G186&lt;&gt;""), SUMIFS(B186:G186,B1:G1,"&lt;&gt;",B2:G2,"&lt;&gt;Exame",B2:G2,"&lt;&gt;exame",B2:G2,"&lt;&gt;Nota",B2:G2,"&lt;&gt;Total"),"")</f>
        <v/>
      </c>
      <c r="I186" s="2" t="str">
        <f>IF(AND(A186&lt;&gt;"",H186&lt;&gt;""),ROUND(H186,0),"")</f>
        <v/>
      </c>
    </row>
    <row r="187" spans="2:9" x14ac:dyDescent="0.3">
      <c r="B187" s="2" t="str">
        <f>IF(A187&lt;&gt;"",VLOOKUP(Alunos!A187,Exame!A3:C1000,3, FALSE),"")</f>
        <v/>
      </c>
      <c r="C187" s="2" t="str">
        <f>IF(A187&lt;&gt;"",VLOOKUP(Alunos!A187,Agrupamentos!A3:B1000,2, FALSE),"")</f>
        <v/>
      </c>
      <c r="D187" s="2" t="str">
        <f>IF(A187&lt;&gt;"",VLOOKUP(Alunos!C187,'TP1'!A3:C1000,3, FALSE),"")</f>
        <v/>
      </c>
      <c r="E187" s="2" t="str">
        <f>IF(A187&lt;&gt;"", SUMIF(B1:D1,"&lt;&gt;",B187:D187),"")</f>
        <v/>
      </c>
      <c r="F187" s="2" t="str">
        <f>IF(AND(A187&lt;&gt;"",E187&lt;&gt;""),ROUND(E187,0),"")</f>
        <v/>
      </c>
      <c r="G187" s="2" t="str">
        <f>IF(A187&lt;&gt;"",VLOOKUP(Alunos!A187,Recurso!A3:C1000,3, FALSE),"")</f>
        <v/>
      </c>
      <c r="H187" s="2" t="str">
        <f>IF(OR(A187&lt;&gt;"",G187&lt;&gt;""), SUMIFS(B187:G187,B1:G1,"&lt;&gt;",B2:G2,"&lt;&gt;Exame",B2:G2,"&lt;&gt;exame",B2:G2,"&lt;&gt;Nota",B2:G2,"&lt;&gt;Total"),"")</f>
        <v/>
      </c>
      <c r="I187" s="2" t="str">
        <f>IF(AND(A187&lt;&gt;"",H187&lt;&gt;""),ROUND(H187,0),"")</f>
        <v/>
      </c>
    </row>
    <row r="188" spans="2:9" x14ac:dyDescent="0.3">
      <c r="B188" s="2" t="str">
        <f>IF(A188&lt;&gt;"",VLOOKUP(Alunos!A188,Exame!A3:C1000,3, FALSE),"")</f>
        <v/>
      </c>
      <c r="C188" s="2" t="str">
        <f>IF(A188&lt;&gt;"",VLOOKUP(Alunos!A188,Agrupamentos!A3:B1000,2, FALSE),"")</f>
        <v/>
      </c>
      <c r="D188" s="2" t="str">
        <f>IF(A188&lt;&gt;"",VLOOKUP(Alunos!C188,'TP1'!A3:C1000,3, FALSE),"")</f>
        <v/>
      </c>
      <c r="E188" s="2" t="str">
        <f>IF(A188&lt;&gt;"", SUMIF(B1:D1,"&lt;&gt;",B188:D188),"")</f>
        <v/>
      </c>
      <c r="F188" s="2" t="str">
        <f>IF(AND(A188&lt;&gt;"",E188&lt;&gt;""),ROUND(E188,0),"")</f>
        <v/>
      </c>
      <c r="G188" s="2" t="str">
        <f>IF(A188&lt;&gt;"",VLOOKUP(Alunos!A188,Recurso!A3:C1000,3, FALSE),"")</f>
        <v/>
      </c>
      <c r="H188" s="2" t="str">
        <f>IF(OR(A188&lt;&gt;"",G188&lt;&gt;""), SUMIFS(B188:G188,B1:G1,"&lt;&gt;",B2:G2,"&lt;&gt;Exame",B2:G2,"&lt;&gt;exame",B2:G2,"&lt;&gt;Nota",B2:G2,"&lt;&gt;Total"),"")</f>
        <v/>
      </c>
      <c r="I188" s="2" t="str">
        <f>IF(AND(A188&lt;&gt;"",H188&lt;&gt;""),ROUND(H188,0),"")</f>
        <v/>
      </c>
    </row>
    <row r="189" spans="2:9" x14ac:dyDescent="0.3">
      <c r="B189" s="2" t="str">
        <f>IF(A189&lt;&gt;"",VLOOKUP(Alunos!A189,Exame!A3:C1000,3, FALSE),"")</f>
        <v/>
      </c>
      <c r="C189" s="2" t="str">
        <f>IF(A189&lt;&gt;"",VLOOKUP(Alunos!A189,Agrupamentos!A3:B1000,2, FALSE),"")</f>
        <v/>
      </c>
      <c r="D189" s="2" t="str">
        <f>IF(A189&lt;&gt;"",VLOOKUP(Alunos!C189,'TP1'!A3:C1000,3, FALSE),"")</f>
        <v/>
      </c>
      <c r="E189" s="2" t="str">
        <f>IF(A189&lt;&gt;"", SUMIF(B1:D1,"&lt;&gt;",B189:D189),"")</f>
        <v/>
      </c>
      <c r="F189" s="2" t="str">
        <f>IF(AND(A189&lt;&gt;"",E189&lt;&gt;""),ROUND(E189,0),"")</f>
        <v/>
      </c>
      <c r="G189" s="2" t="str">
        <f>IF(A189&lt;&gt;"",VLOOKUP(Alunos!A189,Recurso!A3:C1000,3, FALSE),"")</f>
        <v/>
      </c>
      <c r="H189" s="2" t="str">
        <f>IF(OR(A189&lt;&gt;"",G189&lt;&gt;""), SUMIFS(B189:G189,B1:G1,"&lt;&gt;",B2:G2,"&lt;&gt;Exame",B2:G2,"&lt;&gt;exame",B2:G2,"&lt;&gt;Nota",B2:G2,"&lt;&gt;Total"),"")</f>
        <v/>
      </c>
      <c r="I189" s="2" t="str">
        <f>IF(AND(A189&lt;&gt;"",H189&lt;&gt;""),ROUND(H189,0),"")</f>
        <v/>
      </c>
    </row>
    <row r="190" spans="2:9" x14ac:dyDescent="0.3">
      <c r="B190" s="2" t="str">
        <f>IF(A190&lt;&gt;"",VLOOKUP(Alunos!A190,Exame!A3:C1000,3, FALSE),"")</f>
        <v/>
      </c>
      <c r="C190" s="2" t="str">
        <f>IF(A190&lt;&gt;"",VLOOKUP(Alunos!A190,Agrupamentos!A3:B1000,2, FALSE),"")</f>
        <v/>
      </c>
      <c r="D190" s="2" t="str">
        <f>IF(A190&lt;&gt;"",VLOOKUP(Alunos!C190,'TP1'!A3:C1000,3, FALSE),"")</f>
        <v/>
      </c>
      <c r="E190" s="2" t="str">
        <f>IF(A190&lt;&gt;"", SUMIF(B1:D1,"&lt;&gt;",B190:D190),"")</f>
        <v/>
      </c>
      <c r="F190" s="2" t="str">
        <f>IF(AND(A190&lt;&gt;"",E190&lt;&gt;""),ROUND(E190,0),"")</f>
        <v/>
      </c>
      <c r="G190" s="2" t="str">
        <f>IF(A190&lt;&gt;"",VLOOKUP(Alunos!A190,Recurso!A3:C1000,3, FALSE),"")</f>
        <v/>
      </c>
      <c r="H190" s="2" t="str">
        <f>IF(OR(A190&lt;&gt;"",G190&lt;&gt;""), SUMIFS(B190:G190,B1:G1,"&lt;&gt;",B2:G2,"&lt;&gt;Exame",B2:G2,"&lt;&gt;exame",B2:G2,"&lt;&gt;Nota",B2:G2,"&lt;&gt;Total"),"")</f>
        <v/>
      </c>
      <c r="I190" s="2" t="str">
        <f>IF(AND(A190&lt;&gt;"",H190&lt;&gt;""),ROUND(H190,0),"")</f>
        <v/>
      </c>
    </row>
    <row r="191" spans="2:9" x14ac:dyDescent="0.3">
      <c r="B191" s="2" t="str">
        <f>IF(A191&lt;&gt;"",VLOOKUP(Alunos!A191,Exame!A3:C1000,3, FALSE),"")</f>
        <v/>
      </c>
      <c r="C191" s="2" t="str">
        <f>IF(A191&lt;&gt;"",VLOOKUP(Alunos!A191,Agrupamentos!A3:B1000,2, FALSE),"")</f>
        <v/>
      </c>
      <c r="D191" s="2" t="str">
        <f>IF(A191&lt;&gt;"",VLOOKUP(Alunos!C191,'TP1'!A3:C1000,3, FALSE),"")</f>
        <v/>
      </c>
      <c r="E191" s="2" t="str">
        <f>IF(A191&lt;&gt;"", SUMIF(B1:D1,"&lt;&gt;",B191:D191),"")</f>
        <v/>
      </c>
      <c r="F191" s="2" t="str">
        <f>IF(AND(A191&lt;&gt;"",E191&lt;&gt;""),ROUND(E191,0),"")</f>
        <v/>
      </c>
      <c r="G191" s="2" t="str">
        <f>IF(A191&lt;&gt;"",VLOOKUP(Alunos!A191,Recurso!A3:C1000,3, FALSE),"")</f>
        <v/>
      </c>
      <c r="H191" s="2" t="str">
        <f>IF(OR(A191&lt;&gt;"",G191&lt;&gt;""), SUMIFS(B191:G191,B1:G1,"&lt;&gt;",B2:G2,"&lt;&gt;Exame",B2:G2,"&lt;&gt;exame",B2:G2,"&lt;&gt;Nota",B2:G2,"&lt;&gt;Total"),"")</f>
        <v/>
      </c>
      <c r="I191" s="2" t="str">
        <f>IF(AND(A191&lt;&gt;"",H191&lt;&gt;""),ROUND(H191,0),"")</f>
        <v/>
      </c>
    </row>
    <row r="192" spans="2:9" x14ac:dyDescent="0.3">
      <c r="B192" s="2" t="str">
        <f>IF(A192&lt;&gt;"",VLOOKUP(Alunos!A192,Exame!A3:C1000,3, FALSE),"")</f>
        <v/>
      </c>
      <c r="C192" s="2" t="str">
        <f>IF(A192&lt;&gt;"",VLOOKUP(Alunos!A192,Agrupamentos!A3:B1000,2, FALSE),"")</f>
        <v/>
      </c>
      <c r="D192" s="2" t="str">
        <f>IF(A192&lt;&gt;"",VLOOKUP(Alunos!C192,'TP1'!A3:C1000,3, FALSE),"")</f>
        <v/>
      </c>
      <c r="E192" s="2" t="str">
        <f>IF(A192&lt;&gt;"", SUMIF(B1:D1,"&lt;&gt;",B192:D192),"")</f>
        <v/>
      </c>
      <c r="F192" s="2" t="str">
        <f>IF(AND(A192&lt;&gt;"",E192&lt;&gt;""),ROUND(E192,0),"")</f>
        <v/>
      </c>
      <c r="G192" s="2" t="str">
        <f>IF(A192&lt;&gt;"",VLOOKUP(Alunos!A192,Recurso!A3:C1000,3, FALSE),"")</f>
        <v/>
      </c>
      <c r="H192" s="2" t="str">
        <f>IF(OR(A192&lt;&gt;"",G192&lt;&gt;""), SUMIFS(B192:G192,B1:G1,"&lt;&gt;",B2:G2,"&lt;&gt;Exame",B2:G2,"&lt;&gt;exame",B2:G2,"&lt;&gt;Nota",B2:G2,"&lt;&gt;Total"),"")</f>
        <v/>
      </c>
      <c r="I192" s="2" t="str">
        <f>IF(AND(A192&lt;&gt;"",H192&lt;&gt;""),ROUND(H192,0),"")</f>
        <v/>
      </c>
    </row>
    <row r="193" spans="2:9" x14ac:dyDescent="0.3">
      <c r="B193" s="2" t="str">
        <f>IF(A193&lt;&gt;"",VLOOKUP(Alunos!A193,Exame!A3:C1000,3, FALSE),"")</f>
        <v/>
      </c>
      <c r="C193" s="2" t="str">
        <f>IF(A193&lt;&gt;"",VLOOKUP(Alunos!A193,Agrupamentos!A3:B1000,2, FALSE),"")</f>
        <v/>
      </c>
      <c r="D193" s="2" t="str">
        <f>IF(A193&lt;&gt;"",VLOOKUP(Alunos!C193,'TP1'!A3:C1000,3, FALSE),"")</f>
        <v/>
      </c>
      <c r="E193" s="2" t="str">
        <f>IF(A193&lt;&gt;"", SUMIF(B1:D1,"&lt;&gt;",B193:D193),"")</f>
        <v/>
      </c>
      <c r="F193" s="2" t="str">
        <f>IF(AND(A193&lt;&gt;"",E193&lt;&gt;""),ROUND(E193,0),"")</f>
        <v/>
      </c>
      <c r="G193" s="2" t="str">
        <f>IF(A193&lt;&gt;"",VLOOKUP(Alunos!A193,Recurso!A3:C1000,3, FALSE),"")</f>
        <v/>
      </c>
      <c r="H193" s="2" t="str">
        <f>IF(OR(A193&lt;&gt;"",G193&lt;&gt;""), SUMIFS(B193:G193,B1:G1,"&lt;&gt;",B2:G2,"&lt;&gt;Exame",B2:G2,"&lt;&gt;exame",B2:G2,"&lt;&gt;Nota",B2:G2,"&lt;&gt;Total"),"")</f>
        <v/>
      </c>
      <c r="I193" s="2" t="str">
        <f>IF(AND(A193&lt;&gt;"",H193&lt;&gt;""),ROUND(H193,0),"")</f>
        <v/>
      </c>
    </row>
    <row r="194" spans="2:9" x14ac:dyDescent="0.3">
      <c r="B194" s="2" t="str">
        <f>IF(A194&lt;&gt;"",VLOOKUP(Alunos!A194,Exame!A3:C1000,3, FALSE),"")</f>
        <v/>
      </c>
      <c r="C194" s="2" t="str">
        <f>IF(A194&lt;&gt;"",VLOOKUP(Alunos!A194,Agrupamentos!A3:B1000,2, FALSE),"")</f>
        <v/>
      </c>
      <c r="D194" s="2" t="str">
        <f>IF(A194&lt;&gt;"",VLOOKUP(Alunos!C194,'TP1'!A3:C1000,3, FALSE),"")</f>
        <v/>
      </c>
      <c r="E194" s="2" t="str">
        <f>IF(A194&lt;&gt;"", SUMIF(B1:D1,"&lt;&gt;",B194:D194),"")</f>
        <v/>
      </c>
      <c r="F194" s="2" t="str">
        <f>IF(AND(A194&lt;&gt;"",E194&lt;&gt;""),ROUND(E194,0),"")</f>
        <v/>
      </c>
      <c r="G194" s="2" t="str">
        <f>IF(A194&lt;&gt;"",VLOOKUP(Alunos!A194,Recurso!A3:C1000,3, FALSE),"")</f>
        <v/>
      </c>
      <c r="H194" s="2" t="str">
        <f>IF(OR(A194&lt;&gt;"",G194&lt;&gt;""), SUMIFS(B194:G194,B1:G1,"&lt;&gt;",B2:G2,"&lt;&gt;Exame",B2:G2,"&lt;&gt;exame",B2:G2,"&lt;&gt;Nota",B2:G2,"&lt;&gt;Total"),"")</f>
        <v/>
      </c>
      <c r="I194" s="2" t="str">
        <f>IF(AND(A194&lt;&gt;"",H194&lt;&gt;""),ROUND(H194,0),"")</f>
        <v/>
      </c>
    </row>
    <row r="195" spans="2:9" x14ac:dyDescent="0.3">
      <c r="B195" s="2" t="str">
        <f>IF(A195&lt;&gt;"",VLOOKUP(Alunos!A195,Exame!A3:C1000,3, FALSE),"")</f>
        <v/>
      </c>
      <c r="C195" s="2" t="str">
        <f>IF(A195&lt;&gt;"",VLOOKUP(Alunos!A195,Agrupamentos!A3:B1000,2, FALSE),"")</f>
        <v/>
      </c>
      <c r="D195" s="2" t="str">
        <f>IF(A195&lt;&gt;"",VLOOKUP(Alunos!C195,'TP1'!A3:C1000,3, FALSE),"")</f>
        <v/>
      </c>
      <c r="E195" s="2" t="str">
        <f>IF(A195&lt;&gt;"", SUMIF(B1:D1,"&lt;&gt;",B195:D195),"")</f>
        <v/>
      </c>
      <c r="F195" s="2" t="str">
        <f>IF(AND(A195&lt;&gt;"",E195&lt;&gt;""),ROUND(E195,0),"")</f>
        <v/>
      </c>
      <c r="G195" s="2" t="str">
        <f>IF(A195&lt;&gt;"",VLOOKUP(Alunos!A195,Recurso!A3:C1000,3, FALSE),"")</f>
        <v/>
      </c>
      <c r="H195" s="2" t="str">
        <f>IF(OR(A195&lt;&gt;"",G195&lt;&gt;""), SUMIFS(B195:G195,B1:G1,"&lt;&gt;",B2:G2,"&lt;&gt;Exame",B2:G2,"&lt;&gt;exame",B2:G2,"&lt;&gt;Nota",B2:G2,"&lt;&gt;Total"),"")</f>
        <v/>
      </c>
      <c r="I195" s="2" t="str">
        <f>IF(AND(A195&lt;&gt;"",H195&lt;&gt;""),ROUND(H195,0),"")</f>
        <v/>
      </c>
    </row>
    <row r="196" spans="2:9" x14ac:dyDescent="0.3">
      <c r="B196" s="2" t="str">
        <f>IF(A196&lt;&gt;"",VLOOKUP(Alunos!A196,Exame!A3:C1000,3, FALSE),"")</f>
        <v/>
      </c>
      <c r="C196" s="2" t="str">
        <f>IF(A196&lt;&gt;"",VLOOKUP(Alunos!A196,Agrupamentos!A3:B1000,2, FALSE),"")</f>
        <v/>
      </c>
      <c r="D196" s="2" t="str">
        <f>IF(A196&lt;&gt;"",VLOOKUP(Alunos!C196,'TP1'!A3:C1000,3, FALSE),"")</f>
        <v/>
      </c>
      <c r="E196" s="2" t="str">
        <f>IF(A196&lt;&gt;"", SUMIF(B1:D1,"&lt;&gt;",B196:D196),"")</f>
        <v/>
      </c>
      <c r="F196" s="2" t="str">
        <f>IF(AND(A196&lt;&gt;"",E196&lt;&gt;""),ROUND(E196,0),"")</f>
        <v/>
      </c>
      <c r="G196" s="2" t="str">
        <f>IF(A196&lt;&gt;"",VLOOKUP(Alunos!A196,Recurso!A3:C1000,3, FALSE),"")</f>
        <v/>
      </c>
      <c r="H196" s="2" t="str">
        <f>IF(OR(A196&lt;&gt;"",G196&lt;&gt;""), SUMIFS(B196:G196,B1:G1,"&lt;&gt;",B2:G2,"&lt;&gt;Exame",B2:G2,"&lt;&gt;exame",B2:G2,"&lt;&gt;Nota",B2:G2,"&lt;&gt;Total"),"")</f>
        <v/>
      </c>
      <c r="I196" s="2" t="str">
        <f>IF(AND(A196&lt;&gt;"",H196&lt;&gt;""),ROUND(H196,0),"")</f>
        <v/>
      </c>
    </row>
    <row r="197" spans="2:9" x14ac:dyDescent="0.3">
      <c r="B197" s="2" t="str">
        <f>IF(A197&lt;&gt;"",VLOOKUP(Alunos!A197,Exame!A3:C1000,3, FALSE),"")</f>
        <v/>
      </c>
      <c r="C197" s="2" t="str">
        <f>IF(A197&lt;&gt;"",VLOOKUP(Alunos!A197,Agrupamentos!A3:B1000,2, FALSE),"")</f>
        <v/>
      </c>
      <c r="D197" s="2" t="str">
        <f>IF(A197&lt;&gt;"",VLOOKUP(Alunos!C197,'TP1'!A3:C1000,3, FALSE),"")</f>
        <v/>
      </c>
      <c r="E197" s="2" t="str">
        <f>IF(A197&lt;&gt;"", SUMIF(B1:D1,"&lt;&gt;",B197:D197),"")</f>
        <v/>
      </c>
      <c r="F197" s="2" t="str">
        <f>IF(AND(A197&lt;&gt;"",E197&lt;&gt;""),ROUND(E197,0),"")</f>
        <v/>
      </c>
      <c r="G197" s="2" t="str">
        <f>IF(A197&lt;&gt;"",VLOOKUP(Alunos!A197,Recurso!A3:C1000,3, FALSE),"")</f>
        <v/>
      </c>
      <c r="H197" s="2" t="str">
        <f>IF(OR(A197&lt;&gt;"",G197&lt;&gt;""), SUMIFS(B197:G197,B1:G1,"&lt;&gt;",B2:G2,"&lt;&gt;Exame",B2:G2,"&lt;&gt;exame",B2:G2,"&lt;&gt;Nota",B2:G2,"&lt;&gt;Total"),"")</f>
        <v/>
      </c>
      <c r="I197" s="2" t="str">
        <f>IF(AND(A197&lt;&gt;"",H197&lt;&gt;""),ROUND(H197,0),"")</f>
        <v/>
      </c>
    </row>
    <row r="198" spans="2:9" x14ac:dyDescent="0.3">
      <c r="B198" s="2" t="str">
        <f>IF(A198&lt;&gt;"",VLOOKUP(Alunos!A198,Exame!A3:C1000,3, FALSE),"")</f>
        <v/>
      </c>
      <c r="C198" s="2" t="str">
        <f>IF(A198&lt;&gt;"",VLOOKUP(Alunos!A198,Agrupamentos!A3:B1000,2, FALSE),"")</f>
        <v/>
      </c>
      <c r="D198" s="2" t="str">
        <f>IF(A198&lt;&gt;"",VLOOKUP(Alunos!C198,'TP1'!A3:C1000,3, FALSE),"")</f>
        <v/>
      </c>
      <c r="E198" s="2" t="str">
        <f>IF(A198&lt;&gt;"", SUMIF(B1:D1,"&lt;&gt;",B198:D198),"")</f>
        <v/>
      </c>
      <c r="F198" s="2" t="str">
        <f>IF(AND(A198&lt;&gt;"",E198&lt;&gt;""),ROUND(E198,0),"")</f>
        <v/>
      </c>
      <c r="G198" s="2" t="str">
        <f>IF(A198&lt;&gt;"",VLOOKUP(Alunos!A198,Recurso!A3:C1000,3, FALSE),"")</f>
        <v/>
      </c>
      <c r="H198" s="2" t="str">
        <f>IF(OR(A198&lt;&gt;"",G198&lt;&gt;""), SUMIFS(B198:G198,B1:G1,"&lt;&gt;",B2:G2,"&lt;&gt;Exame",B2:G2,"&lt;&gt;exame",B2:G2,"&lt;&gt;Nota",B2:G2,"&lt;&gt;Total"),"")</f>
        <v/>
      </c>
      <c r="I198" s="2" t="str">
        <f>IF(AND(A198&lt;&gt;"",H198&lt;&gt;""),ROUND(H198,0),"")</f>
        <v/>
      </c>
    </row>
    <row r="199" spans="2:9" x14ac:dyDescent="0.3">
      <c r="B199" s="2" t="str">
        <f>IF(A199&lt;&gt;"",VLOOKUP(Alunos!A199,Exame!A3:C1000,3, FALSE),"")</f>
        <v/>
      </c>
      <c r="C199" s="2" t="str">
        <f>IF(A199&lt;&gt;"",VLOOKUP(Alunos!A199,Agrupamentos!A3:B1000,2, FALSE),"")</f>
        <v/>
      </c>
      <c r="D199" s="2" t="str">
        <f>IF(A199&lt;&gt;"",VLOOKUP(Alunos!C199,'TP1'!A3:C1000,3, FALSE),"")</f>
        <v/>
      </c>
      <c r="E199" s="2" t="str">
        <f>IF(A199&lt;&gt;"", SUMIF(B1:D1,"&lt;&gt;",B199:D199),"")</f>
        <v/>
      </c>
      <c r="F199" s="2" t="str">
        <f>IF(AND(A199&lt;&gt;"",E199&lt;&gt;""),ROUND(E199,0),"")</f>
        <v/>
      </c>
      <c r="G199" s="2" t="str">
        <f>IF(A199&lt;&gt;"",VLOOKUP(Alunos!A199,Recurso!A3:C1000,3, FALSE),"")</f>
        <v/>
      </c>
      <c r="H199" s="2" t="str">
        <f>IF(OR(A199&lt;&gt;"",G199&lt;&gt;""), SUMIFS(B199:G199,B1:G1,"&lt;&gt;",B2:G2,"&lt;&gt;Exame",B2:G2,"&lt;&gt;exame",B2:G2,"&lt;&gt;Nota",B2:G2,"&lt;&gt;Total"),"")</f>
        <v/>
      </c>
      <c r="I199" s="2" t="str">
        <f>IF(AND(A199&lt;&gt;"",H199&lt;&gt;""),ROUND(H199,0),"")</f>
        <v/>
      </c>
    </row>
    <row r="200" spans="2:9" x14ac:dyDescent="0.3">
      <c r="B200" s="2" t="str">
        <f>IF(A200&lt;&gt;"",VLOOKUP(Alunos!A200,Exame!A3:C1000,3, FALSE),"")</f>
        <v/>
      </c>
      <c r="C200" s="2" t="str">
        <f>IF(A200&lt;&gt;"",VLOOKUP(Alunos!A200,Agrupamentos!A3:B1000,2, FALSE),"")</f>
        <v/>
      </c>
      <c r="D200" s="2" t="str">
        <f>IF(A200&lt;&gt;"",VLOOKUP(Alunos!C200,'TP1'!A3:C1000,3, FALSE),"")</f>
        <v/>
      </c>
      <c r="E200" s="2" t="str">
        <f>IF(A200&lt;&gt;"", SUMIF(B1:D1,"&lt;&gt;",B200:D200),"")</f>
        <v/>
      </c>
      <c r="F200" s="2" t="str">
        <f>IF(AND(A200&lt;&gt;"",E200&lt;&gt;""),ROUND(E200,0),"")</f>
        <v/>
      </c>
      <c r="G200" s="2" t="str">
        <f>IF(A200&lt;&gt;"",VLOOKUP(Alunos!A200,Recurso!A3:C1000,3, FALSE),"")</f>
        <v/>
      </c>
      <c r="H200" s="2" t="str">
        <f>IF(OR(A200&lt;&gt;"",G200&lt;&gt;""), SUMIFS(B200:G200,B1:G1,"&lt;&gt;",B2:G2,"&lt;&gt;Exame",B2:G2,"&lt;&gt;exame",B2:G2,"&lt;&gt;Nota",B2:G2,"&lt;&gt;Total"),"")</f>
        <v/>
      </c>
      <c r="I200" s="2" t="str">
        <f>IF(AND(A200&lt;&gt;"",H200&lt;&gt;""),ROUND(H200,0),"")</f>
        <v/>
      </c>
    </row>
    <row r="201" spans="2:9" x14ac:dyDescent="0.3">
      <c r="B201" s="2" t="str">
        <f>IF(A201&lt;&gt;"",VLOOKUP(Alunos!A201,Exame!A3:C1000,3, FALSE),"")</f>
        <v/>
      </c>
      <c r="C201" s="2" t="str">
        <f>IF(A201&lt;&gt;"",VLOOKUP(Alunos!A201,Agrupamentos!A3:B1000,2, FALSE),"")</f>
        <v/>
      </c>
      <c r="D201" s="2" t="str">
        <f>IF(A201&lt;&gt;"",VLOOKUP(Alunos!C201,'TP1'!A3:C1000,3, FALSE),"")</f>
        <v/>
      </c>
      <c r="E201" s="2" t="str">
        <f>IF(A201&lt;&gt;"", SUMIF(B1:D1,"&lt;&gt;",B201:D201),"")</f>
        <v/>
      </c>
      <c r="F201" s="2" t="str">
        <f>IF(AND(A201&lt;&gt;"",E201&lt;&gt;""),ROUND(E201,0),"")</f>
        <v/>
      </c>
      <c r="G201" s="2" t="str">
        <f>IF(A201&lt;&gt;"",VLOOKUP(Alunos!A201,Recurso!A3:C1000,3, FALSE),"")</f>
        <v/>
      </c>
      <c r="H201" s="2" t="str">
        <f>IF(OR(A201&lt;&gt;"",G201&lt;&gt;""), SUMIFS(B201:G201,B1:G1,"&lt;&gt;",B2:G2,"&lt;&gt;Exame",B2:G2,"&lt;&gt;exame",B2:G2,"&lt;&gt;Nota",B2:G2,"&lt;&gt;Total"),"")</f>
        <v/>
      </c>
      <c r="I201" s="2" t="str">
        <f>IF(AND(A201&lt;&gt;"",H201&lt;&gt;""),ROUND(H201,0),"")</f>
        <v/>
      </c>
    </row>
    <row r="202" spans="2:9" x14ac:dyDescent="0.3">
      <c r="B202" s="2" t="str">
        <f>IF(A202&lt;&gt;"",VLOOKUP(Alunos!A202,Exame!A3:C1000,3, FALSE),"")</f>
        <v/>
      </c>
      <c r="C202" s="2" t="str">
        <f>IF(A202&lt;&gt;"",VLOOKUP(Alunos!A202,Agrupamentos!A3:B1000,2, FALSE),"")</f>
        <v/>
      </c>
      <c r="D202" s="2" t="str">
        <f>IF(A202&lt;&gt;"",VLOOKUP(Alunos!C202,'TP1'!A3:C1000,3, FALSE),"")</f>
        <v/>
      </c>
      <c r="E202" s="2" t="str">
        <f>IF(A202&lt;&gt;"", SUMIF(B1:D1,"&lt;&gt;",B202:D202),"")</f>
        <v/>
      </c>
      <c r="F202" s="2" t="str">
        <f>IF(AND(A202&lt;&gt;"",E202&lt;&gt;""),ROUND(E202,0),"")</f>
        <v/>
      </c>
      <c r="G202" s="2" t="str">
        <f>IF(A202&lt;&gt;"",VLOOKUP(Alunos!A202,Recurso!A3:C1000,3, FALSE),"")</f>
        <v/>
      </c>
      <c r="H202" s="2" t="str">
        <f>IF(OR(A202&lt;&gt;"",G202&lt;&gt;""), SUMIFS(B202:G202,B1:G1,"&lt;&gt;",B2:G2,"&lt;&gt;Exame",B2:G2,"&lt;&gt;exame",B2:G2,"&lt;&gt;Nota",B2:G2,"&lt;&gt;Total"),"")</f>
        <v/>
      </c>
      <c r="I202" s="2" t="str">
        <f>IF(AND(A202&lt;&gt;"",H202&lt;&gt;""),ROUND(H202,0),"")</f>
        <v/>
      </c>
    </row>
    <row r="203" spans="2:9" x14ac:dyDescent="0.3">
      <c r="B203" s="2" t="str">
        <f>IF(A203&lt;&gt;"",VLOOKUP(Alunos!A203,Exame!A3:C1000,3, FALSE),"")</f>
        <v/>
      </c>
      <c r="C203" s="2" t="str">
        <f>IF(A203&lt;&gt;"",VLOOKUP(Alunos!A203,Agrupamentos!A3:B1000,2, FALSE),"")</f>
        <v/>
      </c>
      <c r="D203" s="2" t="str">
        <f>IF(A203&lt;&gt;"",VLOOKUP(Alunos!C203,'TP1'!A3:C1000,3, FALSE),"")</f>
        <v/>
      </c>
      <c r="E203" s="2" t="str">
        <f>IF(A203&lt;&gt;"", SUMIF(B1:D1,"&lt;&gt;",B203:D203),"")</f>
        <v/>
      </c>
      <c r="F203" s="2" t="str">
        <f>IF(AND(A203&lt;&gt;"",E203&lt;&gt;""),ROUND(E203,0),"")</f>
        <v/>
      </c>
      <c r="G203" s="2" t="str">
        <f>IF(A203&lt;&gt;"",VLOOKUP(Alunos!A203,Recurso!A3:C1000,3, FALSE),"")</f>
        <v/>
      </c>
      <c r="H203" s="2" t="str">
        <f>IF(OR(A203&lt;&gt;"",G203&lt;&gt;""), SUMIFS(B203:G203,B1:G1,"&lt;&gt;",B2:G2,"&lt;&gt;Exame",B2:G2,"&lt;&gt;exame",B2:G2,"&lt;&gt;Nota",B2:G2,"&lt;&gt;Total"),"")</f>
        <v/>
      </c>
      <c r="I203" s="2" t="str">
        <f>IF(AND(A203&lt;&gt;"",H203&lt;&gt;""),ROUND(H203,0),"")</f>
        <v/>
      </c>
    </row>
    <row r="204" spans="2:9" x14ac:dyDescent="0.3">
      <c r="B204" s="2" t="str">
        <f>IF(A204&lt;&gt;"",VLOOKUP(Alunos!A204,Exame!A3:C1000,3, FALSE),"")</f>
        <v/>
      </c>
      <c r="C204" s="2" t="str">
        <f>IF(A204&lt;&gt;"",VLOOKUP(Alunos!A204,Agrupamentos!A3:B1000,2, FALSE),"")</f>
        <v/>
      </c>
      <c r="D204" s="2" t="str">
        <f>IF(A204&lt;&gt;"",VLOOKUP(Alunos!C204,'TP1'!A3:C1000,3, FALSE),"")</f>
        <v/>
      </c>
      <c r="E204" s="2" t="str">
        <f>IF(A204&lt;&gt;"", SUMIF(B1:D1,"&lt;&gt;",B204:D204),"")</f>
        <v/>
      </c>
      <c r="F204" s="2" t="str">
        <f>IF(AND(A204&lt;&gt;"",E204&lt;&gt;""),ROUND(E204,0),"")</f>
        <v/>
      </c>
      <c r="G204" s="2" t="str">
        <f>IF(A204&lt;&gt;"",VLOOKUP(Alunos!A204,Recurso!A3:C1000,3, FALSE),"")</f>
        <v/>
      </c>
      <c r="H204" s="2" t="str">
        <f>IF(OR(A204&lt;&gt;"",G204&lt;&gt;""), SUMIFS(B204:G204,B1:G1,"&lt;&gt;",B2:G2,"&lt;&gt;Exame",B2:G2,"&lt;&gt;exame",B2:G2,"&lt;&gt;Nota",B2:G2,"&lt;&gt;Total"),"")</f>
        <v/>
      </c>
      <c r="I204" s="2" t="str">
        <f>IF(AND(A204&lt;&gt;"",H204&lt;&gt;""),ROUND(H204,0),"")</f>
        <v/>
      </c>
    </row>
    <row r="205" spans="2:9" x14ac:dyDescent="0.3">
      <c r="B205" s="2" t="str">
        <f>IF(A205&lt;&gt;"",VLOOKUP(Alunos!A205,Exame!A3:C1000,3, FALSE),"")</f>
        <v/>
      </c>
      <c r="C205" s="2" t="str">
        <f>IF(A205&lt;&gt;"",VLOOKUP(Alunos!A205,Agrupamentos!A3:B1000,2, FALSE),"")</f>
        <v/>
      </c>
      <c r="D205" s="2" t="str">
        <f>IF(A205&lt;&gt;"",VLOOKUP(Alunos!C205,'TP1'!A3:C1000,3, FALSE),"")</f>
        <v/>
      </c>
      <c r="E205" s="2" t="str">
        <f>IF(A205&lt;&gt;"", SUMIF(B1:D1,"&lt;&gt;",B205:D205),"")</f>
        <v/>
      </c>
      <c r="F205" s="2" t="str">
        <f>IF(AND(A205&lt;&gt;"",E205&lt;&gt;""),ROUND(E205,0),"")</f>
        <v/>
      </c>
      <c r="G205" s="2" t="str">
        <f>IF(A205&lt;&gt;"",VLOOKUP(Alunos!A205,Recurso!A3:C1000,3, FALSE),"")</f>
        <v/>
      </c>
      <c r="H205" s="2" t="str">
        <f>IF(OR(A205&lt;&gt;"",G205&lt;&gt;""), SUMIFS(B205:G205,B1:G1,"&lt;&gt;",B2:G2,"&lt;&gt;Exame",B2:G2,"&lt;&gt;exame",B2:G2,"&lt;&gt;Nota",B2:G2,"&lt;&gt;Total"),"")</f>
        <v/>
      </c>
      <c r="I205" s="2" t="str">
        <f>IF(AND(A205&lt;&gt;"",H205&lt;&gt;""),ROUND(H205,0),"")</f>
        <v/>
      </c>
    </row>
    <row r="206" spans="2:9" x14ac:dyDescent="0.3">
      <c r="B206" s="2" t="str">
        <f>IF(A206&lt;&gt;"",VLOOKUP(Alunos!A206,Exame!A3:C1000,3, FALSE),"")</f>
        <v/>
      </c>
      <c r="C206" s="2" t="str">
        <f>IF(A206&lt;&gt;"",VLOOKUP(Alunos!A206,Agrupamentos!A3:B1000,2, FALSE),"")</f>
        <v/>
      </c>
      <c r="D206" s="2" t="str">
        <f>IF(A206&lt;&gt;"",VLOOKUP(Alunos!C206,'TP1'!A3:C1000,3, FALSE),"")</f>
        <v/>
      </c>
      <c r="E206" s="2" t="str">
        <f>IF(A206&lt;&gt;"", SUMIF(B1:D1,"&lt;&gt;",B206:D206),"")</f>
        <v/>
      </c>
      <c r="F206" s="2" t="str">
        <f>IF(AND(A206&lt;&gt;"",E206&lt;&gt;""),ROUND(E206,0),"")</f>
        <v/>
      </c>
      <c r="G206" s="2" t="str">
        <f>IF(A206&lt;&gt;"",VLOOKUP(Alunos!A206,Recurso!A3:C1000,3, FALSE),"")</f>
        <v/>
      </c>
      <c r="H206" s="2" t="str">
        <f>IF(OR(A206&lt;&gt;"",G206&lt;&gt;""), SUMIFS(B206:G206,B1:G1,"&lt;&gt;",B2:G2,"&lt;&gt;Exame",B2:G2,"&lt;&gt;exame",B2:G2,"&lt;&gt;Nota",B2:G2,"&lt;&gt;Total"),"")</f>
        <v/>
      </c>
      <c r="I206" s="2" t="str">
        <f>IF(AND(A206&lt;&gt;"",H206&lt;&gt;""),ROUND(H206,0),"")</f>
        <v/>
      </c>
    </row>
    <row r="207" spans="2:9" x14ac:dyDescent="0.3">
      <c r="B207" s="2" t="str">
        <f>IF(A207&lt;&gt;"",VLOOKUP(Alunos!A207,Exame!A3:C1000,3, FALSE),"")</f>
        <v/>
      </c>
      <c r="C207" s="2" t="str">
        <f>IF(A207&lt;&gt;"",VLOOKUP(Alunos!A207,Agrupamentos!A3:B1000,2, FALSE),"")</f>
        <v/>
      </c>
      <c r="D207" s="2" t="str">
        <f>IF(A207&lt;&gt;"",VLOOKUP(Alunos!C207,'TP1'!A3:C1000,3, FALSE),"")</f>
        <v/>
      </c>
      <c r="E207" s="2" t="str">
        <f>IF(A207&lt;&gt;"", SUMIF(B1:D1,"&lt;&gt;",B207:D207),"")</f>
        <v/>
      </c>
      <c r="F207" s="2" t="str">
        <f>IF(AND(A207&lt;&gt;"",E207&lt;&gt;""),ROUND(E207,0),"")</f>
        <v/>
      </c>
      <c r="G207" s="2" t="str">
        <f>IF(A207&lt;&gt;"",VLOOKUP(Alunos!A207,Recurso!A3:C1000,3, FALSE),"")</f>
        <v/>
      </c>
      <c r="H207" s="2" t="str">
        <f>IF(OR(A207&lt;&gt;"",G207&lt;&gt;""), SUMIFS(B207:G207,B1:G1,"&lt;&gt;",B2:G2,"&lt;&gt;Exame",B2:G2,"&lt;&gt;exame",B2:G2,"&lt;&gt;Nota",B2:G2,"&lt;&gt;Total"),"")</f>
        <v/>
      </c>
      <c r="I207" s="2" t="str">
        <f>IF(AND(A207&lt;&gt;"",H207&lt;&gt;""),ROUND(H207,0),"")</f>
        <v/>
      </c>
    </row>
    <row r="208" spans="2:9" x14ac:dyDescent="0.3">
      <c r="B208" s="2" t="str">
        <f>IF(A208&lt;&gt;"",VLOOKUP(Alunos!A208,Exame!A3:C1000,3, FALSE),"")</f>
        <v/>
      </c>
      <c r="C208" s="2" t="str">
        <f>IF(A208&lt;&gt;"",VLOOKUP(Alunos!A208,Agrupamentos!A3:B1000,2, FALSE),"")</f>
        <v/>
      </c>
      <c r="D208" s="2" t="str">
        <f>IF(A208&lt;&gt;"",VLOOKUP(Alunos!C208,'TP1'!A3:C1000,3, FALSE),"")</f>
        <v/>
      </c>
      <c r="E208" s="2" t="str">
        <f>IF(A208&lt;&gt;"", SUMIF(B1:D1,"&lt;&gt;",B208:D208),"")</f>
        <v/>
      </c>
      <c r="F208" s="2" t="str">
        <f>IF(AND(A208&lt;&gt;"",E208&lt;&gt;""),ROUND(E208,0),"")</f>
        <v/>
      </c>
      <c r="G208" s="2" t="str">
        <f>IF(A208&lt;&gt;"",VLOOKUP(Alunos!A208,Recurso!A3:C1000,3, FALSE),"")</f>
        <v/>
      </c>
      <c r="H208" s="2" t="str">
        <f>IF(OR(A208&lt;&gt;"",G208&lt;&gt;""), SUMIFS(B208:G208,B1:G1,"&lt;&gt;",B2:G2,"&lt;&gt;Exame",B2:G2,"&lt;&gt;exame",B2:G2,"&lt;&gt;Nota",B2:G2,"&lt;&gt;Total"),"")</f>
        <v/>
      </c>
      <c r="I208" s="2" t="str">
        <f>IF(AND(A208&lt;&gt;"",H208&lt;&gt;""),ROUND(H208,0),"")</f>
        <v/>
      </c>
    </row>
    <row r="209" spans="2:9" x14ac:dyDescent="0.3">
      <c r="B209" s="2" t="str">
        <f>IF(A209&lt;&gt;"",VLOOKUP(Alunos!A209,Exame!A3:C1000,3, FALSE),"")</f>
        <v/>
      </c>
      <c r="C209" s="2" t="str">
        <f>IF(A209&lt;&gt;"",VLOOKUP(Alunos!A209,Agrupamentos!A3:B1000,2, FALSE),"")</f>
        <v/>
      </c>
      <c r="D209" s="2" t="str">
        <f>IF(A209&lt;&gt;"",VLOOKUP(Alunos!C209,'TP1'!A3:C1000,3, FALSE),"")</f>
        <v/>
      </c>
      <c r="E209" s="2" t="str">
        <f>IF(A209&lt;&gt;"", SUMIF(B1:D1,"&lt;&gt;",B209:D209),"")</f>
        <v/>
      </c>
      <c r="F209" s="2" t="str">
        <f>IF(AND(A209&lt;&gt;"",E209&lt;&gt;""),ROUND(E209,0),"")</f>
        <v/>
      </c>
      <c r="G209" s="2" t="str">
        <f>IF(A209&lt;&gt;"",VLOOKUP(Alunos!A209,Recurso!A3:C1000,3, FALSE),"")</f>
        <v/>
      </c>
      <c r="H209" s="2" t="str">
        <f>IF(OR(A209&lt;&gt;"",G209&lt;&gt;""), SUMIFS(B209:G209,B1:G1,"&lt;&gt;",B2:G2,"&lt;&gt;Exame",B2:G2,"&lt;&gt;exame",B2:G2,"&lt;&gt;Nota",B2:G2,"&lt;&gt;Total"),"")</f>
        <v/>
      </c>
      <c r="I209" s="2" t="str">
        <f>IF(AND(A209&lt;&gt;"",H209&lt;&gt;""),ROUND(H209,0),"")</f>
        <v/>
      </c>
    </row>
    <row r="210" spans="2:9" x14ac:dyDescent="0.3">
      <c r="B210" s="2" t="str">
        <f>IF(A210&lt;&gt;"",VLOOKUP(Alunos!A210,Exame!A3:C1000,3, FALSE),"")</f>
        <v/>
      </c>
      <c r="C210" s="2" t="str">
        <f>IF(A210&lt;&gt;"",VLOOKUP(Alunos!A210,Agrupamentos!A3:B1000,2, FALSE),"")</f>
        <v/>
      </c>
      <c r="D210" s="2" t="str">
        <f>IF(A210&lt;&gt;"",VLOOKUP(Alunos!C210,'TP1'!A3:C1000,3, FALSE),"")</f>
        <v/>
      </c>
      <c r="E210" s="2" t="str">
        <f>IF(A210&lt;&gt;"", SUMIF(B1:D1,"&lt;&gt;",B210:D210),"")</f>
        <v/>
      </c>
      <c r="F210" s="2" t="str">
        <f>IF(AND(A210&lt;&gt;"",E210&lt;&gt;""),ROUND(E210,0),"")</f>
        <v/>
      </c>
      <c r="G210" s="2" t="str">
        <f>IF(A210&lt;&gt;"",VLOOKUP(Alunos!A210,Recurso!A3:C1000,3, FALSE),"")</f>
        <v/>
      </c>
      <c r="H210" s="2" t="str">
        <f>IF(OR(A210&lt;&gt;"",G210&lt;&gt;""), SUMIFS(B210:G210,B1:G1,"&lt;&gt;",B2:G2,"&lt;&gt;Exame",B2:G2,"&lt;&gt;exame",B2:G2,"&lt;&gt;Nota",B2:G2,"&lt;&gt;Total"),"")</f>
        <v/>
      </c>
      <c r="I210" s="2" t="str">
        <f>IF(AND(A210&lt;&gt;"",H210&lt;&gt;""),ROUND(H210,0),"")</f>
        <v/>
      </c>
    </row>
    <row r="211" spans="2:9" x14ac:dyDescent="0.3">
      <c r="B211" s="2" t="str">
        <f>IF(A211&lt;&gt;"",VLOOKUP(Alunos!A211,Exame!A3:C1000,3, FALSE),"")</f>
        <v/>
      </c>
      <c r="C211" s="2" t="str">
        <f>IF(A211&lt;&gt;"",VLOOKUP(Alunos!A211,Agrupamentos!A3:B1000,2, FALSE),"")</f>
        <v/>
      </c>
      <c r="D211" s="2" t="str">
        <f>IF(A211&lt;&gt;"",VLOOKUP(Alunos!C211,'TP1'!A3:C1000,3, FALSE),"")</f>
        <v/>
      </c>
      <c r="E211" s="2" t="str">
        <f>IF(A211&lt;&gt;"", SUMIF(B1:D1,"&lt;&gt;",B211:D211),"")</f>
        <v/>
      </c>
      <c r="F211" s="2" t="str">
        <f>IF(AND(A211&lt;&gt;"",E211&lt;&gt;""),ROUND(E211,0),"")</f>
        <v/>
      </c>
      <c r="G211" s="2" t="str">
        <f>IF(A211&lt;&gt;"",VLOOKUP(Alunos!A211,Recurso!A3:C1000,3, FALSE),"")</f>
        <v/>
      </c>
      <c r="H211" s="2" t="str">
        <f>IF(OR(A211&lt;&gt;"",G211&lt;&gt;""), SUMIFS(B211:G211,B1:G1,"&lt;&gt;",B2:G2,"&lt;&gt;Exame",B2:G2,"&lt;&gt;exame",B2:G2,"&lt;&gt;Nota",B2:G2,"&lt;&gt;Total"),"")</f>
        <v/>
      </c>
      <c r="I211" s="2" t="str">
        <f>IF(AND(A211&lt;&gt;"",H211&lt;&gt;""),ROUND(H211,0),"")</f>
        <v/>
      </c>
    </row>
    <row r="212" spans="2:9" x14ac:dyDescent="0.3">
      <c r="B212" s="2" t="str">
        <f>IF(A212&lt;&gt;"",VLOOKUP(Alunos!A212,Exame!A3:C1000,3, FALSE),"")</f>
        <v/>
      </c>
      <c r="C212" s="2" t="str">
        <f>IF(A212&lt;&gt;"",VLOOKUP(Alunos!A212,Agrupamentos!A3:B1000,2, FALSE),"")</f>
        <v/>
      </c>
      <c r="D212" s="2" t="str">
        <f>IF(A212&lt;&gt;"",VLOOKUP(Alunos!C212,'TP1'!A3:C1000,3, FALSE),"")</f>
        <v/>
      </c>
      <c r="E212" s="2" t="str">
        <f>IF(A212&lt;&gt;"", SUMIF(B1:D1,"&lt;&gt;",B212:D212),"")</f>
        <v/>
      </c>
      <c r="F212" s="2" t="str">
        <f>IF(AND(A212&lt;&gt;"",E212&lt;&gt;""),ROUND(E212,0),"")</f>
        <v/>
      </c>
      <c r="G212" s="2" t="str">
        <f>IF(A212&lt;&gt;"",VLOOKUP(Alunos!A212,Recurso!A3:C1000,3, FALSE),"")</f>
        <v/>
      </c>
      <c r="H212" s="2" t="str">
        <f>IF(OR(A212&lt;&gt;"",G212&lt;&gt;""), SUMIFS(B212:G212,B1:G1,"&lt;&gt;",B2:G2,"&lt;&gt;Exame",B2:G2,"&lt;&gt;exame",B2:G2,"&lt;&gt;Nota",B2:G2,"&lt;&gt;Total"),"")</f>
        <v/>
      </c>
      <c r="I212" s="2" t="str">
        <f>IF(AND(A212&lt;&gt;"",H212&lt;&gt;""),ROUND(H212,0),"")</f>
        <v/>
      </c>
    </row>
    <row r="213" spans="2:9" x14ac:dyDescent="0.3">
      <c r="B213" s="2" t="str">
        <f>IF(A213&lt;&gt;"",VLOOKUP(Alunos!A213,Exame!A3:C1000,3, FALSE),"")</f>
        <v/>
      </c>
      <c r="C213" s="2" t="str">
        <f>IF(A213&lt;&gt;"",VLOOKUP(Alunos!A213,Agrupamentos!A3:B1000,2, FALSE),"")</f>
        <v/>
      </c>
      <c r="D213" s="2" t="str">
        <f>IF(A213&lt;&gt;"",VLOOKUP(Alunos!C213,'TP1'!A3:C1000,3, FALSE),"")</f>
        <v/>
      </c>
      <c r="E213" s="2" t="str">
        <f>IF(A213&lt;&gt;"", SUMIF(B1:D1,"&lt;&gt;",B213:D213),"")</f>
        <v/>
      </c>
      <c r="F213" s="2" t="str">
        <f>IF(AND(A213&lt;&gt;"",E213&lt;&gt;""),ROUND(E213,0),"")</f>
        <v/>
      </c>
      <c r="G213" s="2" t="str">
        <f>IF(A213&lt;&gt;"",VLOOKUP(Alunos!A213,Recurso!A3:C1000,3, FALSE),"")</f>
        <v/>
      </c>
      <c r="H213" s="2" t="str">
        <f>IF(OR(A213&lt;&gt;"",G213&lt;&gt;""), SUMIFS(B213:G213,B1:G1,"&lt;&gt;",B2:G2,"&lt;&gt;Exame",B2:G2,"&lt;&gt;exame",B2:G2,"&lt;&gt;Nota",B2:G2,"&lt;&gt;Total"),"")</f>
        <v/>
      </c>
      <c r="I213" s="2" t="str">
        <f>IF(AND(A213&lt;&gt;"",H213&lt;&gt;""),ROUND(H213,0),"")</f>
        <v/>
      </c>
    </row>
    <row r="214" spans="2:9" x14ac:dyDescent="0.3">
      <c r="B214" s="2" t="str">
        <f>IF(A214&lt;&gt;"",VLOOKUP(Alunos!A214,Exame!A3:C1000,3, FALSE),"")</f>
        <v/>
      </c>
      <c r="C214" s="2" t="str">
        <f>IF(A214&lt;&gt;"",VLOOKUP(Alunos!A214,Agrupamentos!A3:B1000,2, FALSE),"")</f>
        <v/>
      </c>
      <c r="D214" s="2" t="str">
        <f>IF(A214&lt;&gt;"",VLOOKUP(Alunos!C214,'TP1'!A3:C1000,3, FALSE),"")</f>
        <v/>
      </c>
      <c r="E214" s="2" t="str">
        <f>IF(A214&lt;&gt;"", SUMIF(B1:D1,"&lt;&gt;",B214:D214),"")</f>
        <v/>
      </c>
      <c r="F214" s="2" t="str">
        <f>IF(AND(A214&lt;&gt;"",E214&lt;&gt;""),ROUND(E214,0),"")</f>
        <v/>
      </c>
      <c r="G214" s="2" t="str">
        <f>IF(A214&lt;&gt;"",VLOOKUP(Alunos!A214,Recurso!A3:C1000,3, FALSE),"")</f>
        <v/>
      </c>
      <c r="H214" s="2" t="str">
        <f>IF(OR(A214&lt;&gt;"",G214&lt;&gt;""), SUMIFS(B214:G214,B1:G1,"&lt;&gt;",B2:G2,"&lt;&gt;Exame",B2:G2,"&lt;&gt;exame",B2:G2,"&lt;&gt;Nota",B2:G2,"&lt;&gt;Total"),"")</f>
        <v/>
      </c>
      <c r="I214" s="2" t="str">
        <f>IF(AND(A214&lt;&gt;"",H214&lt;&gt;""),ROUND(H214,0),"")</f>
        <v/>
      </c>
    </row>
    <row r="215" spans="2:9" x14ac:dyDescent="0.3">
      <c r="B215" s="2" t="str">
        <f>IF(A215&lt;&gt;"",VLOOKUP(Alunos!A215,Exame!A3:C1000,3, FALSE),"")</f>
        <v/>
      </c>
      <c r="C215" s="2" t="str">
        <f>IF(A215&lt;&gt;"",VLOOKUP(Alunos!A215,Agrupamentos!A3:B1000,2, FALSE),"")</f>
        <v/>
      </c>
      <c r="D215" s="2" t="str">
        <f>IF(A215&lt;&gt;"",VLOOKUP(Alunos!C215,'TP1'!A3:C1000,3, FALSE),"")</f>
        <v/>
      </c>
      <c r="E215" s="2" t="str">
        <f>IF(A215&lt;&gt;"", SUMIF(B1:D1,"&lt;&gt;",B215:D215),"")</f>
        <v/>
      </c>
      <c r="F215" s="2" t="str">
        <f>IF(AND(A215&lt;&gt;"",E215&lt;&gt;""),ROUND(E215,0),"")</f>
        <v/>
      </c>
      <c r="G215" s="2" t="str">
        <f>IF(A215&lt;&gt;"",VLOOKUP(Alunos!A215,Recurso!A3:C1000,3, FALSE),"")</f>
        <v/>
      </c>
      <c r="H215" s="2" t="str">
        <f>IF(OR(A215&lt;&gt;"",G215&lt;&gt;""), SUMIFS(B215:G215,B1:G1,"&lt;&gt;",B2:G2,"&lt;&gt;Exame",B2:G2,"&lt;&gt;exame",B2:G2,"&lt;&gt;Nota",B2:G2,"&lt;&gt;Total"),"")</f>
        <v/>
      </c>
      <c r="I215" s="2" t="str">
        <f>IF(AND(A215&lt;&gt;"",H215&lt;&gt;""),ROUND(H215,0),"")</f>
        <v/>
      </c>
    </row>
    <row r="216" spans="2:9" x14ac:dyDescent="0.3">
      <c r="B216" s="2" t="str">
        <f>IF(A216&lt;&gt;"",VLOOKUP(Alunos!A216,Exame!A3:C1000,3, FALSE),"")</f>
        <v/>
      </c>
      <c r="C216" s="2" t="str">
        <f>IF(A216&lt;&gt;"",VLOOKUP(Alunos!A216,Agrupamentos!A3:B1000,2, FALSE),"")</f>
        <v/>
      </c>
      <c r="D216" s="2" t="str">
        <f>IF(A216&lt;&gt;"",VLOOKUP(Alunos!C216,'TP1'!A3:C1000,3, FALSE),"")</f>
        <v/>
      </c>
      <c r="E216" s="2" t="str">
        <f>IF(A216&lt;&gt;"", SUMIF(B1:D1,"&lt;&gt;",B216:D216),"")</f>
        <v/>
      </c>
      <c r="F216" s="2" t="str">
        <f>IF(AND(A216&lt;&gt;"",E216&lt;&gt;""),ROUND(E216,0),"")</f>
        <v/>
      </c>
      <c r="G216" s="2" t="str">
        <f>IF(A216&lt;&gt;"",VLOOKUP(Alunos!A216,Recurso!A3:C1000,3, FALSE),"")</f>
        <v/>
      </c>
      <c r="H216" s="2" t="str">
        <f>IF(OR(A216&lt;&gt;"",G216&lt;&gt;""), SUMIFS(B216:G216,B1:G1,"&lt;&gt;",B2:G2,"&lt;&gt;Exame",B2:G2,"&lt;&gt;exame",B2:G2,"&lt;&gt;Nota",B2:G2,"&lt;&gt;Total"),"")</f>
        <v/>
      </c>
      <c r="I216" s="2" t="str">
        <f>IF(AND(A216&lt;&gt;"",H216&lt;&gt;""),ROUND(H216,0),"")</f>
        <v/>
      </c>
    </row>
    <row r="217" spans="2:9" x14ac:dyDescent="0.3">
      <c r="B217" s="2" t="str">
        <f>IF(A217&lt;&gt;"",VLOOKUP(Alunos!A217,Exame!A3:C1000,3, FALSE),"")</f>
        <v/>
      </c>
      <c r="C217" s="2" t="str">
        <f>IF(A217&lt;&gt;"",VLOOKUP(Alunos!A217,Agrupamentos!A3:B1000,2, FALSE),"")</f>
        <v/>
      </c>
      <c r="D217" s="2" t="str">
        <f>IF(A217&lt;&gt;"",VLOOKUP(Alunos!C217,'TP1'!A3:C1000,3, FALSE),"")</f>
        <v/>
      </c>
      <c r="E217" s="2" t="str">
        <f>IF(A217&lt;&gt;"", SUMIF(B1:D1,"&lt;&gt;",B217:D217),"")</f>
        <v/>
      </c>
      <c r="F217" s="2" t="str">
        <f>IF(AND(A217&lt;&gt;"",E217&lt;&gt;""),ROUND(E217,0),"")</f>
        <v/>
      </c>
      <c r="G217" s="2" t="str">
        <f>IF(A217&lt;&gt;"",VLOOKUP(Alunos!A217,Recurso!A3:C1000,3, FALSE),"")</f>
        <v/>
      </c>
      <c r="H217" s="2" t="str">
        <f>IF(OR(A217&lt;&gt;"",G217&lt;&gt;""), SUMIFS(B217:G217,B1:G1,"&lt;&gt;",B2:G2,"&lt;&gt;Exame",B2:G2,"&lt;&gt;exame",B2:G2,"&lt;&gt;Nota",B2:G2,"&lt;&gt;Total"),"")</f>
        <v/>
      </c>
      <c r="I217" s="2" t="str">
        <f>IF(AND(A217&lt;&gt;"",H217&lt;&gt;""),ROUND(H217,0),"")</f>
        <v/>
      </c>
    </row>
    <row r="218" spans="2:9" x14ac:dyDescent="0.3">
      <c r="B218" s="2" t="str">
        <f>IF(A218&lt;&gt;"",VLOOKUP(Alunos!A218,Exame!A3:C1000,3, FALSE),"")</f>
        <v/>
      </c>
      <c r="C218" s="2" t="str">
        <f>IF(A218&lt;&gt;"",VLOOKUP(Alunos!A218,Agrupamentos!A3:B1000,2, FALSE),"")</f>
        <v/>
      </c>
      <c r="D218" s="2" t="str">
        <f>IF(A218&lt;&gt;"",VLOOKUP(Alunos!C218,'TP1'!A3:C1000,3, FALSE),"")</f>
        <v/>
      </c>
      <c r="E218" s="2" t="str">
        <f>IF(A218&lt;&gt;"", SUMIF(B1:D1,"&lt;&gt;",B218:D218),"")</f>
        <v/>
      </c>
      <c r="F218" s="2" t="str">
        <f>IF(AND(A218&lt;&gt;"",E218&lt;&gt;""),ROUND(E218,0),"")</f>
        <v/>
      </c>
      <c r="G218" s="2" t="str">
        <f>IF(A218&lt;&gt;"",VLOOKUP(Alunos!A218,Recurso!A3:C1000,3, FALSE),"")</f>
        <v/>
      </c>
      <c r="H218" s="2" t="str">
        <f>IF(OR(A218&lt;&gt;"",G218&lt;&gt;""), SUMIFS(B218:G218,B1:G1,"&lt;&gt;",B2:G2,"&lt;&gt;Exame",B2:G2,"&lt;&gt;exame",B2:G2,"&lt;&gt;Nota",B2:G2,"&lt;&gt;Total"),"")</f>
        <v/>
      </c>
      <c r="I218" s="2" t="str">
        <f>IF(AND(A218&lt;&gt;"",H218&lt;&gt;""),ROUND(H218,0),"")</f>
        <v/>
      </c>
    </row>
    <row r="219" spans="2:9" x14ac:dyDescent="0.3">
      <c r="B219" s="2" t="str">
        <f>IF(A219&lt;&gt;"",VLOOKUP(Alunos!A219,Exame!A3:C1000,3, FALSE),"")</f>
        <v/>
      </c>
      <c r="C219" s="2" t="str">
        <f>IF(A219&lt;&gt;"",VLOOKUP(Alunos!A219,Agrupamentos!A3:B1000,2, FALSE),"")</f>
        <v/>
      </c>
      <c r="D219" s="2" t="str">
        <f>IF(A219&lt;&gt;"",VLOOKUP(Alunos!C219,'TP1'!A3:C1000,3, FALSE),"")</f>
        <v/>
      </c>
      <c r="E219" s="2" t="str">
        <f>IF(A219&lt;&gt;"", SUMIF(B1:D1,"&lt;&gt;",B219:D219),"")</f>
        <v/>
      </c>
      <c r="F219" s="2" t="str">
        <f>IF(AND(A219&lt;&gt;"",E219&lt;&gt;""),ROUND(E219,0),"")</f>
        <v/>
      </c>
      <c r="G219" s="2" t="str">
        <f>IF(A219&lt;&gt;"",VLOOKUP(Alunos!A219,Recurso!A3:C1000,3, FALSE),"")</f>
        <v/>
      </c>
      <c r="H219" s="2" t="str">
        <f>IF(OR(A219&lt;&gt;"",G219&lt;&gt;""), SUMIFS(B219:G219,B1:G1,"&lt;&gt;",B2:G2,"&lt;&gt;Exame",B2:G2,"&lt;&gt;exame",B2:G2,"&lt;&gt;Nota",B2:G2,"&lt;&gt;Total"),"")</f>
        <v/>
      </c>
      <c r="I219" s="2" t="str">
        <f>IF(AND(A219&lt;&gt;"",H219&lt;&gt;""),ROUND(H219,0),"")</f>
        <v/>
      </c>
    </row>
    <row r="220" spans="2:9" x14ac:dyDescent="0.3">
      <c r="B220" s="2" t="str">
        <f>IF(A220&lt;&gt;"",VLOOKUP(Alunos!A220,Exame!A3:C1000,3, FALSE),"")</f>
        <v/>
      </c>
      <c r="C220" s="2" t="str">
        <f>IF(A220&lt;&gt;"",VLOOKUP(Alunos!A220,Agrupamentos!A3:B1000,2, FALSE),"")</f>
        <v/>
      </c>
      <c r="D220" s="2" t="str">
        <f>IF(A220&lt;&gt;"",VLOOKUP(Alunos!C220,'TP1'!A3:C1000,3, FALSE),"")</f>
        <v/>
      </c>
      <c r="E220" s="2" t="str">
        <f>IF(A220&lt;&gt;"", SUMIF(B1:D1,"&lt;&gt;",B220:D220),"")</f>
        <v/>
      </c>
      <c r="F220" s="2" t="str">
        <f>IF(AND(A220&lt;&gt;"",E220&lt;&gt;""),ROUND(E220,0),"")</f>
        <v/>
      </c>
      <c r="G220" s="2" t="str">
        <f>IF(A220&lt;&gt;"",VLOOKUP(Alunos!A220,Recurso!A3:C1000,3, FALSE),"")</f>
        <v/>
      </c>
      <c r="H220" s="2" t="str">
        <f>IF(OR(A220&lt;&gt;"",G220&lt;&gt;""), SUMIFS(B220:G220,B1:G1,"&lt;&gt;",B2:G2,"&lt;&gt;Exame",B2:G2,"&lt;&gt;exame",B2:G2,"&lt;&gt;Nota",B2:G2,"&lt;&gt;Total"),"")</f>
        <v/>
      </c>
      <c r="I220" s="2" t="str">
        <f>IF(AND(A220&lt;&gt;"",H220&lt;&gt;""),ROUND(H220,0),"")</f>
        <v/>
      </c>
    </row>
    <row r="221" spans="2:9" x14ac:dyDescent="0.3">
      <c r="B221" s="2" t="str">
        <f>IF(A221&lt;&gt;"",VLOOKUP(Alunos!A221,Exame!A3:C1000,3, FALSE),"")</f>
        <v/>
      </c>
      <c r="C221" s="2" t="str">
        <f>IF(A221&lt;&gt;"",VLOOKUP(Alunos!A221,Agrupamentos!A3:B1000,2, FALSE),"")</f>
        <v/>
      </c>
      <c r="D221" s="2" t="str">
        <f>IF(A221&lt;&gt;"",VLOOKUP(Alunos!C221,'TP1'!A3:C1000,3, FALSE),"")</f>
        <v/>
      </c>
      <c r="E221" s="2" t="str">
        <f>IF(A221&lt;&gt;"", SUMIF(B1:D1,"&lt;&gt;",B221:D221),"")</f>
        <v/>
      </c>
      <c r="F221" s="2" t="str">
        <f>IF(AND(A221&lt;&gt;"",E221&lt;&gt;""),ROUND(E221,0),"")</f>
        <v/>
      </c>
      <c r="G221" s="2" t="str">
        <f>IF(A221&lt;&gt;"",VLOOKUP(Alunos!A221,Recurso!A3:C1000,3, FALSE),"")</f>
        <v/>
      </c>
      <c r="H221" s="2" t="str">
        <f>IF(OR(A221&lt;&gt;"",G221&lt;&gt;""), SUMIFS(B221:G221,B1:G1,"&lt;&gt;",B2:G2,"&lt;&gt;Exame",B2:G2,"&lt;&gt;exame",B2:G2,"&lt;&gt;Nota",B2:G2,"&lt;&gt;Total"),"")</f>
        <v/>
      </c>
      <c r="I221" s="2" t="str">
        <f>IF(AND(A221&lt;&gt;"",H221&lt;&gt;""),ROUND(H221,0),"")</f>
        <v/>
      </c>
    </row>
    <row r="222" spans="2:9" x14ac:dyDescent="0.3">
      <c r="B222" s="2" t="str">
        <f>IF(A222&lt;&gt;"",VLOOKUP(Alunos!A222,Exame!A3:C1000,3, FALSE),"")</f>
        <v/>
      </c>
      <c r="C222" s="2" t="str">
        <f>IF(A222&lt;&gt;"",VLOOKUP(Alunos!A222,Agrupamentos!A3:B1000,2, FALSE),"")</f>
        <v/>
      </c>
      <c r="D222" s="2" t="str">
        <f>IF(A222&lt;&gt;"",VLOOKUP(Alunos!C222,'TP1'!A3:C1000,3, FALSE),"")</f>
        <v/>
      </c>
      <c r="E222" s="2" t="str">
        <f>IF(A222&lt;&gt;"", SUMIF(B1:D1,"&lt;&gt;",B222:D222),"")</f>
        <v/>
      </c>
      <c r="F222" s="2" t="str">
        <f>IF(AND(A222&lt;&gt;"",E222&lt;&gt;""),ROUND(E222,0),"")</f>
        <v/>
      </c>
      <c r="G222" s="2" t="str">
        <f>IF(A222&lt;&gt;"",VLOOKUP(Alunos!A222,Recurso!A3:C1000,3, FALSE),"")</f>
        <v/>
      </c>
      <c r="H222" s="2" t="str">
        <f>IF(OR(A222&lt;&gt;"",G222&lt;&gt;""), SUMIFS(B222:G222,B1:G1,"&lt;&gt;",B2:G2,"&lt;&gt;Exame",B2:G2,"&lt;&gt;exame",B2:G2,"&lt;&gt;Nota",B2:G2,"&lt;&gt;Total"),"")</f>
        <v/>
      </c>
      <c r="I222" s="2" t="str">
        <f>IF(AND(A222&lt;&gt;"",H222&lt;&gt;""),ROUND(H222,0),"")</f>
        <v/>
      </c>
    </row>
    <row r="223" spans="2:9" x14ac:dyDescent="0.3">
      <c r="B223" s="2" t="str">
        <f>IF(A223&lt;&gt;"",VLOOKUP(Alunos!A223,Exame!A3:C1000,3, FALSE),"")</f>
        <v/>
      </c>
      <c r="C223" s="2" t="str">
        <f>IF(A223&lt;&gt;"",VLOOKUP(Alunos!A223,Agrupamentos!A3:B1000,2, FALSE),"")</f>
        <v/>
      </c>
      <c r="D223" s="2" t="str">
        <f>IF(A223&lt;&gt;"",VLOOKUP(Alunos!C223,'TP1'!A3:C1000,3, FALSE),"")</f>
        <v/>
      </c>
      <c r="E223" s="2" t="str">
        <f>IF(A223&lt;&gt;"", SUMIF(B1:D1,"&lt;&gt;",B223:D223),"")</f>
        <v/>
      </c>
      <c r="F223" s="2" t="str">
        <f>IF(AND(A223&lt;&gt;"",E223&lt;&gt;""),ROUND(E223,0),"")</f>
        <v/>
      </c>
      <c r="G223" s="2" t="str">
        <f>IF(A223&lt;&gt;"",VLOOKUP(Alunos!A223,Recurso!A3:C1000,3, FALSE),"")</f>
        <v/>
      </c>
      <c r="H223" s="2" t="str">
        <f>IF(OR(A223&lt;&gt;"",G223&lt;&gt;""), SUMIFS(B223:G223,B1:G1,"&lt;&gt;",B2:G2,"&lt;&gt;Exame",B2:G2,"&lt;&gt;exame",B2:G2,"&lt;&gt;Nota",B2:G2,"&lt;&gt;Total"),"")</f>
        <v/>
      </c>
      <c r="I223" s="2" t="str">
        <f>IF(AND(A223&lt;&gt;"",H223&lt;&gt;""),ROUND(H223,0),"")</f>
        <v/>
      </c>
    </row>
    <row r="224" spans="2:9" x14ac:dyDescent="0.3">
      <c r="B224" s="2" t="str">
        <f>IF(A224&lt;&gt;"",VLOOKUP(Alunos!A224,Exame!A3:C1000,3, FALSE),"")</f>
        <v/>
      </c>
      <c r="C224" s="2" t="str">
        <f>IF(A224&lt;&gt;"",VLOOKUP(Alunos!A224,Agrupamentos!A3:B1000,2, FALSE),"")</f>
        <v/>
      </c>
      <c r="D224" s="2" t="str">
        <f>IF(A224&lt;&gt;"",VLOOKUP(Alunos!C224,'TP1'!A3:C1000,3, FALSE),"")</f>
        <v/>
      </c>
      <c r="E224" s="2" t="str">
        <f>IF(A224&lt;&gt;"", SUMIF(B1:D1,"&lt;&gt;",B224:D224),"")</f>
        <v/>
      </c>
      <c r="F224" s="2" t="str">
        <f>IF(AND(A224&lt;&gt;"",E224&lt;&gt;""),ROUND(E224,0),"")</f>
        <v/>
      </c>
      <c r="G224" s="2" t="str">
        <f>IF(A224&lt;&gt;"",VLOOKUP(Alunos!A224,Recurso!A3:C1000,3, FALSE),"")</f>
        <v/>
      </c>
      <c r="H224" s="2" t="str">
        <f>IF(OR(A224&lt;&gt;"",G224&lt;&gt;""), SUMIFS(B224:G224,B1:G1,"&lt;&gt;",B2:G2,"&lt;&gt;Exame",B2:G2,"&lt;&gt;exame",B2:G2,"&lt;&gt;Nota",B2:G2,"&lt;&gt;Total"),"")</f>
        <v/>
      </c>
      <c r="I224" s="2" t="str">
        <f>IF(AND(A224&lt;&gt;"",H224&lt;&gt;""),ROUND(H224,0),"")</f>
        <v/>
      </c>
    </row>
    <row r="225" spans="2:9" x14ac:dyDescent="0.3">
      <c r="B225" s="2" t="str">
        <f>IF(A225&lt;&gt;"",VLOOKUP(Alunos!A225,Exame!A3:C1000,3, FALSE),"")</f>
        <v/>
      </c>
      <c r="C225" s="2" t="str">
        <f>IF(A225&lt;&gt;"",VLOOKUP(Alunos!A225,Agrupamentos!A3:B1000,2, FALSE),"")</f>
        <v/>
      </c>
      <c r="D225" s="2" t="str">
        <f>IF(A225&lt;&gt;"",VLOOKUP(Alunos!C225,'TP1'!A3:C1000,3, FALSE),"")</f>
        <v/>
      </c>
      <c r="E225" s="2" t="str">
        <f>IF(A225&lt;&gt;"", SUMIF(B1:D1,"&lt;&gt;",B225:D225),"")</f>
        <v/>
      </c>
      <c r="F225" s="2" t="str">
        <f>IF(AND(A225&lt;&gt;"",E225&lt;&gt;""),ROUND(E225,0),"")</f>
        <v/>
      </c>
      <c r="G225" s="2" t="str">
        <f>IF(A225&lt;&gt;"",VLOOKUP(Alunos!A225,Recurso!A3:C1000,3, FALSE),"")</f>
        <v/>
      </c>
      <c r="H225" s="2" t="str">
        <f>IF(OR(A225&lt;&gt;"",G225&lt;&gt;""), SUMIFS(B225:G225,B1:G1,"&lt;&gt;",B2:G2,"&lt;&gt;Exame",B2:G2,"&lt;&gt;exame",B2:G2,"&lt;&gt;Nota",B2:G2,"&lt;&gt;Total"),"")</f>
        <v/>
      </c>
      <c r="I225" s="2" t="str">
        <f>IF(AND(A225&lt;&gt;"",H225&lt;&gt;""),ROUND(H225,0),"")</f>
        <v/>
      </c>
    </row>
    <row r="226" spans="2:9" x14ac:dyDescent="0.3">
      <c r="B226" s="2" t="str">
        <f>IF(A226&lt;&gt;"",VLOOKUP(Alunos!A226,Exame!A3:C1000,3, FALSE),"")</f>
        <v/>
      </c>
      <c r="C226" s="2" t="str">
        <f>IF(A226&lt;&gt;"",VLOOKUP(Alunos!A226,Agrupamentos!A3:B1000,2, FALSE),"")</f>
        <v/>
      </c>
      <c r="D226" s="2" t="str">
        <f>IF(A226&lt;&gt;"",VLOOKUP(Alunos!C226,'TP1'!A3:C1000,3, FALSE),"")</f>
        <v/>
      </c>
      <c r="E226" s="2" t="str">
        <f>IF(A226&lt;&gt;"", SUMIF(B1:D1,"&lt;&gt;",B226:D226),"")</f>
        <v/>
      </c>
      <c r="F226" s="2" t="str">
        <f>IF(AND(A226&lt;&gt;"",E226&lt;&gt;""),ROUND(E226,0),"")</f>
        <v/>
      </c>
      <c r="G226" s="2" t="str">
        <f>IF(A226&lt;&gt;"",VLOOKUP(Alunos!A226,Recurso!A3:C1000,3, FALSE),"")</f>
        <v/>
      </c>
      <c r="H226" s="2" t="str">
        <f>IF(OR(A226&lt;&gt;"",G226&lt;&gt;""), SUMIFS(B226:G226,B1:G1,"&lt;&gt;",B2:G2,"&lt;&gt;Exame",B2:G2,"&lt;&gt;exame",B2:G2,"&lt;&gt;Nota",B2:G2,"&lt;&gt;Total"),"")</f>
        <v/>
      </c>
      <c r="I226" s="2" t="str">
        <f>IF(AND(A226&lt;&gt;"",H226&lt;&gt;""),ROUND(H226,0),"")</f>
        <v/>
      </c>
    </row>
    <row r="227" spans="2:9" x14ac:dyDescent="0.3">
      <c r="B227" s="2" t="str">
        <f>IF(A227&lt;&gt;"",VLOOKUP(Alunos!A227,Exame!A3:C1000,3, FALSE),"")</f>
        <v/>
      </c>
      <c r="C227" s="2" t="str">
        <f>IF(A227&lt;&gt;"",VLOOKUP(Alunos!A227,Agrupamentos!A3:B1000,2, FALSE),"")</f>
        <v/>
      </c>
      <c r="D227" s="2" t="str">
        <f>IF(A227&lt;&gt;"",VLOOKUP(Alunos!C227,'TP1'!A3:C1000,3, FALSE),"")</f>
        <v/>
      </c>
      <c r="E227" s="2" t="str">
        <f>IF(A227&lt;&gt;"", SUMIF(B1:D1,"&lt;&gt;",B227:D227),"")</f>
        <v/>
      </c>
      <c r="F227" s="2" t="str">
        <f>IF(AND(A227&lt;&gt;"",E227&lt;&gt;""),ROUND(E227,0),"")</f>
        <v/>
      </c>
      <c r="G227" s="2" t="str">
        <f>IF(A227&lt;&gt;"",VLOOKUP(Alunos!A227,Recurso!A3:C1000,3, FALSE),"")</f>
        <v/>
      </c>
      <c r="H227" s="2" t="str">
        <f>IF(OR(A227&lt;&gt;"",G227&lt;&gt;""), SUMIFS(B227:G227,B1:G1,"&lt;&gt;",B2:G2,"&lt;&gt;Exame",B2:G2,"&lt;&gt;exame",B2:G2,"&lt;&gt;Nota",B2:G2,"&lt;&gt;Total"),"")</f>
        <v/>
      </c>
      <c r="I227" s="2" t="str">
        <f>IF(AND(A227&lt;&gt;"",H227&lt;&gt;""),ROUND(H227,0),"")</f>
        <v/>
      </c>
    </row>
    <row r="228" spans="2:9" x14ac:dyDescent="0.3">
      <c r="B228" s="2" t="str">
        <f>IF(A228&lt;&gt;"",VLOOKUP(Alunos!A228,Exame!A3:C1000,3, FALSE),"")</f>
        <v/>
      </c>
      <c r="C228" s="2" t="str">
        <f>IF(A228&lt;&gt;"",VLOOKUP(Alunos!A228,Agrupamentos!A3:B1000,2, FALSE),"")</f>
        <v/>
      </c>
      <c r="D228" s="2" t="str">
        <f>IF(A228&lt;&gt;"",VLOOKUP(Alunos!C228,'TP1'!A3:C1000,3, FALSE),"")</f>
        <v/>
      </c>
      <c r="E228" s="2" t="str">
        <f>IF(A228&lt;&gt;"", SUMIF(B1:D1,"&lt;&gt;",B228:D228),"")</f>
        <v/>
      </c>
      <c r="F228" s="2" t="str">
        <f>IF(AND(A228&lt;&gt;"",E228&lt;&gt;""),ROUND(E228,0),"")</f>
        <v/>
      </c>
      <c r="G228" s="2" t="str">
        <f>IF(A228&lt;&gt;"",VLOOKUP(Alunos!A228,Recurso!A3:C1000,3, FALSE),"")</f>
        <v/>
      </c>
      <c r="H228" s="2" t="str">
        <f>IF(OR(A228&lt;&gt;"",G228&lt;&gt;""), SUMIFS(B228:G228,B1:G1,"&lt;&gt;",B2:G2,"&lt;&gt;Exame",B2:G2,"&lt;&gt;exame",B2:G2,"&lt;&gt;Nota",B2:G2,"&lt;&gt;Total"),"")</f>
        <v/>
      </c>
      <c r="I228" s="2" t="str">
        <f>IF(AND(A228&lt;&gt;"",H228&lt;&gt;""),ROUND(H228,0),"")</f>
        <v/>
      </c>
    </row>
    <row r="229" spans="2:9" x14ac:dyDescent="0.3">
      <c r="B229" s="2" t="str">
        <f>IF(A229&lt;&gt;"",VLOOKUP(Alunos!A229,Exame!A3:C1000,3, FALSE),"")</f>
        <v/>
      </c>
      <c r="C229" s="2" t="str">
        <f>IF(A229&lt;&gt;"",VLOOKUP(Alunos!A229,Agrupamentos!A3:B1000,2, FALSE),"")</f>
        <v/>
      </c>
      <c r="D229" s="2" t="str">
        <f>IF(A229&lt;&gt;"",VLOOKUP(Alunos!C229,'TP1'!A3:C1000,3, FALSE),"")</f>
        <v/>
      </c>
      <c r="E229" s="2" t="str">
        <f>IF(A229&lt;&gt;"", SUMIF(B1:D1,"&lt;&gt;",B229:D229),"")</f>
        <v/>
      </c>
      <c r="F229" s="2" t="str">
        <f>IF(AND(A229&lt;&gt;"",E229&lt;&gt;""),ROUND(E229,0),"")</f>
        <v/>
      </c>
      <c r="G229" s="2" t="str">
        <f>IF(A229&lt;&gt;"",VLOOKUP(Alunos!A229,Recurso!A3:C1000,3, FALSE),"")</f>
        <v/>
      </c>
      <c r="H229" s="2" t="str">
        <f>IF(OR(A229&lt;&gt;"",G229&lt;&gt;""), SUMIFS(B229:G229,B1:G1,"&lt;&gt;",B2:G2,"&lt;&gt;Exame",B2:G2,"&lt;&gt;exame",B2:G2,"&lt;&gt;Nota",B2:G2,"&lt;&gt;Total"),"")</f>
        <v/>
      </c>
      <c r="I229" s="2" t="str">
        <f>IF(AND(A229&lt;&gt;"",H229&lt;&gt;""),ROUND(H229,0),"")</f>
        <v/>
      </c>
    </row>
    <row r="230" spans="2:9" x14ac:dyDescent="0.3">
      <c r="B230" s="2" t="str">
        <f>IF(A230&lt;&gt;"",VLOOKUP(Alunos!A230,Exame!A3:C1000,3, FALSE),"")</f>
        <v/>
      </c>
      <c r="C230" s="2" t="str">
        <f>IF(A230&lt;&gt;"",VLOOKUP(Alunos!A230,Agrupamentos!A3:B1000,2, FALSE),"")</f>
        <v/>
      </c>
      <c r="D230" s="2" t="str">
        <f>IF(A230&lt;&gt;"",VLOOKUP(Alunos!C230,'TP1'!A3:C1000,3, FALSE),"")</f>
        <v/>
      </c>
      <c r="E230" s="2" t="str">
        <f>IF(A230&lt;&gt;"", SUMIF(B1:D1,"&lt;&gt;",B230:D230),"")</f>
        <v/>
      </c>
      <c r="F230" s="2" t="str">
        <f>IF(AND(A230&lt;&gt;"",E230&lt;&gt;""),ROUND(E230,0),"")</f>
        <v/>
      </c>
      <c r="G230" s="2" t="str">
        <f>IF(A230&lt;&gt;"",VLOOKUP(Alunos!A230,Recurso!A3:C1000,3, FALSE),"")</f>
        <v/>
      </c>
      <c r="H230" s="2" t="str">
        <f>IF(OR(A230&lt;&gt;"",G230&lt;&gt;""), SUMIFS(B230:G230,B1:G1,"&lt;&gt;",B2:G2,"&lt;&gt;Exame",B2:G2,"&lt;&gt;exame",B2:G2,"&lt;&gt;Nota",B2:G2,"&lt;&gt;Total"),"")</f>
        <v/>
      </c>
      <c r="I230" s="2" t="str">
        <f>IF(AND(A230&lt;&gt;"",H230&lt;&gt;""),ROUND(H230,0),"")</f>
        <v/>
      </c>
    </row>
    <row r="231" spans="2:9" x14ac:dyDescent="0.3">
      <c r="B231" s="2" t="str">
        <f>IF(A231&lt;&gt;"",VLOOKUP(Alunos!A231,Exame!A3:C1000,3, FALSE),"")</f>
        <v/>
      </c>
      <c r="C231" s="2" t="str">
        <f>IF(A231&lt;&gt;"",VLOOKUP(Alunos!A231,Agrupamentos!A3:B1000,2, FALSE),"")</f>
        <v/>
      </c>
      <c r="D231" s="2" t="str">
        <f>IF(A231&lt;&gt;"",VLOOKUP(Alunos!C231,'TP1'!A3:C1000,3, FALSE),"")</f>
        <v/>
      </c>
      <c r="E231" s="2" t="str">
        <f>IF(A231&lt;&gt;"", SUMIF(B1:D1,"&lt;&gt;",B231:D231),"")</f>
        <v/>
      </c>
      <c r="F231" s="2" t="str">
        <f>IF(AND(A231&lt;&gt;"",E231&lt;&gt;""),ROUND(E231,0),"")</f>
        <v/>
      </c>
      <c r="G231" s="2" t="str">
        <f>IF(A231&lt;&gt;"",VLOOKUP(Alunos!A231,Recurso!A3:C1000,3, FALSE),"")</f>
        <v/>
      </c>
      <c r="H231" s="2" t="str">
        <f>IF(OR(A231&lt;&gt;"",G231&lt;&gt;""), SUMIFS(B231:G231,B1:G1,"&lt;&gt;",B2:G2,"&lt;&gt;Exame",B2:G2,"&lt;&gt;exame",B2:G2,"&lt;&gt;Nota",B2:G2,"&lt;&gt;Total"),"")</f>
        <v/>
      </c>
      <c r="I231" s="2" t="str">
        <f>IF(AND(A231&lt;&gt;"",H231&lt;&gt;""),ROUND(H231,0),"")</f>
        <v/>
      </c>
    </row>
    <row r="232" spans="2:9" x14ac:dyDescent="0.3">
      <c r="B232" s="2" t="str">
        <f>IF(A232&lt;&gt;"",VLOOKUP(Alunos!A232,Exame!A3:C1000,3, FALSE),"")</f>
        <v/>
      </c>
      <c r="C232" s="2" t="str">
        <f>IF(A232&lt;&gt;"",VLOOKUP(Alunos!A232,Agrupamentos!A3:B1000,2, FALSE),"")</f>
        <v/>
      </c>
      <c r="D232" s="2" t="str">
        <f>IF(A232&lt;&gt;"",VLOOKUP(Alunos!C232,'TP1'!A3:C1000,3, FALSE),"")</f>
        <v/>
      </c>
      <c r="E232" s="2" t="str">
        <f>IF(A232&lt;&gt;"", SUMIF(B1:D1,"&lt;&gt;",B232:D232),"")</f>
        <v/>
      </c>
      <c r="F232" s="2" t="str">
        <f>IF(AND(A232&lt;&gt;"",E232&lt;&gt;""),ROUND(E232,0),"")</f>
        <v/>
      </c>
      <c r="G232" s="2" t="str">
        <f>IF(A232&lt;&gt;"",VLOOKUP(Alunos!A232,Recurso!A3:C1000,3, FALSE),"")</f>
        <v/>
      </c>
      <c r="H232" s="2" t="str">
        <f>IF(OR(A232&lt;&gt;"",G232&lt;&gt;""), SUMIFS(B232:G232,B1:G1,"&lt;&gt;",B2:G2,"&lt;&gt;Exame",B2:G2,"&lt;&gt;exame",B2:G2,"&lt;&gt;Nota",B2:G2,"&lt;&gt;Total"),"")</f>
        <v/>
      </c>
      <c r="I232" s="2" t="str">
        <f>IF(AND(A232&lt;&gt;"",H232&lt;&gt;""),ROUND(H232,0),"")</f>
        <v/>
      </c>
    </row>
    <row r="233" spans="2:9" x14ac:dyDescent="0.3">
      <c r="B233" s="2" t="str">
        <f>IF(A233&lt;&gt;"",VLOOKUP(Alunos!A233,Exame!A3:C1000,3, FALSE),"")</f>
        <v/>
      </c>
      <c r="C233" s="2" t="str">
        <f>IF(A233&lt;&gt;"",VLOOKUP(Alunos!A233,Agrupamentos!A3:B1000,2, FALSE),"")</f>
        <v/>
      </c>
      <c r="D233" s="2" t="str">
        <f>IF(A233&lt;&gt;"",VLOOKUP(Alunos!C233,'TP1'!A3:C1000,3, FALSE),"")</f>
        <v/>
      </c>
      <c r="E233" s="2" t="str">
        <f>IF(A233&lt;&gt;"", SUMIF(B1:D1,"&lt;&gt;",B233:D233),"")</f>
        <v/>
      </c>
      <c r="F233" s="2" t="str">
        <f>IF(AND(A233&lt;&gt;"",E233&lt;&gt;""),ROUND(E233,0),"")</f>
        <v/>
      </c>
      <c r="G233" s="2" t="str">
        <f>IF(A233&lt;&gt;"",VLOOKUP(Alunos!A233,Recurso!A3:C1000,3, FALSE),"")</f>
        <v/>
      </c>
      <c r="H233" s="2" t="str">
        <f>IF(OR(A233&lt;&gt;"",G233&lt;&gt;""), SUMIFS(B233:G233,B1:G1,"&lt;&gt;",B2:G2,"&lt;&gt;Exame",B2:G2,"&lt;&gt;exame",B2:G2,"&lt;&gt;Nota",B2:G2,"&lt;&gt;Total"),"")</f>
        <v/>
      </c>
      <c r="I233" s="2" t="str">
        <f>IF(AND(A233&lt;&gt;"",H233&lt;&gt;""),ROUND(H233,0),"")</f>
        <v/>
      </c>
    </row>
    <row r="234" spans="2:9" x14ac:dyDescent="0.3">
      <c r="B234" s="2" t="str">
        <f>IF(A234&lt;&gt;"",VLOOKUP(Alunos!A234,Exame!A3:C1000,3, FALSE),"")</f>
        <v/>
      </c>
      <c r="C234" s="2" t="str">
        <f>IF(A234&lt;&gt;"",VLOOKUP(Alunos!A234,Agrupamentos!A3:B1000,2, FALSE),"")</f>
        <v/>
      </c>
      <c r="D234" s="2" t="str">
        <f>IF(A234&lt;&gt;"",VLOOKUP(Alunos!C234,'TP1'!A3:C1000,3, FALSE),"")</f>
        <v/>
      </c>
      <c r="E234" s="2" t="str">
        <f>IF(A234&lt;&gt;"", SUMIF(B1:D1,"&lt;&gt;",B234:D234),"")</f>
        <v/>
      </c>
      <c r="F234" s="2" t="str">
        <f>IF(AND(A234&lt;&gt;"",E234&lt;&gt;""),ROUND(E234,0),"")</f>
        <v/>
      </c>
      <c r="G234" s="2" t="str">
        <f>IF(A234&lt;&gt;"",VLOOKUP(Alunos!A234,Recurso!A3:C1000,3, FALSE),"")</f>
        <v/>
      </c>
      <c r="H234" s="2" t="str">
        <f>IF(OR(A234&lt;&gt;"",G234&lt;&gt;""), SUMIFS(B234:G234,B1:G1,"&lt;&gt;",B2:G2,"&lt;&gt;Exame",B2:G2,"&lt;&gt;exame",B2:G2,"&lt;&gt;Nota",B2:G2,"&lt;&gt;Total"),"")</f>
        <v/>
      </c>
      <c r="I234" s="2" t="str">
        <f>IF(AND(A234&lt;&gt;"",H234&lt;&gt;""),ROUND(H234,0),"")</f>
        <v/>
      </c>
    </row>
    <row r="235" spans="2:9" x14ac:dyDescent="0.3">
      <c r="B235" s="2" t="str">
        <f>IF(A235&lt;&gt;"",VLOOKUP(Alunos!A235,Exame!A3:C1000,3, FALSE),"")</f>
        <v/>
      </c>
      <c r="C235" s="2" t="str">
        <f>IF(A235&lt;&gt;"",VLOOKUP(Alunos!A235,Agrupamentos!A3:B1000,2, FALSE),"")</f>
        <v/>
      </c>
      <c r="D235" s="2" t="str">
        <f>IF(A235&lt;&gt;"",VLOOKUP(Alunos!C235,'TP1'!A3:C1000,3, FALSE),"")</f>
        <v/>
      </c>
      <c r="E235" s="2" t="str">
        <f>IF(A235&lt;&gt;"", SUMIF(B1:D1,"&lt;&gt;",B235:D235),"")</f>
        <v/>
      </c>
      <c r="F235" s="2" t="str">
        <f>IF(AND(A235&lt;&gt;"",E235&lt;&gt;""),ROUND(E235,0),"")</f>
        <v/>
      </c>
      <c r="G235" s="2" t="str">
        <f>IF(A235&lt;&gt;"",VLOOKUP(Alunos!A235,Recurso!A3:C1000,3, FALSE),"")</f>
        <v/>
      </c>
      <c r="H235" s="2" t="str">
        <f>IF(OR(A235&lt;&gt;"",G235&lt;&gt;""), SUMIFS(B235:G235,B1:G1,"&lt;&gt;",B2:G2,"&lt;&gt;Exame",B2:G2,"&lt;&gt;exame",B2:G2,"&lt;&gt;Nota",B2:G2,"&lt;&gt;Total"),"")</f>
        <v/>
      </c>
      <c r="I235" s="2" t="str">
        <f>IF(AND(A235&lt;&gt;"",H235&lt;&gt;""),ROUND(H235,0),"")</f>
        <v/>
      </c>
    </row>
    <row r="236" spans="2:9" x14ac:dyDescent="0.3">
      <c r="B236" s="2" t="str">
        <f>IF(A236&lt;&gt;"",VLOOKUP(Alunos!A236,Exame!A3:C1000,3, FALSE),"")</f>
        <v/>
      </c>
      <c r="C236" s="2" t="str">
        <f>IF(A236&lt;&gt;"",VLOOKUP(Alunos!A236,Agrupamentos!A3:B1000,2, FALSE),"")</f>
        <v/>
      </c>
      <c r="D236" s="2" t="str">
        <f>IF(A236&lt;&gt;"",VLOOKUP(Alunos!C236,'TP1'!A3:C1000,3, FALSE),"")</f>
        <v/>
      </c>
      <c r="E236" s="2" t="str">
        <f>IF(A236&lt;&gt;"", SUMIF(B1:D1,"&lt;&gt;",B236:D236),"")</f>
        <v/>
      </c>
      <c r="F236" s="2" t="str">
        <f>IF(AND(A236&lt;&gt;"",E236&lt;&gt;""),ROUND(E236,0),"")</f>
        <v/>
      </c>
      <c r="G236" s="2" t="str">
        <f>IF(A236&lt;&gt;"",VLOOKUP(Alunos!A236,Recurso!A3:C1000,3, FALSE),"")</f>
        <v/>
      </c>
      <c r="H236" s="2" t="str">
        <f>IF(OR(A236&lt;&gt;"",G236&lt;&gt;""), SUMIFS(B236:G236,B1:G1,"&lt;&gt;",B2:G2,"&lt;&gt;Exame",B2:G2,"&lt;&gt;exame",B2:G2,"&lt;&gt;Nota",B2:G2,"&lt;&gt;Total"),"")</f>
        <v/>
      </c>
      <c r="I236" s="2" t="str">
        <f>IF(AND(A236&lt;&gt;"",H236&lt;&gt;""),ROUND(H236,0),"")</f>
        <v/>
      </c>
    </row>
    <row r="237" spans="2:9" x14ac:dyDescent="0.3">
      <c r="B237" s="2" t="str">
        <f>IF(A237&lt;&gt;"",VLOOKUP(Alunos!A237,Exame!A3:C1000,3, FALSE),"")</f>
        <v/>
      </c>
      <c r="C237" s="2" t="str">
        <f>IF(A237&lt;&gt;"",VLOOKUP(Alunos!A237,Agrupamentos!A3:B1000,2, FALSE),"")</f>
        <v/>
      </c>
      <c r="D237" s="2" t="str">
        <f>IF(A237&lt;&gt;"",VLOOKUP(Alunos!C237,'TP1'!A3:C1000,3, FALSE),"")</f>
        <v/>
      </c>
      <c r="E237" s="2" t="str">
        <f>IF(A237&lt;&gt;"", SUMIF(B1:D1,"&lt;&gt;",B237:D237),"")</f>
        <v/>
      </c>
      <c r="F237" s="2" t="str">
        <f>IF(AND(A237&lt;&gt;"",E237&lt;&gt;""),ROUND(E237,0),"")</f>
        <v/>
      </c>
      <c r="G237" s="2" t="str">
        <f>IF(A237&lt;&gt;"",VLOOKUP(Alunos!A237,Recurso!A3:C1000,3, FALSE),"")</f>
        <v/>
      </c>
      <c r="H237" s="2" t="str">
        <f>IF(OR(A237&lt;&gt;"",G237&lt;&gt;""), SUMIFS(B237:G237,B1:G1,"&lt;&gt;",B2:G2,"&lt;&gt;Exame",B2:G2,"&lt;&gt;exame",B2:G2,"&lt;&gt;Nota",B2:G2,"&lt;&gt;Total"),"")</f>
        <v/>
      </c>
      <c r="I237" s="2" t="str">
        <f>IF(AND(A237&lt;&gt;"",H237&lt;&gt;""),ROUND(H237,0),"")</f>
        <v/>
      </c>
    </row>
    <row r="238" spans="2:9" x14ac:dyDescent="0.3">
      <c r="B238" s="2" t="str">
        <f>IF(A238&lt;&gt;"",VLOOKUP(Alunos!A238,Exame!A3:C1000,3, FALSE),"")</f>
        <v/>
      </c>
      <c r="C238" s="2" t="str">
        <f>IF(A238&lt;&gt;"",VLOOKUP(Alunos!A238,Agrupamentos!A3:B1000,2, FALSE),"")</f>
        <v/>
      </c>
      <c r="D238" s="2" t="str">
        <f>IF(A238&lt;&gt;"",VLOOKUP(Alunos!C238,'TP1'!A3:C1000,3, FALSE),"")</f>
        <v/>
      </c>
      <c r="E238" s="2" t="str">
        <f>IF(A238&lt;&gt;"", SUMIF(B1:D1,"&lt;&gt;",B238:D238),"")</f>
        <v/>
      </c>
      <c r="F238" s="2" t="str">
        <f>IF(AND(A238&lt;&gt;"",E238&lt;&gt;""),ROUND(E238,0),"")</f>
        <v/>
      </c>
      <c r="G238" s="2" t="str">
        <f>IF(A238&lt;&gt;"",VLOOKUP(Alunos!A238,Recurso!A3:C1000,3, FALSE),"")</f>
        <v/>
      </c>
      <c r="H238" s="2" t="str">
        <f>IF(OR(A238&lt;&gt;"",G238&lt;&gt;""), SUMIFS(B238:G238,B1:G1,"&lt;&gt;",B2:G2,"&lt;&gt;Exame",B2:G2,"&lt;&gt;exame",B2:G2,"&lt;&gt;Nota",B2:G2,"&lt;&gt;Total"),"")</f>
        <v/>
      </c>
      <c r="I238" s="2" t="str">
        <f>IF(AND(A238&lt;&gt;"",H238&lt;&gt;""),ROUND(H238,0),"")</f>
        <v/>
      </c>
    </row>
    <row r="239" spans="2:9" x14ac:dyDescent="0.3">
      <c r="B239" s="2" t="str">
        <f>IF(A239&lt;&gt;"",VLOOKUP(Alunos!A239,Exame!A3:C1000,3, FALSE),"")</f>
        <v/>
      </c>
      <c r="C239" s="2" t="str">
        <f>IF(A239&lt;&gt;"",VLOOKUP(Alunos!A239,Agrupamentos!A3:B1000,2, FALSE),"")</f>
        <v/>
      </c>
      <c r="D239" s="2" t="str">
        <f>IF(A239&lt;&gt;"",VLOOKUP(Alunos!C239,'TP1'!A3:C1000,3, FALSE),"")</f>
        <v/>
      </c>
      <c r="E239" s="2" t="str">
        <f>IF(A239&lt;&gt;"", SUMIF(B1:D1,"&lt;&gt;",B239:D239),"")</f>
        <v/>
      </c>
      <c r="F239" s="2" t="str">
        <f>IF(AND(A239&lt;&gt;"",E239&lt;&gt;""),ROUND(E239,0),"")</f>
        <v/>
      </c>
      <c r="G239" s="2" t="str">
        <f>IF(A239&lt;&gt;"",VLOOKUP(Alunos!A239,Recurso!A3:C1000,3, FALSE),"")</f>
        <v/>
      </c>
      <c r="H239" s="2" t="str">
        <f>IF(OR(A239&lt;&gt;"",G239&lt;&gt;""), SUMIFS(B239:G239,B1:G1,"&lt;&gt;",B2:G2,"&lt;&gt;Exame",B2:G2,"&lt;&gt;exame",B2:G2,"&lt;&gt;Nota",B2:G2,"&lt;&gt;Total"),"")</f>
        <v/>
      </c>
      <c r="I239" s="2" t="str">
        <f>IF(AND(A239&lt;&gt;"",H239&lt;&gt;""),ROUND(H239,0),"")</f>
        <v/>
      </c>
    </row>
    <row r="240" spans="2:9" x14ac:dyDescent="0.3">
      <c r="B240" s="2" t="str">
        <f>IF(A240&lt;&gt;"",VLOOKUP(Alunos!A240,Exame!A3:C1000,3, FALSE),"")</f>
        <v/>
      </c>
      <c r="C240" s="2" t="str">
        <f>IF(A240&lt;&gt;"",VLOOKUP(Alunos!A240,Agrupamentos!A3:B1000,2, FALSE),"")</f>
        <v/>
      </c>
      <c r="D240" s="2" t="str">
        <f>IF(A240&lt;&gt;"",VLOOKUP(Alunos!C240,'TP1'!A3:C1000,3, FALSE),"")</f>
        <v/>
      </c>
      <c r="E240" s="2" t="str">
        <f>IF(A240&lt;&gt;"", SUMIF(B1:D1,"&lt;&gt;",B240:D240),"")</f>
        <v/>
      </c>
      <c r="F240" s="2" t="str">
        <f>IF(AND(A240&lt;&gt;"",E240&lt;&gt;""),ROUND(E240,0),"")</f>
        <v/>
      </c>
      <c r="G240" s="2" t="str">
        <f>IF(A240&lt;&gt;"",VLOOKUP(Alunos!A240,Recurso!A3:C1000,3, FALSE),"")</f>
        <v/>
      </c>
      <c r="H240" s="2" t="str">
        <f>IF(OR(A240&lt;&gt;"",G240&lt;&gt;""), SUMIFS(B240:G240,B1:G1,"&lt;&gt;",B2:G2,"&lt;&gt;Exame",B2:G2,"&lt;&gt;exame",B2:G2,"&lt;&gt;Nota",B2:G2,"&lt;&gt;Total"),"")</f>
        <v/>
      </c>
      <c r="I240" s="2" t="str">
        <f>IF(AND(A240&lt;&gt;"",H240&lt;&gt;""),ROUND(H240,0),"")</f>
        <v/>
      </c>
    </row>
    <row r="241" spans="2:9" x14ac:dyDescent="0.3">
      <c r="B241" s="2" t="str">
        <f>IF(A241&lt;&gt;"",VLOOKUP(Alunos!A241,Exame!A3:C1000,3, FALSE),"")</f>
        <v/>
      </c>
      <c r="C241" s="2" t="str">
        <f>IF(A241&lt;&gt;"",VLOOKUP(Alunos!A241,Agrupamentos!A3:B1000,2, FALSE),"")</f>
        <v/>
      </c>
      <c r="D241" s="2" t="str">
        <f>IF(A241&lt;&gt;"",VLOOKUP(Alunos!C241,'TP1'!A3:C1000,3, FALSE),"")</f>
        <v/>
      </c>
      <c r="E241" s="2" t="str">
        <f>IF(A241&lt;&gt;"", SUMIF(B1:D1,"&lt;&gt;",B241:D241),"")</f>
        <v/>
      </c>
      <c r="F241" s="2" t="str">
        <f>IF(AND(A241&lt;&gt;"",E241&lt;&gt;""),ROUND(E241,0),"")</f>
        <v/>
      </c>
      <c r="G241" s="2" t="str">
        <f>IF(A241&lt;&gt;"",VLOOKUP(Alunos!A241,Recurso!A3:C1000,3, FALSE),"")</f>
        <v/>
      </c>
      <c r="H241" s="2" t="str">
        <f>IF(OR(A241&lt;&gt;"",G241&lt;&gt;""), SUMIFS(B241:G241,B1:G1,"&lt;&gt;",B2:G2,"&lt;&gt;Exame",B2:G2,"&lt;&gt;exame",B2:G2,"&lt;&gt;Nota",B2:G2,"&lt;&gt;Total"),"")</f>
        <v/>
      </c>
      <c r="I241" s="2" t="str">
        <f>IF(AND(A241&lt;&gt;"",H241&lt;&gt;""),ROUND(H241,0),"")</f>
        <v/>
      </c>
    </row>
    <row r="242" spans="2:9" x14ac:dyDescent="0.3">
      <c r="B242" s="2" t="str">
        <f>IF(A242&lt;&gt;"",VLOOKUP(Alunos!A242,Exame!A3:C1000,3, FALSE),"")</f>
        <v/>
      </c>
      <c r="C242" s="2" t="str">
        <f>IF(A242&lt;&gt;"",VLOOKUP(Alunos!A242,Agrupamentos!A3:B1000,2, FALSE),"")</f>
        <v/>
      </c>
      <c r="D242" s="2" t="str">
        <f>IF(A242&lt;&gt;"",VLOOKUP(Alunos!C242,'TP1'!A3:C1000,3, FALSE),"")</f>
        <v/>
      </c>
      <c r="E242" s="2" t="str">
        <f>IF(A242&lt;&gt;"", SUMIF(B1:D1,"&lt;&gt;",B242:D242),"")</f>
        <v/>
      </c>
      <c r="F242" s="2" t="str">
        <f>IF(AND(A242&lt;&gt;"",E242&lt;&gt;""),ROUND(E242,0),"")</f>
        <v/>
      </c>
      <c r="G242" s="2" t="str">
        <f>IF(A242&lt;&gt;"",VLOOKUP(Alunos!A242,Recurso!A3:C1000,3, FALSE),"")</f>
        <v/>
      </c>
      <c r="H242" s="2" t="str">
        <f>IF(OR(A242&lt;&gt;"",G242&lt;&gt;""), SUMIFS(B242:G242,B1:G1,"&lt;&gt;",B2:G2,"&lt;&gt;Exame",B2:G2,"&lt;&gt;exame",B2:G2,"&lt;&gt;Nota",B2:G2,"&lt;&gt;Total"),"")</f>
        <v/>
      </c>
      <c r="I242" s="2" t="str">
        <f>IF(AND(A242&lt;&gt;"",H242&lt;&gt;""),ROUND(H242,0),"")</f>
        <v/>
      </c>
    </row>
    <row r="243" spans="2:9" x14ac:dyDescent="0.3">
      <c r="B243" s="2" t="str">
        <f>IF(A243&lt;&gt;"",VLOOKUP(Alunos!A243,Exame!A3:C1000,3, FALSE),"")</f>
        <v/>
      </c>
      <c r="C243" s="2" t="str">
        <f>IF(A243&lt;&gt;"",VLOOKUP(Alunos!A243,Agrupamentos!A3:B1000,2, FALSE),"")</f>
        <v/>
      </c>
      <c r="D243" s="2" t="str">
        <f>IF(A243&lt;&gt;"",VLOOKUP(Alunos!C243,'TP1'!A3:C1000,3, FALSE),"")</f>
        <v/>
      </c>
      <c r="E243" s="2" t="str">
        <f>IF(A243&lt;&gt;"", SUMIF(B1:D1,"&lt;&gt;",B243:D243),"")</f>
        <v/>
      </c>
      <c r="F243" s="2" t="str">
        <f>IF(AND(A243&lt;&gt;"",E243&lt;&gt;""),ROUND(E243,0),"")</f>
        <v/>
      </c>
      <c r="G243" s="2" t="str">
        <f>IF(A243&lt;&gt;"",VLOOKUP(Alunos!A243,Recurso!A3:C1000,3, FALSE),"")</f>
        <v/>
      </c>
      <c r="H243" s="2" t="str">
        <f>IF(OR(A243&lt;&gt;"",G243&lt;&gt;""), SUMIFS(B243:G243,B1:G1,"&lt;&gt;",B2:G2,"&lt;&gt;Exame",B2:G2,"&lt;&gt;exame",B2:G2,"&lt;&gt;Nota",B2:G2,"&lt;&gt;Total"),"")</f>
        <v/>
      </c>
      <c r="I243" s="2" t="str">
        <f>IF(AND(A243&lt;&gt;"",H243&lt;&gt;""),ROUND(H243,0),"")</f>
        <v/>
      </c>
    </row>
    <row r="244" spans="2:9" x14ac:dyDescent="0.3">
      <c r="B244" s="2" t="str">
        <f>IF(A244&lt;&gt;"",VLOOKUP(Alunos!A244,Exame!A3:C1000,3, FALSE),"")</f>
        <v/>
      </c>
      <c r="C244" s="2" t="str">
        <f>IF(A244&lt;&gt;"",VLOOKUP(Alunos!A244,Agrupamentos!A3:B1000,2, FALSE),"")</f>
        <v/>
      </c>
      <c r="D244" s="2" t="str">
        <f>IF(A244&lt;&gt;"",VLOOKUP(Alunos!C244,'TP1'!A3:C1000,3, FALSE),"")</f>
        <v/>
      </c>
      <c r="E244" s="2" t="str">
        <f>IF(A244&lt;&gt;"", SUMIF(B1:D1,"&lt;&gt;",B244:D244),"")</f>
        <v/>
      </c>
      <c r="F244" s="2" t="str">
        <f>IF(AND(A244&lt;&gt;"",E244&lt;&gt;""),ROUND(E244,0),"")</f>
        <v/>
      </c>
      <c r="G244" s="2" t="str">
        <f>IF(A244&lt;&gt;"",VLOOKUP(Alunos!A244,Recurso!A3:C1000,3, FALSE),"")</f>
        <v/>
      </c>
      <c r="H244" s="2" t="str">
        <f>IF(OR(A244&lt;&gt;"",G244&lt;&gt;""), SUMIFS(B244:G244,B1:G1,"&lt;&gt;",B2:G2,"&lt;&gt;Exame",B2:G2,"&lt;&gt;exame",B2:G2,"&lt;&gt;Nota",B2:G2,"&lt;&gt;Total"),"")</f>
        <v/>
      </c>
      <c r="I244" s="2" t="str">
        <f>IF(AND(A244&lt;&gt;"",H244&lt;&gt;""),ROUND(H244,0),"")</f>
        <v/>
      </c>
    </row>
    <row r="245" spans="2:9" x14ac:dyDescent="0.3">
      <c r="B245" s="2" t="str">
        <f>IF(A245&lt;&gt;"",VLOOKUP(Alunos!A245,Exame!A3:C1000,3, FALSE),"")</f>
        <v/>
      </c>
      <c r="C245" s="2" t="str">
        <f>IF(A245&lt;&gt;"",VLOOKUP(Alunos!A245,Agrupamentos!A3:B1000,2, FALSE),"")</f>
        <v/>
      </c>
      <c r="D245" s="2" t="str">
        <f>IF(A245&lt;&gt;"",VLOOKUP(Alunos!C245,'TP1'!A3:C1000,3, FALSE),"")</f>
        <v/>
      </c>
      <c r="E245" s="2" t="str">
        <f>IF(A245&lt;&gt;"", SUMIF(B1:D1,"&lt;&gt;",B245:D245),"")</f>
        <v/>
      </c>
      <c r="F245" s="2" t="str">
        <f>IF(AND(A245&lt;&gt;"",E245&lt;&gt;""),ROUND(E245,0),"")</f>
        <v/>
      </c>
      <c r="G245" s="2" t="str">
        <f>IF(A245&lt;&gt;"",VLOOKUP(Alunos!A245,Recurso!A3:C1000,3, FALSE),"")</f>
        <v/>
      </c>
      <c r="H245" s="2" t="str">
        <f>IF(OR(A245&lt;&gt;"",G245&lt;&gt;""), SUMIFS(B245:G245,B1:G1,"&lt;&gt;",B2:G2,"&lt;&gt;Exame",B2:G2,"&lt;&gt;exame",B2:G2,"&lt;&gt;Nota",B2:G2,"&lt;&gt;Total"),"")</f>
        <v/>
      </c>
      <c r="I245" s="2" t="str">
        <f>IF(AND(A245&lt;&gt;"",H245&lt;&gt;""),ROUND(H245,0),"")</f>
        <v/>
      </c>
    </row>
    <row r="246" spans="2:9" x14ac:dyDescent="0.3">
      <c r="B246" s="2" t="str">
        <f>IF(A246&lt;&gt;"",VLOOKUP(Alunos!A246,Exame!A3:C1000,3, FALSE),"")</f>
        <v/>
      </c>
      <c r="C246" s="2" t="str">
        <f>IF(A246&lt;&gt;"",VLOOKUP(Alunos!A246,Agrupamentos!A3:B1000,2, FALSE),"")</f>
        <v/>
      </c>
      <c r="D246" s="2" t="str">
        <f>IF(A246&lt;&gt;"",VLOOKUP(Alunos!C246,'TP1'!A3:C1000,3, FALSE),"")</f>
        <v/>
      </c>
      <c r="E246" s="2" t="str">
        <f>IF(A246&lt;&gt;"", SUMIF(B1:D1,"&lt;&gt;",B246:D246),"")</f>
        <v/>
      </c>
      <c r="F246" s="2" t="str">
        <f>IF(AND(A246&lt;&gt;"",E246&lt;&gt;""),ROUND(E246,0),"")</f>
        <v/>
      </c>
      <c r="G246" s="2" t="str">
        <f>IF(A246&lt;&gt;"",VLOOKUP(Alunos!A246,Recurso!A3:C1000,3, FALSE),"")</f>
        <v/>
      </c>
      <c r="H246" s="2" t="str">
        <f>IF(OR(A246&lt;&gt;"",G246&lt;&gt;""), SUMIFS(B246:G246,B1:G1,"&lt;&gt;",B2:G2,"&lt;&gt;Exame",B2:G2,"&lt;&gt;exame",B2:G2,"&lt;&gt;Nota",B2:G2,"&lt;&gt;Total"),"")</f>
        <v/>
      </c>
      <c r="I246" s="2" t="str">
        <f>IF(AND(A246&lt;&gt;"",H246&lt;&gt;""),ROUND(H246,0),"")</f>
        <v/>
      </c>
    </row>
    <row r="247" spans="2:9" x14ac:dyDescent="0.3">
      <c r="B247" s="2" t="str">
        <f>IF(A247&lt;&gt;"",VLOOKUP(Alunos!A247,Exame!A3:C1000,3, FALSE),"")</f>
        <v/>
      </c>
      <c r="C247" s="2" t="str">
        <f>IF(A247&lt;&gt;"",VLOOKUP(Alunos!A247,Agrupamentos!A3:B1000,2, FALSE),"")</f>
        <v/>
      </c>
      <c r="D247" s="2" t="str">
        <f>IF(A247&lt;&gt;"",VLOOKUP(Alunos!C247,'TP1'!A3:C1000,3, FALSE),"")</f>
        <v/>
      </c>
      <c r="E247" s="2" t="str">
        <f>IF(A247&lt;&gt;"", SUMIF(B1:D1,"&lt;&gt;",B247:D247),"")</f>
        <v/>
      </c>
      <c r="F247" s="2" t="str">
        <f>IF(AND(A247&lt;&gt;"",E247&lt;&gt;""),ROUND(E247,0),"")</f>
        <v/>
      </c>
      <c r="G247" s="2" t="str">
        <f>IF(A247&lt;&gt;"",VLOOKUP(Alunos!A247,Recurso!A3:C1000,3, FALSE),"")</f>
        <v/>
      </c>
      <c r="H247" s="2" t="str">
        <f>IF(OR(A247&lt;&gt;"",G247&lt;&gt;""), SUMIFS(B247:G247,B1:G1,"&lt;&gt;",B2:G2,"&lt;&gt;Exame",B2:G2,"&lt;&gt;exame",B2:G2,"&lt;&gt;Nota",B2:G2,"&lt;&gt;Total"),"")</f>
        <v/>
      </c>
      <c r="I247" s="2" t="str">
        <f>IF(AND(A247&lt;&gt;"",H247&lt;&gt;""),ROUND(H247,0),"")</f>
        <v/>
      </c>
    </row>
    <row r="248" spans="2:9" x14ac:dyDescent="0.3">
      <c r="B248" s="2" t="str">
        <f>IF(A248&lt;&gt;"",VLOOKUP(Alunos!A248,Exame!A3:C1000,3, FALSE),"")</f>
        <v/>
      </c>
      <c r="C248" s="2" t="str">
        <f>IF(A248&lt;&gt;"",VLOOKUP(Alunos!A248,Agrupamentos!A3:B1000,2, FALSE),"")</f>
        <v/>
      </c>
      <c r="D248" s="2" t="str">
        <f>IF(A248&lt;&gt;"",VLOOKUP(Alunos!C248,'TP1'!A3:C1000,3, FALSE),"")</f>
        <v/>
      </c>
      <c r="E248" s="2" t="str">
        <f>IF(A248&lt;&gt;"", SUMIF(B1:D1,"&lt;&gt;",B248:D248),"")</f>
        <v/>
      </c>
      <c r="F248" s="2" t="str">
        <f>IF(AND(A248&lt;&gt;"",E248&lt;&gt;""),ROUND(E248,0),"")</f>
        <v/>
      </c>
      <c r="G248" s="2" t="str">
        <f>IF(A248&lt;&gt;"",VLOOKUP(Alunos!A248,Recurso!A3:C1000,3, FALSE),"")</f>
        <v/>
      </c>
      <c r="H248" s="2" t="str">
        <f>IF(OR(A248&lt;&gt;"",G248&lt;&gt;""), SUMIFS(B248:G248,B1:G1,"&lt;&gt;",B2:G2,"&lt;&gt;Exame",B2:G2,"&lt;&gt;exame",B2:G2,"&lt;&gt;Nota",B2:G2,"&lt;&gt;Total"),"")</f>
        <v/>
      </c>
      <c r="I248" s="2" t="str">
        <f>IF(AND(A248&lt;&gt;"",H248&lt;&gt;""),ROUND(H248,0),"")</f>
        <v/>
      </c>
    </row>
    <row r="249" spans="2:9" x14ac:dyDescent="0.3">
      <c r="B249" s="2" t="str">
        <f>IF(A249&lt;&gt;"",VLOOKUP(Alunos!A249,Exame!A3:C1000,3, FALSE),"")</f>
        <v/>
      </c>
      <c r="C249" s="2" t="str">
        <f>IF(A249&lt;&gt;"",VLOOKUP(Alunos!A249,Agrupamentos!A3:B1000,2, FALSE),"")</f>
        <v/>
      </c>
      <c r="D249" s="2" t="str">
        <f>IF(A249&lt;&gt;"",VLOOKUP(Alunos!C249,'TP1'!A3:C1000,3, FALSE),"")</f>
        <v/>
      </c>
      <c r="E249" s="2" t="str">
        <f>IF(A249&lt;&gt;"", SUMIF(B1:D1,"&lt;&gt;",B249:D249),"")</f>
        <v/>
      </c>
      <c r="F249" s="2" t="str">
        <f>IF(AND(A249&lt;&gt;"",E249&lt;&gt;""),ROUND(E249,0),"")</f>
        <v/>
      </c>
      <c r="G249" s="2" t="str">
        <f>IF(A249&lt;&gt;"",VLOOKUP(Alunos!A249,Recurso!A3:C1000,3, FALSE),"")</f>
        <v/>
      </c>
      <c r="H249" s="2" t="str">
        <f>IF(OR(A249&lt;&gt;"",G249&lt;&gt;""), SUMIFS(B249:G249,B1:G1,"&lt;&gt;",B2:G2,"&lt;&gt;Exame",B2:G2,"&lt;&gt;exame",B2:G2,"&lt;&gt;Nota",B2:G2,"&lt;&gt;Total"),"")</f>
        <v/>
      </c>
      <c r="I249" s="2" t="str">
        <f>IF(AND(A249&lt;&gt;"",H249&lt;&gt;""),ROUND(H249,0),"")</f>
        <v/>
      </c>
    </row>
    <row r="250" spans="2:9" x14ac:dyDescent="0.3">
      <c r="B250" s="2" t="str">
        <f>IF(A250&lt;&gt;"",VLOOKUP(Alunos!A250,Exame!A3:C1000,3, FALSE),"")</f>
        <v/>
      </c>
      <c r="C250" s="2" t="str">
        <f>IF(A250&lt;&gt;"",VLOOKUP(Alunos!A250,Agrupamentos!A3:B1000,2, FALSE),"")</f>
        <v/>
      </c>
      <c r="D250" s="2" t="str">
        <f>IF(A250&lt;&gt;"",VLOOKUP(Alunos!C250,'TP1'!A3:C1000,3, FALSE),"")</f>
        <v/>
      </c>
      <c r="E250" s="2" t="str">
        <f>IF(A250&lt;&gt;"", SUMIF(B1:D1,"&lt;&gt;",B250:D250),"")</f>
        <v/>
      </c>
      <c r="F250" s="2" t="str">
        <f>IF(AND(A250&lt;&gt;"",E250&lt;&gt;""),ROUND(E250,0),"")</f>
        <v/>
      </c>
      <c r="G250" s="2" t="str">
        <f>IF(A250&lt;&gt;"",VLOOKUP(Alunos!A250,Recurso!A3:C1000,3, FALSE),"")</f>
        <v/>
      </c>
      <c r="H250" s="2" t="str">
        <f>IF(OR(A250&lt;&gt;"",G250&lt;&gt;""), SUMIFS(B250:G250,B1:G1,"&lt;&gt;",B2:G2,"&lt;&gt;Exame",B2:G2,"&lt;&gt;exame",B2:G2,"&lt;&gt;Nota",B2:G2,"&lt;&gt;Total"),"")</f>
        <v/>
      </c>
      <c r="I250" s="2" t="str">
        <f>IF(AND(A250&lt;&gt;"",H250&lt;&gt;""),ROUND(H250,0),"")</f>
        <v/>
      </c>
    </row>
    <row r="251" spans="2:9" x14ac:dyDescent="0.3">
      <c r="B251" s="2" t="str">
        <f>IF(A251&lt;&gt;"",VLOOKUP(Alunos!A251,Exame!A3:C1000,3, FALSE),"")</f>
        <v/>
      </c>
      <c r="C251" s="2" t="str">
        <f>IF(A251&lt;&gt;"",VLOOKUP(Alunos!A251,Agrupamentos!A3:B1000,2, FALSE),"")</f>
        <v/>
      </c>
      <c r="D251" s="2" t="str">
        <f>IF(A251&lt;&gt;"",VLOOKUP(Alunos!C251,'TP1'!A3:C1000,3, FALSE),"")</f>
        <v/>
      </c>
      <c r="E251" s="2" t="str">
        <f>IF(A251&lt;&gt;"", SUMIF(B1:D1,"&lt;&gt;",B251:D251),"")</f>
        <v/>
      </c>
      <c r="F251" s="2" t="str">
        <f>IF(AND(A251&lt;&gt;"",E251&lt;&gt;""),ROUND(E251,0),"")</f>
        <v/>
      </c>
      <c r="G251" s="2" t="str">
        <f>IF(A251&lt;&gt;"",VLOOKUP(Alunos!A251,Recurso!A3:C1000,3, FALSE),"")</f>
        <v/>
      </c>
      <c r="H251" s="2" t="str">
        <f>IF(OR(A251&lt;&gt;"",G251&lt;&gt;""), SUMIFS(B251:G251,B1:G1,"&lt;&gt;",B2:G2,"&lt;&gt;Exame",B2:G2,"&lt;&gt;exame",B2:G2,"&lt;&gt;Nota",B2:G2,"&lt;&gt;Total"),"")</f>
        <v/>
      </c>
      <c r="I251" s="2" t="str">
        <f>IF(AND(A251&lt;&gt;"",H251&lt;&gt;""),ROUND(H251,0),"")</f>
        <v/>
      </c>
    </row>
    <row r="252" spans="2:9" x14ac:dyDescent="0.3">
      <c r="B252" s="2" t="str">
        <f>IF(A252&lt;&gt;"",VLOOKUP(Alunos!A252,Exame!A3:C1000,3, FALSE),"")</f>
        <v/>
      </c>
      <c r="C252" s="2" t="str">
        <f>IF(A252&lt;&gt;"",VLOOKUP(Alunos!A252,Agrupamentos!A3:B1000,2, FALSE),"")</f>
        <v/>
      </c>
      <c r="D252" s="2" t="str">
        <f>IF(A252&lt;&gt;"",VLOOKUP(Alunos!C252,'TP1'!A3:C1000,3, FALSE),"")</f>
        <v/>
      </c>
      <c r="E252" s="2" t="str">
        <f>IF(A252&lt;&gt;"", SUMIF(B1:D1,"&lt;&gt;",B252:D252),"")</f>
        <v/>
      </c>
      <c r="F252" s="2" t="str">
        <f>IF(AND(A252&lt;&gt;"",E252&lt;&gt;""),ROUND(E252,0),"")</f>
        <v/>
      </c>
      <c r="G252" s="2" t="str">
        <f>IF(A252&lt;&gt;"",VLOOKUP(Alunos!A252,Recurso!A3:C1000,3, FALSE),"")</f>
        <v/>
      </c>
      <c r="H252" s="2" t="str">
        <f>IF(OR(A252&lt;&gt;"",G252&lt;&gt;""), SUMIFS(B252:G252,B1:G1,"&lt;&gt;",B2:G2,"&lt;&gt;Exame",B2:G2,"&lt;&gt;exame",B2:G2,"&lt;&gt;Nota",B2:G2,"&lt;&gt;Total"),"")</f>
        <v/>
      </c>
      <c r="I252" s="2" t="str">
        <f>IF(AND(A252&lt;&gt;"",H252&lt;&gt;""),ROUND(H252,0),"")</f>
        <v/>
      </c>
    </row>
    <row r="253" spans="2:9" x14ac:dyDescent="0.3">
      <c r="B253" s="2" t="str">
        <f>IF(A253&lt;&gt;"",VLOOKUP(Alunos!A253,Exame!A3:C1000,3, FALSE),"")</f>
        <v/>
      </c>
      <c r="C253" s="2" t="str">
        <f>IF(A253&lt;&gt;"",VLOOKUP(Alunos!A253,Agrupamentos!A3:B1000,2, FALSE),"")</f>
        <v/>
      </c>
      <c r="D253" s="2" t="str">
        <f>IF(A253&lt;&gt;"",VLOOKUP(Alunos!C253,'TP1'!A3:C1000,3, FALSE),"")</f>
        <v/>
      </c>
      <c r="E253" s="2" t="str">
        <f>IF(A253&lt;&gt;"", SUMIF(B1:D1,"&lt;&gt;",B253:D253),"")</f>
        <v/>
      </c>
      <c r="F253" s="2" t="str">
        <f>IF(AND(A253&lt;&gt;"",E253&lt;&gt;""),ROUND(E253,0),"")</f>
        <v/>
      </c>
      <c r="G253" s="2" t="str">
        <f>IF(A253&lt;&gt;"",VLOOKUP(Alunos!A253,Recurso!A3:C1000,3, FALSE),"")</f>
        <v/>
      </c>
      <c r="H253" s="2" t="str">
        <f>IF(OR(A253&lt;&gt;"",G253&lt;&gt;""), SUMIFS(B253:G253,B1:G1,"&lt;&gt;",B2:G2,"&lt;&gt;Exame",B2:G2,"&lt;&gt;exame",B2:G2,"&lt;&gt;Nota",B2:G2,"&lt;&gt;Total"),"")</f>
        <v/>
      </c>
      <c r="I253" s="2" t="str">
        <f>IF(AND(A253&lt;&gt;"",H253&lt;&gt;""),ROUND(H253,0),"")</f>
        <v/>
      </c>
    </row>
    <row r="254" spans="2:9" x14ac:dyDescent="0.3">
      <c r="B254" s="2" t="str">
        <f>IF(A254&lt;&gt;"",VLOOKUP(Alunos!A254,Exame!A3:C1000,3, FALSE),"")</f>
        <v/>
      </c>
      <c r="C254" s="2" t="str">
        <f>IF(A254&lt;&gt;"",VLOOKUP(Alunos!A254,Agrupamentos!A3:B1000,2, FALSE),"")</f>
        <v/>
      </c>
      <c r="D254" s="2" t="str">
        <f>IF(A254&lt;&gt;"",VLOOKUP(Alunos!C254,'TP1'!A3:C1000,3, FALSE),"")</f>
        <v/>
      </c>
      <c r="E254" s="2" t="str">
        <f>IF(A254&lt;&gt;"", SUMIF(B1:D1,"&lt;&gt;",B254:D254),"")</f>
        <v/>
      </c>
      <c r="F254" s="2" t="str">
        <f>IF(AND(A254&lt;&gt;"",E254&lt;&gt;""),ROUND(E254,0),"")</f>
        <v/>
      </c>
      <c r="G254" s="2" t="str">
        <f>IF(A254&lt;&gt;"",VLOOKUP(Alunos!A254,Recurso!A3:C1000,3, FALSE),"")</f>
        <v/>
      </c>
      <c r="H254" s="2" t="str">
        <f>IF(OR(A254&lt;&gt;"",G254&lt;&gt;""), SUMIFS(B254:G254,B1:G1,"&lt;&gt;",B2:G2,"&lt;&gt;Exame",B2:G2,"&lt;&gt;exame",B2:G2,"&lt;&gt;Nota",B2:G2,"&lt;&gt;Total"),"")</f>
        <v/>
      </c>
      <c r="I254" s="2" t="str">
        <f>IF(AND(A254&lt;&gt;"",H254&lt;&gt;""),ROUND(H254,0),"")</f>
        <v/>
      </c>
    </row>
    <row r="255" spans="2:9" x14ac:dyDescent="0.3">
      <c r="B255" s="2" t="str">
        <f>IF(A255&lt;&gt;"",VLOOKUP(Alunos!A255,Exame!A3:C1000,3, FALSE),"")</f>
        <v/>
      </c>
      <c r="C255" s="2" t="str">
        <f>IF(A255&lt;&gt;"",VLOOKUP(Alunos!A255,Agrupamentos!A3:B1000,2, FALSE),"")</f>
        <v/>
      </c>
      <c r="D255" s="2" t="str">
        <f>IF(A255&lt;&gt;"",VLOOKUP(Alunos!C255,'TP1'!A3:C1000,3, FALSE),"")</f>
        <v/>
      </c>
      <c r="E255" s="2" t="str">
        <f>IF(A255&lt;&gt;"", SUMIF(B1:D1,"&lt;&gt;",B255:D255),"")</f>
        <v/>
      </c>
      <c r="F255" s="2" t="str">
        <f>IF(AND(A255&lt;&gt;"",E255&lt;&gt;""),ROUND(E255,0),"")</f>
        <v/>
      </c>
      <c r="G255" s="2" t="str">
        <f>IF(A255&lt;&gt;"",VLOOKUP(Alunos!A255,Recurso!A3:C1000,3, FALSE),"")</f>
        <v/>
      </c>
      <c r="H255" s="2" t="str">
        <f>IF(OR(A255&lt;&gt;"",G255&lt;&gt;""), SUMIFS(B255:G255,B1:G1,"&lt;&gt;",B2:G2,"&lt;&gt;Exame",B2:G2,"&lt;&gt;exame",B2:G2,"&lt;&gt;Nota",B2:G2,"&lt;&gt;Total"),"")</f>
        <v/>
      </c>
      <c r="I255" s="2" t="str">
        <f>IF(AND(A255&lt;&gt;"",H255&lt;&gt;""),ROUND(H255,0),"")</f>
        <v/>
      </c>
    </row>
    <row r="256" spans="2:9" x14ac:dyDescent="0.3">
      <c r="B256" s="2" t="str">
        <f>IF(A256&lt;&gt;"",VLOOKUP(Alunos!A256,Exame!A3:C1000,3, FALSE),"")</f>
        <v/>
      </c>
      <c r="C256" s="2" t="str">
        <f>IF(A256&lt;&gt;"",VLOOKUP(Alunos!A256,Agrupamentos!A3:B1000,2, FALSE),"")</f>
        <v/>
      </c>
      <c r="D256" s="2" t="str">
        <f>IF(A256&lt;&gt;"",VLOOKUP(Alunos!C256,'TP1'!A3:C1000,3, FALSE),"")</f>
        <v/>
      </c>
      <c r="E256" s="2" t="str">
        <f>IF(A256&lt;&gt;"", SUMIF(B1:D1,"&lt;&gt;",B256:D256),"")</f>
        <v/>
      </c>
      <c r="F256" s="2" t="str">
        <f>IF(AND(A256&lt;&gt;"",E256&lt;&gt;""),ROUND(E256,0),"")</f>
        <v/>
      </c>
      <c r="G256" s="2" t="str">
        <f>IF(A256&lt;&gt;"",VLOOKUP(Alunos!A256,Recurso!A3:C1000,3, FALSE),"")</f>
        <v/>
      </c>
      <c r="H256" s="2" t="str">
        <f>IF(OR(A256&lt;&gt;"",G256&lt;&gt;""), SUMIFS(B256:G256,B1:G1,"&lt;&gt;",B2:G2,"&lt;&gt;Exame",B2:G2,"&lt;&gt;exame",B2:G2,"&lt;&gt;Nota",B2:G2,"&lt;&gt;Total"),"")</f>
        <v/>
      </c>
      <c r="I256" s="2" t="str">
        <f>IF(AND(A256&lt;&gt;"",H256&lt;&gt;""),ROUND(H256,0),"")</f>
        <v/>
      </c>
    </row>
    <row r="257" spans="2:9" x14ac:dyDescent="0.3">
      <c r="B257" s="2" t="str">
        <f>IF(A257&lt;&gt;"",VLOOKUP(Alunos!A257,Exame!A3:C1000,3, FALSE),"")</f>
        <v/>
      </c>
      <c r="C257" s="2" t="str">
        <f>IF(A257&lt;&gt;"",VLOOKUP(Alunos!A257,Agrupamentos!A3:B1000,2, FALSE),"")</f>
        <v/>
      </c>
      <c r="D257" s="2" t="str">
        <f>IF(A257&lt;&gt;"",VLOOKUP(Alunos!C257,'TP1'!A3:C1000,3, FALSE),"")</f>
        <v/>
      </c>
      <c r="E257" s="2" t="str">
        <f>IF(A257&lt;&gt;"", SUMIF(B1:D1,"&lt;&gt;",B257:D257),"")</f>
        <v/>
      </c>
      <c r="F257" s="2" t="str">
        <f>IF(AND(A257&lt;&gt;"",E257&lt;&gt;""),ROUND(E257,0),"")</f>
        <v/>
      </c>
      <c r="G257" s="2" t="str">
        <f>IF(A257&lt;&gt;"",VLOOKUP(Alunos!A257,Recurso!A3:C1000,3, FALSE),"")</f>
        <v/>
      </c>
      <c r="H257" s="2" t="str">
        <f>IF(OR(A257&lt;&gt;"",G257&lt;&gt;""), SUMIFS(B257:G257,B1:G1,"&lt;&gt;",B2:G2,"&lt;&gt;Exame",B2:G2,"&lt;&gt;exame",B2:G2,"&lt;&gt;Nota",B2:G2,"&lt;&gt;Total"),"")</f>
        <v/>
      </c>
      <c r="I257" s="2" t="str">
        <f>IF(AND(A257&lt;&gt;"",H257&lt;&gt;""),ROUND(H257,0),"")</f>
        <v/>
      </c>
    </row>
    <row r="258" spans="2:9" x14ac:dyDescent="0.3">
      <c r="B258" s="2" t="str">
        <f>IF(A258&lt;&gt;"",VLOOKUP(Alunos!A258,Exame!A3:C1000,3, FALSE),"")</f>
        <v/>
      </c>
      <c r="C258" s="2" t="str">
        <f>IF(A258&lt;&gt;"",VLOOKUP(Alunos!A258,Agrupamentos!A3:B1000,2, FALSE),"")</f>
        <v/>
      </c>
      <c r="D258" s="2" t="str">
        <f>IF(A258&lt;&gt;"",VLOOKUP(Alunos!C258,'TP1'!A3:C1000,3, FALSE),"")</f>
        <v/>
      </c>
      <c r="E258" s="2" t="str">
        <f>IF(A258&lt;&gt;"", SUMIF(B1:D1,"&lt;&gt;",B258:D258),"")</f>
        <v/>
      </c>
      <c r="F258" s="2" t="str">
        <f>IF(AND(A258&lt;&gt;"",E258&lt;&gt;""),ROUND(E258,0),"")</f>
        <v/>
      </c>
      <c r="G258" s="2" t="str">
        <f>IF(A258&lt;&gt;"",VLOOKUP(Alunos!A258,Recurso!A3:C1000,3, FALSE),"")</f>
        <v/>
      </c>
      <c r="H258" s="2" t="str">
        <f>IF(OR(A258&lt;&gt;"",G258&lt;&gt;""), SUMIFS(B258:G258,B1:G1,"&lt;&gt;",B2:G2,"&lt;&gt;Exame",B2:G2,"&lt;&gt;exame",B2:G2,"&lt;&gt;Nota",B2:G2,"&lt;&gt;Total"),"")</f>
        <v/>
      </c>
      <c r="I258" s="2" t="str">
        <f>IF(AND(A258&lt;&gt;"",H258&lt;&gt;""),ROUND(H258,0),"")</f>
        <v/>
      </c>
    </row>
    <row r="259" spans="2:9" x14ac:dyDescent="0.3">
      <c r="B259" s="2" t="str">
        <f>IF(A259&lt;&gt;"",VLOOKUP(Alunos!A259,Exame!A3:C1000,3, FALSE),"")</f>
        <v/>
      </c>
      <c r="C259" s="2" t="str">
        <f>IF(A259&lt;&gt;"",VLOOKUP(Alunos!A259,Agrupamentos!A3:B1000,2, FALSE),"")</f>
        <v/>
      </c>
      <c r="D259" s="2" t="str">
        <f>IF(A259&lt;&gt;"",VLOOKUP(Alunos!C259,'TP1'!A3:C1000,3, FALSE),"")</f>
        <v/>
      </c>
      <c r="E259" s="2" t="str">
        <f>IF(A259&lt;&gt;"", SUMIF(B1:D1,"&lt;&gt;",B259:D259),"")</f>
        <v/>
      </c>
      <c r="F259" s="2" t="str">
        <f>IF(AND(A259&lt;&gt;"",E259&lt;&gt;""),ROUND(E259,0),"")</f>
        <v/>
      </c>
      <c r="G259" s="2" t="str">
        <f>IF(A259&lt;&gt;"",VLOOKUP(Alunos!A259,Recurso!A3:C1000,3, FALSE),"")</f>
        <v/>
      </c>
      <c r="H259" s="2" t="str">
        <f>IF(OR(A259&lt;&gt;"",G259&lt;&gt;""), SUMIFS(B259:G259,B1:G1,"&lt;&gt;",B2:G2,"&lt;&gt;Exame",B2:G2,"&lt;&gt;exame",B2:G2,"&lt;&gt;Nota",B2:G2,"&lt;&gt;Total"),"")</f>
        <v/>
      </c>
      <c r="I259" s="2" t="str">
        <f>IF(AND(A259&lt;&gt;"",H259&lt;&gt;""),ROUND(H259,0),"")</f>
        <v/>
      </c>
    </row>
    <row r="260" spans="2:9" x14ac:dyDescent="0.3">
      <c r="B260" s="2" t="str">
        <f>IF(A260&lt;&gt;"",VLOOKUP(Alunos!A260,Exame!A3:C1000,3, FALSE),"")</f>
        <v/>
      </c>
      <c r="C260" s="2" t="str">
        <f>IF(A260&lt;&gt;"",VLOOKUP(Alunos!A260,Agrupamentos!A3:B1000,2, FALSE),"")</f>
        <v/>
      </c>
      <c r="D260" s="2" t="str">
        <f>IF(A260&lt;&gt;"",VLOOKUP(Alunos!C260,'TP1'!A3:C1000,3, FALSE),"")</f>
        <v/>
      </c>
      <c r="E260" s="2" t="str">
        <f>IF(A260&lt;&gt;"", SUMIF(B1:D1,"&lt;&gt;",B260:D260),"")</f>
        <v/>
      </c>
      <c r="F260" s="2" t="str">
        <f>IF(AND(A260&lt;&gt;"",E260&lt;&gt;""),ROUND(E260,0),"")</f>
        <v/>
      </c>
      <c r="G260" s="2" t="str">
        <f>IF(A260&lt;&gt;"",VLOOKUP(Alunos!A260,Recurso!A3:C1000,3, FALSE),"")</f>
        <v/>
      </c>
      <c r="H260" s="2" t="str">
        <f>IF(OR(A260&lt;&gt;"",G260&lt;&gt;""), SUMIFS(B260:G260,B1:G1,"&lt;&gt;",B2:G2,"&lt;&gt;Exame",B2:G2,"&lt;&gt;exame",B2:G2,"&lt;&gt;Nota",B2:G2,"&lt;&gt;Total"),"")</f>
        <v/>
      </c>
      <c r="I260" s="2" t="str">
        <f>IF(AND(A260&lt;&gt;"",H260&lt;&gt;""),ROUND(H260,0),"")</f>
        <v/>
      </c>
    </row>
    <row r="261" spans="2:9" x14ac:dyDescent="0.3">
      <c r="B261" s="2" t="str">
        <f>IF(A261&lt;&gt;"",VLOOKUP(Alunos!A261,Exame!A3:C1000,3, FALSE),"")</f>
        <v/>
      </c>
      <c r="C261" s="2" t="str">
        <f>IF(A261&lt;&gt;"",VLOOKUP(Alunos!A261,Agrupamentos!A3:B1000,2, FALSE),"")</f>
        <v/>
      </c>
      <c r="D261" s="2" t="str">
        <f>IF(A261&lt;&gt;"",VLOOKUP(Alunos!C261,'TP1'!A3:C1000,3, FALSE),"")</f>
        <v/>
      </c>
      <c r="E261" s="2" t="str">
        <f>IF(A261&lt;&gt;"", SUMIF(B1:D1,"&lt;&gt;",B261:D261),"")</f>
        <v/>
      </c>
      <c r="F261" s="2" t="str">
        <f>IF(AND(A261&lt;&gt;"",E261&lt;&gt;""),ROUND(E261,0),"")</f>
        <v/>
      </c>
      <c r="G261" s="2" t="str">
        <f>IF(A261&lt;&gt;"",VLOOKUP(Alunos!A261,Recurso!A3:C1000,3, FALSE),"")</f>
        <v/>
      </c>
      <c r="H261" s="2" t="str">
        <f>IF(OR(A261&lt;&gt;"",G261&lt;&gt;""), SUMIFS(B261:G261,B1:G1,"&lt;&gt;",B2:G2,"&lt;&gt;Exame",B2:G2,"&lt;&gt;exame",B2:G2,"&lt;&gt;Nota",B2:G2,"&lt;&gt;Total"),"")</f>
        <v/>
      </c>
      <c r="I261" s="2" t="str">
        <f>IF(AND(A261&lt;&gt;"",H261&lt;&gt;""),ROUND(H261,0),"")</f>
        <v/>
      </c>
    </row>
    <row r="262" spans="2:9" x14ac:dyDescent="0.3">
      <c r="B262" s="2" t="str">
        <f>IF(A262&lt;&gt;"",VLOOKUP(Alunos!A262,Exame!A3:C1000,3, FALSE),"")</f>
        <v/>
      </c>
      <c r="C262" s="2" t="str">
        <f>IF(A262&lt;&gt;"",VLOOKUP(Alunos!A262,Agrupamentos!A3:B1000,2, FALSE),"")</f>
        <v/>
      </c>
      <c r="D262" s="2" t="str">
        <f>IF(A262&lt;&gt;"",VLOOKUP(Alunos!C262,'TP1'!A3:C1000,3, FALSE),"")</f>
        <v/>
      </c>
      <c r="E262" s="2" t="str">
        <f>IF(A262&lt;&gt;"", SUMIF(B1:D1,"&lt;&gt;",B262:D262),"")</f>
        <v/>
      </c>
      <c r="F262" s="2" t="str">
        <f>IF(AND(A262&lt;&gt;"",E262&lt;&gt;""),ROUND(E262,0),"")</f>
        <v/>
      </c>
      <c r="G262" s="2" t="str">
        <f>IF(A262&lt;&gt;"",VLOOKUP(Alunos!A262,Recurso!A3:C1000,3, FALSE),"")</f>
        <v/>
      </c>
      <c r="H262" s="2" t="str">
        <f>IF(OR(A262&lt;&gt;"",G262&lt;&gt;""), SUMIFS(B262:G262,B1:G1,"&lt;&gt;",B2:G2,"&lt;&gt;Exame",B2:G2,"&lt;&gt;exame",B2:G2,"&lt;&gt;Nota",B2:G2,"&lt;&gt;Total"),"")</f>
        <v/>
      </c>
      <c r="I262" s="2" t="str">
        <f>IF(AND(A262&lt;&gt;"",H262&lt;&gt;""),ROUND(H262,0),"")</f>
        <v/>
      </c>
    </row>
    <row r="263" spans="2:9" x14ac:dyDescent="0.3">
      <c r="B263" s="2" t="str">
        <f>IF(A263&lt;&gt;"",VLOOKUP(Alunos!A263,Exame!A3:C1000,3, FALSE),"")</f>
        <v/>
      </c>
      <c r="C263" s="2" t="str">
        <f>IF(A263&lt;&gt;"",VLOOKUP(Alunos!A263,Agrupamentos!A3:B1000,2, FALSE),"")</f>
        <v/>
      </c>
      <c r="D263" s="2" t="str">
        <f>IF(A263&lt;&gt;"",VLOOKUP(Alunos!C263,'TP1'!A3:C1000,3, FALSE),"")</f>
        <v/>
      </c>
      <c r="E263" s="2" t="str">
        <f>IF(A263&lt;&gt;"", SUMIF(B1:D1,"&lt;&gt;",B263:D263),"")</f>
        <v/>
      </c>
      <c r="F263" s="2" t="str">
        <f>IF(AND(A263&lt;&gt;"",E263&lt;&gt;""),ROUND(E263,0),"")</f>
        <v/>
      </c>
      <c r="G263" s="2" t="str">
        <f>IF(A263&lt;&gt;"",VLOOKUP(Alunos!A263,Recurso!A3:C1000,3, FALSE),"")</f>
        <v/>
      </c>
      <c r="H263" s="2" t="str">
        <f>IF(OR(A263&lt;&gt;"",G263&lt;&gt;""), SUMIFS(B263:G263,B1:G1,"&lt;&gt;",B2:G2,"&lt;&gt;Exame",B2:G2,"&lt;&gt;exame",B2:G2,"&lt;&gt;Nota",B2:G2,"&lt;&gt;Total"),"")</f>
        <v/>
      </c>
      <c r="I263" s="2" t="str">
        <f>IF(AND(A263&lt;&gt;"",H263&lt;&gt;""),ROUND(H263,0),"")</f>
        <v/>
      </c>
    </row>
    <row r="264" spans="2:9" x14ac:dyDescent="0.3">
      <c r="B264" s="2" t="str">
        <f>IF(A264&lt;&gt;"",VLOOKUP(Alunos!A264,Exame!A3:C1000,3, FALSE),"")</f>
        <v/>
      </c>
      <c r="C264" s="2" t="str">
        <f>IF(A264&lt;&gt;"",VLOOKUP(Alunos!A264,Agrupamentos!A3:B1000,2, FALSE),"")</f>
        <v/>
      </c>
      <c r="D264" s="2" t="str">
        <f>IF(A264&lt;&gt;"",VLOOKUP(Alunos!C264,'TP1'!A3:C1000,3, FALSE),"")</f>
        <v/>
      </c>
      <c r="E264" s="2" t="str">
        <f>IF(A264&lt;&gt;"", SUMIF(B1:D1,"&lt;&gt;",B264:D264),"")</f>
        <v/>
      </c>
      <c r="F264" s="2" t="str">
        <f>IF(AND(A264&lt;&gt;"",E264&lt;&gt;""),ROUND(E264,0),"")</f>
        <v/>
      </c>
      <c r="G264" s="2" t="str">
        <f>IF(A264&lt;&gt;"",VLOOKUP(Alunos!A264,Recurso!A3:C1000,3, FALSE),"")</f>
        <v/>
      </c>
      <c r="H264" s="2" t="str">
        <f>IF(OR(A264&lt;&gt;"",G264&lt;&gt;""), SUMIFS(B264:G264,B1:G1,"&lt;&gt;",B2:G2,"&lt;&gt;Exame",B2:G2,"&lt;&gt;exame",B2:G2,"&lt;&gt;Nota",B2:G2,"&lt;&gt;Total"),"")</f>
        <v/>
      </c>
      <c r="I264" s="2" t="str">
        <f>IF(AND(A264&lt;&gt;"",H264&lt;&gt;""),ROUND(H264,0),"")</f>
        <v/>
      </c>
    </row>
    <row r="265" spans="2:9" x14ac:dyDescent="0.3">
      <c r="B265" s="2" t="str">
        <f>IF(A265&lt;&gt;"",VLOOKUP(Alunos!A265,Exame!A3:C1000,3, FALSE),"")</f>
        <v/>
      </c>
      <c r="C265" s="2" t="str">
        <f>IF(A265&lt;&gt;"",VLOOKUP(Alunos!A265,Agrupamentos!A3:B1000,2, FALSE),"")</f>
        <v/>
      </c>
      <c r="D265" s="2" t="str">
        <f>IF(A265&lt;&gt;"",VLOOKUP(Alunos!C265,'TP1'!A3:C1000,3, FALSE),"")</f>
        <v/>
      </c>
      <c r="E265" s="2" t="str">
        <f>IF(A265&lt;&gt;"", SUMIF(B1:D1,"&lt;&gt;",B265:D265),"")</f>
        <v/>
      </c>
      <c r="F265" s="2" t="str">
        <f>IF(AND(A265&lt;&gt;"",E265&lt;&gt;""),ROUND(E265,0),"")</f>
        <v/>
      </c>
      <c r="G265" s="2" t="str">
        <f>IF(A265&lt;&gt;"",VLOOKUP(Alunos!A265,Recurso!A3:C1000,3, FALSE),"")</f>
        <v/>
      </c>
      <c r="H265" s="2" t="str">
        <f>IF(OR(A265&lt;&gt;"",G265&lt;&gt;""), SUMIFS(B265:G265,B1:G1,"&lt;&gt;",B2:G2,"&lt;&gt;Exame",B2:G2,"&lt;&gt;exame",B2:G2,"&lt;&gt;Nota",B2:G2,"&lt;&gt;Total"),"")</f>
        <v/>
      </c>
      <c r="I265" s="2" t="str">
        <f>IF(AND(A265&lt;&gt;"",H265&lt;&gt;""),ROUND(H265,0),"")</f>
        <v/>
      </c>
    </row>
    <row r="266" spans="2:9" x14ac:dyDescent="0.3">
      <c r="B266" s="2" t="str">
        <f>IF(A266&lt;&gt;"",VLOOKUP(Alunos!A266,Exame!A3:C1000,3, FALSE),"")</f>
        <v/>
      </c>
      <c r="C266" s="2" t="str">
        <f>IF(A266&lt;&gt;"",VLOOKUP(Alunos!A266,Agrupamentos!A3:B1000,2, FALSE),"")</f>
        <v/>
      </c>
      <c r="D266" s="2" t="str">
        <f>IF(A266&lt;&gt;"",VLOOKUP(Alunos!C266,'TP1'!A3:C1000,3, FALSE),"")</f>
        <v/>
      </c>
      <c r="E266" s="2" t="str">
        <f>IF(A266&lt;&gt;"", SUMIF(B1:D1,"&lt;&gt;",B266:D266),"")</f>
        <v/>
      </c>
      <c r="F266" s="2" t="str">
        <f>IF(AND(A266&lt;&gt;"",E266&lt;&gt;""),ROUND(E266,0),"")</f>
        <v/>
      </c>
      <c r="G266" s="2" t="str">
        <f>IF(A266&lt;&gt;"",VLOOKUP(Alunos!A266,Recurso!A3:C1000,3, FALSE),"")</f>
        <v/>
      </c>
      <c r="H266" s="2" t="str">
        <f>IF(OR(A266&lt;&gt;"",G266&lt;&gt;""), SUMIFS(B266:G266,B1:G1,"&lt;&gt;",B2:G2,"&lt;&gt;Exame",B2:G2,"&lt;&gt;exame",B2:G2,"&lt;&gt;Nota",B2:G2,"&lt;&gt;Total"),"")</f>
        <v/>
      </c>
      <c r="I266" s="2" t="str">
        <f>IF(AND(A266&lt;&gt;"",H266&lt;&gt;""),ROUND(H266,0),"")</f>
        <v/>
      </c>
    </row>
    <row r="267" spans="2:9" x14ac:dyDescent="0.3">
      <c r="B267" s="2" t="str">
        <f>IF(A267&lt;&gt;"",VLOOKUP(Alunos!A267,Exame!A3:C1000,3, FALSE),"")</f>
        <v/>
      </c>
      <c r="C267" s="2" t="str">
        <f>IF(A267&lt;&gt;"",VLOOKUP(Alunos!A267,Agrupamentos!A3:B1000,2, FALSE),"")</f>
        <v/>
      </c>
      <c r="D267" s="2" t="str">
        <f>IF(A267&lt;&gt;"",VLOOKUP(Alunos!C267,'TP1'!A3:C1000,3, FALSE),"")</f>
        <v/>
      </c>
      <c r="E267" s="2" t="str">
        <f>IF(A267&lt;&gt;"", SUMIF(B1:D1,"&lt;&gt;",B267:D267),"")</f>
        <v/>
      </c>
      <c r="F267" s="2" t="str">
        <f>IF(AND(A267&lt;&gt;"",E267&lt;&gt;""),ROUND(E267,0),"")</f>
        <v/>
      </c>
      <c r="G267" s="2" t="str">
        <f>IF(A267&lt;&gt;"",VLOOKUP(Alunos!A267,Recurso!A3:C1000,3, FALSE),"")</f>
        <v/>
      </c>
      <c r="H267" s="2" t="str">
        <f>IF(OR(A267&lt;&gt;"",G267&lt;&gt;""), SUMIFS(B267:G267,B1:G1,"&lt;&gt;",B2:G2,"&lt;&gt;Exame",B2:G2,"&lt;&gt;exame",B2:G2,"&lt;&gt;Nota",B2:G2,"&lt;&gt;Total"),"")</f>
        <v/>
      </c>
      <c r="I267" s="2" t="str">
        <f>IF(AND(A267&lt;&gt;"",H267&lt;&gt;""),ROUND(H267,0),"")</f>
        <v/>
      </c>
    </row>
    <row r="268" spans="2:9" x14ac:dyDescent="0.3">
      <c r="B268" s="2" t="str">
        <f>IF(A268&lt;&gt;"",VLOOKUP(Alunos!A268,Exame!A3:C1000,3, FALSE),"")</f>
        <v/>
      </c>
      <c r="C268" s="2" t="str">
        <f>IF(A268&lt;&gt;"",VLOOKUP(Alunos!A268,Agrupamentos!A3:B1000,2, FALSE),"")</f>
        <v/>
      </c>
      <c r="D268" s="2" t="str">
        <f>IF(A268&lt;&gt;"",VLOOKUP(Alunos!C268,'TP1'!A3:C1000,3, FALSE),"")</f>
        <v/>
      </c>
      <c r="E268" s="2" t="str">
        <f>IF(A268&lt;&gt;"", SUMIF(B1:D1,"&lt;&gt;",B268:D268),"")</f>
        <v/>
      </c>
      <c r="F268" s="2" t="str">
        <f>IF(AND(A268&lt;&gt;"",E268&lt;&gt;""),ROUND(E268,0),"")</f>
        <v/>
      </c>
      <c r="G268" s="2" t="str">
        <f>IF(A268&lt;&gt;"",VLOOKUP(Alunos!A268,Recurso!A3:C1000,3, FALSE),"")</f>
        <v/>
      </c>
      <c r="H268" s="2" t="str">
        <f>IF(OR(A268&lt;&gt;"",G268&lt;&gt;""), SUMIFS(B268:G268,B1:G1,"&lt;&gt;",B2:G2,"&lt;&gt;Exame",B2:G2,"&lt;&gt;exame",B2:G2,"&lt;&gt;Nota",B2:G2,"&lt;&gt;Total"),"")</f>
        <v/>
      </c>
      <c r="I268" s="2" t="str">
        <f>IF(AND(A268&lt;&gt;"",H268&lt;&gt;""),ROUND(H268,0),"")</f>
        <v/>
      </c>
    </row>
    <row r="269" spans="2:9" x14ac:dyDescent="0.3">
      <c r="B269" s="2" t="str">
        <f>IF(A269&lt;&gt;"",VLOOKUP(Alunos!A269,Exame!A3:C1000,3, FALSE),"")</f>
        <v/>
      </c>
      <c r="C269" s="2" t="str">
        <f>IF(A269&lt;&gt;"",VLOOKUP(Alunos!A269,Agrupamentos!A3:B1000,2, FALSE),"")</f>
        <v/>
      </c>
      <c r="D269" s="2" t="str">
        <f>IF(A269&lt;&gt;"",VLOOKUP(Alunos!C269,'TP1'!A3:C1000,3, FALSE),"")</f>
        <v/>
      </c>
      <c r="E269" s="2" t="str">
        <f>IF(A269&lt;&gt;"", SUMIF(B1:D1,"&lt;&gt;",B269:D269),"")</f>
        <v/>
      </c>
      <c r="F269" s="2" t="str">
        <f>IF(AND(A269&lt;&gt;"",E269&lt;&gt;""),ROUND(E269,0),"")</f>
        <v/>
      </c>
      <c r="G269" s="2" t="str">
        <f>IF(A269&lt;&gt;"",VLOOKUP(Alunos!A269,Recurso!A3:C1000,3, FALSE),"")</f>
        <v/>
      </c>
      <c r="H269" s="2" t="str">
        <f>IF(OR(A269&lt;&gt;"",G269&lt;&gt;""), SUMIFS(B269:G269,B1:G1,"&lt;&gt;",B2:G2,"&lt;&gt;Exame",B2:G2,"&lt;&gt;exame",B2:G2,"&lt;&gt;Nota",B2:G2,"&lt;&gt;Total"),"")</f>
        <v/>
      </c>
      <c r="I269" s="2" t="str">
        <f>IF(AND(A269&lt;&gt;"",H269&lt;&gt;""),ROUND(H269,0),"")</f>
        <v/>
      </c>
    </row>
    <row r="270" spans="2:9" x14ac:dyDescent="0.3">
      <c r="B270" s="2" t="str">
        <f>IF(A270&lt;&gt;"",VLOOKUP(Alunos!A270,Exame!A3:C1000,3, FALSE),"")</f>
        <v/>
      </c>
      <c r="C270" s="2" t="str">
        <f>IF(A270&lt;&gt;"",VLOOKUP(Alunos!A270,Agrupamentos!A3:B1000,2, FALSE),"")</f>
        <v/>
      </c>
      <c r="D270" s="2" t="str">
        <f>IF(A270&lt;&gt;"",VLOOKUP(Alunos!C270,'TP1'!A3:C1000,3, FALSE),"")</f>
        <v/>
      </c>
      <c r="E270" s="2" t="str">
        <f>IF(A270&lt;&gt;"", SUMIF(B1:D1,"&lt;&gt;",B270:D270),"")</f>
        <v/>
      </c>
      <c r="F270" s="2" t="str">
        <f>IF(AND(A270&lt;&gt;"",E270&lt;&gt;""),ROUND(E270,0),"")</f>
        <v/>
      </c>
      <c r="G270" s="2" t="str">
        <f>IF(A270&lt;&gt;"",VLOOKUP(Alunos!A270,Recurso!A3:C1000,3, FALSE),"")</f>
        <v/>
      </c>
      <c r="H270" s="2" t="str">
        <f>IF(OR(A270&lt;&gt;"",G270&lt;&gt;""), SUMIFS(B270:G270,B1:G1,"&lt;&gt;",B2:G2,"&lt;&gt;Exame",B2:G2,"&lt;&gt;exame",B2:G2,"&lt;&gt;Nota",B2:G2,"&lt;&gt;Total"),"")</f>
        <v/>
      </c>
      <c r="I270" s="2" t="str">
        <f>IF(AND(A270&lt;&gt;"",H270&lt;&gt;""),ROUND(H270,0),"")</f>
        <v/>
      </c>
    </row>
    <row r="271" spans="2:9" x14ac:dyDescent="0.3">
      <c r="B271" s="2" t="str">
        <f>IF(A271&lt;&gt;"",VLOOKUP(Alunos!A271,Exame!A3:C1000,3, FALSE),"")</f>
        <v/>
      </c>
      <c r="C271" s="2" t="str">
        <f>IF(A271&lt;&gt;"",VLOOKUP(Alunos!A271,Agrupamentos!A3:B1000,2, FALSE),"")</f>
        <v/>
      </c>
      <c r="D271" s="2" t="str">
        <f>IF(A271&lt;&gt;"",VLOOKUP(Alunos!C271,'TP1'!A3:C1000,3, FALSE),"")</f>
        <v/>
      </c>
      <c r="E271" s="2" t="str">
        <f>IF(A271&lt;&gt;"", SUMIF(B1:D1,"&lt;&gt;",B271:D271),"")</f>
        <v/>
      </c>
      <c r="F271" s="2" t="str">
        <f>IF(AND(A271&lt;&gt;"",E271&lt;&gt;""),ROUND(E271,0),"")</f>
        <v/>
      </c>
      <c r="G271" s="2" t="str">
        <f>IF(A271&lt;&gt;"",VLOOKUP(Alunos!A271,Recurso!A3:C1000,3, FALSE),"")</f>
        <v/>
      </c>
      <c r="H271" s="2" t="str">
        <f>IF(OR(A271&lt;&gt;"",G271&lt;&gt;""), SUMIFS(B271:G271,B1:G1,"&lt;&gt;",B2:G2,"&lt;&gt;Exame",B2:G2,"&lt;&gt;exame",B2:G2,"&lt;&gt;Nota",B2:G2,"&lt;&gt;Total"),"")</f>
        <v/>
      </c>
      <c r="I271" s="2" t="str">
        <f>IF(AND(A271&lt;&gt;"",H271&lt;&gt;""),ROUND(H271,0),"")</f>
        <v/>
      </c>
    </row>
    <row r="272" spans="2:9" x14ac:dyDescent="0.3">
      <c r="B272" s="2" t="str">
        <f>IF(A272&lt;&gt;"",VLOOKUP(Alunos!A272,Exame!A3:C1000,3, FALSE),"")</f>
        <v/>
      </c>
      <c r="C272" s="2" t="str">
        <f>IF(A272&lt;&gt;"",VLOOKUP(Alunos!A272,Agrupamentos!A3:B1000,2, FALSE),"")</f>
        <v/>
      </c>
      <c r="D272" s="2" t="str">
        <f>IF(A272&lt;&gt;"",VLOOKUP(Alunos!C272,'TP1'!A3:C1000,3, FALSE),"")</f>
        <v/>
      </c>
      <c r="E272" s="2" t="str">
        <f>IF(A272&lt;&gt;"", SUMIF(B1:D1,"&lt;&gt;",B272:D272),"")</f>
        <v/>
      </c>
      <c r="F272" s="2" t="str">
        <f>IF(AND(A272&lt;&gt;"",E272&lt;&gt;""),ROUND(E272,0),"")</f>
        <v/>
      </c>
      <c r="G272" s="2" t="str">
        <f>IF(A272&lt;&gt;"",VLOOKUP(Alunos!A272,Recurso!A3:C1000,3, FALSE),"")</f>
        <v/>
      </c>
      <c r="H272" s="2" t="str">
        <f>IF(OR(A272&lt;&gt;"",G272&lt;&gt;""), SUMIFS(B272:G272,B1:G1,"&lt;&gt;",B2:G2,"&lt;&gt;Exame",B2:G2,"&lt;&gt;exame",B2:G2,"&lt;&gt;Nota",B2:G2,"&lt;&gt;Total"),"")</f>
        <v/>
      </c>
      <c r="I272" s="2" t="str">
        <f>IF(AND(A272&lt;&gt;"",H272&lt;&gt;""),ROUND(H272,0),"")</f>
        <v/>
      </c>
    </row>
    <row r="273" spans="2:9" x14ac:dyDescent="0.3">
      <c r="B273" s="2" t="str">
        <f>IF(A273&lt;&gt;"",VLOOKUP(Alunos!A273,Exame!A3:C1000,3, FALSE),"")</f>
        <v/>
      </c>
      <c r="C273" s="2" t="str">
        <f>IF(A273&lt;&gt;"",VLOOKUP(Alunos!A273,Agrupamentos!A3:B1000,2, FALSE),"")</f>
        <v/>
      </c>
      <c r="D273" s="2" t="str">
        <f>IF(A273&lt;&gt;"",VLOOKUP(Alunos!C273,'TP1'!A3:C1000,3, FALSE),"")</f>
        <v/>
      </c>
      <c r="E273" s="2" t="str">
        <f>IF(A273&lt;&gt;"", SUMIF(B1:D1,"&lt;&gt;",B273:D273),"")</f>
        <v/>
      </c>
      <c r="F273" s="2" t="str">
        <f>IF(AND(A273&lt;&gt;"",E273&lt;&gt;""),ROUND(E273,0),"")</f>
        <v/>
      </c>
      <c r="G273" s="2" t="str">
        <f>IF(A273&lt;&gt;"",VLOOKUP(Alunos!A273,Recurso!A3:C1000,3, FALSE),"")</f>
        <v/>
      </c>
      <c r="H273" s="2" t="str">
        <f>IF(OR(A273&lt;&gt;"",G273&lt;&gt;""), SUMIFS(B273:G273,B1:G1,"&lt;&gt;",B2:G2,"&lt;&gt;Exame",B2:G2,"&lt;&gt;exame",B2:G2,"&lt;&gt;Nota",B2:G2,"&lt;&gt;Total"),"")</f>
        <v/>
      </c>
      <c r="I273" s="2" t="str">
        <f>IF(AND(A273&lt;&gt;"",H273&lt;&gt;""),ROUND(H273,0),"")</f>
        <v/>
      </c>
    </row>
    <row r="274" spans="2:9" x14ac:dyDescent="0.3">
      <c r="B274" s="2" t="str">
        <f>IF(A274&lt;&gt;"",VLOOKUP(Alunos!A274,Exame!A3:C1000,3, FALSE),"")</f>
        <v/>
      </c>
      <c r="C274" s="2" t="str">
        <f>IF(A274&lt;&gt;"",VLOOKUP(Alunos!A274,Agrupamentos!A3:B1000,2, FALSE),"")</f>
        <v/>
      </c>
      <c r="D274" s="2" t="str">
        <f>IF(A274&lt;&gt;"",VLOOKUP(Alunos!C274,'TP1'!A3:C1000,3, FALSE),"")</f>
        <v/>
      </c>
      <c r="E274" s="2" t="str">
        <f>IF(A274&lt;&gt;"", SUMIF(B1:D1,"&lt;&gt;",B274:D274),"")</f>
        <v/>
      </c>
      <c r="F274" s="2" t="str">
        <f>IF(AND(A274&lt;&gt;"",E274&lt;&gt;""),ROUND(E274,0),"")</f>
        <v/>
      </c>
      <c r="G274" s="2" t="str">
        <f>IF(A274&lt;&gt;"",VLOOKUP(Alunos!A274,Recurso!A3:C1000,3, FALSE),"")</f>
        <v/>
      </c>
      <c r="H274" s="2" t="str">
        <f>IF(OR(A274&lt;&gt;"",G274&lt;&gt;""), SUMIFS(B274:G274,B1:G1,"&lt;&gt;",B2:G2,"&lt;&gt;Exame",B2:G2,"&lt;&gt;exame",B2:G2,"&lt;&gt;Nota",B2:G2,"&lt;&gt;Total"),"")</f>
        <v/>
      </c>
      <c r="I274" s="2" t="str">
        <f>IF(AND(A274&lt;&gt;"",H274&lt;&gt;""),ROUND(H274,0),"")</f>
        <v/>
      </c>
    </row>
    <row r="275" spans="2:9" x14ac:dyDescent="0.3">
      <c r="B275" s="2" t="str">
        <f>IF(A275&lt;&gt;"",VLOOKUP(Alunos!A275,Exame!A3:C1000,3, FALSE),"")</f>
        <v/>
      </c>
      <c r="C275" s="2" t="str">
        <f>IF(A275&lt;&gt;"",VLOOKUP(Alunos!A275,Agrupamentos!A3:B1000,2, FALSE),"")</f>
        <v/>
      </c>
      <c r="D275" s="2" t="str">
        <f>IF(A275&lt;&gt;"",VLOOKUP(Alunos!C275,'TP1'!A3:C1000,3, FALSE),"")</f>
        <v/>
      </c>
      <c r="E275" s="2" t="str">
        <f>IF(A275&lt;&gt;"", SUMIF(B1:D1,"&lt;&gt;",B275:D275),"")</f>
        <v/>
      </c>
      <c r="F275" s="2" t="str">
        <f>IF(AND(A275&lt;&gt;"",E275&lt;&gt;""),ROUND(E275,0),"")</f>
        <v/>
      </c>
      <c r="G275" s="2" t="str">
        <f>IF(A275&lt;&gt;"",VLOOKUP(Alunos!A275,Recurso!A3:C1000,3, FALSE),"")</f>
        <v/>
      </c>
      <c r="H275" s="2" t="str">
        <f>IF(OR(A275&lt;&gt;"",G275&lt;&gt;""), SUMIFS(B275:G275,B1:G1,"&lt;&gt;",B2:G2,"&lt;&gt;Exame",B2:G2,"&lt;&gt;exame",B2:G2,"&lt;&gt;Nota",B2:G2,"&lt;&gt;Total"),"")</f>
        <v/>
      </c>
      <c r="I275" s="2" t="str">
        <f>IF(AND(A275&lt;&gt;"",H275&lt;&gt;""),ROUND(H275,0),"")</f>
        <v/>
      </c>
    </row>
    <row r="276" spans="2:9" x14ac:dyDescent="0.3">
      <c r="B276" s="2" t="str">
        <f>IF(A276&lt;&gt;"",VLOOKUP(Alunos!A276,Exame!A3:C1000,3, FALSE),"")</f>
        <v/>
      </c>
      <c r="C276" s="2" t="str">
        <f>IF(A276&lt;&gt;"",VLOOKUP(Alunos!A276,Agrupamentos!A3:B1000,2, FALSE),"")</f>
        <v/>
      </c>
      <c r="D276" s="2" t="str">
        <f>IF(A276&lt;&gt;"",VLOOKUP(Alunos!C276,'TP1'!A3:C1000,3, FALSE),"")</f>
        <v/>
      </c>
      <c r="E276" s="2" t="str">
        <f>IF(A276&lt;&gt;"", SUMIF(B1:D1,"&lt;&gt;",B276:D276),"")</f>
        <v/>
      </c>
      <c r="F276" s="2" t="str">
        <f>IF(AND(A276&lt;&gt;"",E276&lt;&gt;""),ROUND(E276,0),"")</f>
        <v/>
      </c>
      <c r="G276" s="2" t="str">
        <f>IF(A276&lt;&gt;"",VLOOKUP(Alunos!A276,Recurso!A3:C1000,3, FALSE),"")</f>
        <v/>
      </c>
      <c r="H276" s="2" t="str">
        <f>IF(OR(A276&lt;&gt;"",G276&lt;&gt;""), SUMIFS(B276:G276,B1:G1,"&lt;&gt;",B2:G2,"&lt;&gt;Exame",B2:G2,"&lt;&gt;exame",B2:G2,"&lt;&gt;Nota",B2:G2,"&lt;&gt;Total"),"")</f>
        <v/>
      </c>
      <c r="I276" s="2" t="str">
        <f>IF(AND(A276&lt;&gt;"",H276&lt;&gt;""),ROUND(H276,0),"")</f>
        <v/>
      </c>
    </row>
    <row r="277" spans="2:9" x14ac:dyDescent="0.3">
      <c r="B277" s="2" t="str">
        <f>IF(A277&lt;&gt;"",VLOOKUP(Alunos!A277,Exame!A3:C1000,3, FALSE),"")</f>
        <v/>
      </c>
      <c r="C277" s="2" t="str">
        <f>IF(A277&lt;&gt;"",VLOOKUP(Alunos!A277,Agrupamentos!A3:B1000,2, FALSE),"")</f>
        <v/>
      </c>
      <c r="D277" s="2" t="str">
        <f>IF(A277&lt;&gt;"",VLOOKUP(Alunos!C277,'TP1'!A3:C1000,3, FALSE),"")</f>
        <v/>
      </c>
      <c r="E277" s="2" t="str">
        <f>IF(A277&lt;&gt;"", SUMIF(B1:D1,"&lt;&gt;",B277:D277),"")</f>
        <v/>
      </c>
      <c r="F277" s="2" t="str">
        <f>IF(AND(A277&lt;&gt;"",E277&lt;&gt;""),ROUND(E277,0),"")</f>
        <v/>
      </c>
      <c r="G277" s="2" t="str">
        <f>IF(A277&lt;&gt;"",VLOOKUP(Alunos!A277,Recurso!A3:C1000,3, FALSE),"")</f>
        <v/>
      </c>
      <c r="H277" s="2" t="str">
        <f>IF(OR(A277&lt;&gt;"",G277&lt;&gt;""), SUMIFS(B277:G277,B1:G1,"&lt;&gt;",B2:G2,"&lt;&gt;Exame",B2:G2,"&lt;&gt;exame",B2:G2,"&lt;&gt;Nota",B2:G2,"&lt;&gt;Total"),"")</f>
        <v/>
      </c>
      <c r="I277" s="2" t="str">
        <f>IF(AND(A277&lt;&gt;"",H277&lt;&gt;""),ROUND(H277,0),"")</f>
        <v/>
      </c>
    </row>
    <row r="278" spans="2:9" x14ac:dyDescent="0.3">
      <c r="B278" s="2" t="str">
        <f>IF(A278&lt;&gt;"",VLOOKUP(Alunos!A278,Exame!A3:C1000,3, FALSE),"")</f>
        <v/>
      </c>
      <c r="C278" s="2" t="str">
        <f>IF(A278&lt;&gt;"",VLOOKUP(Alunos!A278,Agrupamentos!A3:B1000,2, FALSE),"")</f>
        <v/>
      </c>
      <c r="D278" s="2" t="str">
        <f>IF(A278&lt;&gt;"",VLOOKUP(Alunos!C278,'TP1'!A3:C1000,3, FALSE),"")</f>
        <v/>
      </c>
      <c r="E278" s="2" t="str">
        <f>IF(A278&lt;&gt;"", SUMIF(B1:D1,"&lt;&gt;",B278:D278),"")</f>
        <v/>
      </c>
      <c r="F278" s="2" t="str">
        <f>IF(AND(A278&lt;&gt;"",E278&lt;&gt;""),ROUND(E278,0),"")</f>
        <v/>
      </c>
      <c r="G278" s="2" t="str">
        <f>IF(A278&lt;&gt;"",VLOOKUP(Alunos!A278,Recurso!A3:C1000,3, FALSE),"")</f>
        <v/>
      </c>
      <c r="H278" s="2" t="str">
        <f>IF(OR(A278&lt;&gt;"",G278&lt;&gt;""), SUMIFS(B278:G278,B1:G1,"&lt;&gt;",B2:G2,"&lt;&gt;Exame",B2:G2,"&lt;&gt;exame",B2:G2,"&lt;&gt;Nota",B2:G2,"&lt;&gt;Total"),"")</f>
        <v/>
      </c>
      <c r="I278" s="2" t="str">
        <f>IF(AND(A278&lt;&gt;"",H278&lt;&gt;""),ROUND(H278,0),"")</f>
        <v/>
      </c>
    </row>
    <row r="279" spans="2:9" x14ac:dyDescent="0.3">
      <c r="B279" s="2" t="str">
        <f>IF(A279&lt;&gt;"",VLOOKUP(Alunos!A279,Exame!A3:C1000,3, FALSE),"")</f>
        <v/>
      </c>
      <c r="C279" s="2" t="str">
        <f>IF(A279&lt;&gt;"",VLOOKUP(Alunos!A279,Agrupamentos!A3:B1000,2, FALSE),"")</f>
        <v/>
      </c>
      <c r="D279" s="2" t="str">
        <f>IF(A279&lt;&gt;"",VLOOKUP(Alunos!C279,'TP1'!A3:C1000,3, FALSE),"")</f>
        <v/>
      </c>
      <c r="E279" s="2" t="str">
        <f>IF(A279&lt;&gt;"", SUMIF(B1:D1,"&lt;&gt;",B279:D279),"")</f>
        <v/>
      </c>
      <c r="F279" s="2" t="str">
        <f>IF(AND(A279&lt;&gt;"",E279&lt;&gt;""),ROUND(E279,0),"")</f>
        <v/>
      </c>
      <c r="G279" s="2" t="str">
        <f>IF(A279&lt;&gt;"",VLOOKUP(Alunos!A279,Recurso!A3:C1000,3, FALSE),"")</f>
        <v/>
      </c>
      <c r="H279" s="2" t="str">
        <f>IF(OR(A279&lt;&gt;"",G279&lt;&gt;""), SUMIFS(B279:G279,B1:G1,"&lt;&gt;",B2:G2,"&lt;&gt;Exame",B2:G2,"&lt;&gt;exame",B2:G2,"&lt;&gt;Nota",B2:G2,"&lt;&gt;Total"),"")</f>
        <v/>
      </c>
      <c r="I279" s="2" t="str">
        <f>IF(AND(A279&lt;&gt;"",H279&lt;&gt;""),ROUND(H279,0),"")</f>
        <v/>
      </c>
    </row>
    <row r="280" spans="2:9" x14ac:dyDescent="0.3">
      <c r="B280" s="2" t="str">
        <f>IF(A280&lt;&gt;"",VLOOKUP(Alunos!A280,Exame!A3:C1000,3, FALSE),"")</f>
        <v/>
      </c>
      <c r="C280" s="2" t="str">
        <f>IF(A280&lt;&gt;"",VLOOKUP(Alunos!A280,Agrupamentos!A3:B1000,2, FALSE),"")</f>
        <v/>
      </c>
      <c r="D280" s="2" t="str">
        <f>IF(A280&lt;&gt;"",VLOOKUP(Alunos!C280,'TP1'!A3:C1000,3, FALSE),"")</f>
        <v/>
      </c>
      <c r="E280" s="2" t="str">
        <f>IF(A280&lt;&gt;"", SUMIF(B1:D1,"&lt;&gt;",B280:D280),"")</f>
        <v/>
      </c>
      <c r="F280" s="2" t="str">
        <f>IF(AND(A280&lt;&gt;"",E280&lt;&gt;""),ROUND(E280,0),"")</f>
        <v/>
      </c>
      <c r="G280" s="2" t="str">
        <f>IF(A280&lt;&gt;"",VLOOKUP(Alunos!A280,Recurso!A3:C1000,3, FALSE),"")</f>
        <v/>
      </c>
      <c r="H280" s="2" t="str">
        <f>IF(OR(A280&lt;&gt;"",G280&lt;&gt;""), SUMIFS(B280:G280,B1:G1,"&lt;&gt;",B2:G2,"&lt;&gt;Exame",B2:G2,"&lt;&gt;exame",B2:G2,"&lt;&gt;Nota",B2:G2,"&lt;&gt;Total"),"")</f>
        <v/>
      </c>
      <c r="I280" s="2" t="str">
        <f>IF(AND(A280&lt;&gt;"",H280&lt;&gt;""),ROUND(H280,0),"")</f>
        <v/>
      </c>
    </row>
    <row r="281" spans="2:9" x14ac:dyDescent="0.3">
      <c r="B281" s="2" t="str">
        <f>IF(A281&lt;&gt;"",VLOOKUP(Alunos!A281,Exame!A3:C1000,3, FALSE),"")</f>
        <v/>
      </c>
      <c r="C281" s="2" t="str">
        <f>IF(A281&lt;&gt;"",VLOOKUP(Alunos!A281,Agrupamentos!A3:B1000,2, FALSE),"")</f>
        <v/>
      </c>
      <c r="D281" s="2" t="str">
        <f>IF(A281&lt;&gt;"",VLOOKUP(Alunos!C281,'TP1'!A3:C1000,3, FALSE),"")</f>
        <v/>
      </c>
      <c r="E281" s="2" t="str">
        <f>IF(A281&lt;&gt;"", SUMIF(B1:D1,"&lt;&gt;",B281:D281),"")</f>
        <v/>
      </c>
      <c r="F281" s="2" t="str">
        <f>IF(AND(A281&lt;&gt;"",E281&lt;&gt;""),ROUND(E281,0),"")</f>
        <v/>
      </c>
      <c r="G281" s="2" t="str">
        <f>IF(A281&lt;&gt;"",VLOOKUP(Alunos!A281,Recurso!A3:C1000,3, FALSE),"")</f>
        <v/>
      </c>
      <c r="H281" s="2" t="str">
        <f>IF(OR(A281&lt;&gt;"",G281&lt;&gt;""), SUMIFS(B281:G281,B1:G1,"&lt;&gt;",B2:G2,"&lt;&gt;Exame",B2:G2,"&lt;&gt;exame",B2:G2,"&lt;&gt;Nota",B2:G2,"&lt;&gt;Total"),"")</f>
        <v/>
      </c>
      <c r="I281" s="2" t="str">
        <f>IF(AND(A281&lt;&gt;"",H281&lt;&gt;""),ROUND(H281,0),"")</f>
        <v/>
      </c>
    </row>
    <row r="282" spans="2:9" x14ac:dyDescent="0.3">
      <c r="B282" s="2" t="str">
        <f>IF(A282&lt;&gt;"",VLOOKUP(Alunos!A282,Exame!A3:C1000,3, FALSE),"")</f>
        <v/>
      </c>
      <c r="C282" s="2" t="str">
        <f>IF(A282&lt;&gt;"",VLOOKUP(Alunos!A282,Agrupamentos!A3:B1000,2, FALSE),"")</f>
        <v/>
      </c>
      <c r="D282" s="2" t="str">
        <f>IF(A282&lt;&gt;"",VLOOKUP(Alunos!C282,'TP1'!A3:C1000,3, FALSE),"")</f>
        <v/>
      </c>
      <c r="E282" s="2" t="str">
        <f>IF(A282&lt;&gt;"", SUMIF(B1:D1,"&lt;&gt;",B282:D282),"")</f>
        <v/>
      </c>
      <c r="F282" s="2" t="str">
        <f>IF(AND(A282&lt;&gt;"",E282&lt;&gt;""),ROUND(E282,0),"")</f>
        <v/>
      </c>
      <c r="G282" s="2" t="str">
        <f>IF(A282&lt;&gt;"",VLOOKUP(Alunos!A282,Recurso!A3:C1000,3, FALSE),"")</f>
        <v/>
      </c>
      <c r="H282" s="2" t="str">
        <f>IF(OR(A282&lt;&gt;"",G282&lt;&gt;""), SUMIFS(B282:G282,B1:G1,"&lt;&gt;",B2:G2,"&lt;&gt;Exame",B2:G2,"&lt;&gt;exame",B2:G2,"&lt;&gt;Nota",B2:G2,"&lt;&gt;Total"),"")</f>
        <v/>
      </c>
      <c r="I282" s="2" t="str">
        <f>IF(AND(A282&lt;&gt;"",H282&lt;&gt;""),ROUND(H282,0),"")</f>
        <v/>
      </c>
    </row>
    <row r="283" spans="2:9" x14ac:dyDescent="0.3">
      <c r="B283" s="2" t="str">
        <f>IF(A283&lt;&gt;"",VLOOKUP(Alunos!A283,Exame!A3:C1000,3, FALSE),"")</f>
        <v/>
      </c>
      <c r="C283" s="2" t="str">
        <f>IF(A283&lt;&gt;"",VLOOKUP(Alunos!A283,Agrupamentos!A3:B1000,2, FALSE),"")</f>
        <v/>
      </c>
      <c r="D283" s="2" t="str">
        <f>IF(A283&lt;&gt;"",VLOOKUP(Alunos!C283,'TP1'!A3:C1000,3, FALSE),"")</f>
        <v/>
      </c>
      <c r="E283" s="2" t="str">
        <f>IF(A283&lt;&gt;"", SUMIF(B1:D1,"&lt;&gt;",B283:D283),"")</f>
        <v/>
      </c>
      <c r="F283" s="2" t="str">
        <f>IF(AND(A283&lt;&gt;"",E283&lt;&gt;""),ROUND(E283,0),"")</f>
        <v/>
      </c>
      <c r="G283" s="2" t="str">
        <f>IF(A283&lt;&gt;"",VLOOKUP(Alunos!A283,Recurso!A3:C1000,3, FALSE),"")</f>
        <v/>
      </c>
      <c r="H283" s="2" t="str">
        <f>IF(OR(A283&lt;&gt;"",G283&lt;&gt;""), SUMIFS(B283:G283,B1:G1,"&lt;&gt;",B2:G2,"&lt;&gt;Exame",B2:G2,"&lt;&gt;exame",B2:G2,"&lt;&gt;Nota",B2:G2,"&lt;&gt;Total"),"")</f>
        <v/>
      </c>
      <c r="I283" s="2" t="str">
        <f>IF(AND(A283&lt;&gt;"",H283&lt;&gt;""),ROUND(H283,0),"")</f>
        <v/>
      </c>
    </row>
    <row r="284" spans="2:9" x14ac:dyDescent="0.3">
      <c r="B284" s="2" t="str">
        <f>IF(A284&lt;&gt;"",VLOOKUP(Alunos!A284,Exame!A3:C1000,3, FALSE),"")</f>
        <v/>
      </c>
      <c r="C284" s="2" t="str">
        <f>IF(A284&lt;&gt;"",VLOOKUP(Alunos!A284,Agrupamentos!A3:B1000,2, FALSE),"")</f>
        <v/>
      </c>
      <c r="D284" s="2" t="str">
        <f>IF(A284&lt;&gt;"",VLOOKUP(Alunos!C284,'TP1'!A3:C1000,3, FALSE),"")</f>
        <v/>
      </c>
      <c r="E284" s="2" t="str">
        <f>IF(A284&lt;&gt;"", SUMIF(B1:D1,"&lt;&gt;",B284:D284),"")</f>
        <v/>
      </c>
      <c r="F284" s="2" t="str">
        <f>IF(AND(A284&lt;&gt;"",E284&lt;&gt;""),ROUND(E284,0),"")</f>
        <v/>
      </c>
      <c r="G284" s="2" t="str">
        <f>IF(A284&lt;&gt;"",VLOOKUP(Alunos!A284,Recurso!A3:C1000,3, FALSE),"")</f>
        <v/>
      </c>
      <c r="H284" s="2" t="str">
        <f>IF(OR(A284&lt;&gt;"",G284&lt;&gt;""), SUMIFS(B284:G284,B1:G1,"&lt;&gt;",B2:G2,"&lt;&gt;Exame",B2:G2,"&lt;&gt;exame",B2:G2,"&lt;&gt;Nota",B2:G2,"&lt;&gt;Total"),"")</f>
        <v/>
      </c>
      <c r="I284" s="2" t="str">
        <f>IF(AND(A284&lt;&gt;"",H284&lt;&gt;""),ROUND(H284,0),"")</f>
        <v/>
      </c>
    </row>
    <row r="285" spans="2:9" x14ac:dyDescent="0.3">
      <c r="B285" s="2" t="str">
        <f>IF(A285&lt;&gt;"",VLOOKUP(Alunos!A285,Exame!A3:C1000,3, FALSE),"")</f>
        <v/>
      </c>
      <c r="C285" s="2" t="str">
        <f>IF(A285&lt;&gt;"",VLOOKUP(Alunos!A285,Agrupamentos!A3:B1000,2, FALSE),"")</f>
        <v/>
      </c>
      <c r="D285" s="2" t="str">
        <f>IF(A285&lt;&gt;"",VLOOKUP(Alunos!C285,'TP1'!A3:C1000,3, FALSE),"")</f>
        <v/>
      </c>
      <c r="E285" s="2" t="str">
        <f>IF(A285&lt;&gt;"", SUMIF(B1:D1,"&lt;&gt;",B285:D285),"")</f>
        <v/>
      </c>
      <c r="F285" s="2" t="str">
        <f>IF(AND(A285&lt;&gt;"",E285&lt;&gt;""),ROUND(E285,0),"")</f>
        <v/>
      </c>
      <c r="G285" s="2" t="str">
        <f>IF(A285&lt;&gt;"",VLOOKUP(Alunos!A285,Recurso!A3:C1000,3, FALSE),"")</f>
        <v/>
      </c>
      <c r="H285" s="2" t="str">
        <f>IF(OR(A285&lt;&gt;"",G285&lt;&gt;""), SUMIFS(B285:G285,B1:G1,"&lt;&gt;",B2:G2,"&lt;&gt;Exame",B2:G2,"&lt;&gt;exame",B2:G2,"&lt;&gt;Nota",B2:G2,"&lt;&gt;Total"),"")</f>
        <v/>
      </c>
      <c r="I285" s="2" t="str">
        <f>IF(AND(A285&lt;&gt;"",H285&lt;&gt;""),ROUND(H285,0),"")</f>
        <v/>
      </c>
    </row>
    <row r="286" spans="2:9" x14ac:dyDescent="0.3">
      <c r="B286" s="2" t="str">
        <f>IF(A286&lt;&gt;"",VLOOKUP(Alunos!A286,Exame!A3:C1000,3, FALSE),"")</f>
        <v/>
      </c>
      <c r="C286" s="2" t="str">
        <f>IF(A286&lt;&gt;"",VLOOKUP(Alunos!A286,Agrupamentos!A3:B1000,2, FALSE),"")</f>
        <v/>
      </c>
      <c r="D286" s="2" t="str">
        <f>IF(A286&lt;&gt;"",VLOOKUP(Alunos!C286,'TP1'!A3:C1000,3, FALSE),"")</f>
        <v/>
      </c>
      <c r="E286" s="2" t="str">
        <f>IF(A286&lt;&gt;"", SUMIF(B1:D1,"&lt;&gt;",B286:D286),"")</f>
        <v/>
      </c>
      <c r="F286" s="2" t="str">
        <f>IF(AND(A286&lt;&gt;"",E286&lt;&gt;""),ROUND(E286,0),"")</f>
        <v/>
      </c>
      <c r="G286" s="2" t="str">
        <f>IF(A286&lt;&gt;"",VLOOKUP(Alunos!A286,Recurso!A3:C1000,3, FALSE),"")</f>
        <v/>
      </c>
      <c r="H286" s="2" t="str">
        <f>IF(OR(A286&lt;&gt;"",G286&lt;&gt;""), SUMIFS(B286:G286,B1:G1,"&lt;&gt;",B2:G2,"&lt;&gt;Exame",B2:G2,"&lt;&gt;exame",B2:G2,"&lt;&gt;Nota",B2:G2,"&lt;&gt;Total"),"")</f>
        <v/>
      </c>
      <c r="I286" s="2" t="str">
        <f>IF(AND(A286&lt;&gt;"",H286&lt;&gt;""),ROUND(H286,0),"")</f>
        <v/>
      </c>
    </row>
    <row r="287" spans="2:9" x14ac:dyDescent="0.3">
      <c r="B287" s="2" t="str">
        <f>IF(A287&lt;&gt;"",VLOOKUP(Alunos!A287,Exame!A3:C1000,3, FALSE),"")</f>
        <v/>
      </c>
      <c r="C287" s="2" t="str">
        <f>IF(A287&lt;&gt;"",VLOOKUP(Alunos!A287,Agrupamentos!A3:B1000,2, FALSE),"")</f>
        <v/>
      </c>
      <c r="D287" s="2" t="str">
        <f>IF(A287&lt;&gt;"",VLOOKUP(Alunos!C287,'TP1'!A3:C1000,3, FALSE),"")</f>
        <v/>
      </c>
      <c r="E287" s="2" t="str">
        <f>IF(A287&lt;&gt;"", SUMIF(B1:D1,"&lt;&gt;",B287:D287),"")</f>
        <v/>
      </c>
      <c r="F287" s="2" t="str">
        <f>IF(AND(A287&lt;&gt;"",E287&lt;&gt;""),ROUND(E287,0),"")</f>
        <v/>
      </c>
      <c r="G287" s="2" t="str">
        <f>IF(A287&lt;&gt;"",VLOOKUP(Alunos!A287,Recurso!A3:C1000,3, FALSE),"")</f>
        <v/>
      </c>
      <c r="H287" s="2" t="str">
        <f>IF(OR(A287&lt;&gt;"",G287&lt;&gt;""), SUMIFS(B287:G287,B1:G1,"&lt;&gt;",B2:G2,"&lt;&gt;Exame",B2:G2,"&lt;&gt;exame",B2:G2,"&lt;&gt;Nota",B2:G2,"&lt;&gt;Total"),"")</f>
        <v/>
      </c>
      <c r="I287" s="2" t="str">
        <f>IF(AND(A287&lt;&gt;"",H287&lt;&gt;""),ROUND(H287,0),"")</f>
        <v/>
      </c>
    </row>
    <row r="288" spans="2:9" x14ac:dyDescent="0.3">
      <c r="B288" s="2" t="str">
        <f>IF(A288&lt;&gt;"",VLOOKUP(Alunos!A288,Exame!A3:C1000,3, FALSE),"")</f>
        <v/>
      </c>
      <c r="C288" s="2" t="str">
        <f>IF(A288&lt;&gt;"",VLOOKUP(Alunos!A288,Agrupamentos!A3:B1000,2, FALSE),"")</f>
        <v/>
      </c>
      <c r="D288" s="2" t="str">
        <f>IF(A288&lt;&gt;"",VLOOKUP(Alunos!C288,'TP1'!A3:C1000,3, FALSE),"")</f>
        <v/>
      </c>
      <c r="E288" s="2" t="str">
        <f>IF(A288&lt;&gt;"", SUMIF(B1:D1,"&lt;&gt;",B288:D288),"")</f>
        <v/>
      </c>
      <c r="F288" s="2" t="str">
        <f>IF(AND(A288&lt;&gt;"",E288&lt;&gt;""),ROUND(E288,0),"")</f>
        <v/>
      </c>
      <c r="G288" s="2" t="str">
        <f>IF(A288&lt;&gt;"",VLOOKUP(Alunos!A288,Recurso!A3:C1000,3, FALSE),"")</f>
        <v/>
      </c>
      <c r="H288" s="2" t="str">
        <f>IF(OR(A288&lt;&gt;"",G288&lt;&gt;""), SUMIFS(B288:G288,B1:G1,"&lt;&gt;",B2:G2,"&lt;&gt;Exame",B2:G2,"&lt;&gt;exame",B2:G2,"&lt;&gt;Nota",B2:G2,"&lt;&gt;Total"),"")</f>
        <v/>
      </c>
      <c r="I288" s="2" t="str">
        <f>IF(AND(A288&lt;&gt;"",H288&lt;&gt;""),ROUND(H288,0),"")</f>
        <v/>
      </c>
    </row>
    <row r="289" spans="2:9" x14ac:dyDescent="0.3">
      <c r="B289" s="2" t="str">
        <f>IF(A289&lt;&gt;"",VLOOKUP(Alunos!A289,Exame!A3:C1000,3, FALSE),"")</f>
        <v/>
      </c>
      <c r="C289" s="2" t="str">
        <f>IF(A289&lt;&gt;"",VLOOKUP(Alunos!A289,Agrupamentos!A3:B1000,2, FALSE),"")</f>
        <v/>
      </c>
      <c r="D289" s="2" t="str">
        <f>IF(A289&lt;&gt;"",VLOOKUP(Alunos!C289,'TP1'!A3:C1000,3, FALSE),"")</f>
        <v/>
      </c>
      <c r="E289" s="2" t="str">
        <f>IF(A289&lt;&gt;"", SUMIF(B1:D1,"&lt;&gt;",B289:D289),"")</f>
        <v/>
      </c>
      <c r="F289" s="2" t="str">
        <f>IF(AND(A289&lt;&gt;"",E289&lt;&gt;""),ROUND(E289,0),"")</f>
        <v/>
      </c>
      <c r="G289" s="2" t="str">
        <f>IF(A289&lt;&gt;"",VLOOKUP(Alunos!A289,Recurso!A3:C1000,3, FALSE),"")</f>
        <v/>
      </c>
      <c r="H289" s="2" t="str">
        <f>IF(OR(A289&lt;&gt;"",G289&lt;&gt;""), SUMIFS(B289:G289,B1:G1,"&lt;&gt;",B2:G2,"&lt;&gt;Exame",B2:G2,"&lt;&gt;exame",B2:G2,"&lt;&gt;Nota",B2:G2,"&lt;&gt;Total"),"")</f>
        <v/>
      </c>
      <c r="I289" s="2" t="str">
        <f>IF(AND(A289&lt;&gt;"",H289&lt;&gt;""),ROUND(H289,0),"")</f>
        <v/>
      </c>
    </row>
    <row r="290" spans="2:9" x14ac:dyDescent="0.3">
      <c r="B290" s="2" t="str">
        <f>IF(A290&lt;&gt;"",VLOOKUP(Alunos!A290,Exame!A3:C1000,3, FALSE),"")</f>
        <v/>
      </c>
      <c r="C290" s="2" t="str">
        <f>IF(A290&lt;&gt;"",VLOOKUP(Alunos!A290,Agrupamentos!A3:B1000,2, FALSE),"")</f>
        <v/>
      </c>
      <c r="D290" s="2" t="str">
        <f>IF(A290&lt;&gt;"",VLOOKUP(Alunos!C290,'TP1'!A3:C1000,3, FALSE),"")</f>
        <v/>
      </c>
      <c r="E290" s="2" t="str">
        <f>IF(A290&lt;&gt;"", SUMIF(B1:D1,"&lt;&gt;",B290:D290),"")</f>
        <v/>
      </c>
      <c r="F290" s="2" t="str">
        <f>IF(AND(A290&lt;&gt;"",E290&lt;&gt;""),ROUND(E290,0),"")</f>
        <v/>
      </c>
      <c r="G290" s="2" t="str">
        <f>IF(A290&lt;&gt;"",VLOOKUP(Alunos!A290,Recurso!A3:C1000,3, FALSE),"")</f>
        <v/>
      </c>
      <c r="H290" s="2" t="str">
        <f>IF(OR(A290&lt;&gt;"",G290&lt;&gt;""), SUMIFS(B290:G290,B1:G1,"&lt;&gt;",B2:G2,"&lt;&gt;Exame",B2:G2,"&lt;&gt;exame",B2:G2,"&lt;&gt;Nota",B2:G2,"&lt;&gt;Total"),"")</f>
        <v/>
      </c>
      <c r="I290" s="2" t="str">
        <f>IF(AND(A290&lt;&gt;"",H290&lt;&gt;""),ROUND(H290,0),"")</f>
        <v/>
      </c>
    </row>
    <row r="291" spans="2:9" x14ac:dyDescent="0.3">
      <c r="B291" s="2" t="str">
        <f>IF(A291&lt;&gt;"",VLOOKUP(Alunos!A291,Exame!A3:C1000,3, FALSE),"")</f>
        <v/>
      </c>
      <c r="C291" s="2" t="str">
        <f>IF(A291&lt;&gt;"",VLOOKUP(Alunos!A291,Agrupamentos!A3:B1000,2, FALSE),"")</f>
        <v/>
      </c>
      <c r="D291" s="2" t="str">
        <f>IF(A291&lt;&gt;"",VLOOKUP(Alunos!C291,'TP1'!A3:C1000,3, FALSE),"")</f>
        <v/>
      </c>
      <c r="E291" s="2" t="str">
        <f>IF(A291&lt;&gt;"", SUMIF(B1:D1,"&lt;&gt;",B291:D291),"")</f>
        <v/>
      </c>
      <c r="F291" s="2" t="str">
        <f>IF(AND(A291&lt;&gt;"",E291&lt;&gt;""),ROUND(E291,0),"")</f>
        <v/>
      </c>
      <c r="G291" s="2" t="str">
        <f>IF(A291&lt;&gt;"",VLOOKUP(Alunos!A291,Recurso!A3:C1000,3, FALSE),"")</f>
        <v/>
      </c>
      <c r="H291" s="2" t="str">
        <f>IF(OR(A291&lt;&gt;"",G291&lt;&gt;""), SUMIFS(B291:G291,B1:G1,"&lt;&gt;",B2:G2,"&lt;&gt;Exame",B2:G2,"&lt;&gt;exame",B2:G2,"&lt;&gt;Nota",B2:G2,"&lt;&gt;Total"),"")</f>
        <v/>
      </c>
      <c r="I291" s="2" t="str">
        <f>IF(AND(A291&lt;&gt;"",H291&lt;&gt;""),ROUND(H291,0),"")</f>
        <v/>
      </c>
    </row>
    <row r="292" spans="2:9" x14ac:dyDescent="0.3">
      <c r="B292" s="2" t="str">
        <f>IF(A292&lt;&gt;"",VLOOKUP(Alunos!A292,Exame!A3:C1000,3, FALSE),"")</f>
        <v/>
      </c>
      <c r="C292" s="2" t="str">
        <f>IF(A292&lt;&gt;"",VLOOKUP(Alunos!A292,Agrupamentos!A3:B1000,2, FALSE),"")</f>
        <v/>
      </c>
      <c r="D292" s="2" t="str">
        <f>IF(A292&lt;&gt;"",VLOOKUP(Alunos!C292,'TP1'!A3:C1000,3, FALSE),"")</f>
        <v/>
      </c>
      <c r="E292" s="2" t="str">
        <f>IF(A292&lt;&gt;"", SUMIF(B1:D1,"&lt;&gt;",B292:D292),"")</f>
        <v/>
      </c>
      <c r="F292" s="2" t="str">
        <f>IF(AND(A292&lt;&gt;"",E292&lt;&gt;""),ROUND(E292,0),"")</f>
        <v/>
      </c>
      <c r="G292" s="2" t="str">
        <f>IF(A292&lt;&gt;"",VLOOKUP(Alunos!A292,Recurso!A3:C1000,3, FALSE),"")</f>
        <v/>
      </c>
      <c r="H292" s="2" t="str">
        <f>IF(OR(A292&lt;&gt;"",G292&lt;&gt;""), SUMIFS(B292:G292,B1:G1,"&lt;&gt;",B2:G2,"&lt;&gt;Exame",B2:G2,"&lt;&gt;exame",B2:G2,"&lt;&gt;Nota",B2:G2,"&lt;&gt;Total"),"")</f>
        <v/>
      </c>
      <c r="I292" s="2" t="str">
        <f>IF(AND(A292&lt;&gt;"",H292&lt;&gt;""),ROUND(H292,0),"")</f>
        <v/>
      </c>
    </row>
    <row r="293" spans="2:9" x14ac:dyDescent="0.3">
      <c r="B293" s="2" t="str">
        <f>IF(A293&lt;&gt;"",VLOOKUP(Alunos!A293,Exame!A3:C1000,3, FALSE),"")</f>
        <v/>
      </c>
      <c r="C293" s="2" t="str">
        <f>IF(A293&lt;&gt;"",VLOOKUP(Alunos!A293,Agrupamentos!A3:B1000,2, FALSE),"")</f>
        <v/>
      </c>
      <c r="D293" s="2" t="str">
        <f>IF(A293&lt;&gt;"",VLOOKUP(Alunos!C293,'TP1'!A3:C1000,3, FALSE),"")</f>
        <v/>
      </c>
      <c r="E293" s="2" t="str">
        <f>IF(A293&lt;&gt;"", SUMIF(B1:D1,"&lt;&gt;",B293:D293),"")</f>
        <v/>
      </c>
      <c r="F293" s="2" t="str">
        <f>IF(AND(A293&lt;&gt;"",E293&lt;&gt;""),ROUND(E293,0),"")</f>
        <v/>
      </c>
      <c r="G293" s="2" t="str">
        <f>IF(A293&lt;&gt;"",VLOOKUP(Alunos!A293,Recurso!A3:C1000,3, FALSE),"")</f>
        <v/>
      </c>
      <c r="H293" s="2" t="str">
        <f>IF(OR(A293&lt;&gt;"",G293&lt;&gt;""), SUMIFS(B293:G293,B1:G1,"&lt;&gt;",B2:G2,"&lt;&gt;Exame",B2:G2,"&lt;&gt;exame",B2:G2,"&lt;&gt;Nota",B2:G2,"&lt;&gt;Total"),"")</f>
        <v/>
      </c>
      <c r="I293" s="2" t="str">
        <f>IF(AND(A293&lt;&gt;"",H293&lt;&gt;""),ROUND(H293,0),"")</f>
        <v/>
      </c>
    </row>
    <row r="294" spans="2:9" x14ac:dyDescent="0.3">
      <c r="B294" s="2" t="str">
        <f>IF(A294&lt;&gt;"",VLOOKUP(Alunos!A294,Exame!A3:C1000,3, FALSE),"")</f>
        <v/>
      </c>
      <c r="C294" s="2" t="str">
        <f>IF(A294&lt;&gt;"",VLOOKUP(Alunos!A294,Agrupamentos!A3:B1000,2, FALSE),"")</f>
        <v/>
      </c>
      <c r="D294" s="2" t="str">
        <f>IF(A294&lt;&gt;"",VLOOKUP(Alunos!C294,'TP1'!A3:C1000,3, FALSE),"")</f>
        <v/>
      </c>
      <c r="E294" s="2" t="str">
        <f>IF(A294&lt;&gt;"", SUMIF(B1:D1,"&lt;&gt;",B294:D294),"")</f>
        <v/>
      </c>
      <c r="F294" s="2" t="str">
        <f>IF(AND(A294&lt;&gt;"",E294&lt;&gt;""),ROUND(E294,0),"")</f>
        <v/>
      </c>
      <c r="G294" s="2" t="str">
        <f>IF(A294&lt;&gt;"",VLOOKUP(Alunos!A294,Recurso!A3:C1000,3, FALSE),"")</f>
        <v/>
      </c>
      <c r="H294" s="2" t="str">
        <f>IF(OR(A294&lt;&gt;"",G294&lt;&gt;""), SUMIFS(B294:G294,B1:G1,"&lt;&gt;",B2:G2,"&lt;&gt;Exame",B2:G2,"&lt;&gt;exame",B2:G2,"&lt;&gt;Nota",B2:G2,"&lt;&gt;Total"),"")</f>
        <v/>
      </c>
      <c r="I294" s="2" t="str">
        <f>IF(AND(A294&lt;&gt;"",H294&lt;&gt;""),ROUND(H294,0),"")</f>
        <v/>
      </c>
    </row>
    <row r="295" spans="2:9" x14ac:dyDescent="0.3">
      <c r="B295" s="2" t="str">
        <f>IF(A295&lt;&gt;"",VLOOKUP(Alunos!A295,Exame!A3:C1000,3, FALSE),"")</f>
        <v/>
      </c>
      <c r="C295" s="2" t="str">
        <f>IF(A295&lt;&gt;"",VLOOKUP(Alunos!A295,Agrupamentos!A3:B1000,2, FALSE),"")</f>
        <v/>
      </c>
      <c r="D295" s="2" t="str">
        <f>IF(A295&lt;&gt;"",VLOOKUP(Alunos!C295,'TP1'!A3:C1000,3, FALSE),"")</f>
        <v/>
      </c>
      <c r="E295" s="2" t="str">
        <f>IF(A295&lt;&gt;"", SUMIF(B1:D1,"&lt;&gt;",B295:D295),"")</f>
        <v/>
      </c>
      <c r="F295" s="2" t="str">
        <f>IF(AND(A295&lt;&gt;"",E295&lt;&gt;""),ROUND(E295,0),"")</f>
        <v/>
      </c>
      <c r="G295" s="2" t="str">
        <f>IF(A295&lt;&gt;"",VLOOKUP(Alunos!A295,Recurso!A3:C1000,3, FALSE),"")</f>
        <v/>
      </c>
      <c r="H295" s="2" t="str">
        <f>IF(OR(A295&lt;&gt;"",G295&lt;&gt;""), SUMIFS(B295:G295,B1:G1,"&lt;&gt;",B2:G2,"&lt;&gt;Exame",B2:G2,"&lt;&gt;exame",B2:G2,"&lt;&gt;Nota",B2:G2,"&lt;&gt;Total"),"")</f>
        <v/>
      </c>
      <c r="I295" s="2" t="str">
        <f>IF(AND(A295&lt;&gt;"",H295&lt;&gt;""),ROUND(H295,0),"")</f>
        <v/>
      </c>
    </row>
    <row r="296" spans="2:9" x14ac:dyDescent="0.3">
      <c r="B296" s="2" t="str">
        <f>IF(A296&lt;&gt;"",VLOOKUP(Alunos!A296,Exame!A3:C1000,3, FALSE),"")</f>
        <v/>
      </c>
      <c r="C296" s="2" t="str">
        <f>IF(A296&lt;&gt;"",VLOOKUP(Alunos!A296,Agrupamentos!A3:B1000,2, FALSE),"")</f>
        <v/>
      </c>
      <c r="D296" s="2" t="str">
        <f>IF(A296&lt;&gt;"",VLOOKUP(Alunos!C296,'TP1'!A3:C1000,3, FALSE),"")</f>
        <v/>
      </c>
      <c r="E296" s="2" t="str">
        <f>IF(A296&lt;&gt;"", SUMIF(B1:D1,"&lt;&gt;",B296:D296),"")</f>
        <v/>
      </c>
      <c r="F296" s="2" t="str">
        <f>IF(AND(A296&lt;&gt;"",E296&lt;&gt;""),ROUND(E296,0),"")</f>
        <v/>
      </c>
      <c r="G296" s="2" t="str">
        <f>IF(A296&lt;&gt;"",VLOOKUP(Alunos!A296,Recurso!A3:C1000,3, FALSE),"")</f>
        <v/>
      </c>
      <c r="H296" s="2" t="str">
        <f>IF(OR(A296&lt;&gt;"",G296&lt;&gt;""), SUMIFS(B296:G296,B1:G1,"&lt;&gt;",B2:G2,"&lt;&gt;Exame",B2:G2,"&lt;&gt;exame",B2:G2,"&lt;&gt;Nota",B2:G2,"&lt;&gt;Total"),"")</f>
        <v/>
      </c>
      <c r="I296" s="2" t="str">
        <f>IF(AND(A296&lt;&gt;"",H296&lt;&gt;""),ROUND(H296,0),"")</f>
        <v/>
      </c>
    </row>
    <row r="297" spans="2:9" x14ac:dyDescent="0.3">
      <c r="B297" s="2" t="str">
        <f>IF(A297&lt;&gt;"",VLOOKUP(Alunos!A297,Exame!A3:C1000,3, FALSE),"")</f>
        <v/>
      </c>
      <c r="C297" s="2" t="str">
        <f>IF(A297&lt;&gt;"",VLOOKUP(Alunos!A297,Agrupamentos!A3:B1000,2, FALSE),"")</f>
        <v/>
      </c>
      <c r="D297" s="2" t="str">
        <f>IF(A297&lt;&gt;"",VLOOKUP(Alunos!C297,'TP1'!A3:C1000,3, FALSE),"")</f>
        <v/>
      </c>
      <c r="E297" s="2" t="str">
        <f>IF(A297&lt;&gt;"", SUMIF(B1:D1,"&lt;&gt;",B297:D297),"")</f>
        <v/>
      </c>
      <c r="F297" s="2" t="str">
        <f>IF(AND(A297&lt;&gt;"",E297&lt;&gt;""),ROUND(E297,0),"")</f>
        <v/>
      </c>
      <c r="G297" s="2" t="str">
        <f>IF(A297&lt;&gt;"",VLOOKUP(Alunos!A297,Recurso!A3:C1000,3, FALSE),"")</f>
        <v/>
      </c>
      <c r="H297" s="2" t="str">
        <f>IF(OR(A297&lt;&gt;"",G297&lt;&gt;""), SUMIFS(B297:G297,B1:G1,"&lt;&gt;",B2:G2,"&lt;&gt;Exame",B2:G2,"&lt;&gt;exame",B2:G2,"&lt;&gt;Nota",B2:G2,"&lt;&gt;Total"),"")</f>
        <v/>
      </c>
      <c r="I297" s="2" t="str">
        <f>IF(AND(A297&lt;&gt;"",H297&lt;&gt;""),ROUND(H297,0),"")</f>
        <v/>
      </c>
    </row>
    <row r="298" spans="2:9" x14ac:dyDescent="0.3">
      <c r="B298" s="2" t="str">
        <f>IF(A298&lt;&gt;"",VLOOKUP(Alunos!A298,Exame!A3:C1000,3, FALSE),"")</f>
        <v/>
      </c>
      <c r="C298" s="2" t="str">
        <f>IF(A298&lt;&gt;"",VLOOKUP(Alunos!A298,Agrupamentos!A3:B1000,2, FALSE),"")</f>
        <v/>
      </c>
      <c r="D298" s="2" t="str">
        <f>IF(A298&lt;&gt;"",VLOOKUP(Alunos!C298,'TP1'!A3:C1000,3, FALSE),"")</f>
        <v/>
      </c>
      <c r="E298" s="2" t="str">
        <f>IF(A298&lt;&gt;"", SUMIF(B1:D1,"&lt;&gt;",B298:D298),"")</f>
        <v/>
      </c>
      <c r="F298" s="2" t="str">
        <f>IF(AND(A298&lt;&gt;"",E298&lt;&gt;""),ROUND(E298,0),"")</f>
        <v/>
      </c>
      <c r="G298" s="2" t="str">
        <f>IF(A298&lt;&gt;"",VLOOKUP(Alunos!A298,Recurso!A3:C1000,3, FALSE),"")</f>
        <v/>
      </c>
      <c r="H298" s="2" t="str">
        <f>IF(OR(A298&lt;&gt;"",G298&lt;&gt;""), SUMIFS(B298:G298,B1:G1,"&lt;&gt;",B2:G2,"&lt;&gt;Exame",B2:G2,"&lt;&gt;exame",B2:G2,"&lt;&gt;Nota",B2:G2,"&lt;&gt;Total"),"")</f>
        <v/>
      </c>
      <c r="I298" s="2" t="str">
        <f>IF(AND(A298&lt;&gt;"",H298&lt;&gt;""),ROUND(H298,0),"")</f>
        <v/>
      </c>
    </row>
    <row r="299" spans="2:9" x14ac:dyDescent="0.3">
      <c r="B299" s="2" t="str">
        <f>IF(A299&lt;&gt;"",VLOOKUP(Alunos!A299,Exame!A3:C1000,3, FALSE),"")</f>
        <v/>
      </c>
      <c r="C299" s="2" t="str">
        <f>IF(A299&lt;&gt;"",VLOOKUP(Alunos!A299,Agrupamentos!A3:B1000,2, FALSE),"")</f>
        <v/>
      </c>
      <c r="D299" s="2" t="str">
        <f>IF(A299&lt;&gt;"",VLOOKUP(Alunos!C299,'TP1'!A3:C1000,3, FALSE),"")</f>
        <v/>
      </c>
      <c r="E299" s="2" t="str">
        <f>IF(A299&lt;&gt;"", SUMIF(B1:D1,"&lt;&gt;",B299:D299),"")</f>
        <v/>
      </c>
      <c r="F299" s="2" t="str">
        <f>IF(AND(A299&lt;&gt;"",E299&lt;&gt;""),ROUND(E299,0),"")</f>
        <v/>
      </c>
      <c r="G299" s="2" t="str">
        <f>IF(A299&lt;&gt;"",VLOOKUP(Alunos!A299,Recurso!A3:C1000,3, FALSE),"")</f>
        <v/>
      </c>
      <c r="H299" s="2" t="str">
        <f>IF(OR(A299&lt;&gt;"",G299&lt;&gt;""), SUMIFS(B299:G299,B1:G1,"&lt;&gt;",B2:G2,"&lt;&gt;Exame",B2:G2,"&lt;&gt;exame",B2:G2,"&lt;&gt;Nota",B2:G2,"&lt;&gt;Total"),"")</f>
        <v/>
      </c>
      <c r="I299" s="2" t="str">
        <f>IF(AND(A299&lt;&gt;"",H299&lt;&gt;""),ROUND(H299,0),"")</f>
        <v/>
      </c>
    </row>
    <row r="300" spans="2:9" x14ac:dyDescent="0.3">
      <c r="B300" s="2" t="str">
        <f>IF(A300&lt;&gt;"",VLOOKUP(Alunos!A300,Exame!A3:C1000,3, FALSE),"")</f>
        <v/>
      </c>
      <c r="C300" s="2" t="str">
        <f>IF(A300&lt;&gt;"",VLOOKUP(Alunos!A300,Agrupamentos!A3:B1000,2, FALSE),"")</f>
        <v/>
      </c>
      <c r="D300" s="2" t="str">
        <f>IF(A300&lt;&gt;"",VLOOKUP(Alunos!C300,'TP1'!A3:C1000,3, FALSE),"")</f>
        <v/>
      </c>
      <c r="E300" s="2" t="str">
        <f>IF(A300&lt;&gt;"", SUMIF(B1:D1,"&lt;&gt;",B300:D300),"")</f>
        <v/>
      </c>
      <c r="F300" s="2" t="str">
        <f>IF(AND(A300&lt;&gt;"",E300&lt;&gt;""),ROUND(E300,0),"")</f>
        <v/>
      </c>
      <c r="G300" s="2" t="str">
        <f>IF(A300&lt;&gt;"",VLOOKUP(Alunos!A300,Recurso!A3:C1000,3, FALSE),"")</f>
        <v/>
      </c>
      <c r="H300" s="2" t="str">
        <f>IF(OR(A300&lt;&gt;"",G300&lt;&gt;""), SUMIFS(B300:G300,B1:G1,"&lt;&gt;",B2:G2,"&lt;&gt;Exame",B2:G2,"&lt;&gt;exame",B2:G2,"&lt;&gt;Nota",B2:G2,"&lt;&gt;Total"),"")</f>
        <v/>
      </c>
      <c r="I300" s="2" t="str">
        <f>IF(AND(A300&lt;&gt;"",H300&lt;&gt;""),ROUND(H300,0),"")</f>
        <v/>
      </c>
    </row>
    <row r="301" spans="2:9" x14ac:dyDescent="0.3">
      <c r="B301" s="2" t="str">
        <f>IF(A301&lt;&gt;"",VLOOKUP(Alunos!A301,Exame!A3:C1000,3, FALSE),"")</f>
        <v/>
      </c>
      <c r="C301" s="2" t="str">
        <f>IF(A301&lt;&gt;"",VLOOKUP(Alunos!A301,Agrupamentos!A3:B1000,2, FALSE),"")</f>
        <v/>
      </c>
      <c r="D301" s="2" t="str">
        <f>IF(A301&lt;&gt;"",VLOOKUP(Alunos!C301,'TP1'!A3:C1000,3, FALSE),"")</f>
        <v/>
      </c>
      <c r="E301" s="2" t="str">
        <f>IF(A301&lt;&gt;"", SUMIF(B1:D1,"&lt;&gt;",B301:D301),"")</f>
        <v/>
      </c>
      <c r="F301" s="2" t="str">
        <f>IF(AND(A301&lt;&gt;"",E301&lt;&gt;""),ROUND(E301,0),"")</f>
        <v/>
      </c>
      <c r="G301" s="2" t="str">
        <f>IF(A301&lt;&gt;"",VLOOKUP(Alunos!A301,Recurso!A3:C1000,3, FALSE),"")</f>
        <v/>
      </c>
      <c r="H301" s="2" t="str">
        <f>IF(OR(A301&lt;&gt;"",G301&lt;&gt;""), SUMIFS(B301:G301,B1:G1,"&lt;&gt;",B2:G2,"&lt;&gt;Exame",B2:G2,"&lt;&gt;exame",B2:G2,"&lt;&gt;Nota",B2:G2,"&lt;&gt;Total"),"")</f>
        <v/>
      </c>
      <c r="I301" s="2" t="str">
        <f>IF(AND(A301&lt;&gt;"",H301&lt;&gt;""),ROUND(H301,0),"")</f>
        <v/>
      </c>
    </row>
    <row r="302" spans="2:9" x14ac:dyDescent="0.3">
      <c r="B302" s="2" t="str">
        <f>IF(A302&lt;&gt;"",VLOOKUP(Alunos!A302,Exame!A3:C1000,3, FALSE),"")</f>
        <v/>
      </c>
      <c r="C302" s="2" t="str">
        <f>IF(A302&lt;&gt;"",VLOOKUP(Alunos!A302,Agrupamentos!A3:B1000,2, FALSE),"")</f>
        <v/>
      </c>
      <c r="D302" s="2" t="str">
        <f>IF(A302&lt;&gt;"",VLOOKUP(Alunos!C302,'TP1'!A3:C1000,3, FALSE),"")</f>
        <v/>
      </c>
      <c r="E302" s="2" t="str">
        <f>IF(A302&lt;&gt;"", SUMIF(B1:D1,"&lt;&gt;",B302:D302),"")</f>
        <v/>
      </c>
      <c r="F302" s="2" t="str">
        <f>IF(AND(A302&lt;&gt;"",E302&lt;&gt;""),ROUND(E302,0),"")</f>
        <v/>
      </c>
      <c r="G302" s="2" t="str">
        <f>IF(A302&lt;&gt;"",VLOOKUP(Alunos!A302,Recurso!A3:C1000,3, FALSE),"")</f>
        <v/>
      </c>
      <c r="H302" s="2" t="str">
        <f>IF(OR(A302&lt;&gt;"",G302&lt;&gt;""), SUMIFS(B302:G302,B1:G1,"&lt;&gt;",B2:G2,"&lt;&gt;Exame",B2:G2,"&lt;&gt;exame",B2:G2,"&lt;&gt;Nota",B2:G2,"&lt;&gt;Total"),"")</f>
        <v/>
      </c>
      <c r="I302" s="2" t="str">
        <f>IF(AND(A302&lt;&gt;"",H302&lt;&gt;""),ROUND(H302,0),"")</f>
        <v/>
      </c>
    </row>
    <row r="303" spans="2:9" x14ac:dyDescent="0.3">
      <c r="B303" s="2" t="str">
        <f>IF(A303&lt;&gt;"",VLOOKUP(Alunos!A303,Exame!A3:C1000,3, FALSE),"")</f>
        <v/>
      </c>
      <c r="C303" s="2" t="str">
        <f>IF(A303&lt;&gt;"",VLOOKUP(Alunos!A303,Agrupamentos!A3:B1000,2, FALSE),"")</f>
        <v/>
      </c>
      <c r="D303" s="2" t="str">
        <f>IF(A303&lt;&gt;"",VLOOKUP(Alunos!C303,'TP1'!A3:C1000,3, FALSE),"")</f>
        <v/>
      </c>
      <c r="E303" s="2" t="str">
        <f>IF(A303&lt;&gt;"", SUMIF(B1:D1,"&lt;&gt;",B303:D303),"")</f>
        <v/>
      </c>
      <c r="F303" s="2" t="str">
        <f>IF(AND(A303&lt;&gt;"",E303&lt;&gt;""),ROUND(E303,0),"")</f>
        <v/>
      </c>
      <c r="G303" s="2" t="str">
        <f>IF(A303&lt;&gt;"",VLOOKUP(Alunos!A303,Recurso!A3:C1000,3, FALSE),"")</f>
        <v/>
      </c>
      <c r="H303" s="2" t="str">
        <f>IF(OR(A303&lt;&gt;"",G303&lt;&gt;""), SUMIFS(B303:G303,B1:G1,"&lt;&gt;",B2:G2,"&lt;&gt;Exame",B2:G2,"&lt;&gt;exame",B2:G2,"&lt;&gt;Nota",B2:G2,"&lt;&gt;Total"),"")</f>
        <v/>
      </c>
      <c r="I303" s="2" t="str">
        <f>IF(AND(A303&lt;&gt;"",H303&lt;&gt;""),ROUND(H303,0),"")</f>
        <v/>
      </c>
    </row>
    <row r="304" spans="2:9" x14ac:dyDescent="0.3">
      <c r="B304" s="2" t="str">
        <f>IF(A304&lt;&gt;"",VLOOKUP(Alunos!A304,Exame!A3:C1000,3, FALSE),"")</f>
        <v/>
      </c>
      <c r="C304" s="2" t="str">
        <f>IF(A304&lt;&gt;"",VLOOKUP(Alunos!A304,Agrupamentos!A3:B1000,2, FALSE),"")</f>
        <v/>
      </c>
      <c r="D304" s="2" t="str">
        <f>IF(A304&lt;&gt;"",VLOOKUP(Alunos!C304,'TP1'!A3:C1000,3, FALSE),"")</f>
        <v/>
      </c>
      <c r="E304" s="2" t="str">
        <f>IF(A304&lt;&gt;"", SUMIF(B1:D1,"&lt;&gt;",B304:D304),"")</f>
        <v/>
      </c>
      <c r="F304" s="2" t="str">
        <f>IF(AND(A304&lt;&gt;"",E304&lt;&gt;""),ROUND(E304,0),"")</f>
        <v/>
      </c>
      <c r="G304" s="2" t="str">
        <f>IF(A304&lt;&gt;"",VLOOKUP(Alunos!A304,Recurso!A3:C1000,3, FALSE),"")</f>
        <v/>
      </c>
      <c r="H304" s="2" t="str">
        <f>IF(OR(A304&lt;&gt;"",G304&lt;&gt;""), SUMIFS(B304:G304,B1:G1,"&lt;&gt;",B2:G2,"&lt;&gt;Exame",B2:G2,"&lt;&gt;exame",B2:G2,"&lt;&gt;Nota",B2:G2,"&lt;&gt;Total"),"")</f>
        <v/>
      </c>
      <c r="I304" s="2" t="str">
        <f>IF(AND(A304&lt;&gt;"",H304&lt;&gt;""),ROUND(H304,0),"")</f>
        <v/>
      </c>
    </row>
    <row r="305" spans="2:9" x14ac:dyDescent="0.3">
      <c r="B305" s="2" t="str">
        <f>IF(A305&lt;&gt;"",VLOOKUP(Alunos!A305,Exame!A3:C1000,3, FALSE),"")</f>
        <v/>
      </c>
      <c r="C305" s="2" t="str">
        <f>IF(A305&lt;&gt;"",VLOOKUP(Alunos!A305,Agrupamentos!A3:B1000,2, FALSE),"")</f>
        <v/>
      </c>
      <c r="D305" s="2" t="str">
        <f>IF(A305&lt;&gt;"",VLOOKUP(Alunos!C305,'TP1'!A3:C1000,3, FALSE),"")</f>
        <v/>
      </c>
      <c r="E305" s="2" t="str">
        <f>IF(A305&lt;&gt;"", SUMIF(B1:D1,"&lt;&gt;",B305:D305),"")</f>
        <v/>
      </c>
      <c r="F305" s="2" t="str">
        <f>IF(AND(A305&lt;&gt;"",E305&lt;&gt;""),ROUND(E305,0),"")</f>
        <v/>
      </c>
      <c r="G305" s="2" t="str">
        <f>IF(A305&lt;&gt;"",VLOOKUP(Alunos!A305,Recurso!A3:C1000,3, FALSE),"")</f>
        <v/>
      </c>
      <c r="H305" s="2" t="str">
        <f>IF(OR(A305&lt;&gt;"",G305&lt;&gt;""), SUMIFS(B305:G305,B1:G1,"&lt;&gt;",B2:G2,"&lt;&gt;Exame",B2:G2,"&lt;&gt;exame",B2:G2,"&lt;&gt;Nota",B2:G2,"&lt;&gt;Total"),"")</f>
        <v/>
      </c>
      <c r="I305" s="2" t="str">
        <f>IF(AND(A305&lt;&gt;"",H305&lt;&gt;""),ROUND(H305,0),"")</f>
        <v/>
      </c>
    </row>
    <row r="306" spans="2:9" x14ac:dyDescent="0.3">
      <c r="B306" s="2" t="str">
        <f>IF(A306&lt;&gt;"",VLOOKUP(Alunos!A306,Exame!A3:C1000,3, FALSE),"")</f>
        <v/>
      </c>
      <c r="C306" s="2" t="str">
        <f>IF(A306&lt;&gt;"",VLOOKUP(Alunos!A306,Agrupamentos!A3:B1000,2, FALSE),"")</f>
        <v/>
      </c>
      <c r="D306" s="2" t="str">
        <f>IF(A306&lt;&gt;"",VLOOKUP(Alunos!C306,'TP1'!A3:C1000,3, FALSE),"")</f>
        <v/>
      </c>
      <c r="E306" s="2" t="str">
        <f>IF(A306&lt;&gt;"", SUMIF(B1:D1,"&lt;&gt;",B306:D306),"")</f>
        <v/>
      </c>
      <c r="F306" s="2" t="str">
        <f>IF(AND(A306&lt;&gt;"",E306&lt;&gt;""),ROUND(E306,0),"")</f>
        <v/>
      </c>
      <c r="G306" s="2" t="str">
        <f>IF(A306&lt;&gt;"",VLOOKUP(Alunos!A306,Recurso!A3:C1000,3, FALSE),"")</f>
        <v/>
      </c>
      <c r="H306" s="2" t="str">
        <f>IF(OR(A306&lt;&gt;"",G306&lt;&gt;""), SUMIFS(B306:G306,B1:G1,"&lt;&gt;",B2:G2,"&lt;&gt;Exame",B2:G2,"&lt;&gt;exame",B2:G2,"&lt;&gt;Nota",B2:G2,"&lt;&gt;Total"),"")</f>
        <v/>
      </c>
      <c r="I306" s="2" t="str">
        <f>IF(AND(A306&lt;&gt;"",H306&lt;&gt;""),ROUND(H306,0),"")</f>
        <v/>
      </c>
    </row>
    <row r="307" spans="2:9" x14ac:dyDescent="0.3">
      <c r="B307" s="2" t="str">
        <f>IF(A307&lt;&gt;"",VLOOKUP(Alunos!A307,Exame!A3:C1000,3, FALSE),"")</f>
        <v/>
      </c>
      <c r="C307" s="2" t="str">
        <f>IF(A307&lt;&gt;"",VLOOKUP(Alunos!A307,Agrupamentos!A3:B1000,2, FALSE),"")</f>
        <v/>
      </c>
      <c r="D307" s="2" t="str">
        <f>IF(A307&lt;&gt;"",VLOOKUP(Alunos!C307,'TP1'!A3:C1000,3, FALSE),"")</f>
        <v/>
      </c>
      <c r="E307" s="2" t="str">
        <f>IF(A307&lt;&gt;"", SUMIF(B1:D1,"&lt;&gt;",B307:D307),"")</f>
        <v/>
      </c>
      <c r="F307" s="2" t="str">
        <f>IF(AND(A307&lt;&gt;"",E307&lt;&gt;""),ROUND(E307,0),"")</f>
        <v/>
      </c>
      <c r="G307" s="2" t="str">
        <f>IF(A307&lt;&gt;"",VLOOKUP(Alunos!A307,Recurso!A3:C1000,3, FALSE),"")</f>
        <v/>
      </c>
      <c r="H307" s="2" t="str">
        <f>IF(OR(A307&lt;&gt;"",G307&lt;&gt;""), SUMIFS(B307:G307,B1:G1,"&lt;&gt;",B2:G2,"&lt;&gt;Exame",B2:G2,"&lt;&gt;exame",B2:G2,"&lt;&gt;Nota",B2:G2,"&lt;&gt;Total"),"")</f>
        <v/>
      </c>
      <c r="I307" s="2" t="str">
        <f>IF(AND(A307&lt;&gt;"",H307&lt;&gt;""),ROUND(H307,0),"")</f>
        <v/>
      </c>
    </row>
    <row r="308" spans="2:9" x14ac:dyDescent="0.3">
      <c r="B308" s="2" t="str">
        <f>IF(A308&lt;&gt;"",VLOOKUP(Alunos!A308,Exame!A3:C1000,3, FALSE),"")</f>
        <v/>
      </c>
      <c r="C308" s="2" t="str">
        <f>IF(A308&lt;&gt;"",VLOOKUP(Alunos!A308,Agrupamentos!A3:B1000,2, FALSE),"")</f>
        <v/>
      </c>
      <c r="D308" s="2" t="str">
        <f>IF(A308&lt;&gt;"",VLOOKUP(Alunos!C308,'TP1'!A3:C1000,3, FALSE),"")</f>
        <v/>
      </c>
      <c r="E308" s="2" t="str">
        <f>IF(A308&lt;&gt;"", SUMIF(B1:D1,"&lt;&gt;",B308:D308),"")</f>
        <v/>
      </c>
      <c r="F308" s="2" t="str">
        <f>IF(AND(A308&lt;&gt;"",E308&lt;&gt;""),ROUND(E308,0),"")</f>
        <v/>
      </c>
      <c r="G308" s="2" t="str">
        <f>IF(A308&lt;&gt;"",VLOOKUP(Alunos!A308,Recurso!A3:C1000,3, FALSE),"")</f>
        <v/>
      </c>
      <c r="H308" s="2" t="str">
        <f>IF(OR(A308&lt;&gt;"",G308&lt;&gt;""), SUMIFS(B308:G308,B1:G1,"&lt;&gt;",B2:G2,"&lt;&gt;Exame",B2:G2,"&lt;&gt;exame",B2:G2,"&lt;&gt;Nota",B2:G2,"&lt;&gt;Total"),"")</f>
        <v/>
      </c>
      <c r="I308" s="2" t="str">
        <f>IF(AND(A308&lt;&gt;"",H308&lt;&gt;""),ROUND(H308,0),"")</f>
        <v/>
      </c>
    </row>
    <row r="309" spans="2:9" x14ac:dyDescent="0.3">
      <c r="B309" s="2" t="str">
        <f>IF(A309&lt;&gt;"",VLOOKUP(Alunos!A309,Exame!A3:C1000,3, FALSE),"")</f>
        <v/>
      </c>
      <c r="C309" s="2" t="str">
        <f>IF(A309&lt;&gt;"",VLOOKUP(Alunos!A309,Agrupamentos!A3:B1000,2, FALSE),"")</f>
        <v/>
      </c>
      <c r="D309" s="2" t="str">
        <f>IF(A309&lt;&gt;"",VLOOKUP(Alunos!C309,'TP1'!A3:C1000,3, FALSE),"")</f>
        <v/>
      </c>
      <c r="E309" s="2" t="str">
        <f>IF(A309&lt;&gt;"", SUMIF(B1:D1,"&lt;&gt;",B309:D309),"")</f>
        <v/>
      </c>
      <c r="F309" s="2" t="str">
        <f>IF(AND(A309&lt;&gt;"",E309&lt;&gt;""),ROUND(E309,0),"")</f>
        <v/>
      </c>
      <c r="G309" s="2" t="str">
        <f>IF(A309&lt;&gt;"",VLOOKUP(Alunos!A309,Recurso!A3:C1000,3, FALSE),"")</f>
        <v/>
      </c>
      <c r="H309" s="2" t="str">
        <f>IF(OR(A309&lt;&gt;"",G309&lt;&gt;""), SUMIFS(B309:G309,B1:G1,"&lt;&gt;",B2:G2,"&lt;&gt;Exame",B2:G2,"&lt;&gt;exame",B2:G2,"&lt;&gt;Nota",B2:G2,"&lt;&gt;Total"),"")</f>
        <v/>
      </c>
      <c r="I309" s="2" t="str">
        <f>IF(AND(A309&lt;&gt;"",H309&lt;&gt;""),ROUND(H309,0),"")</f>
        <v/>
      </c>
    </row>
    <row r="310" spans="2:9" x14ac:dyDescent="0.3">
      <c r="B310" s="2" t="str">
        <f>IF(A310&lt;&gt;"",VLOOKUP(Alunos!A310,Exame!A3:C1000,3, FALSE),"")</f>
        <v/>
      </c>
      <c r="C310" s="2" t="str">
        <f>IF(A310&lt;&gt;"",VLOOKUP(Alunos!A310,Agrupamentos!A3:B1000,2, FALSE),"")</f>
        <v/>
      </c>
      <c r="D310" s="2" t="str">
        <f>IF(A310&lt;&gt;"",VLOOKUP(Alunos!C310,'TP1'!A3:C1000,3, FALSE),"")</f>
        <v/>
      </c>
      <c r="E310" s="2" t="str">
        <f>IF(A310&lt;&gt;"", SUMIF(B1:D1,"&lt;&gt;",B310:D310),"")</f>
        <v/>
      </c>
      <c r="F310" s="2" t="str">
        <f>IF(AND(A310&lt;&gt;"",E310&lt;&gt;""),ROUND(E310,0),"")</f>
        <v/>
      </c>
      <c r="G310" s="2" t="str">
        <f>IF(A310&lt;&gt;"",VLOOKUP(Alunos!A310,Recurso!A3:C1000,3, FALSE),"")</f>
        <v/>
      </c>
      <c r="H310" s="2" t="str">
        <f>IF(OR(A310&lt;&gt;"",G310&lt;&gt;""), SUMIFS(B310:G310,B1:G1,"&lt;&gt;",B2:G2,"&lt;&gt;Exame",B2:G2,"&lt;&gt;exame",B2:G2,"&lt;&gt;Nota",B2:G2,"&lt;&gt;Total"),"")</f>
        <v/>
      </c>
      <c r="I310" s="2" t="str">
        <f>IF(AND(A310&lt;&gt;"",H310&lt;&gt;""),ROUND(H310,0),"")</f>
        <v/>
      </c>
    </row>
    <row r="311" spans="2:9" x14ac:dyDescent="0.3">
      <c r="B311" s="2" t="str">
        <f>IF(A311&lt;&gt;"",VLOOKUP(Alunos!A311,Exame!A3:C1000,3, FALSE),"")</f>
        <v/>
      </c>
      <c r="C311" s="2" t="str">
        <f>IF(A311&lt;&gt;"",VLOOKUP(Alunos!A311,Agrupamentos!A3:B1000,2, FALSE),"")</f>
        <v/>
      </c>
      <c r="D311" s="2" t="str">
        <f>IF(A311&lt;&gt;"",VLOOKUP(Alunos!C311,'TP1'!A3:C1000,3, FALSE),"")</f>
        <v/>
      </c>
      <c r="E311" s="2" t="str">
        <f>IF(A311&lt;&gt;"", SUMIF(B1:D1,"&lt;&gt;",B311:D311),"")</f>
        <v/>
      </c>
      <c r="F311" s="2" t="str">
        <f>IF(AND(A311&lt;&gt;"",E311&lt;&gt;""),ROUND(E311,0),"")</f>
        <v/>
      </c>
      <c r="G311" s="2" t="str">
        <f>IF(A311&lt;&gt;"",VLOOKUP(Alunos!A311,Recurso!A3:C1000,3, FALSE),"")</f>
        <v/>
      </c>
      <c r="H311" s="2" t="str">
        <f>IF(OR(A311&lt;&gt;"",G311&lt;&gt;""), SUMIFS(B311:G311,B1:G1,"&lt;&gt;",B2:G2,"&lt;&gt;Exame",B2:G2,"&lt;&gt;exame",B2:G2,"&lt;&gt;Nota",B2:G2,"&lt;&gt;Total"),"")</f>
        <v/>
      </c>
      <c r="I311" s="2" t="str">
        <f>IF(AND(A311&lt;&gt;"",H311&lt;&gt;""),ROUND(H311,0),"")</f>
        <v/>
      </c>
    </row>
    <row r="312" spans="2:9" x14ac:dyDescent="0.3">
      <c r="B312" s="2" t="str">
        <f>IF(A312&lt;&gt;"",VLOOKUP(Alunos!A312,Exame!A3:C1000,3, FALSE),"")</f>
        <v/>
      </c>
      <c r="C312" s="2" t="str">
        <f>IF(A312&lt;&gt;"",VLOOKUP(Alunos!A312,Agrupamentos!A3:B1000,2, FALSE),"")</f>
        <v/>
      </c>
      <c r="D312" s="2" t="str">
        <f>IF(A312&lt;&gt;"",VLOOKUP(Alunos!C312,'TP1'!A3:C1000,3, FALSE),"")</f>
        <v/>
      </c>
      <c r="E312" s="2" t="str">
        <f>IF(A312&lt;&gt;"", SUMIF(B1:D1,"&lt;&gt;",B312:D312),"")</f>
        <v/>
      </c>
      <c r="F312" s="2" t="str">
        <f>IF(AND(A312&lt;&gt;"",E312&lt;&gt;""),ROUND(E312,0),"")</f>
        <v/>
      </c>
      <c r="G312" s="2" t="str">
        <f>IF(A312&lt;&gt;"",VLOOKUP(Alunos!A312,Recurso!A3:C1000,3, FALSE),"")</f>
        <v/>
      </c>
      <c r="H312" s="2" t="str">
        <f>IF(OR(A312&lt;&gt;"",G312&lt;&gt;""), SUMIFS(B312:G312,B1:G1,"&lt;&gt;",B2:G2,"&lt;&gt;Exame",B2:G2,"&lt;&gt;exame",B2:G2,"&lt;&gt;Nota",B2:G2,"&lt;&gt;Total"),"")</f>
        <v/>
      </c>
      <c r="I312" s="2" t="str">
        <f>IF(AND(A312&lt;&gt;"",H312&lt;&gt;""),ROUND(H312,0),"")</f>
        <v/>
      </c>
    </row>
    <row r="313" spans="2:9" x14ac:dyDescent="0.3">
      <c r="B313" s="2" t="str">
        <f>IF(A313&lt;&gt;"",VLOOKUP(Alunos!A313,Exame!A3:C1000,3, FALSE),"")</f>
        <v/>
      </c>
      <c r="C313" s="2" t="str">
        <f>IF(A313&lt;&gt;"",VLOOKUP(Alunos!A313,Agrupamentos!A3:B1000,2, FALSE),"")</f>
        <v/>
      </c>
      <c r="D313" s="2" t="str">
        <f>IF(A313&lt;&gt;"",VLOOKUP(Alunos!C313,'TP1'!A3:C1000,3, FALSE),"")</f>
        <v/>
      </c>
      <c r="E313" s="2" t="str">
        <f>IF(A313&lt;&gt;"", SUMIF(B1:D1,"&lt;&gt;",B313:D313),"")</f>
        <v/>
      </c>
      <c r="F313" s="2" t="str">
        <f>IF(AND(A313&lt;&gt;"",E313&lt;&gt;""),ROUND(E313,0),"")</f>
        <v/>
      </c>
      <c r="G313" s="2" t="str">
        <f>IF(A313&lt;&gt;"",VLOOKUP(Alunos!A313,Recurso!A3:C1000,3, FALSE),"")</f>
        <v/>
      </c>
      <c r="H313" s="2" t="str">
        <f>IF(OR(A313&lt;&gt;"",G313&lt;&gt;""), SUMIFS(B313:G313,B1:G1,"&lt;&gt;",B2:G2,"&lt;&gt;Exame",B2:G2,"&lt;&gt;exame",B2:G2,"&lt;&gt;Nota",B2:G2,"&lt;&gt;Total"),"")</f>
        <v/>
      </c>
      <c r="I313" s="2" t="str">
        <f>IF(AND(A313&lt;&gt;"",H313&lt;&gt;""),ROUND(H313,0),"")</f>
        <v/>
      </c>
    </row>
    <row r="314" spans="2:9" x14ac:dyDescent="0.3">
      <c r="B314" s="2" t="str">
        <f>IF(A314&lt;&gt;"",VLOOKUP(Alunos!A314,Exame!A3:C1000,3, FALSE),"")</f>
        <v/>
      </c>
      <c r="C314" s="2" t="str">
        <f>IF(A314&lt;&gt;"",VLOOKUP(Alunos!A314,Agrupamentos!A3:B1000,2, FALSE),"")</f>
        <v/>
      </c>
      <c r="D314" s="2" t="str">
        <f>IF(A314&lt;&gt;"",VLOOKUP(Alunos!C314,'TP1'!A3:C1000,3, FALSE),"")</f>
        <v/>
      </c>
      <c r="E314" s="2" t="str">
        <f>IF(A314&lt;&gt;"", SUMIF(B1:D1,"&lt;&gt;",B314:D314),"")</f>
        <v/>
      </c>
      <c r="F314" s="2" t="str">
        <f>IF(AND(A314&lt;&gt;"",E314&lt;&gt;""),ROUND(E314,0),"")</f>
        <v/>
      </c>
      <c r="G314" s="2" t="str">
        <f>IF(A314&lt;&gt;"",VLOOKUP(Alunos!A314,Recurso!A3:C1000,3, FALSE),"")</f>
        <v/>
      </c>
      <c r="H314" s="2" t="str">
        <f>IF(OR(A314&lt;&gt;"",G314&lt;&gt;""), SUMIFS(B314:G314,B1:G1,"&lt;&gt;",B2:G2,"&lt;&gt;Exame",B2:G2,"&lt;&gt;exame",B2:G2,"&lt;&gt;Nota",B2:G2,"&lt;&gt;Total"),"")</f>
        <v/>
      </c>
      <c r="I314" s="2" t="str">
        <f>IF(AND(A314&lt;&gt;"",H314&lt;&gt;""),ROUND(H314,0),"")</f>
        <v/>
      </c>
    </row>
    <row r="315" spans="2:9" x14ac:dyDescent="0.3">
      <c r="B315" s="2" t="str">
        <f>IF(A315&lt;&gt;"",VLOOKUP(Alunos!A315,Exame!A3:C1000,3, FALSE),"")</f>
        <v/>
      </c>
      <c r="C315" s="2" t="str">
        <f>IF(A315&lt;&gt;"",VLOOKUP(Alunos!A315,Agrupamentos!A3:B1000,2, FALSE),"")</f>
        <v/>
      </c>
      <c r="D315" s="2" t="str">
        <f>IF(A315&lt;&gt;"",VLOOKUP(Alunos!C315,'TP1'!A3:C1000,3, FALSE),"")</f>
        <v/>
      </c>
      <c r="E315" s="2" t="str">
        <f>IF(A315&lt;&gt;"", SUMIF(B1:D1,"&lt;&gt;",B315:D315),"")</f>
        <v/>
      </c>
      <c r="F315" s="2" t="str">
        <f>IF(AND(A315&lt;&gt;"",E315&lt;&gt;""),ROUND(E315,0),"")</f>
        <v/>
      </c>
      <c r="G315" s="2" t="str">
        <f>IF(A315&lt;&gt;"",VLOOKUP(Alunos!A315,Recurso!A3:C1000,3, FALSE),"")</f>
        <v/>
      </c>
      <c r="H315" s="2" t="str">
        <f>IF(OR(A315&lt;&gt;"",G315&lt;&gt;""), SUMIFS(B315:G315,B1:G1,"&lt;&gt;",B2:G2,"&lt;&gt;Exame",B2:G2,"&lt;&gt;exame",B2:G2,"&lt;&gt;Nota",B2:G2,"&lt;&gt;Total"),"")</f>
        <v/>
      </c>
      <c r="I315" s="2" t="str">
        <f>IF(AND(A315&lt;&gt;"",H315&lt;&gt;""),ROUND(H315,0),"")</f>
        <v/>
      </c>
    </row>
    <row r="316" spans="2:9" x14ac:dyDescent="0.3">
      <c r="B316" s="2" t="str">
        <f>IF(A316&lt;&gt;"",VLOOKUP(Alunos!A316,Exame!A3:C1000,3, FALSE),"")</f>
        <v/>
      </c>
      <c r="C316" s="2" t="str">
        <f>IF(A316&lt;&gt;"",VLOOKUP(Alunos!A316,Agrupamentos!A3:B1000,2, FALSE),"")</f>
        <v/>
      </c>
      <c r="D316" s="2" t="str">
        <f>IF(A316&lt;&gt;"",VLOOKUP(Alunos!C316,'TP1'!A3:C1000,3, FALSE),"")</f>
        <v/>
      </c>
      <c r="E316" s="2" t="str">
        <f>IF(A316&lt;&gt;"", SUMIF(B1:D1,"&lt;&gt;",B316:D316),"")</f>
        <v/>
      </c>
      <c r="F316" s="2" t="str">
        <f>IF(AND(A316&lt;&gt;"",E316&lt;&gt;""),ROUND(E316,0),"")</f>
        <v/>
      </c>
      <c r="G316" s="2" t="str">
        <f>IF(A316&lt;&gt;"",VLOOKUP(Alunos!A316,Recurso!A3:C1000,3, FALSE),"")</f>
        <v/>
      </c>
      <c r="H316" s="2" t="str">
        <f>IF(OR(A316&lt;&gt;"",G316&lt;&gt;""), SUMIFS(B316:G316,B1:G1,"&lt;&gt;",B2:G2,"&lt;&gt;Exame",B2:G2,"&lt;&gt;exame",B2:G2,"&lt;&gt;Nota",B2:G2,"&lt;&gt;Total"),"")</f>
        <v/>
      </c>
      <c r="I316" s="2" t="str">
        <f>IF(AND(A316&lt;&gt;"",H316&lt;&gt;""),ROUND(H316,0),"")</f>
        <v/>
      </c>
    </row>
    <row r="317" spans="2:9" x14ac:dyDescent="0.3">
      <c r="B317" s="2" t="str">
        <f>IF(A317&lt;&gt;"",VLOOKUP(Alunos!A317,Exame!A3:C1000,3, FALSE),"")</f>
        <v/>
      </c>
      <c r="C317" s="2" t="str">
        <f>IF(A317&lt;&gt;"",VLOOKUP(Alunos!A317,Agrupamentos!A3:B1000,2, FALSE),"")</f>
        <v/>
      </c>
      <c r="D317" s="2" t="str">
        <f>IF(A317&lt;&gt;"",VLOOKUP(Alunos!C317,'TP1'!A3:C1000,3, FALSE),"")</f>
        <v/>
      </c>
      <c r="E317" s="2" t="str">
        <f>IF(A317&lt;&gt;"", SUMIF(B1:D1,"&lt;&gt;",B317:D317),"")</f>
        <v/>
      </c>
      <c r="F317" s="2" t="str">
        <f>IF(AND(A317&lt;&gt;"",E317&lt;&gt;""),ROUND(E317,0),"")</f>
        <v/>
      </c>
      <c r="G317" s="2" t="str">
        <f>IF(A317&lt;&gt;"",VLOOKUP(Alunos!A317,Recurso!A3:C1000,3, FALSE),"")</f>
        <v/>
      </c>
      <c r="H317" s="2" t="str">
        <f>IF(OR(A317&lt;&gt;"",G317&lt;&gt;""), SUMIFS(B317:G317,B1:G1,"&lt;&gt;",B2:G2,"&lt;&gt;Exame",B2:G2,"&lt;&gt;exame",B2:G2,"&lt;&gt;Nota",B2:G2,"&lt;&gt;Total"),"")</f>
        <v/>
      </c>
      <c r="I317" s="2" t="str">
        <f>IF(AND(A317&lt;&gt;"",H317&lt;&gt;""),ROUND(H317,0),"")</f>
        <v/>
      </c>
    </row>
    <row r="318" spans="2:9" x14ac:dyDescent="0.3">
      <c r="B318" s="2" t="str">
        <f>IF(A318&lt;&gt;"",VLOOKUP(Alunos!A318,Exame!A3:C1000,3, FALSE),"")</f>
        <v/>
      </c>
      <c r="C318" s="2" t="str">
        <f>IF(A318&lt;&gt;"",VLOOKUP(Alunos!A318,Agrupamentos!A3:B1000,2, FALSE),"")</f>
        <v/>
      </c>
      <c r="D318" s="2" t="str">
        <f>IF(A318&lt;&gt;"",VLOOKUP(Alunos!C318,'TP1'!A3:C1000,3, FALSE),"")</f>
        <v/>
      </c>
      <c r="E318" s="2" t="str">
        <f>IF(A318&lt;&gt;"", SUMIF(B1:D1,"&lt;&gt;",B318:D318),"")</f>
        <v/>
      </c>
      <c r="F318" s="2" t="str">
        <f>IF(AND(A318&lt;&gt;"",E318&lt;&gt;""),ROUND(E318,0),"")</f>
        <v/>
      </c>
      <c r="G318" s="2" t="str">
        <f>IF(A318&lt;&gt;"",VLOOKUP(Alunos!A318,Recurso!A3:C1000,3, FALSE),"")</f>
        <v/>
      </c>
      <c r="H318" s="2" t="str">
        <f>IF(OR(A318&lt;&gt;"",G318&lt;&gt;""), SUMIFS(B318:G318,B1:G1,"&lt;&gt;",B2:G2,"&lt;&gt;Exame",B2:G2,"&lt;&gt;exame",B2:G2,"&lt;&gt;Nota",B2:G2,"&lt;&gt;Total"),"")</f>
        <v/>
      </c>
      <c r="I318" s="2" t="str">
        <f>IF(AND(A318&lt;&gt;"",H318&lt;&gt;""),ROUND(H318,0),"")</f>
        <v/>
      </c>
    </row>
    <row r="319" spans="2:9" x14ac:dyDescent="0.3">
      <c r="B319" s="2" t="str">
        <f>IF(A319&lt;&gt;"",VLOOKUP(Alunos!A319,Exame!A3:C1000,3, FALSE),"")</f>
        <v/>
      </c>
      <c r="C319" s="2" t="str">
        <f>IF(A319&lt;&gt;"",VLOOKUP(Alunos!A319,Agrupamentos!A3:B1000,2, FALSE),"")</f>
        <v/>
      </c>
      <c r="D319" s="2" t="str">
        <f>IF(A319&lt;&gt;"",VLOOKUP(Alunos!C319,'TP1'!A3:C1000,3, FALSE),"")</f>
        <v/>
      </c>
      <c r="E319" s="2" t="str">
        <f>IF(A319&lt;&gt;"", SUMIF(B1:D1,"&lt;&gt;",B319:D319),"")</f>
        <v/>
      </c>
      <c r="F319" s="2" t="str">
        <f>IF(AND(A319&lt;&gt;"",E319&lt;&gt;""),ROUND(E319,0),"")</f>
        <v/>
      </c>
      <c r="G319" s="2" t="str">
        <f>IF(A319&lt;&gt;"",VLOOKUP(Alunos!A319,Recurso!A3:C1000,3, FALSE),"")</f>
        <v/>
      </c>
      <c r="H319" s="2" t="str">
        <f>IF(OR(A319&lt;&gt;"",G319&lt;&gt;""), SUMIFS(B319:G319,B1:G1,"&lt;&gt;",B2:G2,"&lt;&gt;Exame",B2:G2,"&lt;&gt;exame",B2:G2,"&lt;&gt;Nota",B2:G2,"&lt;&gt;Total"),"")</f>
        <v/>
      </c>
      <c r="I319" s="2" t="str">
        <f>IF(AND(A319&lt;&gt;"",H319&lt;&gt;""),ROUND(H319,0),"")</f>
        <v/>
      </c>
    </row>
    <row r="320" spans="2:9" x14ac:dyDescent="0.3">
      <c r="B320" s="2" t="str">
        <f>IF(A320&lt;&gt;"",VLOOKUP(Alunos!A320,Exame!A3:C1000,3, FALSE),"")</f>
        <v/>
      </c>
      <c r="C320" s="2" t="str">
        <f>IF(A320&lt;&gt;"",VLOOKUP(Alunos!A320,Agrupamentos!A3:B1000,2, FALSE),"")</f>
        <v/>
      </c>
      <c r="D320" s="2" t="str">
        <f>IF(A320&lt;&gt;"",VLOOKUP(Alunos!C320,'TP1'!A3:C1000,3, FALSE),"")</f>
        <v/>
      </c>
      <c r="E320" s="2" t="str">
        <f>IF(A320&lt;&gt;"", SUMIF(B1:D1,"&lt;&gt;",B320:D320),"")</f>
        <v/>
      </c>
      <c r="F320" s="2" t="str">
        <f>IF(AND(A320&lt;&gt;"",E320&lt;&gt;""),ROUND(E320,0),"")</f>
        <v/>
      </c>
      <c r="G320" s="2" t="str">
        <f>IF(A320&lt;&gt;"",VLOOKUP(Alunos!A320,Recurso!A3:C1000,3, FALSE),"")</f>
        <v/>
      </c>
      <c r="H320" s="2" t="str">
        <f>IF(OR(A320&lt;&gt;"",G320&lt;&gt;""), SUMIFS(B320:G320,B1:G1,"&lt;&gt;",B2:G2,"&lt;&gt;Exame",B2:G2,"&lt;&gt;exame",B2:G2,"&lt;&gt;Nota",B2:G2,"&lt;&gt;Total"),"")</f>
        <v/>
      </c>
      <c r="I320" s="2" t="str">
        <f>IF(AND(A320&lt;&gt;"",H320&lt;&gt;""),ROUND(H320,0),"")</f>
        <v/>
      </c>
    </row>
    <row r="321" spans="2:9" x14ac:dyDescent="0.3">
      <c r="B321" s="2" t="str">
        <f>IF(A321&lt;&gt;"",VLOOKUP(Alunos!A321,Exame!A3:C1000,3, FALSE),"")</f>
        <v/>
      </c>
      <c r="C321" s="2" t="str">
        <f>IF(A321&lt;&gt;"",VLOOKUP(Alunos!A321,Agrupamentos!A3:B1000,2, FALSE),"")</f>
        <v/>
      </c>
      <c r="D321" s="2" t="str">
        <f>IF(A321&lt;&gt;"",VLOOKUP(Alunos!C321,'TP1'!A3:C1000,3, FALSE),"")</f>
        <v/>
      </c>
      <c r="E321" s="2" t="str">
        <f>IF(A321&lt;&gt;"", SUMIF(B1:D1,"&lt;&gt;",B321:D321),"")</f>
        <v/>
      </c>
      <c r="F321" s="2" t="str">
        <f>IF(AND(A321&lt;&gt;"",E321&lt;&gt;""),ROUND(E321,0),"")</f>
        <v/>
      </c>
      <c r="G321" s="2" t="str">
        <f>IF(A321&lt;&gt;"",VLOOKUP(Alunos!A321,Recurso!A3:C1000,3, FALSE),"")</f>
        <v/>
      </c>
      <c r="H321" s="2" t="str">
        <f>IF(OR(A321&lt;&gt;"",G321&lt;&gt;""), SUMIFS(B321:G321,B1:G1,"&lt;&gt;",B2:G2,"&lt;&gt;Exame",B2:G2,"&lt;&gt;exame",B2:G2,"&lt;&gt;Nota",B2:G2,"&lt;&gt;Total"),"")</f>
        <v/>
      </c>
      <c r="I321" s="2" t="str">
        <f>IF(AND(A321&lt;&gt;"",H321&lt;&gt;""),ROUND(H321,0),"")</f>
        <v/>
      </c>
    </row>
    <row r="322" spans="2:9" x14ac:dyDescent="0.3">
      <c r="B322" s="2" t="str">
        <f>IF(A322&lt;&gt;"",VLOOKUP(Alunos!A322,Exame!A3:C1000,3, FALSE),"")</f>
        <v/>
      </c>
      <c r="C322" s="2" t="str">
        <f>IF(A322&lt;&gt;"",VLOOKUP(Alunos!A322,Agrupamentos!A3:B1000,2, FALSE),"")</f>
        <v/>
      </c>
      <c r="D322" s="2" t="str">
        <f>IF(A322&lt;&gt;"",VLOOKUP(Alunos!C322,'TP1'!A3:C1000,3, FALSE),"")</f>
        <v/>
      </c>
      <c r="E322" s="2" t="str">
        <f>IF(A322&lt;&gt;"", SUMIF(B1:D1,"&lt;&gt;",B322:D322),"")</f>
        <v/>
      </c>
      <c r="F322" s="2" t="str">
        <f>IF(AND(A322&lt;&gt;"",E322&lt;&gt;""),ROUND(E322,0),"")</f>
        <v/>
      </c>
      <c r="G322" s="2" t="str">
        <f>IF(A322&lt;&gt;"",VLOOKUP(Alunos!A322,Recurso!A3:C1000,3, FALSE),"")</f>
        <v/>
      </c>
      <c r="H322" s="2" t="str">
        <f>IF(OR(A322&lt;&gt;"",G322&lt;&gt;""), SUMIFS(B322:G322,B1:G1,"&lt;&gt;",B2:G2,"&lt;&gt;Exame",B2:G2,"&lt;&gt;exame",B2:G2,"&lt;&gt;Nota",B2:G2,"&lt;&gt;Total"),"")</f>
        <v/>
      </c>
      <c r="I322" s="2" t="str">
        <f>IF(AND(A322&lt;&gt;"",H322&lt;&gt;""),ROUND(H322,0),"")</f>
        <v/>
      </c>
    </row>
    <row r="323" spans="2:9" x14ac:dyDescent="0.3">
      <c r="B323" s="2" t="str">
        <f>IF(A323&lt;&gt;"",VLOOKUP(Alunos!A323,Exame!A3:C1000,3, FALSE),"")</f>
        <v/>
      </c>
      <c r="C323" s="2" t="str">
        <f>IF(A323&lt;&gt;"",VLOOKUP(Alunos!A323,Agrupamentos!A3:B1000,2, FALSE),"")</f>
        <v/>
      </c>
      <c r="D323" s="2" t="str">
        <f>IF(A323&lt;&gt;"",VLOOKUP(Alunos!C323,'TP1'!A3:C1000,3, FALSE),"")</f>
        <v/>
      </c>
      <c r="E323" s="2" t="str">
        <f>IF(A323&lt;&gt;"", SUMIF(B1:D1,"&lt;&gt;",B323:D323),"")</f>
        <v/>
      </c>
      <c r="F323" s="2" t="str">
        <f>IF(AND(A323&lt;&gt;"",E323&lt;&gt;""),ROUND(E323,0),"")</f>
        <v/>
      </c>
      <c r="G323" s="2" t="str">
        <f>IF(A323&lt;&gt;"",VLOOKUP(Alunos!A323,Recurso!A3:C1000,3, FALSE),"")</f>
        <v/>
      </c>
      <c r="H323" s="2" t="str">
        <f>IF(OR(A323&lt;&gt;"",G323&lt;&gt;""), SUMIFS(B323:G323,B1:G1,"&lt;&gt;",B2:G2,"&lt;&gt;Exame",B2:G2,"&lt;&gt;exame",B2:G2,"&lt;&gt;Nota",B2:G2,"&lt;&gt;Total"),"")</f>
        <v/>
      </c>
      <c r="I323" s="2" t="str">
        <f>IF(AND(A323&lt;&gt;"",H323&lt;&gt;""),ROUND(H323,0),"")</f>
        <v/>
      </c>
    </row>
    <row r="324" spans="2:9" x14ac:dyDescent="0.3">
      <c r="B324" s="2" t="str">
        <f>IF(A324&lt;&gt;"",VLOOKUP(Alunos!A324,Exame!A3:C1000,3, FALSE),"")</f>
        <v/>
      </c>
      <c r="C324" s="2" t="str">
        <f>IF(A324&lt;&gt;"",VLOOKUP(Alunos!A324,Agrupamentos!A3:B1000,2, FALSE),"")</f>
        <v/>
      </c>
      <c r="D324" s="2" t="str">
        <f>IF(A324&lt;&gt;"",VLOOKUP(Alunos!C324,'TP1'!A3:C1000,3, FALSE),"")</f>
        <v/>
      </c>
      <c r="E324" s="2" t="str">
        <f>IF(A324&lt;&gt;"", SUMIF(B1:D1,"&lt;&gt;",B324:D324),"")</f>
        <v/>
      </c>
      <c r="F324" s="2" t="str">
        <f>IF(AND(A324&lt;&gt;"",E324&lt;&gt;""),ROUND(E324,0),"")</f>
        <v/>
      </c>
      <c r="G324" s="2" t="str">
        <f>IF(A324&lt;&gt;"",VLOOKUP(Alunos!A324,Recurso!A3:C1000,3, FALSE),"")</f>
        <v/>
      </c>
      <c r="H324" s="2" t="str">
        <f>IF(OR(A324&lt;&gt;"",G324&lt;&gt;""), SUMIFS(B324:G324,B1:G1,"&lt;&gt;",B2:G2,"&lt;&gt;Exame",B2:G2,"&lt;&gt;exame",B2:G2,"&lt;&gt;Nota",B2:G2,"&lt;&gt;Total"),"")</f>
        <v/>
      </c>
      <c r="I324" s="2" t="str">
        <f>IF(AND(A324&lt;&gt;"",H324&lt;&gt;""),ROUND(H324,0),"")</f>
        <v/>
      </c>
    </row>
    <row r="325" spans="2:9" x14ac:dyDescent="0.3">
      <c r="B325" s="2" t="str">
        <f>IF(A325&lt;&gt;"",VLOOKUP(Alunos!A325,Exame!A3:C1000,3, FALSE),"")</f>
        <v/>
      </c>
      <c r="C325" s="2" t="str">
        <f>IF(A325&lt;&gt;"",VLOOKUP(Alunos!A325,Agrupamentos!A3:B1000,2, FALSE),"")</f>
        <v/>
      </c>
      <c r="D325" s="2" t="str">
        <f>IF(A325&lt;&gt;"",VLOOKUP(Alunos!C325,'TP1'!A3:C1000,3, FALSE),"")</f>
        <v/>
      </c>
      <c r="E325" s="2" t="str">
        <f>IF(A325&lt;&gt;"", SUMIF(B1:D1,"&lt;&gt;",B325:D325),"")</f>
        <v/>
      </c>
      <c r="F325" s="2" t="str">
        <f>IF(AND(A325&lt;&gt;"",E325&lt;&gt;""),ROUND(E325,0),"")</f>
        <v/>
      </c>
      <c r="G325" s="2" t="str">
        <f>IF(A325&lt;&gt;"",VLOOKUP(Alunos!A325,Recurso!A3:C1000,3, FALSE),"")</f>
        <v/>
      </c>
      <c r="H325" s="2" t="str">
        <f>IF(OR(A325&lt;&gt;"",G325&lt;&gt;""), SUMIFS(B325:G325,B1:G1,"&lt;&gt;",B2:G2,"&lt;&gt;Exame",B2:G2,"&lt;&gt;exame",B2:G2,"&lt;&gt;Nota",B2:G2,"&lt;&gt;Total"),"")</f>
        <v/>
      </c>
      <c r="I325" s="2" t="str">
        <f>IF(AND(A325&lt;&gt;"",H325&lt;&gt;""),ROUND(H325,0),"")</f>
        <v/>
      </c>
    </row>
    <row r="326" spans="2:9" x14ac:dyDescent="0.3">
      <c r="B326" s="2" t="str">
        <f>IF(A326&lt;&gt;"",VLOOKUP(Alunos!A326,Exame!A3:C1000,3, FALSE),"")</f>
        <v/>
      </c>
      <c r="C326" s="2" t="str">
        <f>IF(A326&lt;&gt;"",VLOOKUP(Alunos!A326,Agrupamentos!A3:B1000,2, FALSE),"")</f>
        <v/>
      </c>
      <c r="D326" s="2" t="str">
        <f>IF(A326&lt;&gt;"",VLOOKUP(Alunos!C326,'TP1'!A3:C1000,3, FALSE),"")</f>
        <v/>
      </c>
      <c r="E326" s="2" t="str">
        <f>IF(A326&lt;&gt;"", SUMIF(B1:D1,"&lt;&gt;",B326:D326),"")</f>
        <v/>
      </c>
      <c r="F326" s="2" t="str">
        <f>IF(AND(A326&lt;&gt;"",E326&lt;&gt;""),ROUND(E326,0),"")</f>
        <v/>
      </c>
      <c r="G326" s="2" t="str">
        <f>IF(A326&lt;&gt;"",VLOOKUP(Alunos!A326,Recurso!A3:C1000,3, FALSE),"")</f>
        <v/>
      </c>
      <c r="H326" s="2" t="str">
        <f>IF(OR(A326&lt;&gt;"",G326&lt;&gt;""), SUMIFS(B326:G326,B1:G1,"&lt;&gt;",B2:G2,"&lt;&gt;Exame",B2:G2,"&lt;&gt;exame",B2:G2,"&lt;&gt;Nota",B2:G2,"&lt;&gt;Total"),"")</f>
        <v/>
      </c>
      <c r="I326" s="2" t="str">
        <f>IF(AND(A326&lt;&gt;"",H326&lt;&gt;""),ROUND(H326,0),"")</f>
        <v/>
      </c>
    </row>
    <row r="327" spans="2:9" x14ac:dyDescent="0.3">
      <c r="B327" s="2" t="str">
        <f>IF(A327&lt;&gt;"",VLOOKUP(Alunos!A327,Exame!A3:C1000,3, FALSE),"")</f>
        <v/>
      </c>
      <c r="C327" s="2" t="str">
        <f>IF(A327&lt;&gt;"",VLOOKUP(Alunos!A327,Agrupamentos!A3:B1000,2, FALSE),"")</f>
        <v/>
      </c>
      <c r="D327" s="2" t="str">
        <f>IF(A327&lt;&gt;"",VLOOKUP(Alunos!C327,'TP1'!A3:C1000,3, FALSE),"")</f>
        <v/>
      </c>
      <c r="E327" s="2" t="str">
        <f>IF(A327&lt;&gt;"", SUMIF(B1:D1,"&lt;&gt;",B327:D327),"")</f>
        <v/>
      </c>
      <c r="F327" s="2" t="str">
        <f>IF(AND(A327&lt;&gt;"",E327&lt;&gt;""),ROUND(E327,0),"")</f>
        <v/>
      </c>
      <c r="G327" s="2" t="str">
        <f>IF(A327&lt;&gt;"",VLOOKUP(Alunos!A327,Recurso!A3:C1000,3, FALSE),"")</f>
        <v/>
      </c>
      <c r="H327" s="2" t="str">
        <f>IF(OR(A327&lt;&gt;"",G327&lt;&gt;""), SUMIFS(B327:G327,B1:G1,"&lt;&gt;",B2:G2,"&lt;&gt;Exame",B2:G2,"&lt;&gt;exame",B2:G2,"&lt;&gt;Nota",B2:G2,"&lt;&gt;Total"),"")</f>
        <v/>
      </c>
      <c r="I327" s="2" t="str">
        <f>IF(AND(A327&lt;&gt;"",H327&lt;&gt;""),ROUND(H327,0),"")</f>
        <v/>
      </c>
    </row>
    <row r="328" spans="2:9" x14ac:dyDescent="0.3">
      <c r="B328" s="2" t="str">
        <f>IF(A328&lt;&gt;"",VLOOKUP(Alunos!A328,Exame!A3:C1000,3, FALSE),"")</f>
        <v/>
      </c>
      <c r="C328" s="2" t="str">
        <f>IF(A328&lt;&gt;"",VLOOKUP(Alunos!A328,Agrupamentos!A3:B1000,2, FALSE),"")</f>
        <v/>
      </c>
      <c r="D328" s="2" t="str">
        <f>IF(A328&lt;&gt;"",VLOOKUP(Alunos!C328,'TP1'!A3:C1000,3, FALSE),"")</f>
        <v/>
      </c>
      <c r="E328" s="2" t="str">
        <f>IF(A328&lt;&gt;"", SUMIF(B1:D1,"&lt;&gt;",B328:D328),"")</f>
        <v/>
      </c>
      <c r="F328" s="2" t="str">
        <f>IF(AND(A328&lt;&gt;"",E328&lt;&gt;""),ROUND(E328,0),"")</f>
        <v/>
      </c>
      <c r="G328" s="2" t="str">
        <f>IF(A328&lt;&gt;"",VLOOKUP(Alunos!A328,Recurso!A3:C1000,3, FALSE),"")</f>
        <v/>
      </c>
      <c r="H328" s="2" t="str">
        <f>IF(OR(A328&lt;&gt;"",G328&lt;&gt;""), SUMIFS(B328:G328,B1:G1,"&lt;&gt;",B2:G2,"&lt;&gt;Exame",B2:G2,"&lt;&gt;exame",B2:G2,"&lt;&gt;Nota",B2:G2,"&lt;&gt;Total"),"")</f>
        <v/>
      </c>
      <c r="I328" s="2" t="str">
        <f>IF(AND(A328&lt;&gt;"",H328&lt;&gt;""),ROUND(H328,0),"")</f>
        <v/>
      </c>
    </row>
    <row r="329" spans="2:9" x14ac:dyDescent="0.3">
      <c r="B329" s="2" t="str">
        <f>IF(A329&lt;&gt;"",VLOOKUP(Alunos!A329,Exame!A3:C1000,3, FALSE),"")</f>
        <v/>
      </c>
      <c r="C329" s="2" t="str">
        <f>IF(A329&lt;&gt;"",VLOOKUP(Alunos!A329,Agrupamentos!A3:B1000,2, FALSE),"")</f>
        <v/>
      </c>
      <c r="D329" s="2" t="str">
        <f>IF(A329&lt;&gt;"",VLOOKUP(Alunos!C329,'TP1'!A3:C1000,3, FALSE),"")</f>
        <v/>
      </c>
      <c r="E329" s="2" t="str">
        <f>IF(A329&lt;&gt;"", SUMIF(B1:D1,"&lt;&gt;",B329:D329),"")</f>
        <v/>
      </c>
      <c r="F329" s="2" t="str">
        <f>IF(AND(A329&lt;&gt;"",E329&lt;&gt;""),ROUND(E329,0),"")</f>
        <v/>
      </c>
      <c r="G329" s="2" t="str">
        <f>IF(A329&lt;&gt;"",VLOOKUP(Alunos!A329,Recurso!A3:C1000,3, FALSE),"")</f>
        <v/>
      </c>
      <c r="H329" s="2" t="str">
        <f>IF(OR(A329&lt;&gt;"",G329&lt;&gt;""), SUMIFS(B329:G329,B1:G1,"&lt;&gt;",B2:G2,"&lt;&gt;Exame",B2:G2,"&lt;&gt;exame",B2:G2,"&lt;&gt;Nota",B2:G2,"&lt;&gt;Total"),"")</f>
        <v/>
      </c>
      <c r="I329" s="2" t="str">
        <f>IF(AND(A329&lt;&gt;"",H329&lt;&gt;""),ROUND(H329,0),"")</f>
        <v/>
      </c>
    </row>
    <row r="330" spans="2:9" x14ac:dyDescent="0.3">
      <c r="B330" s="2" t="str">
        <f>IF(A330&lt;&gt;"",VLOOKUP(Alunos!A330,Exame!A3:C1000,3, FALSE),"")</f>
        <v/>
      </c>
      <c r="C330" s="2" t="str">
        <f>IF(A330&lt;&gt;"",VLOOKUP(Alunos!A330,Agrupamentos!A3:B1000,2, FALSE),"")</f>
        <v/>
      </c>
      <c r="D330" s="2" t="str">
        <f>IF(A330&lt;&gt;"",VLOOKUP(Alunos!C330,'TP1'!A3:C1000,3, FALSE),"")</f>
        <v/>
      </c>
      <c r="E330" s="2" t="str">
        <f>IF(A330&lt;&gt;"", SUMIF(B1:D1,"&lt;&gt;",B330:D330),"")</f>
        <v/>
      </c>
      <c r="F330" s="2" t="str">
        <f>IF(AND(A330&lt;&gt;"",E330&lt;&gt;""),ROUND(E330,0),"")</f>
        <v/>
      </c>
      <c r="G330" s="2" t="str">
        <f>IF(A330&lt;&gt;"",VLOOKUP(Alunos!A330,Recurso!A3:C1000,3, FALSE),"")</f>
        <v/>
      </c>
      <c r="H330" s="2" t="str">
        <f>IF(OR(A330&lt;&gt;"",G330&lt;&gt;""), SUMIFS(B330:G330,B1:G1,"&lt;&gt;",B2:G2,"&lt;&gt;Exame",B2:G2,"&lt;&gt;exame",B2:G2,"&lt;&gt;Nota",B2:G2,"&lt;&gt;Total"),"")</f>
        <v/>
      </c>
      <c r="I330" s="2" t="str">
        <f>IF(AND(A330&lt;&gt;"",H330&lt;&gt;""),ROUND(H330,0),"")</f>
        <v/>
      </c>
    </row>
    <row r="331" spans="2:9" x14ac:dyDescent="0.3">
      <c r="B331" s="2" t="str">
        <f>IF(A331&lt;&gt;"",VLOOKUP(Alunos!A331,Exame!A3:C1000,3, FALSE),"")</f>
        <v/>
      </c>
      <c r="C331" s="2" t="str">
        <f>IF(A331&lt;&gt;"",VLOOKUP(Alunos!A331,Agrupamentos!A3:B1000,2, FALSE),"")</f>
        <v/>
      </c>
      <c r="D331" s="2" t="str">
        <f>IF(A331&lt;&gt;"",VLOOKUP(Alunos!C331,'TP1'!A3:C1000,3, FALSE),"")</f>
        <v/>
      </c>
      <c r="E331" s="2" t="str">
        <f>IF(A331&lt;&gt;"", SUMIF(B1:D1,"&lt;&gt;",B331:D331),"")</f>
        <v/>
      </c>
      <c r="F331" s="2" t="str">
        <f>IF(AND(A331&lt;&gt;"",E331&lt;&gt;""),ROUND(E331,0),"")</f>
        <v/>
      </c>
      <c r="G331" s="2" t="str">
        <f>IF(A331&lt;&gt;"",VLOOKUP(Alunos!A331,Recurso!A3:C1000,3, FALSE),"")</f>
        <v/>
      </c>
      <c r="H331" s="2" t="str">
        <f>IF(OR(A331&lt;&gt;"",G331&lt;&gt;""), SUMIFS(B331:G331,B1:G1,"&lt;&gt;",B2:G2,"&lt;&gt;Exame",B2:G2,"&lt;&gt;exame",B2:G2,"&lt;&gt;Nota",B2:G2,"&lt;&gt;Total"),"")</f>
        <v/>
      </c>
      <c r="I331" s="2" t="str">
        <f>IF(AND(A331&lt;&gt;"",H331&lt;&gt;""),ROUND(H331,0),"")</f>
        <v/>
      </c>
    </row>
    <row r="332" spans="2:9" x14ac:dyDescent="0.3">
      <c r="B332" s="2" t="str">
        <f>IF(A332&lt;&gt;"",VLOOKUP(Alunos!A332,Exame!A3:C1000,3, FALSE),"")</f>
        <v/>
      </c>
      <c r="C332" s="2" t="str">
        <f>IF(A332&lt;&gt;"",VLOOKUP(Alunos!A332,Agrupamentos!A3:B1000,2, FALSE),"")</f>
        <v/>
      </c>
      <c r="D332" s="2" t="str">
        <f>IF(A332&lt;&gt;"",VLOOKUP(Alunos!C332,'TP1'!A3:C1000,3, FALSE),"")</f>
        <v/>
      </c>
      <c r="E332" s="2" t="str">
        <f>IF(A332&lt;&gt;"", SUMIF(B1:D1,"&lt;&gt;",B332:D332),"")</f>
        <v/>
      </c>
      <c r="F332" s="2" t="str">
        <f>IF(AND(A332&lt;&gt;"",E332&lt;&gt;""),ROUND(E332,0),"")</f>
        <v/>
      </c>
      <c r="G332" s="2" t="str">
        <f>IF(A332&lt;&gt;"",VLOOKUP(Alunos!A332,Recurso!A3:C1000,3, FALSE),"")</f>
        <v/>
      </c>
      <c r="H332" s="2" t="str">
        <f>IF(OR(A332&lt;&gt;"",G332&lt;&gt;""), SUMIFS(B332:G332,B1:G1,"&lt;&gt;",B2:G2,"&lt;&gt;Exame",B2:G2,"&lt;&gt;exame",B2:G2,"&lt;&gt;Nota",B2:G2,"&lt;&gt;Total"),"")</f>
        <v/>
      </c>
      <c r="I332" s="2" t="str">
        <f>IF(AND(A332&lt;&gt;"",H332&lt;&gt;""),ROUND(H332,0),"")</f>
        <v/>
      </c>
    </row>
    <row r="333" spans="2:9" x14ac:dyDescent="0.3">
      <c r="B333" s="2" t="str">
        <f>IF(A333&lt;&gt;"",VLOOKUP(Alunos!A333,Exame!A3:C1000,3, FALSE),"")</f>
        <v/>
      </c>
      <c r="C333" s="2" t="str">
        <f>IF(A333&lt;&gt;"",VLOOKUP(Alunos!A333,Agrupamentos!A3:B1000,2, FALSE),"")</f>
        <v/>
      </c>
      <c r="D333" s="2" t="str">
        <f>IF(A333&lt;&gt;"",VLOOKUP(Alunos!C333,'TP1'!A3:C1000,3, FALSE),"")</f>
        <v/>
      </c>
      <c r="E333" s="2" t="str">
        <f>IF(A333&lt;&gt;"", SUMIF(B1:D1,"&lt;&gt;",B333:D333),"")</f>
        <v/>
      </c>
      <c r="F333" s="2" t="str">
        <f>IF(AND(A333&lt;&gt;"",E333&lt;&gt;""),ROUND(E333,0),"")</f>
        <v/>
      </c>
      <c r="G333" s="2" t="str">
        <f>IF(A333&lt;&gt;"",VLOOKUP(Alunos!A333,Recurso!A3:C1000,3, FALSE),"")</f>
        <v/>
      </c>
      <c r="H333" s="2" t="str">
        <f>IF(OR(A333&lt;&gt;"",G333&lt;&gt;""), SUMIFS(B333:G333,B1:G1,"&lt;&gt;",B2:G2,"&lt;&gt;Exame",B2:G2,"&lt;&gt;exame",B2:G2,"&lt;&gt;Nota",B2:G2,"&lt;&gt;Total"),"")</f>
        <v/>
      </c>
      <c r="I333" s="2" t="str">
        <f>IF(AND(A333&lt;&gt;"",H333&lt;&gt;""),ROUND(H333,0),"")</f>
        <v/>
      </c>
    </row>
    <row r="334" spans="2:9" x14ac:dyDescent="0.3">
      <c r="B334" s="2" t="str">
        <f>IF(A334&lt;&gt;"",VLOOKUP(Alunos!A334,Exame!A3:C1000,3, FALSE),"")</f>
        <v/>
      </c>
      <c r="C334" s="2" t="str">
        <f>IF(A334&lt;&gt;"",VLOOKUP(Alunos!A334,Agrupamentos!A3:B1000,2, FALSE),"")</f>
        <v/>
      </c>
      <c r="D334" s="2" t="str">
        <f>IF(A334&lt;&gt;"",VLOOKUP(Alunos!C334,'TP1'!A3:C1000,3, FALSE),"")</f>
        <v/>
      </c>
      <c r="E334" s="2" t="str">
        <f>IF(A334&lt;&gt;"", SUMIF(B1:D1,"&lt;&gt;",B334:D334),"")</f>
        <v/>
      </c>
      <c r="F334" s="2" t="str">
        <f>IF(AND(A334&lt;&gt;"",E334&lt;&gt;""),ROUND(E334,0),"")</f>
        <v/>
      </c>
      <c r="G334" s="2" t="str">
        <f>IF(A334&lt;&gt;"",VLOOKUP(Alunos!A334,Recurso!A3:C1000,3, FALSE),"")</f>
        <v/>
      </c>
      <c r="H334" s="2" t="str">
        <f>IF(OR(A334&lt;&gt;"",G334&lt;&gt;""), SUMIFS(B334:G334,B1:G1,"&lt;&gt;",B2:G2,"&lt;&gt;Exame",B2:G2,"&lt;&gt;exame",B2:G2,"&lt;&gt;Nota",B2:G2,"&lt;&gt;Total"),"")</f>
        <v/>
      </c>
      <c r="I334" s="2" t="str">
        <f>IF(AND(A334&lt;&gt;"",H334&lt;&gt;""),ROUND(H334,0),"")</f>
        <v/>
      </c>
    </row>
    <row r="335" spans="2:9" x14ac:dyDescent="0.3">
      <c r="B335" s="2" t="str">
        <f>IF(A335&lt;&gt;"",VLOOKUP(Alunos!A335,Exame!A3:C1000,3, FALSE),"")</f>
        <v/>
      </c>
      <c r="C335" s="2" t="str">
        <f>IF(A335&lt;&gt;"",VLOOKUP(Alunos!A335,Agrupamentos!A3:B1000,2, FALSE),"")</f>
        <v/>
      </c>
      <c r="D335" s="2" t="str">
        <f>IF(A335&lt;&gt;"",VLOOKUP(Alunos!C335,'TP1'!A3:C1000,3, FALSE),"")</f>
        <v/>
      </c>
      <c r="E335" s="2" t="str">
        <f>IF(A335&lt;&gt;"", SUMIF(B1:D1,"&lt;&gt;",B335:D335),"")</f>
        <v/>
      </c>
      <c r="F335" s="2" t="str">
        <f>IF(AND(A335&lt;&gt;"",E335&lt;&gt;""),ROUND(E335,0),"")</f>
        <v/>
      </c>
      <c r="G335" s="2" t="str">
        <f>IF(A335&lt;&gt;"",VLOOKUP(Alunos!A335,Recurso!A3:C1000,3, FALSE),"")</f>
        <v/>
      </c>
      <c r="H335" s="2" t="str">
        <f>IF(OR(A335&lt;&gt;"",G335&lt;&gt;""), SUMIFS(B335:G335,B1:G1,"&lt;&gt;",B2:G2,"&lt;&gt;Exame",B2:G2,"&lt;&gt;exame",B2:G2,"&lt;&gt;Nota",B2:G2,"&lt;&gt;Total"),"")</f>
        <v/>
      </c>
      <c r="I335" s="2" t="str">
        <f>IF(AND(A335&lt;&gt;"",H335&lt;&gt;""),ROUND(H335,0),"")</f>
        <v/>
      </c>
    </row>
    <row r="336" spans="2:9" x14ac:dyDescent="0.3">
      <c r="B336" s="2" t="str">
        <f>IF(A336&lt;&gt;"",VLOOKUP(Alunos!A336,Exame!A3:C1000,3, FALSE),"")</f>
        <v/>
      </c>
      <c r="C336" s="2" t="str">
        <f>IF(A336&lt;&gt;"",VLOOKUP(Alunos!A336,Agrupamentos!A3:B1000,2, FALSE),"")</f>
        <v/>
      </c>
      <c r="D336" s="2" t="str">
        <f>IF(A336&lt;&gt;"",VLOOKUP(Alunos!C336,'TP1'!A3:C1000,3, FALSE),"")</f>
        <v/>
      </c>
      <c r="E336" s="2" t="str">
        <f>IF(A336&lt;&gt;"", SUMIF(B1:D1,"&lt;&gt;",B336:D336),"")</f>
        <v/>
      </c>
      <c r="F336" s="2" t="str">
        <f>IF(AND(A336&lt;&gt;"",E336&lt;&gt;""),ROUND(E336,0),"")</f>
        <v/>
      </c>
      <c r="G336" s="2" t="str">
        <f>IF(A336&lt;&gt;"",VLOOKUP(Alunos!A336,Recurso!A3:C1000,3, FALSE),"")</f>
        <v/>
      </c>
      <c r="H336" s="2" t="str">
        <f>IF(OR(A336&lt;&gt;"",G336&lt;&gt;""), SUMIFS(B336:G336,B1:G1,"&lt;&gt;",B2:G2,"&lt;&gt;Exame",B2:G2,"&lt;&gt;exame",B2:G2,"&lt;&gt;Nota",B2:G2,"&lt;&gt;Total"),"")</f>
        <v/>
      </c>
      <c r="I336" s="2" t="str">
        <f>IF(AND(A336&lt;&gt;"",H336&lt;&gt;""),ROUND(H336,0),"")</f>
        <v/>
      </c>
    </row>
    <row r="337" spans="2:9" x14ac:dyDescent="0.3">
      <c r="B337" s="2" t="str">
        <f>IF(A337&lt;&gt;"",VLOOKUP(Alunos!A337,Exame!A3:C1000,3, FALSE),"")</f>
        <v/>
      </c>
      <c r="C337" s="2" t="str">
        <f>IF(A337&lt;&gt;"",VLOOKUP(Alunos!A337,Agrupamentos!A3:B1000,2, FALSE),"")</f>
        <v/>
      </c>
      <c r="D337" s="2" t="str">
        <f>IF(A337&lt;&gt;"",VLOOKUP(Alunos!C337,'TP1'!A3:C1000,3, FALSE),"")</f>
        <v/>
      </c>
      <c r="E337" s="2" t="str">
        <f>IF(A337&lt;&gt;"", SUMIF(B1:D1,"&lt;&gt;",B337:D337),"")</f>
        <v/>
      </c>
      <c r="F337" s="2" t="str">
        <f>IF(AND(A337&lt;&gt;"",E337&lt;&gt;""),ROUND(E337,0),"")</f>
        <v/>
      </c>
      <c r="G337" s="2" t="str">
        <f>IF(A337&lt;&gt;"",VLOOKUP(Alunos!A337,Recurso!A3:C1000,3, FALSE),"")</f>
        <v/>
      </c>
      <c r="H337" s="2" t="str">
        <f>IF(OR(A337&lt;&gt;"",G337&lt;&gt;""), SUMIFS(B337:G337,B1:G1,"&lt;&gt;",B2:G2,"&lt;&gt;Exame",B2:G2,"&lt;&gt;exame",B2:G2,"&lt;&gt;Nota",B2:G2,"&lt;&gt;Total"),"")</f>
        <v/>
      </c>
      <c r="I337" s="2" t="str">
        <f>IF(AND(A337&lt;&gt;"",H337&lt;&gt;""),ROUND(H337,0),"")</f>
        <v/>
      </c>
    </row>
    <row r="338" spans="2:9" x14ac:dyDescent="0.3">
      <c r="B338" s="2" t="str">
        <f>IF(A338&lt;&gt;"",VLOOKUP(Alunos!A338,Exame!A3:C1000,3, FALSE),"")</f>
        <v/>
      </c>
      <c r="C338" s="2" t="str">
        <f>IF(A338&lt;&gt;"",VLOOKUP(Alunos!A338,Agrupamentos!A3:B1000,2, FALSE),"")</f>
        <v/>
      </c>
      <c r="D338" s="2" t="str">
        <f>IF(A338&lt;&gt;"",VLOOKUP(Alunos!C338,'TP1'!A3:C1000,3, FALSE),"")</f>
        <v/>
      </c>
      <c r="E338" s="2" t="str">
        <f>IF(A338&lt;&gt;"", SUMIF(B1:D1,"&lt;&gt;",B338:D338),"")</f>
        <v/>
      </c>
      <c r="F338" s="2" t="str">
        <f>IF(AND(A338&lt;&gt;"",E338&lt;&gt;""),ROUND(E338,0),"")</f>
        <v/>
      </c>
      <c r="G338" s="2" t="str">
        <f>IF(A338&lt;&gt;"",VLOOKUP(Alunos!A338,Recurso!A3:C1000,3, FALSE),"")</f>
        <v/>
      </c>
      <c r="H338" s="2" t="str">
        <f>IF(OR(A338&lt;&gt;"",G338&lt;&gt;""), SUMIFS(B338:G338,B1:G1,"&lt;&gt;",B2:G2,"&lt;&gt;Exame",B2:G2,"&lt;&gt;exame",B2:G2,"&lt;&gt;Nota",B2:G2,"&lt;&gt;Total"),"")</f>
        <v/>
      </c>
      <c r="I338" s="2" t="str">
        <f>IF(AND(A338&lt;&gt;"",H338&lt;&gt;""),ROUND(H338,0),"")</f>
        <v/>
      </c>
    </row>
    <row r="339" spans="2:9" x14ac:dyDescent="0.3">
      <c r="B339" s="2" t="str">
        <f>IF(A339&lt;&gt;"",VLOOKUP(Alunos!A339,Exame!A3:C1000,3, FALSE),"")</f>
        <v/>
      </c>
      <c r="C339" s="2" t="str">
        <f>IF(A339&lt;&gt;"",VLOOKUP(Alunos!A339,Agrupamentos!A3:B1000,2, FALSE),"")</f>
        <v/>
      </c>
      <c r="D339" s="2" t="str">
        <f>IF(A339&lt;&gt;"",VLOOKUP(Alunos!C339,'TP1'!A3:C1000,3, FALSE),"")</f>
        <v/>
      </c>
      <c r="E339" s="2" t="str">
        <f>IF(A339&lt;&gt;"", SUMIF(B1:D1,"&lt;&gt;",B339:D339),"")</f>
        <v/>
      </c>
      <c r="F339" s="2" t="str">
        <f>IF(AND(A339&lt;&gt;"",E339&lt;&gt;""),ROUND(E339,0),"")</f>
        <v/>
      </c>
      <c r="G339" s="2" t="str">
        <f>IF(A339&lt;&gt;"",VLOOKUP(Alunos!A339,Recurso!A3:C1000,3, FALSE),"")</f>
        <v/>
      </c>
      <c r="H339" s="2" t="str">
        <f>IF(OR(A339&lt;&gt;"",G339&lt;&gt;""), SUMIFS(B339:G339,B1:G1,"&lt;&gt;",B2:G2,"&lt;&gt;Exame",B2:G2,"&lt;&gt;exame",B2:G2,"&lt;&gt;Nota",B2:G2,"&lt;&gt;Total"),"")</f>
        <v/>
      </c>
      <c r="I339" s="2" t="str">
        <f>IF(AND(A339&lt;&gt;"",H339&lt;&gt;""),ROUND(H339,0),"")</f>
        <v/>
      </c>
    </row>
    <row r="340" spans="2:9" x14ac:dyDescent="0.3">
      <c r="B340" s="2" t="str">
        <f>IF(A340&lt;&gt;"",VLOOKUP(Alunos!A340,Exame!A3:C1000,3, FALSE),"")</f>
        <v/>
      </c>
      <c r="C340" s="2" t="str">
        <f>IF(A340&lt;&gt;"",VLOOKUP(Alunos!A340,Agrupamentos!A3:B1000,2, FALSE),"")</f>
        <v/>
      </c>
      <c r="D340" s="2" t="str">
        <f>IF(A340&lt;&gt;"",VLOOKUP(Alunos!C340,'TP1'!A3:C1000,3, FALSE),"")</f>
        <v/>
      </c>
      <c r="E340" s="2" t="str">
        <f>IF(A340&lt;&gt;"", SUMIF(B1:D1,"&lt;&gt;",B340:D340),"")</f>
        <v/>
      </c>
      <c r="F340" s="2" t="str">
        <f>IF(AND(A340&lt;&gt;"",E340&lt;&gt;""),ROUND(E340,0),"")</f>
        <v/>
      </c>
      <c r="G340" s="2" t="str">
        <f>IF(A340&lt;&gt;"",VLOOKUP(Alunos!A340,Recurso!A3:C1000,3, FALSE),"")</f>
        <v/>
      </c>
      <c r="H340" s="2" t="str">
        <f>IF(OR(A340&lt;&gt;"",G340&lt;&gt;""), SUMIFS(B340:G340,B1:G1,"&lt;&gt;",B2:G2,"&lt;&gt;Exame",B2:G2,"&lt;&gt;exame",B2:G2,"&lt;&gt;Nota",B2:G2,"&lt;&gt;Total"),"")</f>
        <v/>
      </c>
      <c r="I340" s="2" t="str">
        <f>IF(AND(A340&lt;&gt;"",H340&lt;&gt;""),ROUND(H340,0),"")</f>
        <v/>
      </c>
    </row>
    <row r="341" spans="2:9" x14ac:dyDescent="0.3">
      <c r="B341" s="2" t="str">
        <f>IF(A341&lt;&gt;"",VLOOKUP(Alunos!A341,Exame!A3:C1000,3, FALSE),"")</f>
        <v/>
      </c>
      <c r="C341" s="2" t="str">
        <f>IF(A341&lt;&gt;"",VLOOKUP(Alunos!A341,Agrupamentos!A3:B1000,2, FALSE),"")</f>
        <v/>
      </c>
      <c r="D341" s="2" t="str">
        <f>IF(A341&lt;&gt;"",VLOOKUP(Alunos!C341,'TP1'!A3:C1000,3, FALSE),"")</f>
        <v/>
      </c>
      <c r="E341" s="2" t="str">
        <f>IF(A341&lt;&gt;"", SUMIF(B1:D1,"&lt;&gt;",B341:D341),"")</f>
        <v/>
      </c>
      <c r="F341" s="2" t="str">
        <f>IF(AND(A341&lt;&gt;"",E341&lt;&gt;""),ROUND(E341,0),"")</f>
        <v/>
      </c>
      <c r="G341" s="2" t="str">
        <f>IF(A341&lt;&gt;"",VLOOKUP(Alunos!A341,Recurso!A3:C1000,3, FALSE),"")</f>
        <v/>
      </c>
      <c r="H341" s="2" t="str">
        <f>IF(OR(A341&lt;&gt;"",G341&lt;&gt;""), SUMIFS(B341:G341,B1:G1,"&lt;&gt;",B2:G2,"&lt;&gt;Exame",B2:G2,"&lt;&gt;exame",B2:G2,"&lt;&gt;Nota",B2:G2,"&lt;&gt;Total"),"")</f>
        <v/>
      </c>
      <c r="I341" s="2" t="str">
        <f>IF(AND(A341&lt;&gt;"",H341&lt;&gt;""),ROUND(H341,0),"")</f>
        <v/>
      </c>
    </row>
    <row r="342" spans="2:9" x14ac:dyDescent="0.3">
      <c r="B342" s="2" t="str">
        <f>IF(A342&lt;&gt;"",VLOOKUP(Alunos!A342,Exame!A3:C1000,3, FALSE),"")</f>
        <v/>
      </c>
      <c r="C342" s="2" t="str">
        <f>IF(A342&lt;&gt;"",VLOOKUP(Alunos!A342,Agrupamentos!A3:B1000,2, FALSE),"")</f>
        <v/>
      </c>
      <c r="D342" s="2" t="str">
        <f>IF(A342&lt;&gt;"",VLOOKUP(Alunos!C342,'TP1'!A3:C1000,3, FALSE),"")</f>
        <v/>
      </c>
      <c r="E342" s="2" t="str">
        <f>IF(A342&lt;&gt;"", SUMIF(B1:D1,"&lt;&gt;",B342:D342),"")</f>
        <v/>
      </c>
      <c r="F342" s="2" t="str">
        <f>IF(AND(A342&lt;&gt;"",E342&lt;&gt;""),ROUND(E342,0),"")</f>
        <v/>
      </c>
      <c r="G342" s="2" t="str">
        <f>IF(A342&lt;&gt;"",VLOOKUP(Alunos!A342,Recurso!A3:C1000,3, FALSE),"")</f>
        <v/>
      </c>
      <c r="H342" s="2" t="str">
        <f>IF(OR(A342&lt;&gt;"",G342&lt;&gt;""), SUMIFS(B342:G342,B1:G1,"&lt;&gt;",B2:G2,"&lt;&gt;Exame",B2:G2,"&lt;&gt;exame",B2:G2,"&lt;&gt;Nota",B2:G2,"&lt;&gt;Total"),"")</f>
        <v/>
      </c>
      <c r="I342" s="2" t="str">
        <f>IF(AND(A342&lt;&gt;"",H342&lt;&gt;""),ROUND(H342,0),"")</f>
        <v/>
      </c>
    </row>
    <row r="343" spans="2:9" x14ac:dyDescent="0.3">
      <c r="B343" s="2" t="str">
        <f>IF(A343&lt;&gt;"",VLOOKUP(Alunos!A343,Exame!A3:C1000,3, FALSE),"")</f>
        <v/>
      </c>
      <c r="C343" s="2" t="str">
        <f>IF(A343&lt;&gt;"",VLOOKUP(Alunos!A343,Agrupamentos!A3:B1000,2, FALSE),"")</f>
        <v/>
      </c>
      <c r="D343" s="2" t="str">
        <f>IF(A343&lt;&gt;"",VLOOKUP(Alunos!C343,'TP1'!A3:C1000,3, FALSE),"")</f>
        <v/>
      </c>
      <c r="E343" s="2" t="str">
        <f>IF(A343&lt;&gt;"", SUMIF(B1:D1,"&lt;&gt;",B343:D343),"")</f>
        <v/>
      </c>
      <c r="F343" s="2" t="str">
        <f>IF(AND(A343&lt;&gt;"",E343&lt;&gt;""),ROUND(E343,0),"")</f>
        <v/>
      </c>
      <c r="G343" s="2" t="str">
        <f>IF(A343&lt;&gt;"",VLOOKUP(Alunos!A343,Recurso!A3:C1000,3, FALSE),"")</f>
        <v/>
      </c>
      <c r="H343" s="2" t="str">
        <f>IF(OR(A343&lt;&gt;"",G343&lt;&gt;""), SUMIFS(B343:G343,B1:G1,"&lt;&gt;",B2:G2,"&lt;&gt;Exame",B2:G2,"&lt;&gt;exame",B2:G2,"&lt;&gt;Nota",B2:G2,"&lt;&gt;Total"),"")</f>
        <v/>
      </c>
      <c r="I343" s="2" t="str">
        <f>IF(AND(A343&lt;&gt;"",H343&lt;&gt;""),ROUND(H343,0),"")</f>
        <v/>
      </c>
    </row>
    <row r="344" spans="2:9" x14ac:dyDescent="0.3">
      <c r="B344" s="2" t="str">
        <f>IF(A344&lt;&gt;"",VLOOKUP(Alunos!A344,Exame!A3:C1000,3, FALSE),"")</f>
        <v/>
      </c>
      <c r="C344" s="2" t="str">
        <f>IF(A344&lt;&gt;"",VLOOKUP(Alunos!A344,Agrupamentos!A3:B1000,2, FALSE),"")</f>
        <v/>
      </c>
      <c r="D344" s="2" t="str">
        <f>IF(A344&lt;&gt;"",VLOOKUP(Alunos!C344,'TP1'!A3:C1000,3, FALSE),"")</f>
        <v/>
      </c>
      <c r="E344" s="2" t="str">
        <f>IF(A344&lt;&gt;"", SUMIF(B1:D1,"&lt;&gt;",B344:D344),"")</f>
        <v/>
      </c>
      <c r="F344" s="2" t="str">
        <f>IF(AND(A344&lt;&gt;"",E344&lt;&gt;""),ROUND(E344,0),"")</f>
        <v/>
      </c>
      <c r="G344" s="2" t="str">
        <f>IF(A344&lt;&gt;"",VLOOKUP(Alunos!A344,Recurso!A3:C1000,3, FALSE),"")</f>
        <v/>
      </c>
      <c r="H344" s="2" t="str">
        <f>IF(OR(A344&lt;&gt;"",G344&lt;&gt;""), SUMIFS(B344:G344,B1:G1,"&lt;&gt;",B2:G2,"&lt;&gt;Exame",B2:G2,"&lt;&gt;exame",B2:G2,"&lt;&gt;Nota",B2:G2,"&lt;&gt;Total"),"")</f>
        <v/>
      </c>
      <c r="I344" s="2" t="str">
        <f>IF(AND(A344&lt;&gt;"",H344&lt;&gt;""),ROUND(H344,0),"")</f>
        <v/>
      </c>
    </row>
    <row r="345" spans="2:9" x14ac:dyDescent="0.3">
      <c r="B345" s="2" t="str">
        <f>IF(A345&lt;&gt;"",VLOOKUP(Alunos!A345,Exame!A3:C1000,3, FALSE),"")</f>
        <v/>
      </c>
      <c r="C345" s="2" t="str">
        <f>IF(A345&lt;&gt;"",VLOOKUP(Alunos!A345,Agrupamentos!A3:B1000,2, FALSE),"")</f>
        <v/>
      </c>
      <c r="D345" s="2" t="str">
        <f>IF(A345&lt;&gt;"",VLOOKUP(Alunos!C345,'TP1'!A3:C1000,3, FALSE),"")</f>
        <v/>
      </c>
      <c r="E345" s="2" t="str">
        <f>IF(A345&lt;&gt;"", SUMIF(B1:D1,"&lt;&gt;",B345:D345),"")</f>
        <v/>
      </c>
      <c r="F345" s="2" t="str">
        <f>IF(AND(A345&lt;&gt;"",E345&lt;&gt;""),ROUND(E345,0),"")</f>
        <v/>
      </c>
      <c r="G345" s="2" t="str">
        <f>IF(A345&lt;&gt;"",VLOOKUP(Alunos!A345,Recurso!A3:C1000,3, FALSE),"")</f>
        <v/>
      </c>
      <c r="H345" s="2" t="str">
        <f>IF(OR(A345&lt;&gt;"",G345&lt;&gt;""), SUMIFS(B345:G345,B1:G1,"&lt;&gt;",B2:G2,"&lt;&gt;Exame",B2:G2,"&lt;&gt;exame",B2:G2,"&lt;&gt;Nota",B2:G2,"&lt;&gt;Total"),"")</f>
        <v/>
      </c>
      <c r="I345" s="2" t="str">
        <f>IF(AND(A345&lt;&gt;"",H345&lt;&gt;""),ROUND(H345,0),"")</f>
        <v/>
      </c>
    </row>
    <row r="346" spans="2:9" x14ac:dyDescent="0.3">
      <c r="B346" s="2" t="str">
        <f>IF(A346&lt;&gt;"",VLOOKUP(Alunos!A346,Exame!A3:C1000,3, FALSE),"")</f>
        <v/>
      </c>
      <c r="C346" s="2" t="str">
        <f>IF(A346&lt;&gt;"",VLOOKUP(Alunos!A346,Agrupamentos!A3:B1000,2, FALSE),"")</f>
        <v/>
      </c>
      <c r="D346" s="2" t="str">
        <f>IF(A346&lt;&gt;"",VLOOKUP(Alunos!C346,'TP1'!A3:C1000,3, FALSE),"")</f>
        <v/>
      </c>
      <c r="E346" s="2" t="str">
        <f>IF(A346&lt;&gt;"", SUMIF(B1:D1,"&lt;&gt;",B346:D346),"")</f>
        <v/>
      </c>
      <c r="F346" s="2" t="str">
        <f>IF(AND(A346&lt;&gt;"",E346&lt;&gt;""),ROUND(E346,0),"")</f>
        <v/>
      </c>
      <c r="G346" s="2" t="str">
        <f>IF(A346&lt;&gt;"",VLOOKUP(Alunos!A346,Recurso!A3:C1000,3, FALSE),"")</f>
        <v/>
      </c>
      <c r="H346" s="2" t="str">
        <f>IF(OR(A346&lt;&gt;"",G346&lt;&gt;""), SUMIFS(B346:G346,B1:G1,"&lt;&gt;",B2:G2,"&lt;&gt;Exame",B2:G2,"&lt;&gt;exame",B2:G2,"&lt;&gt;Nota",B2:G2,"&lt;&gt;Total"),"")</f>
        <v/>
      </c>
      <c r="I346" s="2" t="str">
        <f>IF(AND(A346&lt;&gt;"",H346&lt;&gt;""),ROUND(H346,0),"")</f>
        <v/>
      </c>
    </row>
    <row r="347" spans="2:9" x14ac:dyDescent="0.3">
      <c r="B347" s="2" t="str">
        <f>IF(A347&lt;&gt;"",VLOOKUP(Alunos!A347,Exame!A3:C1000,3, FALSE),"")</f>
        <v/>
      </c>
      <c r="C347" s="2" t="str">
        <f>IF(A347&lt;&gt;"",VLOOKUP(Alunos!A347,Agrupamentos!A3:B1000,2, FALSE),"")</f>
        <v/>
      </c>
      <c r="D347" s="2" t="str">
        <f>IF(A347&lt;&gt;"",VLOOKUP(Alunos!C347,'TP1'!A3:C1000,3, FALSE),"")</f>
        <v/>
      </c>
      <c r="E347" s="2" t="str">
        <f>IF(A347&lt;&gt;"", SUMIF(B1:D1,"&lt;&gt;",B347:D347),"")</f>
        <v/>
      </c>
      <c r="F347" s="2" t="str">
        <f>IF(AND(A347&lt;&gt;"",E347&lt;&gt;""),ROUND(E347,0),"")</f>
        <v/>
      </c>
      <c r="G347" s="2" t="str">
        <f>IF(A347&lt;&gt;"",VLOOKUP(Alunos!A347,Recurso!A3:C1000,3, FALSE),"")</f>
        <v/>
      </c>
      <c r="H347" s="2" t="str">
        <f>IF(OR(A347&lt;&gt;"",G347&lt;&gt;""), SUMIFS(B347:G347,B1:G1,"&lt;&gt;",B2:G2,"&lt;&gt;Exame",B2:G2,"&lt;&gt;exame",B2:G2,"&lt;&gt;Nota",B2:G2,"&lt;&gt;Total"),"")</f>
        <v/>
      </c>
      <c r="I347" s="2" t="str">
        <f>IF(AND(A347&lt;&gt;"",H347&lt;&gt;""),ROUND(H347,0),"")</f>
        <v/>
      </c>
    </row>
    <row r="348" spans="2:9" x14ac:dyDescent="0.3">
      <c r="B348" s="2" t="str">
        <f>IF(A348&lt;&gt;"",VLOOKUP(Alunos!A348,Exame!A3:C1000,3, FALSE),"")</f>
        <v/>
      </c>
      <c r="C348" s="2" t="str">
        <f>IF(A348&lt;&gt;"",VLOOKUP(Alunos!A348,Agrupamentos!A3:B1000,2, FALSE),"")</f>
        <v/>
      </c>
      <c r="D348" s="2" t="str">
        <f>IF(A348&lt;&gt;"",VLOOKUP(Alunos!C348,'TP1'!A3:C1000,3, FALSE),"")</f>
        <v/>
      </c>
      <c r="E348" s="2" t="str">
        <f>IF(A348&lt;&gt;"", SUMIF(B1:D1,"&lt;&gt;",B348:D348),"")</f>
        <v/>
      </c>
      <c r="F348" s="2" t="str">
        <f>IF(AND(A348&lt;&gt;"",E348&lt;&gt;""),ROUND(E348,0),"")</f>
        <v/>
      </c>
      <c r="G348" s="2" t="str">
        <f>IF(A348&lt;&gt;"",VLOOKUP(Alunos!A348,Recurso!A3:C1000,3, FALSE),"")</f>
        <v/>
      </c>
      <c r="H348" s="2" t="str">
        <f>IF(OR(A348&lt;&gt;"",G348&lt;&gt;""), SUMIFS(B348:G348,B1:G1,"&lt;&gt;",B2:G2,"&lt;&gt;Exame",B2:G2,"&lt;&gt;exame",B2:G2,"&lt;&gt;Nota",B2:G2,"&lt;&gt;Total"),"")</f>
        <v/>
      </c>
      <c r="I348" s="2" t="str">
        <f>IF(AND(A348&lt;&gt;"",H348&lt;&gt;""),ROUND(H348,0),"")</f>
        <v/>
      </c>
    </row>
    <row r="349" spans="2:9" x14ac:dyDescent="0.3">
      <c r="B349" s="2" t="str">
        <f>IF(A349&lt;&gt;"",VLOOKUP(Alunos!A349,Exame!A3:C1000,3, FALSE),"")</f>
        <v/>
      </c>
      <c r="C349" s="2" t="str">
        <f>IF(A349&lt;&gt;"",VLOOKUP(Alunos!A349,Agrupamentos!A3:B1000,2, FALSE),"")</f>
        <v/>
      </c>
      <c r="D349" s="2" t="str">
        <f>IF(A349&lt;&gt;"",VLOOKUP(Alunos!C349,'TP1'!A3:C1000,3, FALSE),"")</f>
        <v/>
      </c>
      <c r="E349" s="2" t="str">
        <f>IF(A349&lt;&gt;"", SUMIF(B1:D1,"&lt;&gt;",B349:D349),"")</f>
        <v/>
      </c>
      <c r="F349" s="2" t="str">
        <f>IF(AND(A349&lt;&gt;"",E349&lt;&gt;""),ROUND(E349,0),"")</f>
        <v/>
      </c>
      <c r="G349" s="2" t="str">
        <f>IF(A349&lt;&gt;"",VLOOKUP(Alunos!A349,Recurso!A3:C1000,3, FALSE),"")</f>
        <v/>
      </c>
      <c r="H349" s="2" t="str">
        <f>IF(OR(A349&lt;&gt;"",G349&lt;&gt;""), SUMIFS(B349:G349,B1:G1,"&lt;&gt;",B2:G2,"&lt;&gt;Exame",B2:G2,"&lt;&gt;exame",B2:G2,"&lt;&gt;Nota",B2:G2,"&lt;&gt;Total"),"")</f>
        <v/>
      </c>
      <c r="I349" s="2" t="str">
        <f>IF(AND(A349&lt;&gt;"",H349&lt;&gt;""),ROUND(H349,0),"")</f>
        <v/>
      </c>
    </row>
    <row r="350" spans="2:9" x14ac:dyDescent="0.3">
      <c r="B350" s="2" t="str">
        <f>IF(A350&lt;&gt;"",VLOOKUP(Alunos!A350,Exame!A3:C1000,3, FALSE),"")</f>
        <v/>
      </c>
      <c r="C350" s="2" t="str">
        <f>IF(A350&lt;&gt;"",VLOOKUP(Alunos!A350,Agrupamentos!A3:B1000,2, FALSE),"")</f>
        <v/>
      </c>
      <c r="D350" s="2" t="str">
        <f>IF(A350&lt;&gt;"",VLOOKUP(Alunos!C350,'TP1'!A3:C1000,3, FALSE),"")</f>
        <v/>
      </c>
      <c r="E350" s="2" t="str">
        <f>IF(A350&lt;&gt;"", SUMIF(B1:D1,"&lt;&gt;",B350:D350),"")</f>
        <v/>
      </c>
      <c r="F350" s="2" t="str">
        <f>IF(AND(A350&lt;&gt;"",E350&lt;&gt;""),ROUND(E350,0),"")</f>
        <v/>
      </c>
      <c r="G350" s="2" t="str">
        <f>IF(A350&lt;&gt;"",VLOOKUP(Alunos!A350,Recurso!A3:C1000,3, FALSE),"")</f>
        <v/>
      </c>
      <c r="H350" s="2" t="str">
        <f>IF(OR(A350&lt;&gt;"",G350&lt;&gt;""), SUMIFS(B350:G350,B1:G1,"&lt;&gt;",B2:G2,"&lt;&gt;Exame",B2:G2,"&lt;&gt;exame",B2:G2,"&lt;&gt;Nota",B2:G2,"&lt;&gt;Total"),"")</f>
        <v/>
      </c>
      <c r="I350" s="2" t="str">
        <f>IF(AND(A350&lt;&gt;"",H350&lt;&gt;""),ROUND(H350,0),"")</f>
        <v/>
      </c>
    </row>
    <row r="351" spans="2:9" x14ac:dyDescent="0.3">
      <c r="B351" s="2" t="str">
        <f>IF(A351&lt;&gt;"",VLOOKUP(Alunos!A351,Exame!A3:C1000,3, FALSE),"")</f>
        <v/>
      </c>
      <c r="C351" s="2" t="str">
        <f>IF(A351&lt;&gt;"",VLOOKUP(Alunos!A351,Agrupamentos!A3:B1000,2, FALSE),"")</f>
        <v/>
      </c>
      <c r="D351" s="2" t="str">
        <f>IF(A351&lt;&gt;"",VLOOKUP(Alunos!C351,'TP1'!A3:C1000,3, FALSE),"")</f>
        <v/>
      </c>
      <c r="E351" s="2" t="str">
        <f>IF(A351&lt;&gt;"", SUMIF(B1:D1,"&lt;&gt;",B351:D351),"")</f>
        <v/>
      </c>
      <c r="F351" s="2" t="str">
        <f>IF(AND(A351&lt;&gt;"",E351&lt;&gt;""),ROUND(E351,0),"")</f>
        <v/>
      </c>
      <c r="G351" s="2" t="str">
        <f>IF(A351&lt;&gt;"",VLOOKUP(Alunos!A351,Recurso!A3:C1000,3, FALSE),"")</f>
        <v/>
      </c>
      <c r="H351" s="2" t="str">
        <f>IF(OR(A351&lt;&gt;"",G351&lt;&gt;""), SUMIFS(B351:G351,B1:G1,"&lt;&gt;",B2:G2,"&lt;&gt;Exame",B2:G2,"&lt;&gt;exame",B2:G2,"&lt;&gt;Nota",B2:G2,"&lt;&gt;Total"),"")</f>
        <v/>
      </c>
      <c r="I351" s="2" t="str">
        <f>IF(AND(A351&lt;&gt;"",H351&lt;&gt;""),ROUND(H351,0),"")</f>
        <v/>
      </c>
    </row>
    <row r="352" spans="2:9" x14ac:dyDescent="0.3">
      <c r="B352" s="2" t="str">
        <f>IF(A352&lt;&gt;"",VLOOKUP(Alunos!A352,Exame!A3:C1000,3, FALSE),"")</f>
        <v/>
      </c>
      <c r="C352" s="2" t="str">
        <f>IF(A352&lt;&gt;"",VLOOKUP(Alunos!A352,Agrupamentos!A3:B1000,2, FALSE),"")</f>
        <v/>
      </c>
      <c r="D352" s="2" t="str">
        <f>IF(A352&lt;&gt;"",VLOOKUP(Alunos!C352,'TP1'!A3:C1000,3, FALSE),"")</f>
        <v/>
      </c>
      <c r="E352" s="2" t="str">
        <f>IF(A352&lt;&gt;"", SUMIF(B1:D1,"&lt;&gt;",B352:D352),"")</f>
        <v/>
      </c>
      <c r="F352" s="2" t="str">
        <f>IF(AND(A352&lt;&gt;"",E352&lt;&gt;""),ROUND(E352,0),"")</f>
        <v/>
      </c>
      <c r="G352" s="2" t="str">
        <f>IF(A352&lt;&gt;"",VLOOKUP(Alunos!A352,Recurso!A3:C1000,3, FALSE),"")</f>
        <v/>
      </c>
      <c r="H352" s="2" t="str">
        <f>IF(OR(A352&lt;&gt;"",G352&lt;&gt;""), SUMIFS(B352:G352,B1:G1,"&lt;&gt;",B2:G2,"&lt;&gt;Exame",B2:G2,"&lt;&gt;exame",B2:G2,"&lt;&gt;Nota",B2:G2,"&lt;&gt;Total"),"")</f>
        <v/>
      </c>
      <c r="I352" s="2" t="str">
        <f>IF(AND(A352&lt;&gt;"",H352&lt;&gt;""),ROUND(H352,0),"")</f>
        <v/>
      </c>
    </row>
    <row r="353" spans="2:9" x14ac:dyDescent="0.3">
      <c r="B353" s="2" t="str">
        <f>IF(A353&lt;&gt;"",VLOOKUP(Alunos!A353,Exame!A3:C1000,3, FALSE),"")</f>
        <v/>
      </c>
      <c r="C353" s="2" t="str">
        <f>IF(A353&lt;&gt;"",VLOOKUP(Alunos!A353,Agrupamentos!A3:B1000,2, FALSE),"")</f>
        <v/>
      </c>
      <c r="D353" s="2" t="str">
        <f>IF(A353&lt;&gt;"",VLOOKUP(Alunos!C353,'TP1'!A3:C1000,3, FALSE),"")</f>
        <v/>
      </c>
      <c r="E353" s="2" t="str">
        <f>IF(A353&lt;&gt;"", SUMIF(B1:D1,"&lt;&gt;",B353:D353),"")</f>
        <v/>
      </c>
      <c r="F353" s="2" t="str">
        <f>IF(AND(A353&lt;&gt;"",E353&lt;&gt;""),ROUND(E353,0),"")</f>
        <v/>
      </c>
      <c r="G353" s="2" t="str">
        <f>IF(A353&lt;&gt;"",VLOOKUP(Alunos!A353,Recurso!A3:C1000,3, FALSE),"")</f>
        <v/>
      </c>
      <c r="H353" s="2" t="str">
        <f>IF(OR(A353&lt;&gt;"",G353&lt;&gt;""), SUMIFS(B353:G353,B1:G1,"&lt;&gt;",B2:G2,"&lt;&gt;Exame",B2:G2,"&lt;&gt;exame",B2:G2,"&lt;&gt;Nota",B2:G2,"&lt;&gt;Total"),"")</f>
        <v/>
      </c>
      <c r="I353" s="2" t="str">
        <f>IF(AND(A353&lt;&gt;"",H353&lt;&gt;""),ROUND(H353,0),"")</f>
        <v/>
      </c>
    </row>
    <row r="354" spans="2:9" x14ac:dyDescent="0.3">
      <c r="B354" s="2" t="str">
        <f>IF(A354&lt;&gt;"",VLOOKUP(Alunos!A354,Exame!A3:C1000,3, FALSE),"")</f>
        <v/>
      </c>
      <c r="C354" s="2" t="str">
        <f>IF(A354&lt;&gt;"",VLOOKUP(Alunos!A354,Agrupamentos!A3:B1000,2, FALSE),"")</f>
        <v/>
      </c>
      <c r="D354" s="2" t="str">
        <f>IF(A354&lt;&gt;"",VLOOKUP(Alunos!C354,'TP1'!A3:C1000,3, FALSE),"")</f>
        <v/>
      </c>
      <c r="E354" s="2" t="str">
        <f>IF(A354&lt;&gt;"", SUMIF(B1:D1,"&lt;&gt;",B354:D354),"")</f>
        <v/>
      </c>
      <c r="F354" s="2" t="str">
        <f>IF(AND(A354&lt;&gt;"",E354&lt;&gt;""),ROUND(E354,0),"")</f>
        <v/>
      </c>
      <c r="G354" s="2" t="str">
        <f>IF(A354&lt;&gt;"",VLOOKUP(Alunos!A354,Recurso!A3:C1000,3, FALSE),"")</f>
        <v/>
      </c>
      <c r="H354" s="2" t="str">
        <f>IF(OR(A354&lt;&gt;"",G354&lt;&gt;""), SUMIFS(B354:G354,B1:G1,"&lt;&gt;",B2:G2,"&lt;&gt;Exame",B2:G2,"&lt;&gt;exame",B2:G2,"&lt;&gt;Nota",B2:G2,"&lt;&gt;Total"),"")</f>
        <v/>
      </c>
      <c r="I354" s="2" t="str">
        <f>IF(AND(A354&lt;&gt;"",H354&lt;&gt;""),ROUND(H354,0),"")</f>
        <v/>
      </c>
    </row>
    <row r="355" spans="2:9" x14ac:dyDescent="0.3">
      <c r="B355" s="2" t="str">
        <f>IF(A355&lt;&gt;"",VLOOKUP(Alunos!A355,Exame!A3:C1000,3, FALSE),"")</f>
        <v/>
      </c>
      <c r="C355" s="2" t="str">
        <f>IF(A355&lt;&gt;"",VLOOKUP(Alunos!A355,Agrupamentos!A3:B1000,2, FALSE),"")</f>
        <v/>
      </c>
      <c r="D355" s="2" t="str">
        <f>IF(A355&lt;&gt;"",VLOOKUP(Alunos!C355,'TP1'!A3:C1000,3, FALSE),"")</f>
        <v/>
      </c>
      <c r="E355" s="2" t="str">
        <f>IF(A355&lt;&gt;"", SUMIF(B1:D1,"&lt;&gt;",B355:D355),"")</f>
        <v/>
      </c>
      <c r="F355" s="2" t="str">
        <f>IF(AND(A355&lt;&gt;"",E355&lt;&gt;""),ROUND(E355,0),"")</f>
        <v/>
      </c>
      <c r="G355" s="2" t="str">
        <f>IF(A355&lt;&gt;"",VLOOKUP(Alunos!A355,Recurso!A3:C1000,3, FALSE),"")</f>
        <v/>
      </c>
      <c r="H355" s="2" t="str">
        <f>IF(OR(A355&lt;&gt;"",G355&lt;&gt;""), SUMIFS(B355:G355,B1:G1,"&lt;&gt;",B2:G2,"&lt;&gt;Exame",B2:G2,"&lt;&gt;exame",B2:G2,"&lt;&gt;Nota",B2:G2,"&lt;&gt;Total"),"")</f>
        <v/>
      </c>
      <c r="I355" s="2" t="str">
        <f>IF(AND(A355&lt;&gt;"",H355&lt;&gt;""),ROUND(H355,0),"")</f>
        <v/>
      </c>
    </row>
    <row r="356" spans="2:9" x14ac:dyDescent="0.3">
      <c r="B356" s="2" t="str">
        <f>IF(A356&lt;&gt;"",VLOOKUP(Alunos!A356,Exame!A3:C1000,3, FALSE),"")</f>
        <v/>
      </c>
      <c r="C356" s="2" t="str">
        <f>IF(A356&lt;&gt;"",VLOOKUP(Alunos!A356,Agrupamentos!A3:B1000,2, FALSE),"")</f>
        <v/>
      </c>
      <c r="D356" s="2" t="str">
        <f>IF(A356&lt;&gt;"",VLOOKUP(Alunos!C356,'TP1'!A3:C1000,3, FALSE),"")</f>
        <v/>
      </c>
      <c r="E356" s="2" t="str">
        <f>IF(A356&lt;&gt;"", SUMIF(B1:D1,"&lt;&gt;",B356:D356),"")</f>
        <v/>
      </c>
      <c r="F356" s="2" t="str">
        <f>IF(AND(A356&lt;&gt;"",E356&lt;&gt;""),ROUND(E356,0),"")</f>
        <v/>
      </c>
      <c r="G356" s="2" t="str">
        <f>IF(A356&lt;&gt;"",VLOOKUP(Alunos!A356,Recurso!A3:C1000,3, FALSE),"")</f>
        <v/>
      </c>
      <c r="H356" s="2" t="str">
        <f>IF(OR(A356&lt;&gt;"",G356&lt;&gt;""), SUMIFS(B356:G356,B1:G1,"&lt;&gt;",B2:G2,"&lt;&gt;Exame",B2:G2,"&lt;&gt;exame",B2:G2,"&lt;&gt;Nota",B2:G2,"&lt;&gt;Total"),"")</f>
        <v/>
      </c>
      <c r="I356" s="2" t="str">
        <f>IF(AND(A356&lt;&gt;"",H356&lt;&gt;""),ROUND(H356,0),"")</f>
        <v/>
      </c>
    </row>
    <row r="357" spans="2:9" x14ac:dyDescent="0.3">
      <c r="B357" s="2" t="str">
        <f>IF(A357&lt;&gt;"",VLOOKUP(Alunos!A357,Exame!A3:C1000,3, FALSE),"")</f>
        <v/>
      </c>
      <c r="C357" s="2" t="str">
        <f>IF(A357&lt;&gt;"",VLOOKUP(Alunos!A357,Agrupamentos!A3:B1000,2, FALSE),"")</f>
        <v/>
      </c>
      <c r="D357" s="2" t="str">
        <f>IF(A357&lt;&gt;"",VLOOKUP(Alunos!C357,'TP1'!A3:C1000,3, FALSE),"")</f>
        <v/>
      </c>
      <c r="E357" s="2" t="str">
        <f>IF(A357&lt;&gt;"", SUMIF(B1:D1,"&lt;&gt;",B357:D357),"")</f>
        <v/>
      </c>
      <c r="F357" s="2" t="str">
        <f>IF(AND(A357&lt;&gt;"",E357&lt;&gt;""),ROUND(E357,0),"")</f>
        <v/>
      </c>
      <c r="G357" s="2" t="str">
        <f>IF(A357&lt;&gt;"",VLOOKUP(Alunos!A357,Recurso!A3:C1000,3, FALSE),"")</f>
        <v/>
      </c>
      <c r="H357" s="2" t="str">
        <f>IF(OR(A357&lt;&gt;"",G357&lt;&gt;""), SUMIFS(B357:G357,B1:G1,"&lt;&gt;",B2:G2,"&lt;&gt;Exame",B2:G2,"&lt;&gt;exame",B2:G2,"&lt;&gt;Nota",B2:G2,"&lt;&gt;Total"),"")</f>
        <v/>
      </c>
      <c r="I357" s="2" t="str">
        <f>IF(AND(A357&lt;&gt;"",H357&lt;&gt;""),ROUND(H357,0),"")</f>
        <v/>
      </c>
    </row>
    <row r="358" spans="2:9" x14ac:dyDescent="0.3">
      <c r="B358" s="2" t="str">
        <f>IF(A358&lt;&gt;"",VLOOKUP(Alunos!A358,Exame!A3:C1000,3, FALSE),"")</f>
        <v/>
      </c>
      <c r="C358" s="2" t="str">
        <f>IF(A358&lt;&gt;"",VLOOKUP(Alunos!A358,Agrupamentos!A3:B1000,2, FALSE),"")</f>
        <v/>
      </c>
      <c r="D358" s="2" t="str">
        <f>IF(A358&lt;&gt;"",VLOOKUP(Alunos!C358,'TP1'!A3:C1000,3, FALSE),"")</f>
        <v/>
      </c>
      <c r="E358" s="2" t="str">
        <f>IF(A358&lt;&gt;"", SUMIF(B1:D1,"&lt;&gt;",B358:D358),"")</f>
        <v/>
      </c>
      <c r="F358" s="2" t="str">
        <f>IF(AND(A358&lt;&gt;"",E358&lt;&gt;""),ROUND(E358,0),"")</f>
        <v/>
      </c>
      <c r="G358" s="2" t="str">
        <f>IF(A358&lt;&gt;"",VLOOKUP(Alunos!A358,Recurso!A3:C1000,3, FALSE),"")</f>
        <v/>
      </c>
      <c r="H358" s="2" t="str">
        <f>IF(OR(A358&lt;&gt;"",G358&lt;&gt;""), SUMIFS(B358:G358,B1:G1,"&lt;&gt;",B2:G2,"&lt;&gt;Exame",B2:G2,"&lt;&gt;exame",B2:G2,"&lt;&gt;Nota",B2:G2,"&lt;&gt;Total"),"")</f>
        <v/>
      </c>
      <c r="I358" s="2" t="str">
        <f>IF(AND(A358&lt;&gt;"",H358&lt;&gt;""),ROUND(H358,0),"")</f>
        <v/>
      </c>
    </row>
    <row r="359" spans="2:9" x14ac:dyDescent="0.3">
      <c r="B359" s="2" t="str">
        <f>IF(A359&lt;&gt;"",VLOOKUP(Alunos!A359,Exame!A3:C1000,3, FALSE),"")</f>
        <v/>
      </c>
      <c r="C359" s="2" t="str">
        <f>IF(A359&lt;&gt;"",VLOOKUP(Alunos!A359,Agrupamentos!A3:B1000,2, FALSE),"")</f>
        <v/>
      </c>
      <c r="D359" s="2" t="str">
        <f>IF(A359&lt;&gt;"",VLOOKUP(Alunos!C359,'TP1'!A3:C1000,3, FALSE),"")</f>
        <v/>
      </c>
      <c r="E359" s="2" t="str">
        <f>IF(A359&lt;&gt;"", SUMIF(B1:D1,"&lt;&gt;",B359:D359),"")</f>
        <v/>
      </c>
      <c r="F359" s="2" t="str">
        <f>IF(AND(A359&lt;&gt;"",E359&lt;&gt;""),ROUND(E359,0),"")</f>
        <v/>
      </c>
      <c r="G359" s="2" t="str">
        <f>IF(A359&lt;&gt;"",VLOOKUP(Alunos!A359,Recurso!A3:C1000,3, FALSE),"")</f>
        <v/>
      </c>
      <c r="H359" s="2" t="str">
        <f>IF(OR(A359&lt;&gt;"",G359&lt;&gt;""), SUMIFS(B359:G359,B1:G1,"&lt;&gt;",B2:G2,"&lt;&gt;Exame",B2:G2,"&lt;&gt;exame",B2:G2,"&lt;&gt;Nota",B2:G2,"&lt;&gt;Total"),"")</f>
        <v/>
      </c>
      <c r="I359" s="2" t="str">
        <f>IF(AND(A359&lt;&gt;"",H359&lt;&gt;""),ROUND(H359,0),"")</f>
        <v/>
      </c>
    </row>
    <row r="360" spans="2:9" x14ac:dyDescent="0.3">
      <c r="B360" s="2" t="str">
        <f>IF(A360&lt;&gt;"",VLOOKUP(Alunos!A360,Exame!A3:C1000,3, FALSE),"")</f>
        <v/>
      </c>
      <c r="C360" s="2" t="str">
        <f>IF(A360&lt;&gt;"",VLOOKUP(Alunos!A360,Agrupamentos!A3:B1000,2, FALSE),"")</f>
        <v/>
      </c>
      <c r="D360" s="2" t="str">
        <f>IF(A360&lt;&gt;"",VLOOKUP(Alunos!C360,'TP1'!A3:C1000,3, FALSE),"")</f>
        <v/>
      </c>
      <c r="E360" s="2" t="str">
        <f>IF(A360&lt;&gt;"", SUMIF(B1:D1,"&lt;&gt;",B360:D360),"")</f>
        <v/>
      </c>
      <c r="F360" s="2" t="str">
        <f>IF(AND(A360&lt;&gt;"",E360&lt;&gt;""),ROUND(E360,0),"")</f>
        <v/>
      </c>
      <c r="G360" s="2" t="str">
        <f>IF(A360&lt;&gt;"",VLOOKUP(Alunos!A360,Recurso!A3:C1000,3, FALSE),"")</f>
        <v/>
      </c>
      <c r="H360" s="2" t="str">
        <f>IF(OR(A360&lt;&gt;"",G360&lt;&gt;""), SUMIFS(B360:G360,B1:G1,"&lt;&gt;",B2:G2,"&lt;&gt;Exame",B2:G2,"&lt;&gt;exame",B2:G2,"&lt;&gt;Nota",B2:G2,"&lt;&gt;Total"),"")</f>
        <v/>
      </c>
      <c r="I360" s="2" t="str">
        <f>IF(AND(A360&lt;&gt;"",H360&lt;&gt;""),ROUND(H360,0),"")</f>
        <v/>
      </c>
    </row>
    <row r="361" spans="2:9" x14ac:dyDescent="0.3">
      <c r="B361" s="2" t="str">
        <f>IF(A361&lt;&gt;"",VLOOKUP(Alunos!A361,Exame!A3:C1000,3, FALSE),"")</f>
        <v/>
      </c>
      <c r="C361" s="2" t="str">
        <f>IF(A361&lt;&gt;"",VLOOKUP(Alunos!A361,Agrupamentos!A3:B1000,2, FALSE),"")</f>
        <v/>
      </c>
      <c r="D361" s="2" t="str">
        <f>IF(A361&lt;&gt;"",VLOOKUP(Alunos!C361,'TP1'!A3:C1000,3, FALSE),"")</f>
        <v/>
      </c>
      <c r="E361" s="2" t="str">
        <f>IF(A361&lt;&gt;"", SUMIF(B1:D1,"&lt;&gt;",B361:D361),"")</f>
        <v/>
      </c>
      <c r="F361" s="2" t="str">
        <f>IF(AND(A361&lt;&gt;"",E361&lt;&gt;""),ROUND(E361,0),"")</f>
        <v/>
      </c>
      <c r="G361" s="2" t="str">
        <f>IF(A361&lt;&gt;"",VLOOKUP(Alunos!A361,Recurso!A3:C1000,3, FALSE),"")</f>
        <v/>
      </c>
      <c r="H361" s="2" t="str">
        <f>IF(OR(A361&lt;&gt;"",G361&lt;&gt;""), SUMIFS(B361:G361,B1:G1,"&lt;&gt;",B2:G2,"&lt;&gt;Exame",B2:G2,"&lt;&gt;exame",B2:G2,"&lt;&gt;Nota",B2:G2,"&lt;&gt;Total"),"")</f>
        <v/>
      </c>
      <c r="I361" s="2" t="str">
        <f>IF(AND(A361&lt;&gt;"",H361&lt;&gt;""),ROUND(H361,0),"")</f>
        <v/>
      </c>
    </row>
    <row r="362" spans="2:9" x14ac:dyDescent="0.3">
      <c r="B362" s="2" t="str">
        <f>IF(A362&lt;&gt;"",VLOOKUP(Alunos!A362,Exame!A3:C1000,3, FALSE),"")</f>
        <v/>
      </c>
      <c r="C362" s="2" t="str">
        <f>IF(A362&lt;&gt;"",VLOOKUP(Alunos!A362,Agrupamentos!A3:B1000,2, FALSE),"")</f>
        <v/>
      </c>
      <c r="D362" s="2" t="str">
        <f>IF(A362&lt;&gt;"",VLOOKUP(Alunos!C362,'TP1'!A3:C1000,3, FALSE),"")</f>
        <v/>
      </c>
      <c r="E362" s="2" t="str">
        <f>IF(A362&lt;&gt;"", SUMIF(B1:D1,"&lt;&gt;",B362:D362),"")</f>
        <v/>
      </c>
      <c r="F362" s="2" t="str">
        <f>IF(AND(A362&lt;&gt;"",E362&lt;&gt;""),ROUND(E362,0),"")</f>
        <v/>
      </c>
      <c r="G362" s="2" t="str">
        <f>IF(A362&lt;&gt;"",VLOOKUP(Alunos!A362,Recurso!A3:C1000,3, FALSE),"")</f>
        <v/>
      </c>
      <c r="H362" s="2" t="str">
        <f>IF(OR(A362&lt;&gt;"",G362&lt;&gt;""), SUMIFS(B362:G362,B1:G1,"&lt;&gt;",B2:G2,"&lt;&gt;Exame",B2:G2,"&lt;&gt;exame",B2:G2,"&lt;&gt;Nota",B2:G2,"&lt;&gt;Total"),"")</f>
        <v/>
      </c>
      <c r="I362" s="2" t="str">
        <f>IF(AND(A362&lt;&gt;"",H362&lt;&gt;""),ROUND(H362,0),"")</f>
        <v/>
      </c>
    </row>
    <row r="363" spans="2:9" x14ac:dyDescent="0.3">
      <c r="B363" s="2" t="str">
        <f>IF(A363&lt;&gt;"",VLOOKUP(Alunos!A363,Exame!A3:C1000,3, FALSE),"")</f>
        <v/>
      </c>
      <c r="C363" s="2" t="str">
        <f>IF(A363&lt;&gt;"",VLOOKUP(Alunos!A363,Agrupamentos!A3:B1000,2, FALSE),"")</f>
        <v/>
      </c>
      <c r="D363" s="2" t="str">
        <f>IF(A363&lt;&gt;"",VLOOKUP(Alunos!C363,'TP1'!A3:C1000,3, FALSE),"")</f>
        <v/>
      </c>
      <c r="E363" s="2" t="str">
        <f>IF(A363&lt;&gt;"", SUMIF(B1:D1,"&lt;&gt;",B363:D363),"")</f>
        <v/>
      </c>
      <c r="F363" s="2" t="str">
        <f>IF(AND(A363&lt;&gt;"",E363&lt;&gt;""),ROUND(E363,0),"")</f>
        <v/>
      </c>
      <c r="G363" s="2" t="str">
        <f>IF(A363&lt;&gt;"",VLOOKUP(Alunos!A363,Recurso!A3:C1000,3, FALSE),"")</f>
        <v/>
      </c>
      <c r="H363" s="2" t="str">
        <f>IF(OR(A363&lt;&gt;"",G363&lt;&gt;""), SUMIFS(B363:G363,B1:G1,"&lt;&gt;",B2:G2,"&lt;&gt;Exame",B2:G2,"&lt;&gt;exame",B2:G2,"&lt;&gt;Nota",B2:G2,"&lt;&gt;Total"),"")</f>
        <v/>
      </c>
      <c r="I363" s="2" t="str">
        <f>IF(AND(A363&lt;&gt;"",H363&lt;&gt;""),ROUND(H363,0),"")</f>
        <v/>
      </c>
    </row>
    <row r="364" spans="2:9" x14ac:dyDescent="0.3">
      <c r="B364" s="2" t="str">
        <f>IF(A364&lt;&gt;"",VLOOKUP(Alunos!A364,Exame!A3:C1000,3, FALSE),"")</f>
        <v/>
      </c>
      <c r="C364" s="2" t="str">
        <f>IF(A364&lt;&gt;"",VLOOKUP(Alunos!A364,Agrupamentos!A3:B1000,2, FALSE),"")</f>
        <v/>
      </c>
      <c r="D364" s="2" t="str">
        <f>IF(A364&lt;&gt;"",VLOOKUP(Alunos!C364,'TP1'!A3:C1000,3, FALSE),"")</f>
        <v/>
      </c>
      <c r="E364" s="2" t="str">
        <f>IF(A364&lt;&gt;"", SUMIF(B1:D1,"&lt;&gt;",B364:D364),"")</f>
        <v/>
      </c>
      <c r="F364" s="2" t="str">
        <f>IF(AND(A364&lt;&gt;"",E364&lt;&gt;""),ROUND(E364,0),"")</f>
        <v/>
      </c>
      <c r="G364" s="2" t="str">
        <f>IF(A364&lt;&gt;"",VLOOKUP(Alunos!A364,Recurso!A3:C1000,3, FALSE),"")</f>
        <v/>
      </c>
      <c r="H364" s="2" t="str">
        <f>IF(OR(A364&lt;&gt;"",G364&lt;&gt;""), SUMIFS(B364:G364,B1:G1,"&lt;&gt;",B2:G2,"&lt;&gt;Exame",B2:G2,"&lt;&gt;exame",B2:G2,"&lt;&gt;Nota",B2:G2,"&lt;&gt;Total"),"")</f>
        <v/>
      </c>
      <c r="I364" s="2" t="str">
        <f>IF(AND(A364&lt;&gt;"",H364&lt;&gt;""),ROUND(H364,0),"")</f>
        <v/>
      </c>
    </row>
    <row r="365" spans="2:9" x14ac:dyDescent="0.3">
      <c r="B365" s="2" t="str">
        <f>IF(A365&lt;&gt;"",VLOOKUP(Alunos!A365,Exame!A3:C1000,3, FALSE),"")</f>
        <v/>
      </c>
      <c r="C365" s="2" t="str">
        <f>IF(A365&lt;&gt;"",VLOOKUP(Alunos!A365,Agrupamentos!A3:B1000,2, FALSE),"")</f>
        <v/>
      </c>
      <c r="D365" s="2" t="str">
        <f>IF(A365&lt;&gt;"",VLOOKUP(Alunos!C365,'TP1'!A3:C1000,3, FALSE),"")</f>
        <v/>
      </c>
      <c r="E365" s="2" t="str">
        <f>IF(A365&lt;&gt;"", SUMIF(B1:D1,"&lt;&gt;",B365:D365),"")</f>
        <v/>
      </c>
      <c r="F365" s="2" t="str">
        <f>IF(AND(A365&lt;&gt;"",E365&lt;&gt;""),ROUND(E365,0),"")</f>
        <v/>
      </c>
      <c r="G365" s="2" t="str">
        <f>IF(A365&lt;&gt;"",VLOOKUP(Alunos!A365,Recurso!A3:C1000,3, FALSE),"")</f>
        <v/>
      </c>
      <c r="H365" s="2" t="str">
        <f>IF(OR(A365&lt;&gt;"",G365&lt;&gt;""), SUMIFS(B365:G365,B1:G1,"&lt;&gt;",B2:G2,"&lt;&gt;Exame",B2:G2,"&lt;&gt;exame",B2:G2,"&lt;&gt;Nota",B2:G2,"&lt;&gt;Total"),"")</f>
        <v/>
      </c>
      <c r="I365" s="2" t="str">
        <f>IF(AND(A365&lt;&gt;"",H365&lt;&gt;""),ROUND(H365,0),"")</f>
        <v/>
      </c>
    </row>
    <row r="366" spans="2:9" x14ac:dyDescent="0.3">
      <c r="B366" s="2" t="str">
        <f>IF(A366&lt;&gt;"",VLOOKUP(Alunos!A366,Exame!A3:C1000,3, FALSE),"")</f>
        <v/>
      </c>
      <c r="C366" s="2" t="str">
        <f>IF(A366&lt;&gt;"",VLOOKUP(Alunos!A366,Agrupamentos!A3:B1000,2, FALSE),"")</f>
        <v/>
      </c>
      <c r="D366" s="2" t="str">
        <f>IF(A366&lt;&gt;"",VLOOKUP(Alunos!C366,'TP1'!A3:C1000,3, FALSE),"")</f>
        <v/>
      </c>
      <c r="E366" s="2" t="str">
        <f>IF(A366&lt;&gt;"", SUMIF(B1:D1,"&lt;&gt;",B366:D366),"")</f>
        <v/>
      </c>
      <c r="F366" s="2" t="str">
        <f>IF(AND(A366&lt;&gt;"",E366&lt;&gt;""),ROUND(E366,0),"")</f>
        <v/>
      </c>
      <c r="G366" s="2" t="str">
        <f>IF(A366&lt;&gt;"",VLOOKUP(Alunos!A366,Recurso!A3:C1000,3, FALSE),"")</f>
        <v/>
      </c>
      <c r="H366" s="2" t="str">
        <f>IF(OR(A366&lt;&gt;"",G366&lt;&gt;""), SUMIFS(B366:G366,B1:G1,"&lt;&gt;",B2:G2,"&lt;&gt;Exame",B2:G2,"&lt;&gt;exame",B2:G2,"&lt;&gt;Nota",B2:G2,"&lt;&gt;Total"),"")</f>
        <v/>
      </c>
      <c r="I366" s="2" t="str">
        <f>IF(AND(A366&lt;&gt;"",H366&lt;&gt;""),ROUND(H366,0),"")</f>
        <v/>
      </c>
    </row>
    <row r="367" spans="2:9" x14ac:dyDescent="0.3">
      <c r="B367" s="2" t="str">
        <f>IF(A367&lt;&gt;"",VLOOKUP(Alunos!A367,Exame!A3:C1000,3, FALSE),"")</f>
        <v/>
      </c>
      <c r="C367" s="2" t="str">
        <f>IF(A367&lt;&gt;"",VLOOKUP(Alunos!A367,Agrupamentos!A3:B1000,2, FALSE),"")</f>
        <v/>
      </c>
      <c r="D367" s="2" t="str">
        <f>IF(A367&lt;&gt;"",VLOOKUP(Alunos!C367,'TP1'!A3:C1000,3, FALSE),"")</f>
        <v/>
      </c>
      <c r="E367" s="2" t="str">
        <f>IF(A367&lt;&gt;"", SUMIF(B1:D1,"&lt;&gt;",B367:D367),"")</f>
        <v/>
      </c>
      <c r="F367" s="2" t="str">
        <f>IF(AND(A367&lt;&gt;"",E367&lt;&gt;""),ROUND(E367,0),"")</f>
        <v/>
      </c>
      <c r="G367" s="2" t="str">
        <f>IF(A367&lt;&gt;"",VLOOKUP(Alunos!A367,Recurso!A3:C1000,3, FALSE),"")</f>
        <v/>
      </c>
      <c r="H367" s="2" t="str">
        <f>IF(OR(A367&lt;&gt;"",G367&lt;&gt;""), SUMIFS(B367:G367,B1:G1,"&lt;&gt;",B2:G2,"&lt;&gt;Exame",B2:G2,"&lt;&gt;exame",B2:G2,"&lt;&gt;Nota",B2:G2,"&lt;&gt;Total"),"")</f>
        <v/>
      </c>
      <c r="I367" s="2" t="str">
        <f>IF(AND(A367&lt;&gt;"",H367&lt;&gt;""),ROUND(H367,0),"")</f>
        <v/>
      </c>
    </row>
    <row r="368" spans="2:9" x14ac:dyDescent="0.3">
      <c r="B368" s="2" t="str">
        <f>IF(A368&lt;&gt;"",VLOOKUP(Alunos!A368,Exame!A3:C1000,3, FALSE),"")</f>
        <v/>
      </c>
      <c r="C368" s="2" t="str">
        <f>IF(A368&lt;&gt;"",VLOOKUP(Alunos!A368,Agrupamentos!A3:B1000,2, FALSE),"")</f>
        <v/>
      </c>
      <c r="D368" s="2" t="str">
        <f>IF(A368&lt;&gt;"",VLOOKUP(Alunos!C368,'TP1'!A3:C1000,3, FALSE),"")</f>
        <v/>
      </c>
      <c r="E368" s="2" t="str">
        <f>IF(A368&lt;&gt;"", SUMIF(B1:D1,"&lt;&gt;",B368:D368),"")</f>
        <v/>
      </c>
      <c r="F368" s="2" t="str">
        <f>IF(AND(A368&lt;&gt;"",E368&lt;&gt;""),ROUND(E368,0),"")</f>
        <v/>
      </c>
      <c r="G368" s="2" t="str">
        <f>IF(A368&lt;&gt;"",VLOOKUP(Alunos!A368,Recurso!A3:C1000,3, FALSE),"")</f>
        <v/>
      </c>
      <c r="H368" s="2" t="str">
        <f>IF(OR(A368&lt;&gt;"",G368&lt;&gt;""), SUMIFS(B368:G368,B1:G1,"&lt;&gt;",B2:G2,"&lt;&gt;Exame",B2:G2,"&lt;&gt;exame",B2:G2,"&lt;&gt;Nota",B2:G2,"&lt;&gt;Total"),"")</f>
        <v/>
      </c>
      <c r="I368" s="2" t="str">
        <f>IF(AND(A368&lt;&gt;"",H368&lt;&gt;""),ROUND(H368,0),"")</f>
        <v/>
      </c>
    </row>
    <row r="369" spans="2:9" x14ac:dyDescent="0.3">
      <c r="B369" s="2" t="str">
        <f>IF(A369&lt;&gt;"",VLOOKUP(Alunos!A369,Exame!A3:C1000,3, FALSE),"")</f>
        <v/>
      </c>
      <c r="C369" s="2" t="str">
        <f>IF(A369&lt;&gt;"",VLOOKUP(Alunos!A369,Agrupamentos!A3:B1000,2, FALSE),"")</f>
        <v/>
      </c>
      <c r="D369" s="2" t="str">
        <f>IF(A369&lt;&gt;"",VLOOKUP(Alunos!C369,'TP1'!A3:C1000,3, FALSE),"")</f>
        <v/>
      </c>
      <c r="E369" s="2" t="str">
        <f>IF(A369&lt;&gt;"", SUMIF(B1:D1,"&lt;&gt;",B369:D369),"")</f>
        <v/>
      </c>
      <c r="F369" s="2" t="str">
        <f>IF(AND(A369&lt;&gt;"",E369&lt;&gt;""),ROUND(E369,0),"")</f>
        <v/>
      </c>
      <c r="G369" s="2" t="str">
        <f>IF(A369&lt;&gt;"",VLOOKUP(Alunos!A369,Recurso!A3:C1000,3, FALSE),"")</f>
        <v/>
      </c>
      <c r="H369" s="2" t="str">
        <f>IF(OR(A369&lt;&gt;"",G369&lt;&gt;""), SUMIFS(B369:G369,B1:G1,"&lt;&gt;",B2:G2,"&lt;&gt;Exame",B2:G2,"&lt;&gt;exame",B2:G2,"&lt;&gt;Nota",B2:G2,"&lt;&gt;Total"),"")</f>
        <v/>
      </c>
      <c r="I369" s="2" t="str">
        <f>IF(AND(A369&lt;&gt;"",H369&lt;&gt;""),ROUND(H369,0),"")</f>
        <v/>
      </c>
    </row>
    <row r="370" spans="2:9" x14ac:dyDescent="0.3">
      <c r="B370" s="2" t="str">
        <f>IF(A370&lt;&gt;"",VLOOKUP(Alunos!A370,Exame!A3:C1000,3, FALSE),"")</f>
        <v/>
      </c>
      <c r="C370" s="2" t="str">
        <f>IF(A370&lt;&gt;"",VLOOKUP(Alunos!A370,Agrupamentos!A3:B1000,2, FALSE),"")</f>
        <v/>
      </c>
      <c r="D370" s="2" t="str">
        <f>IF(A370&lt;&gt;"",VLOOKUP(Alunos!C370,'TP1'!A3:C1000,3, FALSE),"")</f>
        <v/>
      </c>
      <c r="E370" s="2" t="str">
        <f>IF(A370&lt;&gt;"", SUMIF(B1:D1,"&lt;&gt;",B370:D370),"")</f>
        <v/>
      </c>
      <c r="F370" s="2" t="str">
        <f>IF(AND(A370&lt;&gt;"",E370&lt;&gt;""),ROUND(E370,0),"")</f>
        <v/>
      </c>
      <c r="G370" s="2" t="str">
        <f>IF(A370&lt;&gt;"",VLOOKUP(Alunos!A370,Recurso!A3:C1000,3, FALSE),"")</f>
        <v/>
      </c>
      <c r="H370" s="2" t="str">
        <f>IF(OR(A370&lt;&gt;"",G370&lt;&gt;""), SUMIFS(B370:G370,B1:G1,"&lt;&gt;",B2:G2,"&lt;&gt;Exame",B2:G2,"&lt;&gt;exame",B2:G2,"&lt;&gt;Nota",B2:G2,"&lt;&gt;Total"),"")</f>
        <v/>
      </c>
      <c r="I370" s="2" t="str">
        <f>IF(AND(A370&lt;&gt;"",H370&lt;&gt;""),ROUND(H370,0),"")</f>
        <v/>
      </c>
    </row>
    <row r="371" spans="2:9" x14ac:dyDescent="0.3">
      <c r="B371" s="2" t="str">
        <f>IF(A371&lt;&gt;"",VLOOKUP(Alunos!A371,Exame!A3:C1000,3, FALSE),"")</f>
        <v/>
      </c>
      <c r="C371" s="2" t="str">
        <f>IF(A371&lt;&gt;"",VLOOKUP(Alunos!A371,Agrupamentos!A3:B1000,2, FALSE),"")</f>
        <v/>
      </c>
      <c r="D371" s="2" t="str">
        <f>IF(A371&lt;&gt;"",VLOOKUP(Alunos!C371,'TP1'!A3:C1000,3, FALSE),"")</f>
        <v/>
      </c>
      <c r="E371" s="2" t="str">
        <f>IF(A371&lt;&gt;"", SUMIF(B1:D1,"&lt;&gt;",B371:D371),"")</f>
        <v/>
      </c>
      <c r="F371" s="2" t="str">
        <f>IF(AND(A371&lt;&gt;"",E371&lt;&gt;""),ROUND(E371,0),"")</f>
        <v/>
      </c>
      <c r="G371" s="2" t="str">
        <f>IF(A371&lt;&gt;"",VLOOKUP(Alunos!A371,Recurso!A3:C1000,3, FALSE),"")</f>
        <v/>
      </c>
      <c r="H371" s="2" t="str">
        <f>IF(OR(A371&lt;&gt;"",G371&lt;&gt;""), SUMIFS(B371:G371,B1:G1,"&lt;&gt;",B2:G2,"&lt;&gt;Exame",B2:G2,"&lt;&gt;exame",B2:G2,"&lt;&gt;Nota",B2:G2,"&lt;&gt;Total"),"")</f>
        <v/>
      </c>
      <c r="I371" s="2" t="str">
        <f>IF(AND(A371&lt;&gt;"",H371&lt;&gt;""),ROUND(H371,0),"")</f>
        <v/>
      </c>
    </row>
    <row r="372" spans="2:9" x14ac:dyDescent="0.3">
      <c r="B372" s="2" t="str">
        <f>IF(A372&lt;&gt;"",VLOOKUP(Alunos!A372,Exame!A3:C1000,3, FALSE),"")</f>
        <v/>
      </c>
      <c r="C372" s="2" t="str">
        <f>IF(A372&lt;&gt;"",VLOOKUP(Alunos!A372,Agrupamentos!A3:B1000,2, FALSE),"")</f>
        <v/>
      </c>
      <c r="D372" s="2" t="str">
        <f>IF(A372&lt;&gt;"",VLOOKUP(Alunos!C372,'TP1'!A3:C1000,3, FALSE),"")</f>
        <v/>
      </c>
      <c r="E372" s="2" t="str">
        <f>IF(A372&lt;&gt;"", SUMIF(B1:D1,"&lt;&gt;",B372:D372),"")</f>
        <v/>
      </c>
      <c r="F372" s="2" t="str">
        <f>IF(AND(A372&lt;&gt;"",E372&lt;&gt;""),ROUND(E372,0),"")</f>
        <v/>
      </c>
      <c r="G372" s="2" t="str">
        <f>IF(A372&lt;&gt;"",VLOOKUP(Alunos!A372,Recurso!A3:C1000,3, FALSE),"")</f>
        <v/>
      </c>
      <c r="H372" s="2" t="str">
        <f>IF(OR(A372&lt;&gt;"",G372&lt;&gt;""), SUMIFS(B372:G372,B1:G1,"&lt;&gt;",B2:G2,"&lt;&gt;Exame",B2:G2,"&lt;&gt;exame",B2:G2,"&lt;&gt;Nota",B2:G2,"&lt;&gt;Total"),"")</f>
        <v/>
      </c>
      <c r="I372" s="2" t="str">
        <f>IF(AND(A372&lt;&gt;"",H372&lt;&gt;""),ROUND(H372,0),"")</f>
        <v/>
      </c>
    </row>
    <row r="373" spans="2:9" x14ac:dyDescent="0.3">
      <c r="B373" s="2" t="str">
        <f>IF(A373&lt;&gt;"",VLOOKUP(Alunos!A373,Exame!A3:C1000,3, FALSE),"")</f>
        <v/>
      </c>
      <c r="C373" s="2" t="str">
        <f>IF(A373&lt;&gt;"",VLOOKUP(Alunos!A373,Agrupamentos!A3:B1000,2, FALSE),"")</f>
        <v/>
      </c>
      <c r="D373" s="2" t="str">
        <f>IF(A373&lt;&gt;"",VLOOKUP(Alunos!C373,'TP1'!A3:C1000,3, FALSE),"")</f>
        <v/>
      </c>
      <c r="E373" s="2" t="str">
        <f>IF(A373&lt;&gt;"", SUMIF(B1:D1,"&lt;&gt;",B373:D373),"")</f>
        <v/>
      </c>
      <c r="F373" s="2" t="str">
        <f>IF(AND(A373&lt;&gt;"",E373&lt;&gt;""),ROUND(E373,0),"")</f>
        <v/>
      </c>
      <c r="G373" s="2" t="str">
        <f>IF(A373&lt;&gt;"",VLOOKUP(Alunos!A373,Recurso!A3:C1000,3, FALSE),"")</f>
        <v/>
      </c>
      <c r="H373" s="2" t="str">
        <f>IF(OR(A373&lt;&gt;"",G373&lt;&gt;""), SUMIFS(B373:G373,B1:G1,"&lt;&gt;",B2:G2,"&lt;&gt;Exame",B2:G2,"&lt;&gt;exame",B2:G2,"&lt;&gt;Nota",B2:G2,"&lt;&gt;Total"),"")</f>
        <v/>
      </c>
      <c r="I373" s="2" t="str">
        <f>IF(AND(A373&lt;&gt;"",H373&lt;&gt;""),ROUND(H373,0),"")</f>
        <v/>
      </c>
    </row>
    <row r="374" spans="2:9" x14ac:dyDescent="0.3">
      <c r="B374" s="2" t="str">
        <f>IF(A374&lt;&gt;"",VLOOKUP(Alunos!A374,Exame!A3:C1000,3, FALSE),"")</f>
        <v/>
      </c>
      <c r="C374" s="2" t="str">
        <f>IF(A374&lt;&gt;"",VLOOKUP(Alunos!A374,Agrupamentos!A3:B1000,2, FALSE),"")</f>
        <v/>
      </c>
      <c r="D374" s="2" t="str">
        <f>IF(A374&lt;&gt;"",VLOOKUP(Alunos!C374,'TP1'!A3:C1000,3, FALSE),"")</f>
        <v/>
      </c>
      <c r="E374" s="2" t="str">
        <f>IF(A374&lt;&gt;"", SUMIF(B1:D1,"&lt;&gt;",B374:D374),"")</f>
        <v/>
      </c>
      <c r="F374" s="2" t="str">
        <f>IF(AND(A374&lt;&gt;"",E374&lt;&gt;""),ROUND(E374,0),"")</f>
        <v/>
      </c>
      <c r="G374" s="2" t="str">
        <f>IF(A374&lt;&gt;"",VLOOKUP(Alunos!A374,Recurso!A3:C1000,3, FALSE),"")</f>
        <v/>
      </c>
      <c r="H374" s="2" t="str">
        <f>IF(OR(A374&lt;&gt;"",G374&lt;&gt;""), SUMIFS(B374:G374,B1:G1,"&lt;&gt;",B2:G2,"&lt;&gt;Exame",B2:G2,"&lt;&gt;exame",B2:G2,"&lt;&gt;Nota",B2:G2,"&lt;&gt;Total"),"")</f>
        <v/>
      </c>
      <c r="I374" s="2" t="str">
        <f>IF(AND(A374&lt;&gt;"",H374&lt;&gt;""),ROUND(H374,0),"")</f>
        <v/>
      </c>
    </row>
    <row r="375" spans="2:9" x14ac:dyDescent="0.3">
      <c r="B375" s="2" t="str">
        <f>IF(A375&lt;&gt;"",VLOOKUP(Alunos!A375,Exame!A3:C1000,3, FALSE),"")</f>
        <v/>
      </c>
      <c r="C375" s="2" t="str">
        <f>IF(A375&lt;&gt;"",VLOOKUP(Alunos!A375,Agrupamentos!A3:B1000,2, FALSE),"")</f>
        <v/>
      </c>
      <c r="D375" s="2" t="str">
        <f>IF(A375&lt;&gt;"",VLOOKUP(Alunos!C375,'TP1'!A3:C1000,3, FALSE),"")</f>
        <v/>
      </c>
      <c r="E375" s="2" t="str">
        <f>IF(A375&lt;&gt;"", SUMIF(B1:D1,"&lt;&gt;",B375:D375),"")</f>
        <v/>
      </c>
      <c r="F375" s="2" t="str">
        <f>IF(AND(A375&lt;&gt;"",E375&lt;&gt;""),ROUND(E375,0),"")</f>
        <v/>
      </c>
      <c r="G375" s="2" t="str">
        <f>IF(A375&lt;&gt;"",VLOOKUP(Alunos!A375,Recurso!A3:C1000,3, FALSE),"")</f>
        <v/>
      </c>
      <c r="H375" s="2" t="str">
        <f>IF(OR(A375&lt;&gt;"",G375&lt;&gt;""), SUMIFS(B375:G375,B1:G1,"&lt;&gt;",B2:G2,"&lt;&gt;Exame",B2:G2,"&lt;&gt;exame",B2:G2,"&lt;&gt;Nota",B2:G2,"&lt;&gt;Total"),"")</f>
        <v/>
      </c>
      <c r="I375" s="2" t="str">
        <f>IF(AND(A375&lt;&gt;"",H375&lt;&gt;""),ROUND(H375,0),"")</f>
        <v/>
      </c>
    </row>
    <row r="376" spans="2:9" x14ac:dyDescent="0.3">
      <c r="B376" s="2" t="str">
        <f>IF(A376&lt;&gt;"",VLOOKUP(Alunos!A376,Exame!A3:C1000,3, FALSE),"")</f>
        <v/>
      </c>
      <c r="C376" s="2" t="str">
        <f>IF(A376&lt;&gt;"",VLOOKUP(Alunos!A376,Agrupamentos!A3:B1000,2, FALSE),"")</f>
        <v/>
      </c>
      <c r="D376" s="2" t="str">
        <f>IF(A376&lt;&gt;"",VLOOKUP(Alunos!C376,'TP1'!A3:C1000,3, FALSE),"")</f>
        <v/>
      </c>
      <c r="E376" s="2" t="str">
        <f>IF(A376&lt;&gt;"", SUMIF(B1:D1,"&lt;&gt;",B376:D376),"")</f>
        <v/>
      </c>
      <c r="F376" s="2" t="str">
        <f>IF(AND(A376&lt;&gt;"",E376&lt;&gt;""),ROUND(E376,0),"")</f>
        <v/>
      </c>
      <c r="G376" s="2" t="str">
        <f>IF(A376&lt;&gt;"",VLOOKUP(Alunos!A376,Recurso!A3:C1000,3, FALSE),"")</f>
        <v/>
      </c>
      <c r="H376" s="2" t="str">
        <f>IF(OR(A376&lt;&gt;"",G376&lt;&gt;""), SUMIFS(B376:G376,B1:G1,"&lt;&gt;",B2:G2,"&lt;&gt;Exame",B2:G2,"&lt;&gt;exame",B2:G2,"&lt;&gt;Nota",B2:G2,"&lt;&gt;Total"),"")</f>
        <v/>
      </c>
      <c r="I376" s="2" t="str">
        <f>IF(AND(A376&lt;&gt;"",H376&lt;&gt;""),ROUND(H376,0),"")</f>
        <v/>
      </c>
    </row>
    <row r="377" spans="2:9" x14ac:dyDescent="0.3">
      <c r="B377" s="2" t="str">
        <f>IF(A377&lt;&gt;"",VLOOKUP(Alunos!A377,Exame!A3:C1000,3, FALSE),"")</f>
        <v/>
      </c>
      <c r="C377" s="2" t="str">
        <f>IF(A377&lt;&gt;"",VLOOKUP(Alunos!A377,Agrupamentos!A3:B1000,2, FALSE),"")</f>
        <v/>
      </c>
      <c r="D377" s="2" t="str">
        <f>IF(A377&lt;&gt;"",VLOOKUP(Alunos!C377,'TP1'!A3:C1000,3, FALSE),"")</f>
        <v/>
      </c>
      <c r="E377" s="2" t="str">
        <f>IF(A377&lt;&gt;"", SUMIF(B1:D1,"&lt;&gt;",B377:D377),"")</f>
        <v/>
      </c>
      <c r="F377" s="2" t="str">
        <f>IF(AND(A377&lt;&gt;"",E377&lt;&gt;""),ROUND(E377,0),"")</f>
        <v/>
      </c>
      <c r="G377" s="2" t="str">
        <f>IF(A377&lt;&gt;"",VLOOKUP(Alunos!A377,Recurso!A3:C1000,3, FALSE),"")</f>
        <v/>
      </c>
      <c r="H377" s="2" t="str">
        <f>IF(OR(A377&lt;&gt;"",G377&lt;&gt;""), SUMIFS(B377:G377,B1:G1,"&lt;&gt;",B2:G2,"&lt;&gt;Exame",B2:G2,"&lt;&gt;exame",B2:G2,"&lt;&gt;Nota",B2:G2,"&lt;&gt;Total"),"")</f>
        <v/>
      </c>
      <c r="I377" s="2" t="str">
        <f>IF(AND(A377&lt;&gt;"",H377&lt;&gt;""),ROUND(H377,0),"")</f>
        <v/>
      </c>
    </row>
    <row r="378" spans="2:9" x14ac:dyDescent="0.3">
      <c r="B378" s="2" t="str">
        <f>IF(A378&lt;&gt;"",VLOOKUP(Alunos!A378,Exame!A3:C1000,3, FALSE),"")</f>
        <v/>
      </c>
      <c r="C378" s="2" t="str">
        <f>IF(A378&lt;&gt;"",VLOOKUP(Alunos!A378,Agrupamentos!A3:B1000,2, FALSE),"")</f>
        <v/>
      </c>
      <c r="D378" s="2" t="str">
        <f>IF(A378&lt;&gt;"",VLOOKUP(Alunos!C378,'TP1'!A3:C1000,3, FALSE),"")</f>
        <v/>
      </c>
      <c r="E378" s="2" t="str">
        <f>IF(A378&lt;&gt;"", SUMIF(B1:D1,"&lt;&gt;",B378:D378),"")</f>
        <v/>
      </c>
      <c r="F378" s="2" t="str">
        <f>IF(AND(A378&lt;&gt;"",E378&lt;&gt;""),ROUND(E378,0),"")</f>
        <v/>
      </c>
      <c r="G378" s="2" t="str">
        <f>IF(A378&lt;&gt;"",VLOOKUP(Alunos!A378,Recurso!A3:C1000,3, FALSE),"")</f>
        <v/>
      </c>
      <c r="H378" s="2" t="str">
        <f>IF(OR(A378&lt;&gt;"",G378&lt;&gt;""), SUMIFS(B378:G378,B1:G1,"&lt;&gt;",B2:G2,"&lt;&gt;Exame",B2:G2,"&lt;&gt;exame",B2:G2,"&lt;&gt;Nota",B2:G2,"&lt;&gt;Total"),"")</f>
        <v/>
      </c>
      <c r="I378" s="2" t="str">
        <f>IF(AND(A378&lt;&gt;"",H378&lt;&gt;""),ROUND(H378,0),"")</f>
        <v/>
      </c>
    </row>
    <row r="379" spans="2:9" x14ac:dyDescent="0.3">
      <c r="B379" s="2" t="str">
        <f>IF(A379&lt;&gt;"",VLOOKUP(Alunos!A379,Exame!A3:C1000,3, FALSE),"")</f>
        <v/>
      </c>
      <c r="C379" s="2" t="str">
        <f>IF(A379&lt;&gt;"",VLOOKUP(Alunos!A379,Agrupamentos!A3:B1000,2, FALSE),"")</f>
        <v/>
      </c>
      <c r="D379" s="2" t="str">
        <f>IF(A379&lt;&gt;"",VLOOKUP(Alunos!C379,'TP1'!A3:C1000,3, FALSE),"")</f>
        <v/>
      </c>
      <c r="E379" s="2" t="str">
        <f>IF(A379&lt;&gt;"", SUMIF(B1:D1,"&lt;&gt;",B379:D379),"")</f>
        <v/>
      </c>
      <c r="F379" s="2" t="str">
        <f>IF(AND(A379&lt;&gt;"",E379&lt;&gt;""),ROUND(E379,0),"")</f>
        <v/>
      </c>
      <c r="G379" s="2" t="str">
        <f>IF(A379&lt;&gt;"",VLOOKUP(Alunos!A379,Recurso!A3:C1000,3, FALSE),"")</f>
        <v/>
      </c>
      <c r="H379" s="2" t="str">
        <f>IF(OR(A379&lt;&gt;"",G379&lt;&gt;""), SUMIFS(B379:G379,B1:G1,"&lt;&gt;",B2:G2,"&lt;&gt;Exame",B2:G2,"&lt;&gt;exame",B2:G2,"&lt;&gt;Nota",B2:G2,"&lt;&gt;Total"),"")</f>
        <v/>
      </c>
      <c r="I379" s="2" t="str">
        <f>IF(AND(A379&lt;&gt;"",H379&lt;&gt;""),ROUND(H379,0),"")</f>
        <v/>
      </c>
    </row>
    <row r="380" spans="2:9" x14ac:dyDescent="0.3">
      <c r="B380" s="2" t="str">
        <f>IF(A380&lt;&gt;"",VLOOKUP(Alunos!A380,Exame!A3:C1000,3, FALSE),"")</f>
        <v/>
      </c>
      <c r="C380" s="2" t="str">
        <f>IF(A380&lt;&gt;"",VLOOKUP(Alunos!A380,Agrupamentos!A3:B1000,2, FALSE),"")</f>
        <v/>
      </c>
      <c r="D380" s="2" t="str">
        <f>IF(A380&lt;&gt;"",VLOOKUP(Alunos!C380,'TP1'!A3:C1000,3, FALSE),"")</f>
        <v/>
      </c>
      <c r="E380" s="2" t="str">
        <f>IF(A380&lt;&gt;"", SUMIF(B1:D1,"&lt;&gt;",B380:D380),"")</f>
        <v/>
      </c>
      <c r="F380" s="2" t="str">
        <f>IF(AND(A380&lt;&gt;"",E380&lt;&gt;""),ROUND(E380,0),"")</f>
        <v/>
      </c>
      <c r="G380" s="2" t="str">
        <f>IF(A380&lt;&gt;"",VLOOKUP(Alunos!A380,Recurso!A3:C1000,3, FALSE),"")</f>
        <v/>
      </c>
      <c r="H380" s="2" t="str">
        <f>IF(OR(A380&lt;&gt;"",G380&lt;&gt;""), SUMIFS(B380:G380,B1:G1,"&lt;&gt;",B2:G2,"&lt;&gt;Exame",B2:G2,"&lt;&gt;exame",B2:G2,"&lt;&gt;Nota",B2:G2,"&lt;&gt;Total"),"")</f>
        <v/>
      </c>
      <c r="I380" s="2" t="str">
        <f>IF(AND(A380&lt;&gt;"",H380&lt;&gt;""),ROUND(H380,0),"")</f>
        <v/>
      </c>
    </row>
    <row r="381" spans="2:9" x14ac:dyDescent="0.3">
      <c r="B381" s="2" t="str">
        <f>IF(A381&lt;&gt;"",VLOOKUP(Alunos!A381,Exame!A3:C1000,3, FALSE),"")</f>
        <v/>
      </c>
      <c r="C381" s="2" t="str">
        <f>IF(A381&lt;&gt;"",VLOOKUP(Alunos!A381,Agrupamentos!A3:B1000,2, FALSE),"")</f>
        <v/>
      </c>
      <c r="D381" s="2" t="str">
        <f>IF(A381&lt;&gt;"",VLOOKUP(Alunos!C381,'TP1'!A3:C1000,3, FALSE),"")</f>
        <v/>
      </c>
      <c r="E381" s="2" t="str">
        <f>IF(A381&lt;&gt;"", SUMIF(B1:D1,"&lt;&gt;",B381:D381),"")</f>
        <v/>
      </c>
      <c r="F381" s="2" t="str">
        <f>IF(AND(A381&lt;&gt;"",E381&lt;&gt;""),ROUND(E381,0),"")</f>
        <v/>
      </c>
      <c r="G381" s="2" t="str">
        <f>IF(A381&lt;&gt;"",VLOOKUP(Alunos!A381,Recurso!A3:C1000,3, FALSE),"")</f>
        <v/>
      </c>
      <c r="H381" s="2" t="str">
        <f>IF(OR(A381&lt;&gt;"",G381&lt;&gt;""), SUMIFS(B381:G381,B1:G1,"&lt;&gt;",B2:G2,"&lt;&gt;Exame",B2:G2,"&lt;&gt;exame",B2:G2,"&lt;&gt;Nota",B2:G2,"&lt;&gt;Total"),"")</f>
        <v/>
      </c>
      <c r="I381" s="2" t="str">
        <f>IF(AND(A381&lt;&gt;"",H381&lt;&gt;""),ROUND(H381,0),"")</f>
        <v/>
      </c>
    </row>
    <row r="382" spans="2:9" x14ac:dyDescent="0.3">
      <c r="B382" s="2" t="str">
        <f>IF(A382&lt;&gt;"",VLOOKUP(Alunos!A382,Exame!A3:C1000,3, FALSE),"")</f>
        <v/>
      </c>
      <c r="C382" s="2" t="str">
        <f>IF(A382&lt;&gt;"",VLOOKUP(Alunos!A382,Agrupamentos!A3:B1000,2, FALSE),"")</f>
        <v/>
      </c>
      <c r="D382" s="2" t="str">
        <f>IF(A382&lt;&gt;"",VLOOKUP(Alunos!C382,'TP1'!A3:C1000,3, FALSE),"")</f>
        <v/>
      </c>
      <c r="E382" s="2" t="str">
        <f>IF(A382&lt;&gt;"", SUMIF(B1:D1,"&lt;&gt;",B382:D382),"")</f>
        <v/>
      </c>
      <c r="F382" s="2" t="str">
        <f>IF(AND(A382&lt;&gt;"",E382&lt;&gt;""),ROUND(E382,0),"")</f>
        <v/>
      </c>
      <c r="G382" s="2" t="str">
        <f>IF(A382&lt;&gt;"",VLOOKUP(Alunos!A382,Recurso!A3:C1000,3, FALSE),"")</f>
        <v/>
      </c>
      <c r="H382" s="2" t="str">
        <f>IF(OR(A382&lt;&gt;"",G382&lt;&gt;""), SUMIFS(B382:G382,B1:G1,"&lt;&gt;",B2:G2,"&lt;&gt;Exame",B2:G2,"&lt;&gt;exame",B2:G2,"&lt;&gt;Nota",B2:G2,"&lt;&gt;Total"),"")</f>
        <v/>
      </c>
      <c r="I382" s="2" t="str">
        <f>IF(AND(A382&lt;&gt;"",H382&lt;&gt;""),ROUND(H382,0),"")</f>
        <v/>
      </c>
    </row>
    <row r="383" spans="2:9" x14ac:dyDescent="0.3">
      <c r="B383" s="2" t="str">
        <f>IF(A383&lt;&gt;"",VLOOKUP(Alunos!A383,Exame!A3:C1000,3, FALSE),"")</f>
        <v/>
      </c>
      <c r="C383" s="2" t="str">
        <f>IF(A383&lt;&gt;"",VLOOKUP(Alunos!A383,Agrupamentos!A3:B1000,2, FALSE),"")</f>
        <v/>
      </c>
      <c r="D383" s="2" t="str">
        <f>IF(A383&lt;&gt;"",VLOOKUP(Alunos!C383,'TP1'!A3:C1000,3, FALSE),"")</f>
        <v/>
      </c>
      <c r="E383" s="2" t="str">
        <f>IF(A383&lt;&gt;"", SUMIF(B1:D1,"&lt;&gt;",B383:D383),"")</f>
        <v/>
      </c>
      <c r="F383" s="2" t="str">
        <f>IF(AND(A383&lt;&gt;"",E383&lt;&gt;""),ROUND(E383,0),"")</f>
        <v/>
      </c>
      <c r="G383" s="2" t="str">
        <f>IF(A383&lt;&gt;"",VLOOKUP(Alunos!A383,Recurso!A3:C1000,3, FALSE),"")</f>
        <v/>
      </c>
      <c r="H383" s="2" t="str">
        <f>IF(OR(A383&lt;&gt;"",G383&lt;&gt;""), SUMIFS(B383:G383,B1:G1,"&lt;&gt;",B2:G2,"&lt;&gt;Exame",B2:G2,"&lt;&gt;exame",B2:G2,"&lt;&gt;Nota",B2:G2,"&lt;&gt;Total"),"")</f>
        <v/>
      </c>
      <c r="I383" s="2" t="str">
        <f>IF(AND(A383&lt;&gt;"",H383&lt;&gt;""),ROUND(H383,0),"")</f>
        <v/>
      </c>
    </row>
    <row r="384" spans="2:9" x14ac:dyDescent="0.3">
      <c r="B384" s="2" t="str">
        <f>IF(A384&lt;&gt;"",VLOOKUP(Alunos!A384,Exame!A3:C1000,3, FALSE),"")</f>
        <v/>
      </c>
      <c r="C384" s="2" t="str">
        <f>IF(A384&lt;&gt;"",VLOOKUP(Alunos!A384,Agrupamentos!A3:B1000,2, FALSE),"")</f>
        <v/>
      </c>
      <c r="D384" s="2" t="str">
        <f>IF(A384&lt;&gt;"",VLOOKUP(Alunos!C384,'TP1'!A3:C1000,3, FALSE),"")</f>
        <v/>
      </c>
      <c r="E384" s="2" t="str">
        <f>IF(A384&lt;&gt;"", SUMIF(B1:D1,"&lt;&gt;",B384:D384),"")</f>
        <v/>
      </c>
      <c r="F384" s="2" t="str">
        <f>IF(AND(A384&lt;&gt;"",E384&lt;&gt;""),ROUND(E384,0),"")</f>
        <v/>
      </c>
      <c r="G384" s="2" t="str">
        <f>IF(A384&lt;&gt;"",VLOOKUP(Alunos!A384,Recurso!A3:C1000,3, FALSE),"")</f>
        <v/>
      </c>
      <c r="H384" s="2" t="str">
        <f>IF(OR(A384&lt;&gt;"",G384&lt;&gt;""), SUMIFS(B384:G384,B1:G1,"&lt;&gt;",B2:G2,"&lt;&gt;Exame",B2:G2,"&lt;&gt;exame",B2:G2,"&lt;&gt;Nota",B2:G2,"&lt;&gt;Total"),"")</f>
        <v/>
      </c>
      <c r="I384" s="2" t="str">
        <f>IF(AND(A384&lt;&gt;"",H384&lt;&gt;""),ROUND(H384,0),"")</f>
        <v/>
      </c>
    </row>
    <row r="385" spans="2:9" x14ac:dyDescent="0.3">
      <c r="B385" s="2" t="str">
        <f>IF(A385&lt;&gt;"",VLOOKUP(Alunos!A385,Exame!A3:C1000,3, FALSE),"")</f>
        <v/>
      </c>
      <c r="C385" s="2" t="str">
        <f>IF(A385&lt;&gt;"",VLOOKUP(Alunos!A385,Agrupamentos!A3:B1000,2, FALSE),"")</f>
        <v/>
      </c>
      <c r="D385" s="2" t="str">
        <f>IF(A385&lt;&gt;"",VLOOKUP(Alunos!C385,'TP1'!A3:C1000,3, FALSE),"")</f>
        <v/>
      </c>
      <c r="E385" s="2" t="str">
        <f>IF(A385&lt;&gt;"", SUMIF(B1:D1,"&lt;&gt;",B385:D385),"")</f>
        <v/>
      </c>
      <c r="F385" s="2" t="str">
        <f>IF(AND(A385&lt;&gt;"",E385&lt;&gt;""),ROUND(E385,0),"")</f>
        <v/>
      </c>
      <c r="G385" s="2" t="str">
        <f>IF(A385&lt;&gt;"",VLOOKUP(Alunos!A385,Recurso!A3:C1000,3, FALSE),"")</f>
        <v/>
      </c>
      <c r="H385" s="2" t="str">
        <f>IF(OR(A385&lt;&gt;"",G385&lt;&gt;""), SUMIFS(B385:G385,B1:G1,"&lt;&gt;",B2:G2,"&lt;&gt;Exame",B2:G2,"&lt;&gt;exame",B2:G2,"&lt;&gt;Nota",B2:G2,"&lt;&gt;Total"),"")</f>
        <v/>
      </c>
      <c r="I385" s="2" t="str">
        <f>IF(AND(A385&lt;&gt;"",H385&lt;&gt;""),ROUND(H385,0),"")</f>
        <v/>
      </c>
    </row>
    <row r="386" spans="2:9" x14ac:dyDescent="0.3">
      <c r="B386" s="2" t="str">
        <f>IF(A386&lt;&gt;"",VLOOKUP(Alunos!A386,Exame!A3:C1000,3, FALSE),"")</f>
        <v/>
      </c>
      <c r="C386" s="2" t="str">
        <f>IF(A386&lt;&gt;"",VLOOKUP(Alunos!A386,Agrupamentos!A3:B1000,2, FALSE),"")</f>
        <v/>
      </c>
      <c r="D386" s="2" t="str">
        <f>IF(A386&lt;&gt;"",VLOOKUP(Alunos!C386,'TP1'!A3:C1000,3, FALSE),"")</f>
        <v/>
      </c>
      <c r="E386" s="2" t="str">
        <f>IF(A386&lt;&gt;"", SUMIF(B1:D1,"&lt;&gt;",B386:D386),"")</f>
        <v/>
      </c>
      <c r="F386" s="2" t="str">
        <f>IF(AND(A386&lt;&gt;"",E386&lt;&gt;""),ROUND(E386,0),"")</f>
        <v/>
      </c>
      <c r="G386" s="2" t="str">
        <f>IF(A386&lt;&gt;"",VLOOKUP(Alunos!A386,Recurso!A3:C1000,3, FALSE),"")</f>
        <v/>
      </c>
      <c r="H386" s="2" t="str">
        <f>IF(OR(A386&lt;&gt;"",G386&lt;&gt;""), SUMIFS(B386:G386,B1:G1,"&lt;&gt;",B2:G2,"&lt;&gt;Exame",B2:G2,"&lt;&gt;exame",B2:G2,"&lt;&gt;Nota",B2:G2,"&lt;&gt;Total"),"")</f>
        <v/>
      </c>
      <c r="I386" s="2" t="str">
        <f>IF(AND(A386&lt;&gt;"",H386&lt;&gt;""),ROUND(H386,0),"")</f>
        <v/>
      </c>
    </row>
    <row r="387" spans="2:9" x14ac:dyDescent="0.3">
      <c r="B387" s="2" t="str">
        <f>IF(A387&lt;&gt;"",VLOOKUP(Alunos!A387,Exame!A3:C1000,3, FALSE),"")</f>
        <v/>
      </c>
      <c r="C387" s="2" t="str">
        <f>IF(A387&lt;&gt;"",VLOOKUP(Alunos!A387,Agrupamentos!A3:B1000,2, FALSE),"")</f>
        <v/>
      </c>
      <c r="D387" s="2" t="str">
        <f>IF(A387&lt;&gt;"",VLOOKUP(Alunos!C387,'TP1'!A3:C1000,3, FALSE),"")</f>
        <v/>
      </c>
      <c r="E387" s="2" t="str">
        <f>IF(A387&lt;&gt;"", SUMIF(B1:D1,"&lt;&gt;",B387:D387),"")</f>
        <v/>
      </c>
      <c r="F387" s="2" t="str">
        <f>IF(AND(A387&lt;&gt;"",E387&lt;&gt;""),ROUND(E387,0),"")</f>
        <v/>
      </c>
      <c r="G387" s="2" t="str">
        <f>IF(A387&lt;&gt;"",VLOOKUP(Alunos!A387,Recurso!A3:C1000,3, FALSE),"")</f>
        <v/>
      </c>
      <c r="H387" s="2" t="str">
        <f>IF(OR(A387&lt;&gt;"",G387&lt;&gt;""), SUMIFS(B387:G387,B1:G1,"&lt;&gt;",B2:G2,"&lt;&gt;Exame",B2:G2,"&lt;&gt;exame",B2:G2,"&lt;&gt;Nota",B2:G2,"&lt;&gt;Total"),"")</f>
        <v/>
      </c>
      <c r="I387" s="2" t="str">
        <f>IF(AND(A387&lt;&gt;"",H387&lt;&gt;""),ROUND(H387,0),"")</f>
        <v/>
      </c>
    </row>
    <row r="388" spans="2:9" x14ac:dyDescent="0.3">
      <c r="B388" s="2" t="str">
        <f>IF(A388&lt;&gt;"",VLOOKUP(Alunos!A388,Exame!A3:C1000,3, FALSE),"")</f>
        <v/>
      </c>
      <c r="C388" s="2" t="str">
        <f>IF(A388&lt;&gt;"",VLOOKUP(Alunos!A388,Agrupamentos!A3:B1000,2, FALSE),"")</f>
        <v/>
      </c>
      <c r="D388" s="2" t="str">
        <f>IF(A388&lt;&gt;"",VLOOKUP(Alunos!C388,'TP1'!A3:C1000,3, FALSE),"")</f>
        <v/>
      </c>
      <c r="E388" s="2" t="str">
        <f>IF(A388&lt;&gt;"", SUMIF(B1:D1,"&lt;&gt;",B388:D388),"")</f>
        <v/>
      </c>
      <c r="F388" s="2" t="str">
        <f>IF(AND(A388&lt;&gt;"",E388&lt;&gt;""),ROUND(E388,0),"")</f>
        <v/>
      </c>
      <c r="G388" s="2" t="str">
        <f>IF(A388&lt;&gt;"",VLOOKUP(Alunos!A388,Recurso!A3:C1000,3, FALSE),"")</f>
        <v/>
      </c>
      <c r="H388" s="2" t="str">
        <f>IF(OR(A388&lt;&gt;"",G388&lt;&gt;""), SUMIFS(B388:G388,B1:G1,"&lt;&gt;",B2:G2,"&lt;&gt;Exame",B2:G2,"&lt;&gt;exame",B2:G2,"&lt;&gt;Nota",B2:G2,"&lt;&gt;Total"),"")</f>
        <v/>
      </c>
      <c r="I388" s="2" t="str">
        <f>IF(AND(A388&lt;&gt;"",H388&lt;&gt;""),ROUND(H388,0),"")</f>
        <v/>
      </c>
    </row>
    <row r="389" spans="2:9" x14ac:dyDescent="0.3">
      <c r="B389" s="2" t="str">
        <f>IF(A389&lt;&gt;"",VLOOKUP(Alunos!A389,Exame!A3:C1000,3, FALSE),"")</f>
        <v/>
      </c>
      <c r="C389" s="2" t="str">
        <f>IF(A389&lt;&gt;"",VLOOKUP(Alunos!A389,Agrupamentos!A3:B1000,2, FALSE),"")</f>
        <v/>
      </c>
      <c r="D389" s="2" t="str">
        <f>IF(A389&lt;&gt;"",VLOOKUP(Alunos!C389,'TP1'!A3:C1000,3, FALSE),"")</f>
        <v/>
      </c>
      <c r="E389" s="2" t="str">
        <f>IF(A389&lt;&gt;"", SUMIF(B1:D1,"&lt;&gt;",B389:D389),"")</f>
        <v/>
      </c>
      <c r="F389" s="2" t="str">
        <f>IF(AND(A389&lt;&gt;"",E389&lt;&gt;""),ROUND(E389,0),"")</f>
        <v/>
      </c>
      <c r="G389" s="2" t="str">
        <f>IF(A389&lt;&gt;"",VLOOKUP(Alunos!A389,Recurso!A3:C1000,3, FALSE),"")</f>
        <v/>
      </c>
      <c r="H389" s="2" t="str">
        <f>IF(OR(A389&lt;&gt;"",G389&lt;&gt;""), SUMIFS(B389:G389,B1:G1,"&lt;&gt;",B2:G2,"&lt;&gt;Exame",B2:G2,"&lt;&gt;exame",B2:G2,"&lt;&gt;Nota",B2:G2,"&lt;&gt;Total"),"")</f>
        <v/>
      </c>
      <c r="I389" s="2" t="str">
        <f>IF(AND(A389&lt;&gt;"",H389&lt;&gt;""),ROUND(H389,0),"")</f>
        <v/>
      </c>
    </row>
    <row r="390" spans="2:9" x14ac:dyDescent="0.3">
      <c r="B390" s="2" t="str">
        <f>IF(A390&lt;&gt;"",VLOOKUP(Alunos!A390,Exame!A3:C1000,3, FALSE),"")</f>
        <v/>
      </c>
      <c r="C390" s="2" t="str">
        <f>IF(A390&lt;&gt;"",VLOOKUP(Alunos!A390,Agrupamentos!A3:B1000,2, FALSE),"")</f>
        <v/>
      </c>
      <c r="D390" s="2" t="str">
        <f>IF(A390&lt;&gt;"",VLOOKUP(Alunos!C390,'TP1'!A3:C1000,3, FALSE),"")</f>
        <v/>
      </c>
      <c r="E390" s="2" t="str">
        <f>IF(A390&lt;&gt;"", SUMIF(B1:D1,"&lt;&gt;",B390:D390),"")</f>
        <v/>
      </c>
      <c r="F390" s="2" t="str">
        <f>IF(AND(A390&lt;&gt;"",E390&lt;&gt;""),ROUND(E390,0),"")</f>
        <v/>
      </c>
      <c r="G390" s="2" t="str">
        <f>IF(A390&lt;&gt;"",VLOOKUP(Alunos!A390,Recurso!A3:C1000,3, FALSE),"")</f>
        <v/>
      </c>
      <c r="H390" s="2" t="str">
        <f>IF(OR(A390&lt;&gt;"",G390&lt;&gt;""), SUMIFS(B390:G390,B1:G1,"&lt;&gt;",B2:G2,"&lt;&gt;Exame",B2:G2,"&lt;&gt;exame",B2:G2,"&lt;&gt;Nota",B2:G2,"&lt;&gt;Total"),"")</f>
        <v/>
      </c>
      <c r="I390" s="2" t="str">
        <f>IF(AND(A390&lt;&gt;"",H390&lt;&gt;""),ROUND(H390,0),"")</f>
        <v/>
      </c>
    </row>
    <row r="391" spans="2:9" x14ac:dyDescent="0.3">
      <c r="B391" s="2" t="str">
        <f>IF(A391&lt;&gt;"",VLOOKUP(Alunos!A391,Exame!A3:C1000,3, FALSE),"")</f>
        <v/>
      </c>
      <c r="C391" s="2" t="str">
        <f>IF(A391&lt;&gt;"",VLOOKUP(Alunos!A391,Agrupamentos!A3:B1000,2, FALSE),"")</f>
        <v/>
      </c>
      <c r="D391" s="2" t="str">
        <f>IF(A391&lt;&gt;"",VLOOKUP(Alunos!C391,'TP1'!A3:C1000,3, FALSE),"")</f>
        <v/>
      </c>
      <c r="E391" s="2" t="str">
        <f>IF(A391&lt;&gt;"", SUMIF(B1:D1,"&lt;&gt;",B391:D391),"")</f>
        <v/>
      </c>
      <c r="F391" s="2" t="str">
        <f>IF(AND(A391&lt;&gt;"",E391&lt;&gt;""),ROUND(E391,0),"")</f>
        <v/>
      </c>
      <c r="G391" s="2" t="str">
        <f>IF(A391&lt;&gt;"",VLOOKUP(Alunos!A391,Recurso!A3:C1000,3, FALSE),"")</f>
        <v/>
      </c>
      <c r="H391" s="2" t="str">
        <f>IF(OR(A391&lt;&gt;"",G391&lt;&gt;""), SUMIFS(B391:G391,B1:G1,"&lt;&gt;",B2:G2,"&lt;&gt;Exame",B2:G2,"&lt;&gt;exame",B2:G2,"&lt;&gt;Nota",B2:G2,"&lt;&gt;Total"),"")</f>
        <v/>
      </c>
      <c r="I391" s="2" t="str">
        <f>IF(AND(A391&lt;&gt;"",H391&lt;&gt;""),ROUND(H391,0),"")</f>
        <v/>
      </c>
    </row>
    <row r="392" spans="2:9" x14ac:dyDescent="0.3">
      <c r="B392" s="2" t="str">
        <f>IF(A392&lt;&gt;"",VLOOKUP(Alunos!A392,Exame!A3:C1000,3, FALSE),"")</f>
        <v/>
      </c>
      <c r="C392" s="2" t="str">
        <f>IF(A392&lt;&gt;"",VLOOKUP(Alunos!A392,Agrupamentos!A3:B1000,2, FALSE),"")</f>
        <v/>
      </c>
      <c r="D392" s="2" t="str">
        <f>IF(A392&lt;&gt;"",VLOOKUP(Alunos!C392,'TP1'!A3:C1000,3, FALSE),"")</f>
        <v/>
      </c>
      <c r="E392" s="2" t="str">
        <f>IF(A392&lt;&gt;"", SUMIF(B1:D1,"&lt;&gt;",B392:D392),"")</f>
        <v/>
      </c>
      <c r="F392" s="2" t="str">
        <f>IF(AND(A392&lt;&gt;"",E392&lt;&gt;""),ROUND(E392,0),"")</f>
        <v/>
      </c>
      <c r="G392" s="2" t="str">
        <f>IF(A392&lt;&gt;"",VLOOKUP(Alunos!A392,Recurso!A3:C1000,3, FALSE),"")</f>
        <v/>
      </c>
      <c r="H392" s="2" t="str">
        <f>IF(OR(A392&lt;&gt;"",G392&lt;&gt;""), SUMIFS(B392:G392,B1:G1,"&lt;&gt;",B2:G2,"&lt;&gt;Exame",B2:G2,"&lt;&gt;exame",B2:G2,"&lt;&gt;Nota",B2:G2,"&lt;&gt;Total"),"")</f>
        <v/>
      </c>
      <c r="I392" s="2" t="str">
        <f>IF(AND(A392&lt;&gt;"",H392&lt;&gt;""),ROUND(H392,0),"")</f>
        <v/>
      </c>
    </row>
    <row r="393" spans="2:9" x14ac:dyDescent="0.3">
      <c r="B393" s="2" t="str">
        <f>IF(A393&lt;&gt;"",VLOOKUP(Alunos!A393,Exame!A3:C1000,3, FALSE),"")</f>
        <v/>
      </c>
      <c r="C393" s="2" t="str">
        <f>IF(A393&lt;&gt;"",VLOOKUP(Alunos!A393,Agrupamentos!A3:B1000,2, FALSE),"")</f>
        <v/>
      </c>
      <c r="D393" s="2" t="str">
        <f>IF(A393&lt;&gt;"",VLOOKUP(Alunos!C393,'TP1'!A3:C1000,3, FALSE),"")</f>
        <v/>
      </c>
      <c r="E393" s="2" t="str">
        <f>IF(A393&lt;&gt;"", SUMIF(B1:D1,"&lt;&gt;",B393:D393),"")</f>
        <v/>
      </c>
      <c r="F393" s="2" t="str">
        <f>IF(AND(A393&lt;&gt;"",E393&lt;&gt;""),ROUND(E393,0),"")</f>
        <v/>
      </c>
      <c r="G393" s="2" t="str">
        <f>IF(A393&lt;&gt;"",VLOOKUP(Alunos!A393,Recurso!A3:C1000,3, FALSE),"")</f>
        <v/>
      </c>
      <c r="H393" s="2" t="str">
        <f>IF(OR(A393&lt;&gt;"",G393&lt;&gt;""), SUMIFS(B393:G393,B1:G1,"&lt;&gt;",B2:G2,"&lt;&gt;Exame",B2:G2,"&lt;&gt;exame",B2:G2,"&lt;&gt;Nota",B2:G2,"&lt;&gt;Total"),"")</f>
        <v/>
      </c>
      <c r="I393" s="2" t="str">
        <f>IF(AND(A393&lt;&gt;"",H393&lt;&gt;""),ROUND(H393,0),"")</f>
        <v/>
      </c>
    </row>
    <row r="394" spans="2:9" x14ac:dyDescent="0.3">
      <c r="B394" s="2" t="str">
        <f>IF(A394&lt;&gt;"",VLOOKUP(Alunos!A394,Exame!A3:C1000,3, FALSE),"")</f>
        <v/>
      </c>
      <c r="C394" s="2" t="str">
        <f>IF(A394&lt;&gt;"",VLOOKUP(Alunos!A394,Agrupamentos!A3:B1000,2, FALSE),"")</f>
        <v/>
      </c>
      <c r="D394" s="2" t="str">
        <f>IF(A394&lt;&gt;"",VLOOKUP(Alunos!C394,'TP1'!A3:C1000,3, FALSE),"")</f>
        <v/>
      </c>
      <c r="E394" s="2" t="str">
        <f>IF(A394&lt;&gt;"", SUMIF(B1:D1,"&lt;&gt;",B394:D394),"")</f>
        <v/>
      </c>
      <c r="F394" s="2" t="str">
        <f>IF(AND(A394&lt;&gt;"",E394&lt;&gt;""),ROUND(E394,0),"")</f>
        <v/>
      </c>
      <c r="G394" s="2" t="str">
        <f>IF(A394&lt;&gt;"",VLOOKUP(Alunos!A394,Recurso!A3:C1000,3, FALSE),"")</f>
        <v/>
      </c>
      <c r="H394" s="2" t="str">
        <f>IF(OR(A394&lt;&gt;"",G394&lt;&gt;""), SUMIFS(B394:G394,B1:G1,"&lt;&gt;",B2:G2,"&lt;&gt;Exame",B2:G2,"&lt;&gt;exame",B2:G2,"&lt;&gt;Nota",B2:G2,"&lt;&gt;Total"),"")</f>
        <v/>
      </c>
      <c r="I394" s="2" t="str">
        <f>IF(AND(A394&lt;&gt;"",H394&lt;&gt;""),ROUND(H394,0),"")</f>
        <v/>
      </c>
    </row>
    <row r="395" spans="2:9" x14ac:dyDescent="0.3">
      <c r="B395" s="2" t="str">
        <f>IF(A395&lt;&gt;"",VLOOKUP(Alunos!A395,Exame!A3:C1000,3, FALSE),"")</f>
        <v/>
      </c>
      <c r="C395" s="2" t="str">
        <f>IF(A395&lt;&gt;"",VLOOKUP(Alunos!A395,Agrupamentos!A3:B1000,2, FALSE),"")</f>
        <v/>
      </c>
      <c r="D395" s="2" t="str">
        <f>IF(A395&lt;&gt;"",VLOOKUP(Alunos!C395,'TP1'!A3:C1000,3, FALSE),"")</f>
        <v/>
      </c>
      <c r="E395" s="2" t="str">
        <f>IF(A395&lt;&gt;"", SUMIF(B1:D1,"&lt;&gt;",B395:D395),"")</f>
        <v/>
      </c>
      <c r="F395" s="2" t="str">
        <f>IF(AND(A395&lt;&gt;"",E395&lt;&gt;""),ROUND(E395,0),"")</f>
        <v/>
      </c>
      <c r="G395" s="2" t="str">
        <f>IF(A395&lt;&gt;"",VLOOKUP(Alunos!A395,Recurso!A3:C1000,3, FALSE),"")</f>
        <v/>
      </c>
      <c r="H395" s="2" t="str">
        <f>IF(OR(A395&lt;&gt;"",G395&lt;&gt;""), SUMIFS(B395:G395,B1:G1,"&lt;&gt;",B2:G2,"&lt;&gt;Exame",B2:G2,"&lt;&gt;exame",B2:G2,"&lt;&gt;Nota",B2:G2,"&lt;&gt;Total"),"")</f>
        <v/>
      </c>
      <c r="I395" s="2" t="str">
        <f>IF(AND(A395&lt;&gt;"",H395&lt;&gt;""),ROUND(H395,0),"")</f>
        <v/>
      </c>
    </row>
    <row r="396" spans="2:9" x14ac:dyDescent="0.3">
      <c r="B396" s="2" t="str">
        <f>IF(A396&lt;&gt;"",VLOOKUP(Alunos!A396,Exame!A3:C1000,3, FALSE),"")</f>
        <v/>
      </c>
      <c r="C396" s="2" t="str">
        <f>IF(A396&lt;&gt;"",VLOOKUP(Alunos!A396,Agrupamentos!A3:B1000,2, FALSE),"")</f>
        <v/>
      </c>
      <c r="D396" s="2" t="str">
        <f>IF(A396&lt;&gt;"",VLOOKUP(Alunos!C396,'TP1'!A3:C1000,3, FALSE),"")</f>
        <v/>
      </c>
      <c r="E396" s="2" t="str">
        <f>IF(A396&lt;&gt;"", SUMIF(B1:D1,"&lt;&gt;",B396:D396),"")</f>
        <v/>
      </c>
      <c r="F396" s="2" t="str">
        <f>IF(AND(A396&lt;&gt;"",E396&lt;&gt;""),ROUND(E396,0),"")</f>
        <v/>
      </c>
      <c r="G396" s="2" t="str">
        <f>IF(A396&lt;&gt;"",VLOOKUP(Alunos!A396,Recurso!A3:C1000,3, FALSE),"")</f>
        <v/>
      </c>
      <c r="H396" s="2" t="str">
        <f>IF(OR(A396&lt;&gt;"",G396&lt;&gt;""), SUMIFS(B396:G396,B1:G1,"&lt;&gt;",B2:G2,"&lt;&gt;Exame",B2:G2,"&lt;&gt;exame",B2:G2,"&lt;&gt;Nota",B2:G2,"&lt;&gt;Total"),"")</f>
        <v/>
      </c>
      <c r="I396" s="2" t="str">
        <f>IF(AND(A396&lt;&gt;"",H396&lt;&gt;""),ROUND(H396,0),"")</f>
        <v/>
      </c>
    </row>
    <row r="397" spans="2:9" x14ac:dyDescent="0.3">
      <c r="B397" s="2" t="str">
        <f>IF(A397&lt;&gt;"",VLOOKUP(Alunos!A397,Exame!A3:C1000,3, FALSE),"")</f>
        <v/>
      </c>
      <c r="C397" s="2" t="str">
        <f>IF(A397&lt;&gt;"",VLOOKUP(Alunos!A397,Agrupamentos!A3:B1000,2, FALSE),"")</f>
        <v/>
      </c>
      <c r="D397" s="2" t="str">
        <f>IF(A397&lt;&gt;"",VLOOKUP(Alunos!C397,'TP1'!A3:C1000,3, FALSE),"")</f>
        <v/>
      </c>
      <c r="E397" s="2" t="str">
        <f>IF(A397&lt;&gt;"", SUMIF(B1:D1,"&lt;&gt;",B397:D397),"")</f>
        <v/>
      </c>
      <c r="F397" s="2" t="str">
        <f>IF(AND(A397&lt;&gt;"",E397&lt;&gt;""),ROUND(E397,0),"")</f>
        <v/>
      </c>
      <c r="G397" s="2" t="str">
        <f>IF(A397&lt;&gt;"",VLOOKUP(Alunos!A397,Recurso!A3:C1000,3, FALSE),"")</f>
        <v/>
      </c>
      <c r="H397" s="2" t="str">
        <f>IF(OR(A397&lt;&gt;"",G397&lt;&gt;""), SUMIFS(B397:G397,B1:G1,"&lt;&gt;",B2:G2,"&lt;&gt;Exame",B2:G2,"&lt;&gt;exame",B2:G2,"&lt;&gt;Nota",B2:G2,"&lt;&gt;Total"),"")</f>
        <v/>
      </c>
      <c r="I397" s="2" t="str">
        <f>IF(AND(A397&lt;&gt;"",H397&lt;&gt;""),ROUND(H397,0),"")</f>
        <v/>
      </c>
    </row>
    <row r="398" spans="2:9" x14ac:dyDescent="0.3">
      <c r="B398" s="2" t="str">
        <f>IF(A398&lt;&gt;"",VLOOKUP(Alunos!A398,Exame!A3:C1000,3, FALSE),"")</f>
        <v/>
      </c>
      <c r="C398" s="2" t="str">
        <f>IF(A398&lt;&gt;"",VLOOKUP(Alunos!A398,Agrupamentos!A3:B1000,2, FALSE),"")</f>
        <v/>
      </c>
      <c r="D398" s="2" t="str">
        <f>IF(A398&lt;&gt;"",VLOOKUP(Alunos!C398,'TP1'!A3:C1000,3, FALSE),"")</f>
        <v/>
      </c>
      <c r="E398" s="2" t="str">
        <f>IF(A398&lt;&gt;"", SUMIF(B1:D1,"&lt;&gt;",B398:D398),"")</f>
        <v/>
      </c>
      <c r="F398" s="2" t="str">
        <f>IF(AND(A398&lt;&gt;"",E398&lt;&gt;""),ROUND(E398,0),"")</f>
        <v/>
      </c>
      <c r="G398" s="2" t="str">
        <f>IF(A398&lt;&gt;"",VLOOKUP(Alunos!A398,Recurso!A3:C1000,3, FALSE),"")</f>
        <v/>
      </c>
      <c r="H398" s="2" t="str">
        <f>IF(OR(A398&lt;&gt;"",G398&lt;&gt;""), SUMIFS(B398:G398,B1:G1,"&lt;&gt;",B2:G2,"&lt;&gt;Exame",B2:G2,"&lt;&gt;exame",B2:G2,"&lt;&gt;Nota",B2:G2,"&lt;&gt;Total"),"")</f>
        <v/>
      </c>
      <c r="I398" s="2" t="str">
        <f>IF(AND(A398&lt;&gt;"",H398&lt;&gt;""),ROUND(H398,0),"")</f>
        <v/>
      </c>
    </row>
    <row r="399" spans="2:9" x14ac:dyDescent="0.3">
      <c r="B399" s="2" t="str">
        <f>IF(A399&lt;&gt;"",VLOOKUP(Alunos!A399,Exame!A3:C1000,3, FALSE),"")</f>
        <v/>
      </c>
      <c r="C399" s="2" t="str">
        <f>IF(A399&lt;&gt;"",VLOOKUP(Alunos!A399,Agrupamentos!A3:B1000,2, FALSE),"")</f>
        <v/>
      </c>
      <c r="D399" s="2" t="str">
        <f>IF(A399&lt;&gt;"",VLOOKUP(Alunos!C399,'TP1'!A3:C1000,3, FALSE),"")</f>
        <v/>
      </c>
      <c r="E399" s="2" t="str">
        <f>IF(A399&lt;&gt;"", SUMIF(B1:D1,"&lt;&gt;",B399:D399),"")</f>
        <v/>
      </c>
      <c r="F399" s="2" t="str">
        <f>IF(AND(A399&lt;&gt;"",E399&lt;&gt;""),ROUND(E399,0),"")</f>
        <v/>
      </c>
      <c r="G399" s="2" t="str">
        <f>IF(A399&lt;&gt;"",VLOOKUP(Alunos!A399,Recurso!A3:C1000,3, FALSE),"")</f>
        <v/>
      </c>
      <c r="H399" s="2" t="str">
        <f>IF(OR(A399&lt;&gt;"",G399&lt;&gt;""), SUMIFS(B399:G399,B1:G1,"&lt;&gt;",B2:G2,"&lt;&gt;Exame",B2:G2,"&lt;&gt;exame",B2:G2,"&lt;&gt;Nota",B2:G2,"&lt;&gt;Total"),"")</f>
        <v/>
      </c>
      <c r="I399" s="2" t="str">
        <f>IF(AND(A399&lt;&gt;"",H399&lt;&gt;""),ROUND(H399,0),"")</f>
        <v/>
      </c>
    </row>
    <row r="400" spans="2:9" x14ac:dyDescent="0.3">
      <c r="B400" s="2" t="str">
        <f>IF(A400&lt;&gt;"",VLOOKUP(Alunos!A400,Exame!A3:C1000,3, FALSE),"")</f>
        <v/>
      </c>
      <c r="C400" s="2" t="str">
        <f>IF(A400&lt;&gt;"",VLOOKUP(Alunos!A400,Agrupamentos!A3:B1000,2, FALSE),"")</f>
        <v/>
      </c>
      <c r="D400" s="2" t="str">
        <f>IF(A400&lt;&gt;"",VLOOKUP(Alunos!C400,'TP1'!A3:C1000,3, FALSE),"")</f>
        <v/>
      </c>
      <c r="E400" s="2" t="str">
        <f>IF(A400&lt;&gt;"", SUMIF(B1:D1,"&lt;&gt;",B400:D400),"")</f>
        <v/>
      </c>
      <c r="F400" s="2" t="str">
        <f>IF(AND(A400&lt;&gt;"",E400&lt;&gt;""),ROUND(E400,0),"")</f>
        <v/>
      </c>
      <c r="G400" s="2" t="str">
        <f>IF(A400&lt;&gt;"",VLOOKUP(Alunos!A400,Recurso!A3:C1000,3, FALSE),"")</f>
        <v/>
      </c>
      <c r="H400" s="2" t="str">
        <f>IF(OR(A400&lt;&gt;"",G400&lt;&gt;""), SUMIFS(B400:G400,B1:G1,"&lt;&gt;",B2:G2,"&lt;&gt;Exame",B2:G2,"&lt;&gt;exame",B2:G2,"&lt;&gt;Nota",B2:G2,"&lt;&gt;Total"),"")</f>
        <v/>
      </c>
      <c r="I400" s="2" t="str">
        <f>IF(AND(A400&lt;&gt;"",H400&lt;&gt;""),ROUND(H400,0),"")</f>
        <v/>
      </c>
    </row>
    <row r="401" spans="2:9" x14ac:dyDescent="0.3">
      <c r="B401" s="2" t="str">
        <f>IF(A401&lt;&gt;"",VLOOKUP(Alunos!A401,Exame!A3:C1000,3, FALSE),"")</f>
        <v/>
      </c>
      <c r="C401" s="2" t="str">
        <f>IF(A401&lt;&gt;"",VLOOKUP(Alunos!A401,Agrupamentos!A3:B1000,2, FALSE),"")</f>
        <v/>
      </c>
      <c r="D401" s="2" t="str">
        <f>IF(A401&lt;&gt;"",VLOOKUP(Alunos!C401,'TP1'!A3:C1000,3, FALSE),"")</f>
        <v/>
      </c>
      <c r="E401" s="2" t="str">
        <f>IF(A401&lt;&gt;"", SUMIF(B1:D1,"&lt;&gt;",B401:D401),"")</f>
        <v/>
      </c>
      <c r="F401" s="2" t="str">
        <f>IF(AND(A401&lt;&gt;"",E401&lt;&gt;""),ROUND(E401,0),"")</f>
        <v/>
      </c>
      <c r="G401" s="2" t="str">
        <f>IF(A401&lt;&gt;"",VLOOKUP(Alunos!A401,Recurso!A3:C1000,3, FALSE),"")</f>
        <v/>
      </c>
      <c r="H401" s="2" t="str">
        <f>IF(OR(A401&lt;&gt;"",G401&lt;&gt;""), SUMIFS(B401:G401,B1:G1,"&lt;&gt;",B2:G2,"&lt;&gt;Exame",B2:G2,"&lt;&gt;exame",B2:G2,"&lt;&gt;Nota",B2:G2,"&lt;&gt;Total"),"")</f>
        <v/>
      </c>
      <c r="I401" s="2" t="str">
        <f>IF(AND(A401&lt;&gt;"",H401&lt;&gt;""),ROUND(H401,0),"")</f>
        <v/>
      </c>
    </row>
    <row r="402" spans="2:9" x14ac:dyDescent="0.3">
      <c r="B402" s="2" t="str">
        <f>IF(A402&lt;&gt;"",VLOOKUP(Alunos!A402,Exame!A3:C1000,3, FALSE),"")</f>
        <v/>
      </c>
      <c r="C402" s="2" t="str">
        <f>IF(A402&lt;&gt;"",VLOOKUP(Alunos!A402,Agrupamentos!A3:B1000,2, FALSE),"")</f>
        <v/>
      </c>
      <c r="D402" s="2" t="str">
        <f>IF(A402&lt;&gt;"",VLOOKUP(Alunos!C402,'TP1'!A3:C1000,3, FALSE),"")</f>
        <v/>
      </c>
      <c r="E402" s="2" t="str">
        <f>IF(A402&lt;&gt;"", SUMIF(B1:D1,"&lt;&gt;",B402:D402),"")</f>
        <v/>
      </c>
      <c r="F402" s="2" t="str">
        <f>IF(AND(A402&lt;&gt;"",E402&lt;&gt;""),ROUND(E402,0),"")</f>
        <v/>
      </c>
      <c r="G402" s="2" t="str">
        <f>IF(A402&lt;&gt;"",VLOOKUP(Alunos!A402,Recurso!A3:C1000,3, FALSE),"")</f>
        <v/>
      </c>
      <c r="H402" s="2" t="str">
        <f>IF(OR(A402&lt;&gt;"",G402&lt;&gt;""), SUMIFS(B402:G402,B1:G1,"&lt;&gt;",B2:G2,"&lt;&gt;Exame",B2:G2,"&lt;&gt;exame",B2:G2,"&lt;&gt;Nota",B2:G2,"&lt;&gt;Total"),"")</f>
        <v/>
      </c>
      <c r="I402" s="2" t="str">
        <f>IF(AND(A402&lt;&gt;"",H402&lt;&gt;""),ROUND(H402,0),"")</f>
        <v/>
      </c>
    </row>
    <row r="403" spans="2:9" x14ac:dyDescent="0.3">
      <c r="B403" s="2" t="str">
        <f>IF(A403&lt;&gt;"",VLOOKUP(Alunos!A403,Exame!A3:C1000,3, FALSE),"")</f>
        <v/>
      </c>
      <c r="C403" s="2" t="str">
        <f>IF(A403&lt;&gt;"",VLOOKUP(Alunos!A403,Agrupamentos!A3:B1000,2, FALSE),"")</f>
        <v/>
      </c>
      <c r="D403" s="2" t="str">
        <f>IF(A403&lt;&gt;"",VLOOKUP(Alunos!C403,'TP1'!A3:C1000,3, FALSE),"")</f>
        <v/>
      </c>
      <c r="E403" s="2" t="str">
        <f>IF(A403&lt;&gt;"", SUMIF(B1:D1,"&lt;&gt;",B403:D403),"")</f>
        <v/>
      </c>
      <c r="F403" s="2" t="str">
        <f>IF(AND(A403&lt;&gt;"",E403&lt;&gt;""),ROUND(E403,0),"")</f>
        <v/>
      </c>
      <c r="G403" s="2" t="str">
        <f>IF(A403&lt;&gt;"",VLOOKUP(Alunos!A403,Recurso!A3:C1000,3, FALSE),"")</f>
        <v/>
      </c>
      <c r="H403" s="2" t="str">
        <f>IF(OR(A403&lt;&gt;"",G403&lt;&gt;""), SUMIFS(B403:G403,B1:G1,"&lt;&gt;",B2:G2,"&lt;&gt;Exame",B2:G2,"&lt;&gt;exame",B2:G2,"&lt;&gt;Nota",B2:G2,"&lt;&gt;Total"),"")</f>
        <v/>
      </c>
      <c r="I403" s="2" t="str">
        <f>IF(AND(A403&lt;&gt;"",H403&lt;&gt;""),ROUND(H403,0),"")</f>
        <v/>
      </c>
    </row>
    <row r="404" spans="2:9" x14ac:dyDescent="0.3">
      <c r="B404" s="2" t="str">
        <f>IF(A404&lt;&gt;"",VLOOKUP(Alunos!A404,Exame!A3:C1000,3, FALSE),"")</f>
        <v/>
      </c>
      <c r="C404" s="2" t="str">
        <f>IF(A404&lt;&gt;"",VLOOKUP(Alunos!A404,Agrupamentos!A3:B1000,2, FALSE),"")</f>
        <v/>
      </c>
      <c r="D404" s="2" t="str">
        <f>IF(A404&lt;&gt;"",VLOOKUP(Alunos!C404,'TP1'!A3:C1000,3, FALSE),"")</f>
        <v/>
      </c>
      <c r="E404" s="2" t="str">
        <f>IF(A404&lt;&gt;"", SUMIF(B1:D1,"&lt;&gt;",B404:D404),"")</f>
        <v/>
      </c>
      <c r="F404" s="2" t="str">
        <f>IF(AND(A404&lt;&gt;"",E404&lt;&gt;""),ROUND(E404,0),"")</f>
        <v/>
      </c>
      <c r="G404" s="2" t="str">
        <f>IF(A404&lt;&gt;"",VLOOKUP(Alunos!A404,Recurso!A3:C1000,3, FALSE),"")</f>
        <v/>
      </c>
      <c r="H404" s="2" t="str">
        <f>IF(OR(A404&lt;&gt;"",G404&lt;&gt;""), SUMIFS(B404:G404,B1:G1,"&lt;&gt;",B2:G2,"&lt;&gt;Exame",B2:G2,"&lt;&gt;exame",B2:G2,"&lt;&gt;Nota",B2:G2,"&lt;&gt;Total"),"")</f>
        <v/>
      </c>
      <c r="I404" s="2" t="str">
        <f>IF(AND(A404&lt;&gt;"",H404&lt;&gt;""),ROUND(H404,0),"")</f>
        <v/>
      </c>
    </row>
    <row r="405" spans="2:9" x14ac:dyDescent="0.3">
      <c r="B405" s="2" t="str">
        <f>IF(A405&lt;&gt;"",VLOOKUP(Alunos!A405,Exame!A3:C1000,3, FALSE),"")</f>
        <v/>
      </c>
      <c r="C405" s="2" t="str">
        <f>IF(A405&lt;&gt;"",VLOOKUP(Alunos!A405,Agrupamentos!A3:B1000,2, FALSE),"")</f>
        <v/>
      </c>
      <c r="D405" s="2" t="str">
        <f>IF(A405&lt;&gt;"",VLOOKUP(Alunos!C405,'TP1'!A3:C1000,3, FALSE),"")</f>
        <v/>
      </c>
      <c r="E405" s="2" t="str">
        <f>IF(A405&lt;&gt;"", SUMIF(B1:D1,"&lt;&gt;",B405:D405),"")</f>
        <v/>
      </c>
      <c r="F405" s="2" t="str">
        <f>IF(AND(A405&lt;&gt;"",E405&lt;&gt;""),ROUND(E405,0),"")</f>
        <v/>
      </c>
      <c r="G405" s="2" t="str">
        <f>IF(A405&lt;&gt;"",VLOOKUP(Alunos!A405,Recurso!A3:C1000,3, FALSE),"")</f>
        <v/>
      </c>
      <c r="H405" s="2" t="str">
        <f>IF(OR(A405&lt;&gt;"",G405&lt;&gt;""), SUMIFS(B405:G405,B1:G1,"&lt;&gt;",B2:G2,"&lt;&gt;Exame",B2:G2,"&lt;&gt;exame",B2:G2,"&lt;&gt;Nota",B2:G2,"&lt;&gt;Total"),"")</f>
        <v/>
      </c>
      <c r="I405" s="2" t="str">
        <f>IF(AND(A405&lt;&gt;"",H405&lt;&gt;""),ROUND(H405,0),"")</f>
        <v/>
      </c>
    </row>
    <row r="406" spans="2:9" x14ac:dyDescent="0.3">
      <c r="B406" s="2" t="str">
        <f>IF(A406&lt;&gt;"",VLOOKUP(Alunos!A406,Exame!A3:C1000,3, FALSE),"")</f>
        <v/>
      </c>
      <c r="C406" s="2" t="str">
        <f>IF(A406&lt;&gt;"",VLOOKUP(Alunos!A406,Agrupamentos!A3:B1000,2, FALSE),"")</f>
        <v/>
      </c>
      <c r="D406" s="2" t="str">
        <f>IF(A406&lt;&gt;"",VLOOKUP(Alunos!C406,'TP1'!A3:C1000,3, FALSE),"")</f>
        <v/>
      </c>
      <c r="E406" s="2" t="str">
        <f>IF(A406&lt;&gt;"", SUMIF(B1:D1,"&lt;&gt;",B406:D406),"")</f>
        <v/>
      </c>
      <c r="F406" s="2" t="str">
        <f>IF(AND(A406&lt;&gt;"",E406&lt;&gt;""),ROUND(E406,0),"")</f>
        <v/>
      </c>
      <c r="G406" s="2" t="str">
        <f>IF(A406&lt;&gt;"",VLOOKUP(Alunos!A406,Recurso!A3:C1000,3, FALSE),"")</f>
        <v/>
      </c>
      <c r="H406" s="2" t="str">
        <f>IF(OR(A406&lt;&gt;"",G406&lt;&gt;""), SUMIFS(B406:G406,B1:G1,"&lt;&gt;",B2:G2,"&lt;&gt;Exame",B2:G2,"&lt;&gt;exame",B2:G2,"&lt;&gt;Nota",B2:G2,"&lt;&gt;Total"),"")</f>
        <v/>
      </c>
      <c r="I406" s="2" t="str">
        <f>IF(AND(A406&lt;&gt;"",H406&lt;&gt;""),ROUND(H406,0),"")</f>
        <v/>
      </c>
    </row>
    <row r="407" spans="2:9" x14ac:dyDescent="0.3">
      <c r="B407" s="2" t="str">
        <f>IF(A407&lt;&gt;"",VLOOKUP(Alunos!A407,Exame!A3:C1000,3, FALSE),"")</f>
        <v/>
      </c>
      <c r="C407" s="2" t="str">
        <f>IF(A407&lt;&gt;"",VLOOKUP(Alunos!A407,Agrupamentos!A3:B1000,2, FALSE),"")</f>
        <v/>
      </c>
      <c r="D407" s="2" t="str">
        <f>IF(A407&lt;&gt;"",VLOOKUP(Alunos!C407,'TP1'!A3:C1000,3, FALSE),"")</f>
        <v/>
      </c>
      <c r="E407" s="2" t="str">
        <f>IF(A407&lt;&gt;"", SUMIF(B1:D1,"&lt;&gt;",B407:D407),"")</f>
        <v/>
      </c>
      <c r="F407" s="2" t="str">
        <f>IF(AND(A407&lt;&gt;"",E407&lt;&gt;""),ROUND(E407,0),"")</f>
        <v/>
      </c>
      <c r="G407" s="2" t="str">
        <f>IF(A407&lt;&gt;"",VLOOKUP(Alunos!A407,Recurso!A3:C1000,3, FALSE),"")</f>
        <v/>
      </c>
      <c r="H407" s="2" t="str">
        <f>IF(OR(A407&lt;&gt;"",G407&lt;&gt;""), SUMIFS(B407:G407,B1:G1,"&lt;&gt;",B2:G2,"&lt;&gt;Exame",B2:G2,"&lt;&gt;exame",B2:G2,"&lt;&gt;Nota",B2:G2,"&lt;&gt;Total"),"")</f>
        <v/>
      </c>
      <c r="I407" s="2" t="str">
        <f>IF(AND(A407&lt;&gt;"",H407&lt;&gt;""),ROUND(H407,0),"")</f>
        <v/>
      </c>
    </row>
    <row r="408" spans="2:9" x14ac:dyDescent="0.3">
      <c r="B408" s="2" t="str">
        <f>IF(A408&lt;&gt;"",VLOOKUP(Alunos!A408,Exame!A3:C1000,3, FALSE),"")</f>
        <v/>
      </c>
      <c r="C408" s="2" t="str">
        <f>IF(A408&lt;&gt;"",VLOOKUP(Alunos!A408,Agrupamentos!A3:B1000,2, FALSE),"")</f>
        <v/>
      </c>
      <c r="D408" s="2" t="str">
        <f>IF(A408&lt;&gt;"",VLOOKUP(Alunos!C408,'TP1'!A3:C1000,3, FALSE),"")</f>
        <v/>
      </c>
      <c r="E408" s="2" t="str">
        <f>IF(A408&lt;&gt;"", SUMIF(B1:D1,"&lt;&gt;",B408:D408),"")</f>
        <v/>
      </c>
      <c r="F408" s="2" t="str">
        <f>IF(AND(A408&lt;&gt;"",E408&lt;&gt;""),ROUND(E408,0),"")</f>
        <v/>
      </c>
      <c r="G408" s="2" t="str">
        <f>IF(A408&lt;&gt;"",VLOOKUP(Alunos!A408,Recurso!A3:C1000,3, FALSE),"")</f>
        <v/>
      </c>
      <c r="H408" s="2" t="str">
        <f>IF(OR(A408&lt;&gt;"",G408&lt;&gt;""), SUMIFS(B408:G408,B1:G1,"&lt;&gt;",B2:G2,"&lt;&gt;Exame",B2:G2,"&lt;&gt;exame",B2:G2,"&lt;&gt;Nota",B2:G2,"&lt;&gt;Total"),"")</f>
        <v/>
      </c>
      <c r="I408" s="2" t="str">
        <f>IF(AND(A408&lt;&gt;"",H408&lt;&gt;""),ROUND(H408,0),"")</f>
        <v/>
      </c>
    </row>
    <row r="409" spans="2:9" x14ac:dyDescent="0.3">
      <c r="B409" s="2" t="str">
        <f>IF(A409&lt;&gt;"",VLOOKUP(Alunos!A409,Exame!A3:C1000,3, FALSE),"")</f>
        <v/>
      </c>
      <c r="C409" s="2" t="str">
        <f>IF(A409&lt;&gt;"",VLOOKUP(Alunos!A409,Agrupamentos!A3:B1000,2, FALSE),"")</f>
        <v/>
      </c>
      <c r="D409" s="2" t="str">
        <f>IF(A409&lt;&gt;"",VLOOKUP(Alunos!C409,'TP1'!A3:C1000,3, FALSE),"")</f>
        <v/>
      </c>
      <c r="E409" s="2" t="str">
        <f>IF(A409&lt;&gt;"", SUMIF(B1:D1,"&lt;&gt;",B409:D409),"")</f>
        <v/>
      </c>
      <c r="F409" s="2" t="str">
        <f>IF(AND(A409&lt;&gt;"",E409&lt;&gt;""),ROUND(E409,0),"")</f>
        <v/>
      </c>
      <c r="G409" s="2" t="str">
        <f>IF(A409&lt;&gt;"",VLOOKUP(Alunos!A409,Recurso!A3:C1000,3, FALSE),"")</f>
        <v/>
      </c>
      <c r="H409" s="2" t="str">
        <f>IF(OR(A409&lt;&gt;"",G409&lt;&gt;""), SUMIFS(B409:G409,B1:G1,"&lt;&gt;",B2:G2,"&lt;&gt;Exame",B2:G2,"&lt;&gt;exame",B2:G2,"&lt;&gt;Nota",B2:G2,"&lt;&gt;Total"),"")</f>
        <v/>
      </c>
      <c r="I409" s="2" t="str">
        <f>IF(AND(A409&lt;&gt;"",H409&lt;&gt;""),ROUND(H409,0),"")</f>
        <v/>
      </c>
    </row>
    <row r="410" spans="2:9" x14ac:dyDescent="0.3">
      <c r="B410" s="2" t="str">
        <f>IF(A410&lt;&gt;"",VLOOKUP(Alunos!A410,Exame!A3:C1000,3, FALSE),"")</f>
        <v/>
      </c>
      <c r="C410" s="2" t="str">
        <f>IF(A410&lt;&gt;"",VLOOKUP(Alunos!A410,Agrupamentos!A3:B1000,2, FALSE),"")</f>
        <v/>
      </c>
      <c r="D410" s="2" t="str">
        <f>IF(A410&lt;&gt;"",VLOOKUP(Alunos!C410,'TP1'!A3:C1000,3, FALSE),"")</f>
        <v/>
      </c>
      <c r="E410" s="2" t="str">
        <f>IF(A410&lt;&gt;"", SUMIF(B1:D1,"&lt;&gt;",B410:D410),"")</f>
        <v/>
      </c>
      <c r="F410" s="2" t="str">
        <f>IF(AND(A410&lt;&gt;"",E410&lt;&gt;""),ROUND(E410,0),"")</f>
        <v/>
      </c>
      <c r="G410" s="2" t="str">
        <f>IF(A410&lt;&gt;"",VLOOKUP(Alunos!A410,Recurso!A3:C1000,3, FALSE),"")</f>
        <v/>
      </c>
      <c r="H410" s="2" t="str">
        <f>IF(OR(A410&lt;&gt;"",G410&lt;&gt;""), SUMIFS(B410:G410,B1:G1,"&lt;&gt;",B2:G2,"&lt;&gt;Exame",B2:G2,"&lt;&gt;exame",B2:G2,"&lt;&gt;Nota",B2:G2,"&lt;&gt;Total"),"")</f>
        <v/>
      </c>
      <c r="I410" s="2" t="str">
        <f>IF(AND(A410&lt;&gt;"",H410&lt;&gt;""),ROUND(H410,0),"")</f>
        <v/>
      </c>
    </row>
    <row r="411" spans="2:9" x14ac:dyDescent="0.3">
      <c r="B411" s="2" t="str">
        <f>IF(A411&lt;&gt;"",VLOOKUP(Alunos!A411,Exame!A3:C1000,3, FALSE),"")</f>
        <v/>
      </c>
      <c r="C411" s="2" t="str">
        <f>IF(A411&lt;&gt;"",VLOOKUP(Alunos!A411,Agrupamentos!A3:B1000,2, FALSE),"")</f>
        <v/>
      </c>
      <c r="D411" s="2" t="str">
        <f>IF(A411&lt;&gt;"",VLOOKUP(Alunos!C411,'TP1'!A3:C1000,3, FALSE),"")</f>
        <v/>
      </c>
      <c r="E411" s="2" t="str">
        <f>IF(A411&lt;&gt;"", SUMIF(B1:D1,"&lt;&gt;",B411:D411),"")</f>
        <v/>
      </c>
      <c r="F411" s="2" t="str">
        <f>IF(AND(A411&lt;&gt;"",E411&lt;&gt;""),ROUND(E411,0),"")</f>
        <v/>
      </c>
      <c r="G411" s="2" t="str">
        <f>IF(A411&lt;&gt;"",VLOOKUP(Alunos!A411,Recurso!A3:C1000,3, FALSE),"")</f>
        <v/>
      </c>
      <c r="H411" s="2" t="str">
        <f>IF(OR(A411&lt;&gt;"",G411&lt;&gt;""), SUMIFS(B411:G411,B1:G1,"&lt;&gt;",B2:G2,"&lt;&gt;Exame",B2:G2,"&lt;&gt;exame",B2:G2,"&lt;&gt;Nota",B2:G2,"&lt;&gt;Total"),"")</f>
        <v/>
      </c>
      <c r="I411" s="2" t="str">
        <f>IF(AND(A411&lt;&gt;"",H411&lt;&gt;""),ROUND(H411,0),"")</f>
        <v/>
      </c>
    </row>
    <row r="412" spans="2:9" x14ac:dyDescent="0.3">
      <c r="B412" s="2" t="str">
        <f>IF(A412&lt;&gt;"",VLOOKUP(Alunos!A412,Exame!A3:C1000,3, FALSE),"")</f>
        <v/>
      </c>
      <c r="C412" s="2" t="str">
        <f>IF(A412&lt;&gt;"",VLOOKUP(Alunos!A412,Agrupamentos!A3:B1000,2, FALSE),"")</f>
        <v/>
      </c>
      <c r="D412" s="2" t="str">
        <f>IF(A412&lt;&gt;"",VLOOKUP(Alunos!C412,'TP1'!A3:C1000,3, FALSE),"")</f>
        <v/>
      </c>
      <c r="E412" s="2" t="str">
        <f>IF(A412&lt;&gt;"", SUMIF(B1:D1,"&lt;&gt;",B412:D412),"")</f>
        <v/>
      </c>
      <c r="F412" s="2" t="str">
        <f>IF(AND(A412&lt;&gt;"",E412&lt;&gt;""),ROUND(E412,0),"")</f>
        <v/>
      </c>
      <c r="G412" s="2" t="str">
        <f>IF(A412&lt;&gt;"",VLOOKUP(Alunos!A412,Recurso!A3:C1000,3, FALSE),"")</f>
        <v/>
      </c>
      <c r="H412" s="2" t="str">
        <f>IF(OR(A412&lt;&gt;"",G412&lt;&gt;""), SUMIFS(B412:G412,B1:G1,"&lt;&gt;",B2:G2,"&lt;&gt;Exame",B2:G2,"&lt;&gt;exame",B2:G2,"&lt;&gt;Nota",B2:G2,"&lt;&gt;Total"),"")</f>
        <v/>
      </c>
      <c r="I412" s="2" t="str">
        <f>IF(AND(A412&lt;&gt;"",H412&lt;&gt;""),ROUND(H412,0),"")</f>
        <v/>
      </c>
    </row>
    <row r="413" spans="2:9" x14ac:dyDescent="0.3">
      <c r="B413" s="2" t="str">
        <f>IF(A413&lt;&gt;"",VLOOKUP(Alunos!A413,Exame!A3:C1000,3, FALSE),"")</f>
        <v/>
      </c>
      <c r="C413" s="2" t="str">
        <f>IF(A413&lt;&gt;"",VLOOKUP(Alunos!A413,Agrupamentos!A3:B1000,2, FALSE),"")</f>
        <v/>
      </c>
      <c r="D413" s="2" t="str">
        <f>IF(A413&lt;&gt;"",VLOOKUP(Alunos!C413,'TP1'!A3:C1000,3, FALSE),"")</f>
        <v/>
      </c>
      <c r="E413" s="2" t="str">
        <f>IF(A413&lt;&gt;"", SUMIF(B1:D1,"&lt;&gt;",B413:D413),"")</f>
        <v/>
      </c>
      <c r="F413" s="2" t="str">
        <f>IF(AND(A413&lt;&gt;"",E413&lt;&gt;""),ROUND(E413,0),"")</f>
        <v/>
      </c>
      <c r="G413" s="2" t="str">
        <f>IF(A413&lt;&gt;"",VLOOKUP(Alunos!A413,Recurso!A3:C1000,3, FALSE),"")</f>
        <v/>
      </c>
      <c r="H413" s="2" t="str">
        <f>IF(OR(A413&lt;&gt;"",G413&lt;&gt;""), SUMIFS(B413:G413,B1:G1,"&lt;&gt;",B2:G2,"&lt;&gt;Exame",B2:G2,"&lt;&gt;exame",B2:G2,"&lt;&gt;Nota",B2:G2,"&lt;&gt;Total"),"")</f>
        <v/>
      </c>
      <c r="I413" s="2" t="str">
        <f>IF(AND(A413&lt;&gt;"",H413&lt;&gt;""),ROUND(H413,0),"")</f>
        <v/>
      </c>
    </row>
    <row r="414" spans="2:9" x14ac:dyDescent="0.3">
      <c r="B414" s="2" t="str">
        <f>IF(A414&lt;&gt;"",VLOOKUP(Alunos!A414,Exame!A3:C1000,3, FALSE),"")</f>
        <v/>
      </c>
      <c r="C414" s="2" t="str">
        <f>IF(A414&lt;&gt;"",VLOOKUP(Alunos!A414,Agrupamentos!A3:B1000,2, FALSE),"")</f>
        <v/>
      </c>
      <c r="D414" s="2" t="str">
        <f>IF(A414&lt;&gt;"",VLOOKUP(Alunos!C414,'TP1'!A3:C1000,3, FALSE),"")</f>
        <v/>
      </c>
      <c r="E414" s="2" t="str">
        <f>IF(A414&lt;&gt;"", SUMIF(B1:D1,"&lt;&gt;",B414:D414),"")</f>
        <v/>
      </c>
      <c r="F414" s="2" t="str">
        <f>IF(AND(A414&lt;&gt;"",E414&lt;&gt;""),ROUND(E414,0),"")</f>
        <v/>
      </c>
      <c r="G414" s="2" t="str">
        <f>IF(A414&lt;&gt;"",VLOOKUP(Alunos!A414,Recurso!A3:C1000,3, FALSE),"")</f>
        <v/>
      </c>
      <c r="H414" s="2" t="str">
        <f>IF(OR(A414&lt;&gt;"",G414&lt;&gt;""), SUMIFS(B414:G414,B1:G1,"&lt;&gt;",B2:G2,"&lt;&gt;Exame",B2:G2,"&lt;&gt;exame",B2:G2,"&lt;&gt;Nota",B2:G2,"&lt;&gt;Total"),"")</f>
        <v/>
      </c>
      <c r="I414" s="2" t="str">
        <f>IF(AND(A414&lt;&gt;"",H414&lt;&gt;""),ROUND(H414,0),"")</f>
        <v/>
      </c>
    </row>
    <row r="415" spans="2:9" x14ac:dyDescent="0.3">
      <c r="B415" s="2" t="str">
        <f>IF(A415&lt;&gt;"",VLOOKUP(Alunos!A415,Exame!A3:C1000,3, FALSE),"")</f>
        <v/>
      </c>
      <c r="C415" s="2" t="str">
        <f>IF(A415&lt;&gt;"",VLOOKUP(Alunos!A415,Agrupamentos!A3:B1000,2, FALSE),"")</f>
        <v/>
      </c>
      <c r="D415" s="2" t="str">
        <f>IF(A415&lt;&gt;"",VLOOKUP(Alunos!C415,'TP1'!A3:C1000,3, FALSE),"")</f>
        <v/>
      </c>
      <c r="E415" s="2" t="str">
        <f>IF(A415&lt;&gt;"", SUMIF(B1:D1,"&lt;&gt;",B415:D415),"")</f>
        <v/>
      </c>
      <c r="F415" s="2" t="str">
        <f>IF(AND(A415&lt;&gt;"",E415&lt;&gt;""),ROUND(E415,0),"")</f>
        <v/>
      </c>
      <c r="G415" s="2" t="str">
        <f>IF(A415&lt;&gt;"",VLOOKUP(Alunos!A415,Recurso!A3:C1000,3, FALSE),"")</f>
        <v/>
      </c>
      <c r="H415" s="2" t="str">
        <f>IF(OR(A415&lt;&gt;"",G415&lt;&gt;""), SUMIFS(B415:G415,B1:G1,"&lt;&gt;",B2:G2,"&lt;&gt;Exame",B2:G2,"&lt;&gt;exame",B2:G2,"&lt;&gt;Nota",B2:G2,"&lt;&gt;Total"),"")</f>
        <v/>
      </c>
      <c r="I415" s="2" t="str">
        <f>IF(AND(A415&lt;&gt;"",H415&lt;&gt;""),ROUND(H415,0),"")</f>
        <v/>
      </c>
    </row>
    <row r="416" spans="2:9" x14ac:dyDescent="0.3">
      <c r="B416" s="2" t="str">
        <f>IF(A416&lt;&gt;"",VLOOKUP(Alunos!A416,Exame!A3:C1000,3, FALSE),"")</f>
        <v/>
      </c>
      <c r="C416" s="2" t="str">
        <f>IF(A416&lt;&gt;"",VLOOKUP(Alunos!A416,Agrupamentos!A3:B1000,2, FALSE),"")</f>
        <v/>
      </c>
      <c r="D416" s="2" t="str">
        <f>IF(A416&lt;&gt;"",VLOOKUP(Alunos!C416,'TP1'!A3:C1000,3, FALSE),"")</f>
        <v/>
      </c>
      <c r="E416" s="2" t="str">
        <f>IF(A416&lt;&gt;"", SUMIF(B1:D1,"&lt;&gt;",B416:D416),"")</f>
        <v/>
      </c>
      <c r="F416" s="2" t="str">
        <f>IF(AND(A416&lt;&gt;"",E416&lt;&gt;""),ROUND(E416,0),"")</f>
        <v/>
      </c>
      <c r="G416" s="2" t="str">
        <f>IF(A416&lt;&gt;"",VLOOKUP(Alunos!A416,Recurso!A3:C1000,3, FALSE),"")</f>
        <v/>
      </c>
      <c r="H416" s="2" t="str">
        <f>IF(OR(A416&lt;&gt;"",G416&lt;&gt;""), SUMIFS(B416:G416,B1:G1,"&lt;&gt;",B2:G2,"&lt;&gt;Exame",B2:G2,"&lt;&gt;exame",B2:G2,"&lt;&gt;Nota",B2:G2,"&lt;&gt;Total"),"")</f>
        <v/>
      </c>
      <c r="I416" s="2" t="str">
        <f>IF(AND(A416&lt;&gt;"",H416&lt;&gt;""),ROUND(H416,0),"")</f>
        <v/>
      </c>
    </row>
    <row r="417" spans="2:9" x14ac:dyDescent="0.3">
      <c r="B417" s="2" t="str">
        <f>IF(A417&lt;&gt;"",VLOOKUP(Alunos!A417,Exame!A3:C1000,3, FALSE),"")</f>
        <v/>
      </c>
      <c r="C417" s="2" t="str">
        <f>IF(A417&lt;&gt;"",VLOOKUP(Alunos!A417,Agrupamentos!A3:B1000,2, FALSE),"")</f>
        <v/>
      </c>
      <c r="D417" s="2" t="str">
        <f>IF(A417&lt;&gt;"",VLOOKUP(Alunos!C417,'TP1'!A3:C1000,3, FALSE),"")</f>
        <v/>
      </c>
      <c r="E417" s="2" t="str">
        <f>IF(A417&lt;&gt;"", SUMIF(B1:D1,"&lt;&gt;",B417:D417),"")</f>
        <v/>
      </c>
      <c r="F417" s="2" t="str">
        <f>IF(AND(A417&lt;&gt;"",E417&lt;&gt;""),ROUND(E417,0),"")</f>
        <v/>
      </c>
      <c r="G417" s="2" t="str">
        <f>IF(A417&lt;&gt;"",VLOOKUP(Alunos!A417,Recurso!A3:C1000,3, FALSE),"")</f>
        <v/>
      </c>
      <c r="H417" s="2" t="str">
        <f>IF(OR(A417&lt;&gt;"",G417&lt;&gt;""), SUMIFS(B417:G417,B1:G1,"&lt;&gt;",B2:G2,"&lt;&gt;Exame",B2:G2,"&lt;&gt;exame",B2:G2,"&lt;&gt;Nota",B2:G2,"&lt;&gt;Total"),"")</f>
        <v/>
      </c>
      <c r="I417" s="2" t="str">
        <f>IF(AND(A417&lt;&gt;"",H417&lt;&gt;""),ROUND(H417,0),"")</f>
        <v/>
      </c>
    </row>
    <row r="418" spans="2:9" x14ac:dyDescent="0.3">
      <c r="B418" s="2" t="str">
        <f>IF(A418&lt;&gt;"",VLOOKUP(Alunos!A418,Exame!A3:C1000,3, FALSE),"")</f>
        <v/>
      </c>
      <c r="C418" s="2" t="str">
        <f>IF(A418&lt;&gt;"",VLOOKUP(Alunos!A418,Agrupamentos!A3:B1000,2, FALSE),"")</f>
        <v/>
      </c>
      <c r="D418" s="2" t="str">
        <f>IF(A418&lt;&gt;"",VLOOKUP(Alunos!C418,'TP1'!A3:C1000,3, FALSE),"")</f>
        <v/>
      </c>
      <c r="E418" s="2" t="str">
        <f>IF(A418&lt;&gt;"", SUMIF(B1:D1,"&lt;&gt;",B418:D418),"")</f>
        <v/>
      </c>
      <c r="F418" s="2" t="str">
        <f>IF(AND(A418&lt;&gt;"",E418&lt;&gt;""),ROUND(E418,0),"")</f>
        <v/>
      </c>
      <c r="G418" s="2" t="str">
        <f>IF(A418&lt;&gt;"",VLOOKUP(Alunos!A418,Recurso!A3:C1000,3, FALSE),"")</f>
        <v/>
      </c>
      <c r="H418" s="2" t="str">
        <f>IF(OR(A418&lt;&gt;"",G418&lt;&gt;""), SUMIFS(B418:G418,B1:G1,"&lt;&gt;",B2:G2,"&lt;&gt;Exame",B2:G2,"&lt;&gt;exame",B2:G2,"&lt;&gt;Nota",B2:G2,"&lt;&gt;Total"),"")</f>
        <v/>
      </c>
      <c r="I418" s="2" t="str">
        <f>IF(AND(A418&lt;&gt;"",H418&lt;&gt;""),ROUND(H418,0),"")</f>
        <v/>
      </c>
    </row>
    <row r="419" spans="2:9" x14ac:dyDescent="0.3">
      <c r="B419" s="2" t="str">
        <f>IF(A419&lt;&gt;"",VLOOKUP(Alunos!A419,Exame!A3:C1000,3, FALSE),"")</f>
        <v/>
      </c>
      <c r="C419" s="2" t="str">
        <f>IF(A419&lt;&gt;"",VLOOKUP(Alunos!A419,Agrupamentos!A3:B1000,2, FALSE),"")</f>
        <v/>
      </c>
      <c r="D419" s="2" t="str">
        <f>IF(A419&lt;&gt;"",VLOOKUP(Alunos!C419,'TP1'!A3:C1000,3, FALSE),"")</f>
        <v/>
      </c>
      <c r="E419" s="2" t="str">
        <f>IF(A419&lt;&gt;"", SUMIF(B1:D1,"&lt;&gt;",B419:D419),"")</f>
        <v/>
      </c>
      <c r="F419" s="2" t="str">
        <f>IF(AND(A419&lt;&gt;"",E419&lt;&gt;""),ROUND(E419,0),"")</f>
        <v/>
      </c>
      <c r="G419" s="2" t="str">
        <f>IF(A419&lt;&gt;"",VLOOKUP(Alunos!A419,Recurso!A3:C1000,3, FALSE),"")</f>
        <v/>
      </c>
      <c r="H419" s="2" t="str">
        <f>IF(OR(A419&lt;&gt;"",G419&lt;&gt;""), SUMIFS(B419:G419,B1:G1,"&lt;&gt;",B2:G2,"&lt;&gt;Exame",B2:G2,"&lt;&gt;exame",B2:G2,"&lt;&gt;Nota",B2:G2,"&lt;&gt;Total"),"")</f>
        <v/>
      </c>
      <c r="I419" s="2" t="str">
        <f>IF(AND(A419&lt;&gt;"",H419&lt;&gt;""),ROUND(H419,0),"")</f>
        <v/>
      </c>
    </row>
    <row r="420" spans="2:9" x14ac:dyDescent="0.3">
      <c r="B420" s="2" t="str">
        <f>IF(A420&lt;&gt;"",VLOOKUP(Alunos!A420,Exame!A3:C1000,3, FALSE),"")</f>
        <v/>
      </c>
      <c r="C420" s="2" t="str">
        <f>IF(A420&lt;&gt;"",VLOOKUP(Alunos!A420,Agrupamentos!A3:B1000,2, FALSE),"")</f>
        <v/>
      </c>
      <c r="D420" s="2" t="str">
        <f>IF(A420&lt;&gt;"",VLOOKUP(Alunos!C420,'TP1'!A3:C1000,3, FALSE),"")</f>
        <v/>
      </c>
      <c r="E420" s="2" t="str">
        <f>IF(A420&lt;&gt;"", SUMIF(B1:D1,"&lt;&gt;",B420:D420),"")</f>
        <v/>
      </c>
      <c r="F420" s="2" t="str">
        <f>IF(AND(A420&lt;&gt;"",E420&lt;&gt;""),ROUND(E420,0),"")</f>
        <v/>
      </c>
      <c r="G420" s="2" t="str">
        <f>IF(A420&lt;&gt;"",VLOOKUP(Alunos!A420,Recurso!A3:C1000,3, FALSE),"")</f>
        <v/>
      </c>
      <c r="H420" s="2" t="str">
        <f>IF(OR(A420&lt;&gt;"",G420&lt;&gt;""), SUMIFS(B420:G420,B1:G1,"&lt;&gt;",B2:G2,"&lt;&gt;Exame",B2:G2,"&lt;&gt;exame",B2:G2,"&lt;&gt;Nota",B2:G2,"&lt;&gt;Total"),"")</f>
        <v/>
      </c>
      <c r="I420" s="2" t="str">
        <f>IF(AND(A420&lt;&gt;"",H420&lt;&gt;""),ROUND(H420,0),"")</f>
        <v/>
      </c>
    </row>
    <row r="421" spans="2:9" x14ac:dyDescent="0.3">
      <c r="B421" s="2" t="str">
        <f>IF(A421&lt;&gt;"",VLOOKUP(Alunos!A421,Exame!A3:C1000,3, FALSE),"")</f>
        <v/>
      </c>
      <c r="C421" s="2" t="str">
        <f>IF(A421&lt;&gt;"",VLOOKUP(Alunos!A421,Agrupamentos!A3:B1000,2, FALSE),"")</f>
        <v/>
      </c>
      <c r="D421" s="2" t="str">
        <f>IF(A421&lt;&gt;"",VLOOKUP(Alunos!C421,'TP1'!A3:C1000,3, FALSE),"")</f>
        <v/>
      </c>
      <c r="E421" s="2" t="str">
        <f>IF(A421&lt;&gt;"", SUMIF(B1:D1,"&lt;&gt;",B421:D421),"")</f>
        <v/>
      </c>
      <c r="F421" s="2" t="str">
        <f>IF(AND(A421&lt;&gt;"",E421&lt;&gt;""),ROUND(E421,0),"")</f>
        <v/>
      </c>
      <c r="G421" s="2" t="str">
        <f>IF(A421&lt;&gt;"",VLOOKUP(Alunos!A421,Recurso!A3:C1000,3, FALSE),"")</f>
        <v/>
      </c>
      <c r="H421" s="2" t="str">
        <f>IF(OR(A421&lt;&gt;"",G421&lt;&gt;""), SUMIFS(B421:G421,B1:G1,"&lt;&gt;",B2:G2,"&lt;&gt;Exame",B2:G2,"&lt;&gt;exame",B2:G2,"&lt;&gt;Nota",B2:G2,"&lt;&gt;Total"),"")</f>
        <v/>
      </c>
      <c r="I421" s="2" t="str">
        <f>IF(AND(A421&lt;&gt;"",H421&lt;&gt;""),ROUND(H421,0),"")</f>
        <v/>
      </c>
    </row>
    <row r="422" spans="2:9" x14ac:dyDescent="0.3">
      <c r="B422" s="2" t="str">
        <f>IF(A422&lt;&gt;"",VLOOKUP(Alunos!A422,Exame!A3:C1000,3, FALSE),"")</f>
        <v/>
      </c>
      <c r="C422" s="2" t="str">
        <f>IF(A422&lt;&gt;"",VLOOKUP(Alunos!A422,Agrupamentos!A3:B1000,2, FALSE),"")</f>
        <v/>
      </c>
      <c r="D422" s="2" t="str">
        <f>IF(A422&lt;&gt;"",VLOOKUP(Alunos!C422,'TP1'!A3:C1000,3, FALSE),"")</f>
        <v/>
      </c>
      <c r="E422" s="2" t="str">
        <f>IF(A422&lt;&gt;"", SUMIF(B1:D1,"&lt;&gt;",B422:D422),"")</f>
        <v/>
      </c>
      <c r="F422" s="2" t="str">
        <f>IF(AND(A422&lt;&gt;"",E422&lt;&gt;""),ROUND(E422,0),"")</f>
        <v/>
      </c>
      <c r="G422" s="2" t="str">
        <f>IF(A422&lt;&gt;"",VLOOKUP(Alunos!A422,Recurso!A3:C1000,3, FALSE),"")</f>
        <v/>
      </c>
      <c r="H422" s="2" t="str">
        <f>IF(OR(A422&lt;&gt;"",G422&lt;&gt;""), SUMIFS(B422:G422,B1:G1,"&lt;&gt;",B2:G2,"&lt;&gt;Exame",B2:G2,"&lt;&gt;exame",B2:G2,"&lt;&gt;Nota",B2:G2,"&lt;&gt;Total"),"")</f>
        <v/>
      </c>
      <c r="I422" s="2" t="str">
        <f>IF(AND(A422&lt;&gt;"",H422&lt;&gt;""),ROUND(H422,0),"")</f>
        <v/>
      </c>
    </row>
    <row r="423" spans="2:9" x14ac:dyDescent="0.3">
      <c r="B423" s="2" t="str">
        <f>IF(A423&lt;&gt;"",VLOOKUP(Alunos!A423,Exame!A3:C1000,3, FALSE),"")</f>
        <v/>
      </c>
      <c r="C423" s="2" t="str">
        <f>IF(A423&lt;&gt;"",VLOOKUP(Alunos!A423,Agrupamentos!A3:B1000,2, FALSE),"")</f>
        <v/>
      </c>
      <c r="D423" s="2" t="str">
        <f>IF(A423&lt;&gt;"",VLOOKUP(Alunos!C423,'TP1'!A3:C1000,3, FALSE),"")</f>
        <v/>
      </c>
      <c r="E423" s="2" t="str">
        <f>IF(A423&lt;&gt;"", SUMIF(B1:D1,"&lt;&gt;",B423:D423),"")</f>
        <v/>
      </c>
      <c r="F423" s="2" t="str">
        <f>IF(AND(A423&lt;&gt;"",E423&lt;&gt;""),ROUND(E423,0),"")</f>
        <v/>
      </c>
      <c r="G423" s="2" t="str">
        <f>IF(A423&lt;&gt;"",VLOOKUP(Alunos!A423,Recurso!A3:C1000,3, FALSE),"")</f>
        <v/>
      </c>
      <c r="H423" s="2" t="str">
        <f>IF(OR(A423&lt;&gt;"",G423&lt;&gt;""), SUMIFS(B423:G423,B1:G1,"&lt;&gt;",B2:G2,"&lt;&gt;Exame",B2:G2,"&lt;&gt;exame",B2:G2,"&lt;&gt;Nota",B2:G2,"&lt;&gt;Total"),"")</f>
        <v/>
      </c>
      <c r="I423" s="2" t="str">
        <f>IF(AND(A423&lt;&gt;"",H423&lt;&gt;""),ROUND(H423,0),"")</f>
        <v/>
      </c>
    </row>
    <row r="424" spans="2:9" x14ac:dyDescent="0.3">
      <c r="B424" s="2" t="str">
        <f>IF(A424&lt;&gt;"",VLOOKUP(Alunos!A424,Exame!A3:C1000,3, FALSE),"")</f>
        <v/>
      </c>
      <c r="C424" s="2" t="str">
        <f>IF(A424&lt;&gt;"",VLOOKUP(Alunos!A424,Agrupamentos!A3:B1000,2, FALSE),"")</f>
        <v/>
      </c>
      <c r="D424" s="2" t="str">
        <f>IF(A424&lt;&gt;"",VLOOKUP(Alunos!C424,'TP1'!A3:C1000,3, FALSE),"")</f>
        <v/>
      </c>
      <c r="E424" s="2" t="str">
        <f>IF(A424&lt;&gt;"", SUMIF(B1:D1,"&lt;&gt;",B424:D424),"")</f>
        <v/>
      </c>
      <c r="F424" s="2" t="str">
        <f>IF(AND(A424&lt;&gt;"",E424&lt;&gt;""),ROUND(E424,0),"")</f>
        <v/>
      </c>
      <c r="G424" s="2" t="str">
        <f>IF(A424&lt;&gt;"",VLOOKUP(Alunos!A424,Recurso!A3:C1000,3, FALSE),"")</f>
        <v/>
      </c>
      <c r="H424" s="2" t="str">
        <f>IF(OR(A424&lt;&gt;"",G424&lt;&gt;""), SUMIFS(B424:G424,B1:G1,"&lt;&gt;",B2:G2,"&lt;&gt;Exame",B2:G2,"&lt;&gt;exame",B2:G2,"&lt;&gt;Nota",B2:G2,"&lt;&gt;Total"),"")</f>
        <v/>
      </c>
      <c r="I424" s="2" t="str">
        <f>IF(AND(A424&lt;&gt;"",H424&lt;&gt;""),ROUND(H424,0),"")</f>
        <v/>
      </c>
    </row>
    <row r="425" spans="2:9" x14ac:dyDescent="0.3">
      <c r="B425" s="2" t="str">
        <f>IF(A425&lt;&gt;"",VLOOKUP(Alunos!A425,Exame!A3:C1000,3, FALSE),"")</f>
        <v/>
      </c>
      <c r="C425" s="2" t="str">
        <f>IF(A425&lt;&gt;"",VLOOKUP(Alunos!A425,Agrupamentos!A3:B1000,2, FALSE),"")</f>
        <v/>
      </c>
      <c r="D425" s="2" t="str">
        <f>IF(A425&lt;&gt;"",VLOOKUP(Alunos!C425,'TP1'!A3:C1000,3, FALSE),"")</f>
        <v/>
      </c>
      <c r="E425" s="2" t="str">
        <f>IF(A425&lt;&gt;"", SUMIF(B1:D1,"&lt;&gt;",B425:D425),"")</f>
        <v/>
      </c>
      <c r="F425" s="2" t="str">
        <f>IF(AND(A425&lt;&gt;"",E425&lt;&gt;""),ROUND(E425,0),"")</f>
        <v/>
      </c>
      <c r="G425" s="2" t="str">
        <f>IF(A425&lt;&gt;"",VLOOKUP(Alunos!A425,Recurso!A3:C1000,3, FALSE),"")</f>
        <v/>
      </c>
      <c r="H425" s="2" t="str">
        <f>IF(OR(A425&lt;&gt;"",G425&lt;&gt;""), SUMIFS(B425:G425,B1:G1,"&lt;&gt;",B2:G2,"&lt;&gt;Exame",B2:G2,"&lt;&gt;exame",B2:G2,"&lt;&gt;Nota",B2:G2,"&lt;&gt;Total"),"")</f>
        <v/>
      </c>
      <c r="I425" s="2" t="str">
        <f>IF(AND(A425&lt;&gt;"",H425&lt;&gt;""),ROUND(H425,0),"")</f>
        <v/>
      </c>
    </row>
    <row r="426" spans="2:9" x14ac:dyDescent="0.3">
      <c r="B426" s="2" t="str">
        <f>IF(A426&lt;&gt;"",VLOOKUP(Alunos!A426,Exame!A3:C1000,3, FALSE),"")</f>
        <v/>
      </c>
      <c r="C426" s="2" t="str">
        <f>IF(A426&lt;&gt;"",VLOOKUP(Alunos!A426,Agrupamentos!A3:B1000,2, FALSE),"")</f>
        <v/>
      </c>
      <c r="D426" s="2" t="str">
        <f>IF(A426&lt;&gt;"",VLOOKUP(Alunos!C426,'TP1'!A3:C1000,3, FALSE),"")</f>
        <v/>
      </c>
      <c r="E426" s="2" t="str">
        <f>IF(A426&lt;&gt;"", SUMIF(B1:D1,"&lt;&gt;",B426:D426),"")</f>
        <v/>
      </c>
      <c r="F426" s="2" t="str">
        <f>IF(AND(A426&lt;&gt;"",E426&lt;&gt;""),ROUND(E426,0),"")</f>
        <v/>
      </c>
      <c r="G426" s="2" t="str">
        <f>IF(A426&lt;&gt;"",VLOOKUP(Alunos!A426,Recurso!A3:C1000,3, FALSE),"")</f>
        <v/>
      </c>
      <c r="H426" s="2" t="str">
        <f>IF(OR(A426&lt;&gt;"",G426&lt;&gt;""), SUMIFS(B426:G426,B1:G1,"&lt;&gt;",B2:G2,"&lt;&gt;Exame",B2:G2,"&lt;&gt;exame",B2:G2,"&lt;&gt;Nota",B2:G2,"&lt;&gt;Total"),"")</f>
        <v/>
      </c>
      <c r="I426" s="2" t="str">
        <f>IF(AND(A426&lt;&gt;"",H426&lt;&gt;""),ROUND(H426,0),"")</f>
        <v/>
      </c>
    </row>
    <row r="427" spans="2:9" x14ac:dyDescent="0.3">
      <c r="B427" s="2" t="str">
        <f>IF(A427&lt;&gt;"",VLOOKUP(Alunos!A427,Exame!A3:C1000,3, FALSE),"")</f>
        <v/>
      </c>
      <c r="C427" s="2" t="str">
        <f>IF(A427&lt;&gt;"",VLOOKUP(Alunos!A427,Agrupamentos!A3:B1000,2, FALSE),"")</f>
        <v/>
      </c>
      <c r="D427" s="2" t="str">
        <f>IF(A427&lt;&gt;"",VLOOKUP(Alunos!C427,'TP1'!A3:C1000,3, FALSE),"")</f>
        <v/>
      </c>
      <c r="E427" s="2" t="str">
        <f>IF(A427&lt;&gt;"", SUMIF(B1:D1,"&lt;&gt;",B427:D427),"")</f>
        <v/>
      </c>
      <c r="F427" s="2" t="str">
        <f>IF(AND(A427&lt;&gt;"",E427&lt;&gt;""),ROUND(E427,0),"")</f>
        <v/>
      </c>
      <c r="G427" s="2" t="str">
        <f>IF(A427&lt;&gt;"",VLOOKUP(Alunos!A427,Recurso!A3:C1000,3, FALSE),"")</f>
        <v/>
      </c>
      <c r="H427" s="2" t="str">
        <f>IF(OR(A427&lt;&gt;"",G427&lt;&gt;""), SUMIFS(B427:G427,B1:G1,"&lt;&gt;",B2:G2,"&lt;&gt;Exame",B2:G2,"&lt;&gt;exame",B2:G2,"&lt;&gt;Nota",B2:G2,"&lt;&gt;Total"),"")</f>
        <v/>
      </c>
      <c r="I427" s="2" t="str">
        <f>IF(AND(A427&lt;&gt;"",H427&lt;&gt;""),ROUND(H427,0),"")</f>
        <v/>
      </c>
    </row>
    <row r="428" spans="2:9" x14ac:dyDescent="0.3">
      <c r="B428" s="2" t="str">
        <f>IF(A428&lt;&gt;"",VLOOKUP(Alunos!A428,Exame!A3:C1000,3, FALSE),"")</f>
        <v/>
      </c>
      <c r="C428" s="2" t="str">
        <f>IF(A428&lt;&gt;"",VLOOKUP(Alunos!A428,Agrupamentos!A3:B1000,2, FALSE),"")</f>
        <v/>
      </c>
      <c r="D428" s="2" t="str">
        <f>IF(A428&lt;&gt;"",VLOOKUP(Alunos!C428,'TP1'!A3:C1000,3, FALSE),"")</f>
        <v/>
      </c>
      <c r="E428" s="2" t="str">
        <f>IF(A428&lt;&gt;"", SUMIF(B1:D1,"&lt;&gt;",B428:D428),"")</f>
        <v/>
      </c>
      <c r="F428" s="2" t="str">
        <f>IF(AND(A428&lt;&gt;"",E428&lt;&gt;""),ROUND(E428,0),"")</f>
        <v/>
      </c>
      <c r="G428" s="2" t="str">
        <f>IF(A428&lt;&gt;"",VLOOKUP(Alunos!A428,Recurso!A3:C1000,3, FALSE),"")</f>
        <v/>
      </c>
      <c r="H428" s="2" t="str">
        <f>IF(OR(A428&lt;&gt;"",G428&lt;&gt;""), SUMIFS(B428:G428,B1:G1,"&lt;&gt;",B2:G2,"&lt;&gt;Exame",B2:G2,"&lt;&gt;exame",B2:G2,"&lt;&gt;Nota",B2:G2,"&lt;&gt;Total"),"")</f>
        <v/>
      </c>
      <c r="I428" s="2" t="str">
        <f>IF(AND(A428&lt;&gt;"",H428&lt;&gt;""),ROUND(H428,0),"")</f>
        <v/>
      </c>
    </row>
    <row r="429" spans="2:9" x14ac:dyDescent="0.3">
      <c r="B429" s="2" t="str">
        <f>IF(A429&lt;&gt;"",VLOOKUP(Alunos!A429,Exame!A3:C1000,3, FALSE),"")</f>
        <v/>
      </c>
      <c r="C429" s="2" t="str">
        <f>IF(A429&lt;&gt;"",VLOOKUP(Alunos!A429,Agrupamentos!A3:B1000,2, FALSE),"")</f>
        <v/>
      </c>
      <c r="D429" s="2" t="str">
        <f>IF(A429&lt;&gt;"",VLOOKUP(Alunos!C429,'TP1'!A3:C1000,3, FALSE),"")</f>
        <v/>
      </c>
      <c r="E429" s="2" t="str">
        <f>IF(A429&lt;&gt;"", SUMIF(B1:D1,"&lt;&gt;",B429:D429),"")</f>
        <v/>
      </c>
      <c r="F429" s="2" t="str">
        <f>IF(AND(A429&lt;&gt;"",E429&lt;&gt;""),ROUND(E429,0),"")</f>
        <v/>
      </c>
      <c r="G429" s="2" t="str">
        <f>IF(A429&lt;&gt;"",VLOOKUP(Alunos!A429,Recurso!A3:C1000,3, FALSE),"")</f>
        <v/>
      </c>
      <c r="H429" s="2" t="str">
        <f>IF(OR(A429&lt;&gt;"",G429&lt;&gt;""), SUMIFS(B429:G429,B1:G1,"&lt;&gt;",B2:G2,"&lt;&gt;Exame",B2:G2,"&lt;&gt;exame",B2:G2,"&lt;&gt;Nota",B2:G2,"&lt;&gt;Total"),"")</f>
        <v/>
      </c>
      <c r="I429" s="2" t="str">
        <f>IF(AND(A429&lt;&gt;"",H429&lt;&gt;""),ROUND(H429,0),"")</f>
        <v/>
      </c>
    </row>
    <row r="430" spans="2:9" x14ac:dyDescent="0.3">
      <c r="B430" s="2" t="str">
        <f>IF(A430&lt;&gt;"",VLOOKUP(Alunos!A430,Exame!A3:C1000,3, FALSE),"")</f>
        <v/>
      </c>
      <c r="C430" s="2" t="str">
        <f>IF(A430&lt;&gt;"",VLOOKUP(Alunos!A430,Agrupamentos!A3:B1000,2, FALSE),"")</f>
        <v/>
      </c>
      <c r="D430" s="2" t="str">
        <f>IF(A430&lt;&gt;"",VLOOKUP(Alunos!C430,'TP1'!A3:C1000,3, FALSE),"")</f>
        <v/>
      </c>
      <c r="E430" s="2" t="str">
        <f>IF(A430&lt;&gt;"", SUMIF(B1:D1,"&lt;&gt;",B430:D430),"")</f>
        <v/>
      </c>
      <c r="F430" s="2" t="str">
        <f>IF(AND(A430&lt;&gt;"",E430&lt;&gt;""),ROUND(E430,0),"")</f>
        <v/>
      </c>
      <c r="G430" s="2" t="str">
        <f>IF(A430&lt;&gt;"",VLOOKUP(Alunos!A430,Recurso!A3:C1000,3, FALSE),"")</f>
        <v/>
      </c>
      <c r="H430" s="2" t="str">
        <f>IF(OR(A430&lt;&gt;"",G430&lt;&gt;""), SUMIFS(B430:G430,B1:G1,"&lt;&gt;",B2:G2,"&lt;&gt;Exame",B2:G2,"&lt;&gt;exame",B2:G2,"&lt;&gt;Nota",B2:G2,"&lt;&gt;Total"),"")</f>
        <v/>
      </c>
      <c r="I430" s="2" t="str">
        <f>IF(AND(A430&lt;&gt;"",H430&lt;&gt;""),ROUND(H430,0),"")</f>
        <v/>
      </c>
    </row>
    <row r="431" spans="2:9" x14ac:dyDescent="0.3">
      <c r="B431" s="2" t="str">
        <f>IF(A431&lt;&gt;"",VLOOKUP(Alunos!A431,Exame!A3:C1000,3, FALSE),"")</f>
        <v/>
      </c>
      <c r="C431" s="2" t="str">
        <f>IF(A431&lt;&gt;"",VLOOKUP(Alunos!A431,Agrupamentos!A3:B1000,2, FALSE),"")</f>
        <v/>
      </c>
      <c r="D431" s="2" t="str">
        <f>IF(A431&lt;&gt;"",VLOOKUP(Alunos!C431,'TP1'!A3:C1000,3, FALSE),"")</f>
        <v/>
      </c>
      <c r="E431" s="2" t="str">
        <f>IF(A431&lt;&gt;"", SUMIF(B1:D1,"&lt;&gt;",B431:D431),"")</f>
        <v/>
      </c>
      <c r="F431" s="2" t="str">
        <f>IF(AND(A431&lt;&gt;"",E431&lt;&gt;""),ROUND(E431,0),"")</f>
        <v/>
      </c>
      <c r="G431" s="2" t="str">
        <f>IF(A431&lt;&gt;"",VLOOKUP(Alunos!A431,Recurso!A3:C1000,3, FALSE),"")</f>
        <v/>
      </c>
      <c r="H431" s="2" t="str">
        <f>IF(OR(A431&lt;&gt;"",G431&lt;&gt;""), SUMIFS(B431:G431,B1:G1,"&lt;&gt;",B2:G2,"&lt;&gt;Exame",B2:G2,"&lt;&gt;exame",B2:G2,"&lt;&gt;Nota",B2:G2,"&lt;&gt;Total"),"")</f>
        <v/>
      </c>
      <c r="I431" s="2" t="str">
        <f>IF(AND(A431&lt;&gt;"",H431&lt;&gt;""),ROUND(H431,0),"")</f>
        <v/>
      </c>
    </row>
    <row r="432" spans="2:9" x14ac:dyDescent="0.3">
      <c r="B432" s="2" t="str">
        <f>IF(A432&lt;&gt;"",VLOOKUP(Alunos!A432,Exame!A3:C1000,3, FALSE),"")</f>
        <v/>
      </c>
      <c r="C432" s="2" t="str">
        <f>IF(A432&lt;&gt;"",VLOOKUP(Alunos!A432,Agrupamentos!A3:B1000,2, FALSE),"")</f>
        <v/>
      </c>
      <c r="D432" s="2" t="str">
        <f>IF(A432&lt;&gt;"",VLOOKUP(Alunos!C432,'TP1'!A3:C1000,3, FALSE),"")</f>
        <v/>
      </c>
      <c r="E432" s="2" t="str">
        <f>IF(A432&lt;&gt;"", SUMIF(B1:D1,"&lt;&gt;",B432:D432),"")</f>
        <v/>
      </c>
      <c r="F432" s="2" t="str">
        <f>IF(AND(A432&lt;&gt;"",E432&lt;&gt;""),ROUND(E432,0),"")</f>
        <v/>
      </c>
      <c r="G432" s="2" t="str">
        <f>IF(A432&lt;&gt;"",VLOOKUP(Alunos!A432,Recurso!A3:C1000,3, FALSE),"")</f>
        <v/>
      </c>
      <c r="H432" s="2" t="str">
        <f>IF(OR(A432&lt;&gt;"",G432&lt;&gt;""), SUMIFS(B432:G432,B1:G1,"&lt;&gt;",B2:G2,"&lt;&gt;Exame",B2:G2,"&lt;&gt;exame",B2:G2,"&lt;&gt;Nota",B2:G2,"&lt;&gt;Total"),"")</f>
        <v/>
      </c>
      <c r="I432" s="2" t="str">
        <f>IF(AND(A432&lt;&gt;"",H432&lt;&gt;""),ROUND(H432,0),"")</f>
        <v/>
      </c>
    </row>
    <row r="433" spans="2:9" x14ac:dyDescent="0.3">
      <c r="B433" s="2" t="str">
        <f>IF(A433&lt;&gt;"",VLOOKUP(Alunos!A433,Exame!A3:C1000,3, FALSE),"")</f>
        <v/>
      </c>
      <c r="C433" s="2" t="str">
        <f>IF(A433&lt;&gt;"",VLOOKUP(Alunos!A433,Agrupamentos!A3:B1000,2, FALSE),"")</f>
        <v/>
      </c>
      <c r="D433" s="2" t="str">
        <f>IF(A433&lt;&gt;"",VLOOKUP(Alunos!C433,'TP1'!A3:C1000,3, FALSE),"")</f>
        <v/>
      </c>
      <c r="E433" s="2" t="str">
        <f>IF(A433&lt;&gt;"", SUMIF(B1:D1,"&lt;&gt;",B433:D433),"")</f>
        <v/>
      </c>
      <c r="F433" s="2" t="str">
        <f>IF(AND(A433&lt;&gt;"",E433&lt;&gt;""),ROUND(E433,0),"")</f>
        <v/>
      </c>
      <c r="G433" s="2" t="str">
        <f>IF(A433&lt;&gt;"",VLOOKUP(Alunos!A433,Recurso!A3:C1000,3, FALSE),"")</f>
        <v/>
      </c>
      <c r="H433" s="2" t="str">
        <f>IF(OR(A433&lt;&gt;"",G433&lt;&gt;""), SUMIFS(B433:G433,B1:G1,"&lt;&gt;",B2:G2,"&lt;&gt;Exame",B2:G2,"&lt;&gt;exame",B2:G2,"&lt;&gt;Nota",B2:G2,"&lt;&gt;Total"),"")</f>
        <v/>
      </c>
      <c r="I433" s="2" t="str">
        <f>IF(AND(A433&lt;&gt;"",H433&lt;&gt;""),ROUND(H433,0),"")</f>
        <v/>
      </c>
    </row>
    <row r="434" spans="2:9" x14ac:dyDescent="0.3">
      <c r="B434" s="2" t="str">
        <f>IF(A434&lt;&gt;"",VLOOKUP(Alunos!A434,Exame!A3:C1000,3, FALSE),"")</f>
        <v/>
      </c>
      <c r="C434" s="2" t="str">
        <f>IF(A434&lt;&gt;"",VLOOKUP(Alunos!A434,Agrupamentos!A3:B1000,2, FALSE),"")</f>
        <v/>
      </c>
      <c r="D434" s="2" t="str">
        <f>IF(A434&lt;&gt;"",VLOOKUP(Alunos!C434,'TP1'!A3:C1000,3, FALSE),"")</f>
        <v/>
      </c>
      <c r="E434" s="2" t="str">
        <f>IF(A434&lt;&gt;"", SUMIF(B1:D1,"&lt;&gt;",B434:D434),"")</f>
        <v/>
      </c>
      <c r="F434" s="2" t="str">
        <f>IF(AND(A434&lt;&gt;"",E434&lt;&gt;""),ROUND(E434,0),"")</f>
        <v/>
      </c>
      <c r="G434" s="2" t="str">
        <f>IF(A434&lt;&gt;"",VLOOKUP(Alunos!A434,Recurso!A3:C1000,3, FALSE),"")</f>
        <v/>
      </c>
      <c r="H434" s="2" t="str">
        <f>IF(OR(A434&lt;&gt;"",G434&lt;&gt;""), SUMIFS(B434:G434,B1:G1,"&lt;&gt;",B2:G2,"&lt;&gt;Exame",B2:G2,"&lt;&gt;exame",B2:G2,"&lt;&gt;Nota",B2:G2,"&lt;&gt;Total"),"")</f>
        <v/>
      </c>
      <c r="I434" s="2" t="str">
        <f>IF(AND(A434&lt;&gt;"",H434&lt;&gt;""),ROUND(H434,0),"")</f>
        <v/>
      </c>
    </row>
    <row r="435" spans="2:9" x14ac:dyDescent="0.3">
      <c r="B435" s="2" t="str">
        <f>IF(A435&lt;&gt;"",VLOOKUP(Alunos!A435,Exame!A3:C1000,3, FALSE),"")</f>
        <v/>
      </c>
      <c r="C435" s="2" t="str">
        <f>IF(A435&lt;&gt;"",VLOOKUP(Alunos!A435,Agrupamentos!A3:B1000,2, FALSE),"")</f>
        <v/>
      </c>
      <c r="D435" s="2" t="str">
        <f>IF(A435&lt;&gt;"",VLOOKUP(Alunos!C435,'TP1'!A3:C1000,3, FALSE),"")</f>
        <v/>
      </c>
      <c r="E435" s="2" t="str">
        <f>IF(A435&lt;&gt;"", SUMIF(B1:D1,"&lt;&gt;",B435:D435),"")</f>
        <v/>
      </c>
      <c r="F435" s="2" t="str">
        <f>IF(AND(A435&lt;&gt;"",E435&lt;&gt;""),ROUND(E435,0),"")</f>
        <v/>
      </c>
      <c r="G435" s="2" t="str">
        <f>IF(A435&lt;&gt;"",VLOOKUP(Alunos!A435,Recurso!A3:C1000,3, FALSE),"")</f>
        <v/>
      </c>
      <c r="H435" s="2" t="str">
        <f>IF(OR(A435&lt;&gt;"",G435&lt;&gt;""), SUMIFS(B435:G435,B1:G1,"&lt;&gt;",B2:G2,"&lt;&gt;Exame",B2:G2,"&lt;&gt;exame",B2:G2,"&lt;&gt;Nota",B2:G2,"&lt;&gt;Total"),"")</f>
        <v/>
      </c>
      <c r="I435" s="2" t="str">
        <f>IF(AND(A435&lt;&gt;"",H435&lt;&gt;""),ROUND(H435,0),"")</f>
        <v/>
      </c>
    </row>
    <row r="436" spans="2:9" x14ac:dyDescent="0.3">
      <c r="B436" s="2" t="str">
        <f>IF(A436&lt;&gt;"",VLOOKUP(Alunos!A436,Exame!A3:C1000,3, FALSE),"")</f>
        <v/>
      </c>
      <c r="C436" s="2" t="str">
        <f>IF(A436&lt;&gt;"",VLOOKUP(Alunos!A436,Agrupamentos!A3:B1000,2, FALSE),"")</f>
        <v/>
      </c>
      <c r="D436" s="2" t="str">
        <f>IF(A436&lt;&gt;"",VLOOKUP(Alunos!C436,'TP1'!A3:C1000,3, FALSE),"")</f>
        <v/>
      </c>
      <c r="E436" s="2" t="str">
        <f>IF(A436&lt;&gt;"", SUMIF(B1:D1,"&lt;&gt;",B436:D436),"")</f>
        <v/>
      </c>
      <c r="F436" s="2" t="str">
        <f>IF(AND(A436&lt;&gt;"",E436&lt;&gt;""),ROUND(E436,0),"")</f>
        <v/>
      </c>
      <c r="G436" s="2" t="str">
        <f>IF(A436&lt;&gt;"",VLOOKUP(Alunos!A436,Recurso!A3:C1000,3, FALSE),"")</f>
        <v/>
      </c>
      <c r="H436" s="2" t="str">
        <f>IF(OR(A436&lt;&gt;"",G436&lt;&gt;""), SUMIFS(B436:G436,B1:G1,"&lt;&gt;",B2:G2,"&lt;&gt;Exame",B2:G2,"&lt;&gt;exame",B2:G2,"&lt;&gt;Nota",B2:G2,"&lt;&gt;Total"),"")</f>
        <v/>
      </c>
      <c r="I436" s="2" t="str">
        <f>IF(AND(A436&lt;&gt;"",H436&lt;&gt;""),ROUND(H436,0),"")</f>
        <v/>
      </c>
    </row>
    <row r="437" spans="2:9" x14ac:dyDescent="0.3">
      <c r="B437" s="2" t="str">
        <f>IF(A437&lt;&gt;"",VLOOKUP(Alunos!A437,Exame!A3:C1000,3, FALSE),"")</f>
        <v/>
      </c>
      <c r="C437" s="2" t="str">
        <f>IF(A437&lt;&gt;"",VLOOKUP(Alunos!A437,Agrupamentos!A3:B1000,2, FALSE),"")</f>
        <v/>
      </c>
      <c r="D437" s="2" t="str">
        <f>IF(A437&lt;&gt;"",VLOOKUP(Alunos!C437,'TP1'!A3:C1000,3, FALSE),"")</f>
        <v/>
      </c>
      <c r="E437" s="2" t="str">
        <f>IF(A437&lt;&gt;"", SUMIF(B1:D1,"&lt;&gt;",B437:D437),"")</f>
        <v/>
      </c>
      <c r="F437" s="2" t="str">
        <f>IF(AND(A437&lt;&gt;"",E437&lt;&gt;""),ROUND(E437,0),"")</f>
        <v/>
      </c>
      <c r="G437" s="2" t="str">
        <f>IF(A437&lt;&gt;"",VLOOKUP(Alunos!A437,Recurso!A3:C1000,3, FALSE),"")</f>
        <v/>
      </c>
      <c r="H437" s="2" t="str">
        <f>IF(OR(A437&lt;&gt;"",G437&lt;&gt;""), SUMIFS(B437:G437,B1:G1,"&lt;&gt;",B2:G2,"&lt;&gt;Exame",B2:G2,"&lt;&gt;exame",B2:G2,"&lt;&gt;Nota",B2:G2,"&lt;&gt;Total"),"")</f>
        <v/>
      </c>
      <c r="I437" s="2" t="str">
        <f>IF(AND(A437&lt;&gt;"",H437&lt;&gt;""),ROUND(H437,0),"")</f>
        <v/>
      </c>
    </row>
    <row r="438" spans="2:9" x14ac:dyDescent="0.3">
      <c r="B438" s="2" t="str">
        <f>IF(A438&lt;&gt;"",VLOOKUP(Alunos!A438,Exame!A3:C1000,3, FALSE),"")</f>
        <v/>
      </c>
      <c r="C438" s="2" t="str">
        <f>IF(A438&lt;&gt;"",VLOOKUP(Alunos!A438,Agrupamentos!A3:B1000,2, FALSE),"")</f>
        <v/>
      </c>
      <c r="D438" s="2" t="str">
        <f>IF(A438&lt;&gt;"",VLOOKUP(Alunos!C438,'TP1'!A3:C1000,3, FALSE),"")</f>
        <v/>
      </c>
      <c r="E438" s="2" t="str">
        <f>IF(A438&lt;&gt;"", SUMIF(B1:D1,"&lt;&gt;",B438:D438),"")</f>
        <v/>
      </c>
      <c r="F438" s="2" t="str">
        <f>IF(AND(A438&lt;&gt;"",E438&lt;&gt;""),ROUND(E438,0),"")</f>
        <v/>
      </c>
      <c r="G438" s="2" t="str">
        <f>IF(A438&lt;&gt;"",VLOOKUP(Alunos!A438,Recurso!A3:C1000,3, FALSE),"")</f>
        <v/>
      </c>
      <c r="H438" s="2" t="str">
        <f>IF(OR(A438&lt;&gt;"",G438&lt;&gt;""), SUMIFS(B438:G438,B1:G1,"&lt;&gt;",B2:G2,"&lt;&gt;Exame",B2:G2,"&lt;&gt;exame",B2:G2,"&lt;&gt;Nota",B2:G2,"&lt;&gt;Total"),"")</f>
        <v/>
      </c>
      <c r="I438" s="2" t="str">
        <f>IF(AND(A438&lt;&gt;"",H438&lt;&gt;""),ROUND(H438,0),"")</f>
        <v/>
      </c>
    </row>
    <row r="439" spans="2:9" x14ac:dyDescent="0.3">
      <c r="B439" s="2" t="str">
        <f>IF(A439&lt;&gt;"",VLOOKUP(Alunos!A439,Exame!A3:C1000,3, FALSE),"")</f>
        <v/>
      </c>
      <c r="C439" s="2" t="str">
        <f>IF(A439&lt;&gt;"",VLOOKUP(Alunos!A439,Agrupamentos!A3:B1000,2, FALSE),"")</f>
        <v/>
      </c>
      <c r="D439" s="2" t="str">
        <f>IF(A439&lt;&gt;"",VLOOKUP(Alunos!C439,'TP1'!A3:C1000,3, FALSE),"")</f>
        <v/>
      </c>
      <c r="E439" s="2" t="str">
        <f>IF(A439&lt;&gt;"", SUMIF(B1:D1,"&lt;&gt;",B439:D439),"")</f>
        <v/>
      </c>
      <c r="F439" s="2" t="str">
        <f>IF(AND(A439&lt;&gt;"",E439&lt;&gt;""),ROUND(E439,0),"")</f>
        <v/>
      </c>
      <c r="G439" s="2" t="str">
        <f>IF(A439&lt;&gt;"",VLOOKUP(Alunos!A439,Recurso!A3:C1000,3, FALSE),"")</f>
        <v/>
      </c>
      <c r="H439" s="2" t="str">
        <f>IF(OR(A439&lt;&gt;"",G439&lt;&gt;""), SUMIFS(B439:G439,B1:G1,"&lt;&gt;",B2:G2,"&lt;&gt;Exame",B2:G2,"&lt;&gt;exame",B2:G2,"&lt;&gt;Nota",B2:G2,"&lt;&gt;Total"),"")</f>
        <v/>
      </c>
      <c r="I439" s="2" t="str">
        <f>IF(AND(A439&lt;&gt;"",H439&lt;&gt;""),ROUND(H439,0),"")</f>
        <v/>
      </c>
    </row>
    <row r="440" spans="2:9" x14ac:dyDescent="0.3">
      <c r="B440" s="2" t="str">
        <f>IF(A440&lt;&gt;"",VLOOKUP(Alunos!A440,Exame!A3:C1000,3, FALSE),"")</f>
        <v/>
      </c>
      <c r="C440" s="2" t="str">
        <f>IF(A440&lt;&gt;"",VLOOKUP(Alunos!A440,Agrupamentos!A3:B1000,2, FALSE),"")</f>
        <v/>
      </c>
      <c r="D440" s="2" t="str">
        <f>IF(A440&lt;&gt;"",VLOOKUP(Alunos!C440,'TP1'!A3:C1000,3, FALSE),"")</f>
        <v/>
      </c>
      <c r="E440" s="2" t="str">
        <f>IF(A440&lt;&gt;"", SUMIF(B1:D1,"&lt;&gt;",B440:D440),"")</f>
        <v/>
      </c>
      <c r="F440" s="2" t="str">
        <f>IF(AND(A440&lt;&gt;"",E440&lt;&gt;""),ROUND(E440,0),"")</f>
        <v/>
      </c>
      <c r="G440" s="2" t="str">
        <f>IF(A440&lt;&gt;"",VLOOKUP(Alunos!A440,Recurso!A3:C1000,3, FALSE),"")</f>
        <v/>
      </c>
      <c r="H440" s="2" t="str">
        <f>IF(OR(A440&lt;&gt;"",G440&lt;&gt;""), SUMIFS(B440:G440,B1:G1,"&lt;&gt;",B2:G2,"&lt;&gt;Exame",B2:G2,"&lt;&gt;exame",B2:G2,"&lt;&gt;Nota",B2:G2,"&lt;&gt;Total"),"")</f>
        <v/>
      </c>
      <c r="I440" s="2" t="str">
        <f>IF(AND(A440&lt;&gt;"",H440&lt;&gt;""),ROUND(H440,0),"")</f>
        <v/>
      </c>
    </row>
    <row r="441" spans="2:9" x14ac:dyDescent="0.3">
      <c r="B441" s="2" t="str">
        <f>IF(A441&lt;&gt;"",VLOOKUP(Alunos!A441,Exame!A3:C1000,3, FALSE),"")</f>
        <v/>
      </c>
      <c r="C441" s="2" t="str">
        <f>IF(A441&lt;&gt;"",VLOOKUP(Alunos!A441,Agrupamentos!A3:B1000,2, FALSE),"")</f>
        <v/>
      </c>
      <c r="D441" s="2" t="str">
        <f>IF(A441&lt;&gt;"",VLOOKUP(Alunos!C441,'TP1'!A3:C1000,3, FALSE),"")</f>
        <v/>
      </c>
      <c r="E441" s="2" t="str">
        <f>IF(A441&lt;&gt;"", SUMIF(B1:D1,"&lt;&gt;",B441:D441),"")</f>
        <v/>
      </c>
      <c r="F441" s="2" t="str">
        <f>IF(AND(A441&lt;&gt;"",E441&lt;&gt;""),ROUND(E441,0),"")</f>
        <v/>
      </c>
      <c r="G441" s="2" t="str">
        <f>IF(A441&lt;&gt;"",VLOOKUP(Alunos!A441,Recurso!A3:C1000,3, FALSE),"")</f>
        <v/>
      </c>
      <c r="H441" s="2" t="str">
        <f>IF(OR(A441&lt;&gt;"",G441&lt;&gt;""), SUMIFS(B441:G441,B1:G1,"&lt;&gt;",B2:G2,"&lt;&gt;Exame",B2:G2,"&lt;&gt;exame",B2:G2,"&lt;&gt;Nota",B2:G2,"&lt;&gt;Total"),"")</f>
        <v/>
      </c>
      <c r="I441" s="2" t="str">
        <f>IF(AND(A441&lt;&gt;"",H441&lt;&gt;""),ROUND(H441,0),"")</f>
        <v/>
      </c>
    </row>
    <row r="442" spans="2:9" x14ac:dyDescent="0.3">
      <c r="B442" s="2" t="str">
        <f>IF(A442&lt;&gt;"",VLOOKUP(Alunos!A442,Exame!A3:C1000,3, FALSE),"")</f>
        <v/>
      </c>
      <c r="C442" s="2" t="str">
        <f>IF(A442&lt;&gt;"",VLOOKUP(Alunos!A442,Agrupamentos!A3:B1000,2, FALSE),"")</f>
        <v/>
      </c>
      <c r="D442" s="2" t="str">
        <f>IF(A442&lt;&gt;"",VLOOKUP(Alunos!C442,'TP1'!A3:C1000,3, FALSE),"")</f>
        <v/>
      </c>
      <c r="E442" s="2" t="str">
        <f>IF(A442&lt;&gt;"", SUMIF(B1:D1,"&lt;&gt;",B442:D442),"")</f>
        <v/>
      </c>
      <c r="F442" s="2" t="str">
        <f>IF(AND(A442&lt;&gt;"",E442&lt;&gt;""),ROUND(E442,0),"")</f>
        <v/>
      </c>
      <c r="G442" s="2" t="str">
        <f>IF(A442&lt;&gt;"",VLOOKUP(Alunos!A442,Recurso!A3:C1000,3, FALSE),"")</f>
        <v/>
      </c>
      <c r="H442" s="2" t="str">
        <f>IF(OR(A442&lt;&gt;"",G442&lt;&gt;""), SUMIFS(B442:G442,B1:G1,"&lt;&gt;",B2:G2,"&lt;&gt;Exame",B2:G2,"&lt;&gt;exame",B2:G2,"&lt;&gt;Nota",B2:G2,"&lt;&gt;Total"),"")</f>
        <v/>
      </c>
      <c r="I442" s="2" t="str">
        <f>IF(AND(A442&lt;&gt;"",H442&lt;&gt;""),ROUND(H442,0),"")</f>
        <v/>
      </c>
    </row>
    <row r="443" spans="2:9" x14ac:dyDescent="0.3">
      <c r="B443" s="2" t="str">
        <f>IF(A443&lt;&gt;"",VLOOKUP(Alunos!A443,Exame!A3:C1000,3, FALSE),"")</f>
        <v/>
      </c>
      <c r="C443" s="2" t="str">
        <f>IF(A443&lt;&gt;"",VLOOKUP(Alunos!A443,Agrupamentos!A3:B1000,2, FALSE),"")</f>
        <v/>
      </c>
      <c r="D443" s="2" t="str">
        <f>IF(A443&lt;&gt;"",VLOOKUP(Alunos!C443,'TP1'!A3:C1000,3, FALSE),"")</f>
        <v/>
      </c>
      <c r="E443" s="2" t="str">
        <f>IF(A443&lt;&gt;"", SUMIF(B1:D1,"&lt;&gt;",B443:D443),"")</f>
        <v/>
      </c>
      <c r="F443" s="2" t="str">
        <f>IF(AND(A443&lt;&gt;"",E443&lt;&gt;""),ROUND(E443,0),"")</f>
        <v/>
      </c>
      <c r="G443" s="2" t="str">
        <f>IF(A443&lt;&gt;"",VLOOKUP(Alunos!A443,Recurso!A3:C1000,3, FALSE),"")</f>
        <v/>
      </c>
      <c r="H443" s="2" t="str">
        <f>IF(OR(A443&lt;&gt;"",G443&lt;&gt;""), SUMIFS(B443:G443,B1:G1,"&lt;&gt;",B2:G2,"&lt;&gt;Exame",B2:G2,"&lt;&gt;exame",B2:G2,"&lt;&gt;Nota",B2:G2,"&lt;&gt;Total"),"")</f>
        <v/>
      </c>
      <c r="I443" s="2" t="str">
        <f>IF(AND(A443&lt;&gt;"",H443&lt;&gt;""),ROUND(H443,0),"")</f>
        <v/>
      </c>
    </row>
    <row r="444" spans="2:9" x14ac:dyDescent="0.3">
      <c r="B444" s="2" t="str">
        <f>IF(A444&lt;&gt;"",VLOOKUP(Alunos!A444,Exame!A3:C1000,3, FALSE),"")</f>
        <v/>
      </c>
      <c r="C444" s="2" t="str">
        <f>IF(A444&lt;&gt;"",VLOOKUP(Alunos!A444,Agrupamentos!A3:B1000,2, FALSE),"")</f>
        <v/>
      </c>
      <c r="D444" s="2" t="str">
        <f>IF(A444&lt;&gt;"",VLOOKUP(Alunos!C444,'TP1'!A3:C1000,3, FALSE),"")</f>
        <v/>
      </c>
      <c r="E444" s="2" t="str">
        <f>IF(A444&lt;&gt;"", SUMIF(B1:D1,"&lt;&gt;",B444:D444),"")</f>
        <v/>
      </c>
      <c r="F444" s="2" t="str">
        <f>IF(AND(A444&lt;&gt;"",E444&lt;&gt;""),ROUND(E444,0),"")</f>
        <v/>
      </c>
      <c r="G444" s="2" t="str">
        <f>IF(A444&lt;&gt;"",VLOOKUP(Alunos!A444,Recurso!A3:C1000,3, FALSE),"")</f>
        <v/>
      </c>
      <c r="H444" s="2" t="str">
        <f>IF(OR(A444&lt;&gt;"",G444&lt;&gt;""), SUMIFS(B444:G444,B1:G1,"&lt;&gt;",B2:G2,"&lt;&gt;Exame",B2:G2,"&lt;&gt;exame",B2:G2,"&lt;&gt;Nota",B2:G2,"&lt;&gt;Total"),"")</f>
        <v/>
      </c>
      <c r="I444" s="2" t="str">
        <f>IF(AND(A444&lt;&gt;"",H444&lt;&gt;""),ROUND(H444,0),"")</f>
        <v/>
      </c>
    </row>
    <row r="445" spans="2:9" x14ac:dyDescent="0.3">
      <c r="B445" s="2" t="str">
        <f>IF(A445&lt;&gt;"",VLOOKUP(Alunos!A445,Exame!A3:C1000,3, FALSE),"")</f>
        <v/>
      </c>
      <c r="C445" s="2" t="str">
        <f>IF(A445&lt;&gt;"",VLOOKUP(Alunos!A445,Agrupamentos!A3:B1000,2, FALSE),"")</f>
        <v/>
      </c>
      <c r="D445" s="2" t="str">
        <f>IF(A445&lt;&gt;"",VLOOKUP(Alunos!C445,'TP1'!A3:C1000,3, FALSE),"")</f>
        <v/>
      </c>
      <c r="E445" s="2" t="str">
        <f>IF(A445&lt;&gt;"", SUMIF(B1:D1,"&lt;&gt;",B445:D445),"")</f>
        <v/>
      </c>
      <c r="F445" s="2" t="str">
        <f>IF(AND(A445&lt;&gt;"",E445&lt;&gt;""),ROUND(E445,0),"")</f>
        <v/>
      </c>
      <c r="G445" s="2" t="str">
        <f>IF(A445&lt;&gt;"",VLOOKUP(Alunos!A445,Recurso!A3:C1000,3, FALSE),"")</f>
        <v/>
      </c>
      <c r="H445" s="2" t="str">
        <f>IF(OR(A445&lt;&gt;"",G445&lt;&gt;""), SUMIFS(B445:G445,B1:G1,"&lt;&gt;",B2:G2,"&lt;&gt;Exame",B2:G2,"&lt;&gt;exame",B2:G2,"&lt;&gt;Nota",B2:G2,"&lt;&gt;Total"),"")</f>
        <v/>
      </c>
      <c r="I445" s="2" t="str">
        <f>IF(AND(A445&lt;&gt;"",H445&lt;&gt;""),ROUND(H445,0),"")</f>
        <v/>
      </c>
    </row>
    <row r="446" spans="2:9" x14ac:dyDescent="0.3">
      <c r="B446" s="2" t="str">
        <f>IF(A446&lt;&gt;"",VLOOKUP(Alunos!A446,Exame!A3:C1000,3, FALSE),"")</f>
        <v/>
      </c>
      <c r="C446" s="2" t="str">
        <f>IF(A446&lt;&gt;"",VLOOKUP(Alunos!A446,Agrupamentos!A3:B1000,2, FALSE),"")</f>
        <v/>
      </c>
      <c r="D446" s="2" t="str">
        <f>IF(A446&lt;&gt;"",VLOOKUP(Alunos!C446,'TP1'!A3:C1000,3, FALSE),"")</f>
        <v/>
      </c>
      <c r="E446" s="2" t="str">
        <f>IF(A446&lt;&gt;"", SUMIF(B1:D1,"&lt;&gt;",B446:D446),"")</f>
        <v/>
      </c>
      <c r="F446" s="2" t="str">
        <f>IF(AND(A446&lt;&gt;"",E446&lt;&gt;""),ROUND(E446,0),"")</f>
        <v/>
      </c>
      <c r="G446" s="2" t="str">
        <f>IF(A446&lt;&gt;"",VLOOKUP(Alunos!A446,Recurso!A3:C1000,3, FALSE),"")</f>
        <v/>
      </c>
      <c r="H446" s="2" t="str">
        <f>IF(OR(A446&lt;&gt;"",G446&lt;&gt;""), SUMIFS(B446:G446,B1:G1,"&lt;&gt;",B2:G2,"&lt;&gt;Exame",B2:G2,"&lt;&gt;exame",B2:G2,"&lt;&gt;Nota",B2:G2,"&lt;&gt;Total"),"")</f>
        <v/>
      </c>
      <c r="I446" s="2" t="str">
        <f>IF(AND(A446&lt;&gt;"",H446&lt;&gt;""),ROUND(H446,0),"")</f>
        <v/>
      </c>
    </row>
    <row r="447" spans="2:9" x14ac:dyDescent="0.3">
      <c r="B447" s="2" t="str">
        <f>IF(A447&lt;&gt;"",VLOOKUP(Alunos!A447,Exame!A3:C1000,3, FALSE),"")</f>
        <v/>
      </c>
      <c r="C447" s="2" t="str">
        <f>IF(A447&lt;&gt;"",VLOOKUP(Alunos!A447,Agrupamentos!A3:B1000,2, FALSE),"")</f>
        <v/>
      </c>
      <c r="D447" s="2" t="str">
        <f>IF(A447&lt;&gt;"",VLOOKUP(Alunos!C447,'TP1'!A3:C1000,3, FALSE),"")</f>
        <v/>
      </c>
      <c r="E447" s="2" t="str">
        <f>IF(A447&lt;&gt;"", SUMIF(B1:D1,"&lt;&gt;",B447:D447),"")</f>
        <v/>
      </c>
      <c r="F447" s="2" t="str">
        <f>IF(AND(A447&lt;&gt;"",E447&lt;&gt;""),ROUND(E447,0),"")</f>
        <v/>
      </c>
      <c r="G447" s="2" t="str">
        <f>IF(A447&lt;&gt;"",VLOOKUP(Alunos!A447,Recurso!A3:C1000,3, FALSE),"")</f>
        <v/>
      </c>
      <c r="H447" s="2" t="str">
        <f>IF(OR(A447&lt;&gt;"",G447&lt;&gt;""), SUMIFS(B447:G447,B1:G1,"&lt;&gt;",B2:G2,"&lt;&gt;Exame",B2:G2,"&lt;&gt;exame",B2:G2,"&lt;&gt;Nota",B2:G2,"&lt;&gt;Total"),"")</f>
        <v/>
      </c>
      <c r="I447" s="2" t="str">
        <f>IF(AND(A447&lt;&gt;"",H447&lt;&gt;""),ROUND(H447,0),"")</f>
        <v/>
      </c>
    </row>
    <row r="448" spans="2:9" x14ac:dyDescent="0.3">
      <c r="B448" s="2" t="str">
        <f>IF(A448&lt;&gt;"",VLOOKUP(Alunos!A448,Exame!A3:C1000,3, FALSE),"")</f>
        <v/>
      </c>
      <c r="C448" s="2" t="str">
        <f>IF(A448&lt;&gt;"",VLOOKUP(Alunos!A448,Agrupamentos!A3:B1000,2, FALSE),"")</f>
        <v/>
      </c>
      <c r="D448" s="2" t="str">
        <f>IF(A448&lt;&gt;"",VLOOKUP(Alunos!C448,'TP1'!A3:C1000,3, FALSE),"")</f>
        <v/>
      </c>
      <c r="E448" s="2" t="str">
        <f>IF(A448&lt;&gt;"", SUMIF(B1:D1,"&lt;&gt;",B448:D448),"")</f>
        <v/>
      </c>
      <c r="F448" s="2" t="str">
        <f>IF(AND(A448&lt;&gt;"",E448&lt;&gt;""),ROUND(E448,0),"")</f>
        <v/>
      </c>
      <c r="G448" s="2" t="str">
        <f>IF(A448&lt;&gt;"",VLOOKUP(Alunos!A448,Recurso!A3:C1000,3, FALSE),"")</f>
        <v/>
      </c>
      <c r="H448" s="2" t="str">
        <f>IF(OR(A448&lt;&gt;"",G448&lt;&gt;""), SUMIFS(B448:G448,B1:G1,"&lt;&gt;",B2:G2,"&lt;&gt;Exame",B2:G2,"&lt;&gt;exame",B2:G2,"&lt;&gt;Nota",B2:G2,"&lt;&gt;Total"),"")</f>
        <v/>
      </c>
      <c r="I448" s="2" t="str">
        <f>IF(AND(A448&lt;&gt;"",H448&lt;&gt;""),ROUND(H448,0),"")</f>
        <v/>
      </c>
    </row>
    <row r="449" spans="2:9" x14ac:dyDescent="0.3">
      <c r="B449" s="2" t="str">
        <f>IF(A449&lt;&gt;"",VLOOKUP(Alunos!A449,Exame!A3:C1000,3, FALSE),"")</f>
        <v/>
      </c>
      <c r="C449" s="2" t="str">
        <f>IF(A449&lt;&gt;"",VLOOKUP(Alunos!A449,Agrupamentos!A3:B1000,2, FALSE),"")</f>
        <v/>
      </c>
      <c r="D449" s="2" t="str">
        <f>IF(A449&lt;&gt;"",VLOOKUP(Alunos!C449,'TP1'!A3:C1000,3, FALSE),"")</f>
        <v/>
      </c>
      <c r="E449" s="2" t="str">
        <f>IF(A449&lt;&gt;"", SUMIF(B1:D1,"&lt;&gt;",B449:D449),"")</f>
        <v/>
      </c>
      <c r="F449" s="2" t="str">
        <f>IF(AND(A449&lt;&gt;"",E449&lt;&gt;""),ROUND(E449,0),"")</f>
        <v/>
      </c>
      <c r="G449" s="2" t="str">
        <f>IF(A449&lt;&gt;"",VLOOKUP(Alunos!A449,Recurso!A3:C1000,3, FALSE),"")</f>
        <v/>
      </c>
      <c r="H449" s="2" t="str">
        <f>IF(OR(A449&lt;&gt;"",G449&lt;&gt;""), SUMIFS(B449:G449,B1:G1,"&lt;&gt;",B2:G2,"&lt;&gt;Exame",B2:G2,"&lt;&gt;exame",B2:G2,"&lt;&gt;Nota",B2:G2,"&lt;&gt;Total"),"")</f>
        <v/>
      </c>
      <c r="I449" s="2" t="str">
        <f>IF(AND(A449&lt;&gt;"",H449&lt;&gt;""),ROUND(H449,0),"")</f>
        <v/>
      </c>
    </row>
    <row r="450" spans="2:9" x14ac:dyDescent="0.3">
      <c r="B450" s="2" t="str">
        <f>IF(A450&lt;&gt;"",VLOOKUP(Alunos!A450,Exame!A3:C1000,3, FALSE),"")</f>
        <v/>
      </c>
      <c r="C450" s="2" t="str">
        <f>IF(A450&lt;&gt;"",VLOOKUP(Alunos!A450,Agrupamentos!A3:B1000,2, FALSE),"")</f>
        <v/>
      </c>
      <c r="D450" s="2" t="str">
        <f>IF(A450&lt;&gt;"",VLOOKUP(Alunos!C450,'TP1'!A3:C1000,3, FALSE),"")</f>
        <v/>
      </c>
      <c r="E450" s="2" t="str">
        <f>IF(A450&lt;&gt;"", SUMIF(B1:D1,"&lt;&gt;",B450:D450),"")</f>
        <v/>
      </c>
      <c r="F450" s="2" t="str">
        <f>IF(AND(A450&lt;&gt;"",E450&lt;&gt;""),ROUND(E450,0),"")</f>
        <v/>
      </c>
      <c r="G450" s="2" t="str">
        <f>IF(A450&lt;&gt;"",VLOOKUP(Alunos!A450,Recurso!A3:C1000,3, FALSE),"")</f>
        <v/>
      </c>
      <c r="H450" s="2" t="str">
        <f>IF(OR(A450&lt;&gt;"",G450&lt;&gt;""), SUMIFS(B450:G450,B1:G1,"&lt;&gt;",B2:G2,"&lt;&gt;Exame",B2:G2,"&lt;&gt;exame",B2:G2,"&lt;&gt;Nota",B2:G2,"&lt;&gt;Total"),"")</f>
        <v/>
      </c>
      <c r="I450" s="2" t="str">
        <f>IF(AND(A450&lt;&gt;"",H450&lt;&gt;""),ROUND(H450,0),"")</f>
        <v/>
      </c>
    </row>
    <row r="451" spans="2:9" x14ac:dyDescent="0.3">
      <c r="B451" s="2" t="str">
        <f>IF(A451&lt;&gt;"",VLOOKUP(Alunos!A451,Exame!A3:C1000,3, FALSE),"")</f>
        <v/>
      </c>
      <c r="C451" s="2" t="str">
        <f>IF(A451&lt;&gt;"",VLOOKUP(Alunos!A451,Agrupamentos!A3:B1000,2, FALSE),"")</f>
        <v/>
      </c>
      <c r="D451" s="2" t="str">
        <f>IF(A451&lt;&gt;"",VLOOKUP(Alunos!C451,'TP1'!A3:C1000,3, FALSE),"")</f>
        <v/>
      </c>
      <c r="E451" s="2" t="str">
        <f>IF(A451&lt;&gt;"", SUMIF(B1:D1,"&lt;&gt;",B451:D451),"")</f>
        <v/>
      </c>
      <c r="F451" s="2" t="str">
        <f>IF(AND(A451&lt;&gt;"",E451&lt;&gt;""),ROUND(E451,0),"")</f>
        <v/>
      </c>
      <c r="G451" s="2" t="str">
        <f>IF(A451&lt;&gt;"",VLOOKUP(Alunos!A451,Recurso!A3:C1000,3, FALSE),"")</f>
        <v/>
      </c>
      <c r="H451" s="2" t="str">
        <f>IF(OR(A451&lt;&gt;"",G451&lt;&gt;""), SUMIFS(B451:G451,B1:G1,"&lt;&gt;",B2:G2,"&lt;&gt;Exame",B2:G2,"&lt;&gt;exame",B2:G2,"&lt;&gt;Nota",B2:G2,"&lt;&gt;Total"),"")</f>
        <v/>
      </c>
      <c r="I451" s="2" t="str">
        <f>IF(AND(A451&lt;&gt;"",H451&lt;&gt;""),ROUND(H451,0),"")</f>
        <v/>
      </c>
    </row>
    <row r="452" spans="2:9" x14ac:dyDescent="0.3">
      <c r="B452" s="2" t="str">
        <f>IF(A452&lt;&gt;"",VLOOKUP(Alunos!A452,Exame!A3:C1000,3, FALSE),"")</f>
        <v/>
      </c>
      <c r="C452" s="2" t="str">
        <f>IF(A452&lt;&gt;"",VLOOKUP(Alunos!A452,Agrupamentos!A3:B1000,2, FALSE),"")</f>
        <v/>
      </c>
      <c r="D452" s="2" t="str">
        <f>IF(A452&lt;&gt;"",VLOOKUP(Alunos!C452,'TP1'!A3:C1000,3, FALSE),"")</f>
        <v/>
      </c>
      <c r="E452" s="2" t="str">
        <f>IF(A452&lt;&gt;"", SUMIF(B1:D1,"&lt;&gt;",B452:D452),"")</f>
        <v/>
      </c>
      <c r="F452" s="2" t="str">
        <f>IF(AND(A452&lt;&gt;"",E452&lt;&gt;""),ROUND(E452,0),"")</f>
        <v/>
      </c>
      <c r="G452" s="2" t="str">
        <f>IF(A452&lt;&gt;"",VLOOKUP(Alunos!A452,Recurso!A3:C1000,3, FALSE),"")</f>
        <v/>
      </c>
      <c r="H452" s="2" t="str">
        <f>IF(OR(A452&lt;&gt;"",G452&lt;&gt;""), SUMIFS(B452:G452,B1:G1,"&lt;&gt;",B2:G2,"&lt;&gt;Exame",B2:G2,"&lt;&gt;exame",B2:G2,"&lt;&gt;Nota",B2:G2,"&lt;&gt;Total"),"")</f>
        <v/>
      </c>
      <c r="I452" s="2" t="str">
        <f>IF(AND(A452&lt;&gt;"",H452&lt;&gt;""),ROUND(H452,0),"")</f>
        <v/>
      </c>
    </row>
    <row r="453" spans="2:9" x14ac:dyDescent="0.3">
      <c r="B453" s="2" t="str">
        <f>IF(A453&lt;&gt;"",VLOOKUP(Alunos!A453,Exame!A3:C1000,3, FALSE),"")</f>
        <v/>
      </c>
      <c r="C453" s="2" t="str">
        <f>IF(A453&lt;&gt;"",VLOOKUP(Alunos!A453,Agrupamentos!A3:B1000,2, FALSE),"")</f>
        <v/>
      </c>
      <c r="D453" s="2" t="str">
        <f>IF(A453&lt;&gt;"",VLOOKUP(Alunos!C453,'TP1'!A3:C1000,3, FALSE),"")</f>
        <v/>
      </c>
      <c r="E453" s="2" t="str">
        <f>IF(A453&lt;&gt;"", SUMIF(B1:D1,"&lt;&gt;",B453:D453),"")</f>
        <v/>
      </c>
      <c r="F453" s="2" t="str">
        <f>IF(AND(A453&lt;&gt;"",E453&lt;&gt;""),ROUND(E453,0),"")</f>
        <v/>
      </c>
      <c r="G453" s="2" t="str">
        <f>IF(A453&lt;&gt;"",VLOOKUP(Alunos!A453,Recurso!A3:C1000,3, FALSE),"")</f>
        <v/>
      </c>
      <c r="H453" s="2" t="str">
        <f>IF(OR(A453&lt;&gt;"",G453&lt;&gt;""), SUMIFS(B453:G453,B1:G1,"&lt;&gt;",B2:G2,"&lt;&gt;Exame",B2:G2,"&lt;&gt;exame",B2:G2,"&lt;&gt;Nota",B2:G2,"&lt;&gt;Total"),"")</f>
        <v/>
      </c>
      <c r="I453" s="2" t="str">
        <f>IF(AND(A453&lt;&gt;"",H453&lt;&gt;""),ROUND(H453,0),"")</f>
        <v/>
      </c>
    </row>
    <row r="454" spans="2:9" x14ac:dyDescent="0.3">
      <c r="B454" s="2" t="str">
        <f>IF(A454&lt;&gt;"",VLOOKUP(Alunos!A454,Exame!A3:C1000,3, FALSE),"")</f>
        <v/>
      </c>
      <c r="C454" s="2" t="str">
        <f>IF(A454&lt;&gt;"",VLOOKUP(Alunos!A454,Agrupamentos!A3:B1000,2, FALSE),"")</f>
        <v/>
      </c>
      <c r="D454" s="2" t="str">
        <f>IF(A454&lt;&gt;"",VLOOKUP(Alunos!C454,'TP1'!A3:C1000,3, FALSE),"")</f>
        <v/>
      </c>
      <c r="E454" s="2" t="str">
        <f>IF(A454&lt;&gt;"", SUMIF(B1:D1,"&lt;&gt;",B454:D454),"")</f>
        <v/>
      </c>
      <c r="F454" s="2" t="str">
        <f>IF(AND(A454&lt;&gt;"",E454&lt;&gt;""),ROUND(E454,0),"")</f>
        <v/>
      </c>
      <c r="G454" s="2" t="str">
        <f>IF(A454&lt;&gt;"",VLOOKUP(Alunos!A454,Recurso!A3:C1000,3, FALSE),"")</f>
        <v/>
      </c>
      <c r="H454" s="2" t="str">
        <f>IF(OR(A454&lt;&gt;"",G454&lt;&gt;""), SUMIFS(B454:G454,B1:G1,"&lt;&gt;",B2:G2,"&lt;&gt;Exame",B2:G2,"&lt;&gt;exame",B2:G2,"&lt;&gt;Nota",B2:G2,"&lt;&gt;Total"),"")</f>
        <v/>
      </c>
      <c r="I454" s="2" t="str">
        <f>IF(AND(A454&lt;&gt;"",H454&lt;&gt;""),ROUND(H454,0),"")</f>
        <v/>
      </c>
    </row>
    <row r="455" spans="2:9" x14ac:dyDescent="0.3">
      <c r="B455" s="2" t="str">
        <f>IF(A455&lt;&gt;"",VLOOKUP(Alunos!A455,Exame!A3:C1000,3, FALSE),"")</f>
        <v/>
      </c>
      <c r="C455" s="2" t="str">
        <f>IF(A455&lt;&gt;"",VLOOKUP(Alunos!A455,Agrupamentos!A3:B1000,2, FALSE),"")</f>
        <v/>
      </c>
      <c r="D455" s="2" t="str">
        <f>IF(A455&lt;&gt;"",VLOOKUP(Alunos!C455,'TP1'!A3:C1000,3, FALSE),"")</f>
        <v/>
      </c>
      <c r="E455" s="2" t="str">
        <f>IF(A455&lt;&gt;"", SUMIF(B1:D1,"&lt;&gt;",B455:D455),"")</f>
        <v/>
      </c>
      <c r="F455" s="2" t="str">
        <f>IF(AND(A455&lt;&gt;"",E455&lt;&gt;""),ROUND(E455,0),"")</f>
        <v/>
      </c>
      <c r="G455" s="2" t="str">
        <f>IF(A455&lt;&gt;"",VLOOKUP(Alunos!A455,Recurso!A3:C1000,3, FALSE),"")</f>
        <v/>
      </c>
      <c r="H455" s="2" t="str">
        <f>IF(OR(A455&lt;&gt;"",G455&lt;&gt;""), SUMIFS(B455:G455,B1:G1,"&lt;&gt;",B2:G2,"&lt;&gt;Exame",B2:G2,"&lt;&gt;exame",B2:G2,"&lt;&gt;Nota",B2:G2,"&lt;&gt;Total"),"")</f>
        <v/>
      </c>
      <c r="I455" s="2" t="str">
        <f>IF(AND(A455&lt;&gt;"",H455&lt;&gt;""),ROUND(H455,0),"")</f>
        <v/>
      </c>
    </row>
    <row r="456" spans="2:9" x14ac:dyDescent="0.3">
      <c r="B456" s="2" t="str">
        <f>IF(A456&lt;&gt;"",VLOOKUP(Alunos!A456,Exame!A3:C1000,3, FALSE),"")</f>
        <v/>
      </c>
      <c r="C456" s="2" t="str">
        <f>IF(A456&lt;&gt;"",VLOOKUP(Alunos!A456,Agrupamentos!A3:B1000,2, FALSE),"")</f>
        <v/>
      </c>
      <c r="D456" s="2" t="str">
        <f>IF(A456&lt;&gt;"",VLOOKUP(Alunos!C456,'TP1'!A3:C1000,3, FALSE),"")</f>
        <v/>
      </c>
      <c r="E456" s="2" t="str">
        <f>IF(A456&lt;&gt;"", SUMIF(B1:D1,"&lt;&gt;",B456:D456),"")</f>
        <v/>
      </c>
      <c r="F456" s="2" t="str">
        <f>IF(AND(A456&lt;&gt;"",E456&lt;&gt;""),ROUND(E456,0),"")</f>
        <v/>
      </c>
      <c r="G456" s="2" t="str">
        <f>IF(A456&lt;&gt;"",VLOOKUP(Alunos!A456,Recurso!A3:C1000,3, FALSE),"")</f>
        <v/>
      </c>
      <c r="H456" s="2" t="str">
        <f>IF(OR(A456&lt;&gt;"",G456&lt;&gt;""), SUMIFS(B456:G456,B1:G1,"&lt;&gt;",B2:G2,"&lt;&gt;Exame",B2:G2,"&lt;&gt;exame",B2:G2,"&lt;&gt;Nota",B2:G2,"&lt;&gt;Total"),"")</f>
        <v/>
      </c>
      <c r="I456" s="2" t="str">
        <f>IF(AND(A456&lt;&gt;"",H456&lt;&gt;""),ROUND(H456,0),"")</f>
        <v/>
      </c>
    </row>
    <row r="457" spans="2:9" x14ac:dyDescent="0.3">
      <c r="B457" s="2" t="str">
        <f>IF(A457&lt;&gt;"",VLOOKUP(Alunos!A457,Exame!A3:C1000,3, FALSE),"")</f>
        <v/>
      </c>
      <c r="C457" s="2" t="str">
        <f>IF(A457&lt;&gt;"",VLOOKUP(Alunos!A457,Agrupamentos!A3:B1000,2, FALSE),"")</f>
        <v/>
      </c>
      <c r="D457" s="2" t="str">
        <f>IF(A457&lt;&gt;"",VLOOKUP(Alunos!C457,'TP1'!A3:C1000,3, FALSE),"")</f>
        <v/>
      </c>
      <c r="E457" s="2" t="str">
        <f>IF(A457&lt;&gt;"", SUMIF(B1:D1,"&lt;&gt;",B457:D457),"")</f>
        <v/>
      </c>
      <c r="F457" s="2" t="str">
        <f>IF(AND(A457&lt;&gt;"",E457&lt;&gt;""),ROUND(E457,0),"")</f>
        <v/>
      </c>
      <c r="G457" s="2" t="str">
        <f>IF(A457&lt;&gt;"",VLOOKUP(Alunos!A457,Recurso!A3:C1000,3, FALSE),"")</f>
        <v/>
      </c>
      <c r="H457" s="2" t="str">
        <f>IF(OR(A457&lt;&gt;"",G457&lt;&gt;""), SUMIFS(B457:G457,B1:G1,"&lt;&gt;",B2:G2,"&lt;&gt;Exame",B2:G2,"&lt;&gt;exame",B2:G2,"&lt;&gt;Nota",B2:G2,"&lt;&gt;Total"),"")</f>
        <v/>
      </c>
      <c r="I457" s="2" t="str">
        <f>IF(AND(A457&lt;&gt;"",H457&lt;&gt;""),ROUND(H457,0),"")</f>
        <v/>
      </c>
    </row>
    <row r="458" spans="2:9" x14ac:dyDescent="0.3">
      <c r="B458" s="2" t="str">
        <f>IF(A458&lt;&gt;"",VLOOKUP(Alunos!A458,Exame!A3:C1000,3, FALSE),"")</f>
        <v/>
      </c>
      <c r="C458" s="2" t="str">
        <f>IF(A458&lt;&gt;"",VLOOKUP(Alunos!A458,Agrupamentos!A3:B1000,2, FALSE),"")</f>
        <v/>
      </c>
      <c r="D458" s="2" t="str">
        <f>IF(A458&lt;&gt;"",VLOOKUP(Alunos!C458,'TP1'!A3:C1000,3, FALSE),"")</f>
        <v/>
      </c>
      <c r="E458" s="2" t="str">
        <f>IF(A458&lt;&gt;"", SUMIF(B1:D1,"&lt;&gt;",B458:D458),"")</f>
        <v/>
      </c>
      <c r="F458" s="2" t="str">
        <f>IF(AND(A458&lt;&gt;"",E458&lt;&gt;""),ROUND(E458,0),"")</f>
        <v/>
      </c>
      <c r="G458" s="2" t="str">
        <f>IF(A458&lt;&gt;"",VLOOKUP(Alunos!A458,Recurso!A3:C1000,3, FALSE),"")</f>
        <v/>
      </c>
      <c r="H458" s="2" t="str">
        <f>IF(OR(A458&lt;&gt;"",G458&lt;&gt;""), SUMIFS(B458:G458,B1:G1,"&lt;&gt;",B2:G2,"&lt;&gt;Exame",B2:G2,"&lt;&gt;exame",B2:G2,"&lt;&gt;Nota",B2:G2,"&lt;&gt;Total"),"")</f>
        <v/>
      </c>
      <c r="I458" s="2" t="str">
        <f>IF(AND(A458&lt;&gt;"",H458&lt;&gt;""),ROUND(H458,0),"")</f>
        <v/>
      </c>
    </row>
    <row r="459" spans="2:9" x14ac:dyDescent="0.3">
      <c r="B459" s="2" t="str">
        <f>IF(A459&lt;&gt;"",VLOOKUP(Alunos!A459,Exame!A3:C1000,3, FALSE),"")</f>
        <v/>
      </c>
      <c r="C459" s="2" t="str">
        <f>IF(A459&lt;&gt;"",VLOOKUP(Alunos!A459,Agrupamentos!A3:B1000,2, FALSE),"")</f>
        <v/>
      </c>
      <c r="D459" s="2" t="str">
        <f>IF(A459&lt;&gt;"",VLOOKUP(Alunos!C459,'TP1'!A3:C1000,3, FALSE),"")</f>
        <v/>
      </c>
      <c r="E459" s="2" t="str">
        <f>IF(A459&lt;&gt;"", SUMIF(B1:D1,"&lt;&gt;",B459:D459),"")</f>
        <v/>
      </c>
      <c r="F459" s="2" t="str">
        <f>IF(AND(A459&lt;&gt;"",E459&lt;&gt;""),ROUND(E459,0),"")</f>
        <v/>
      </c>
      <c r="G459" s="2" t="str">
        <f>IF(A459&lt;&gt;"",VLOOKUP(Alunos!A459,Recurso!A3:C1000,3, FALSE),"")</f>
        <v/>
      </c>
      <c r="H459" s="2" t="str">
        <f>IF(OR(A459&lt;&gt;"",G459&lt;&gt;""), SUMIFS(B459:G459,B1:G1,"&lt;&gt;",B2:G2,"&lt;&gt;Exame",B2:G2,"&lt;&gt;exame",B2:G2,"&lt;&gt;Nota",B2:G2,"&lt;&gt;Total"),"")</f>
        <v/>
      </c>
      <c r="I459" s="2" t="str">
        <f>IF(AND(A459&lt;&gt;"",H459&lt;&gt;""),ROUND(H459,0),"")</f>
        <v/>
      </c>
    </row>
    <row r="460" spans="2:9" x14ac:dyDescent="0.3">
      <c r="B460" s="2" t="str">
        <f>IF(A460&lt;&gt;"",VLOOKUP(Alunos!A460,Exame!A3:C1000,3, FALSE),"")</f>
        <v/>
      </c>
      <c r="C460" s="2" t="str">
        <f>IF(A460&lt;&gt;"",VLOOKUP(Alunos!A460,Agrupamentos!A3:B1000,2, FALSE),"")</f>
        <v/>
      </c>
      <c r="D460" s="2" t="str">
        <f>IF(A460&lt;&gt;"",VLOOKUP(Alunos!C460,'TP1'!A3:C1000,3, FALSE),"")</f>
        <v/>
      </c>
      <c r="E460" s="2" t="str">
        <f>IF(A460&lt;&gt;"", SUMIF(B1:D1,"&lt;&gt;",B460:D460),"")</f>
        <v/>
      </c>
      <c r="F460" s="2" t="str">
        <f>IF(AND(A460&lt;&gt;"",E460&lt;&gt;""),ROUND(E460,0),"")</f>
        <v/>
      </c>
      <c r="G460" s="2" t="str">
        <f>IF(A460&lt;&gt;"",VLOOKUP(Alunos!A460,Recurso!A3:C1000,3, FALSE),"")</f>
        <v/>
      </c>
      <c r="H460" s="2" t="str">
        <f>IF(OR(A460&lt;&gt;"",G460&lt;&gt;""), SUMIFS(B460:G460,B1:G1,"&lt;&gt;",B2:G2,"&lt;&gt;Exame",B2:G2,"&lt;&gt;exame",B2:G2,"&lt;&gt;Nota",B2:G2,"&lt;&gt;Total"),"")</f>
        <v/>
      </c>
      <c r="I460" s="2" t="str">
        <f>IF(AND(A460&lt;&gt;"",H460&lt;&gt;""),ROUND(H460,0),"")</f>
        <v/>
      </c>
    </row>
    <row r="461" spans="2:9" x14ac:dyDescent="0.3">
      <c r="B461" s="2" t="str">
        <f>IF(A461&lt;&gt;"",VLOOKUP(Alunos!A461,Exame!A3:C1000,3, FALSE),"")</f>
        <v/>
      </c>
      <c r="C461" s="2" t="str">
        <f>IF(A461&lt;&gt;"",VLOOKUP(Alunos!A461,Agrupamentos!A3:B1000,2, FALSE),"")</f>
        <v/>
      </c>
      <c r="D461" s="2" t="str">
        <f>IF(A461&lt;&gt;"",VLOOKUP(Alunos!C461,'TP1'!A3:C1000,3, FALSE),"")</f>
        <v/>
      </c>
      <c r="E461" s="2" t="str">
        <f>IF(A461&lt;&gt;"", SUMIF(B1:D1,"&lt;&gt;",B461:D461),"")</f>
        <v/>
      </c>
      <c r="F461" s="2" t="str">
        <f>IF(AND(A461&lt;&gt;"",E461&lt;&gt;""),ROUND(E461,0),"")</f>
        <v/>
      </c>
      <c r="G461" s="2" t="str">
        <f>IF(A461&lt;&gt;"",VLOOKUP(Alunos!A461,Recurso!A3:C1000,3, FALSE),"")</f>
        <v/>
      </c>
      <c r="H461" s="2" t="str">
        <f>IF(OR(A461&lt;&gt;"",G461&lt;&gt;""), SUMIFS(B461:G461,B1:G1,"&lt;&gt;",B2:G2,"&lt;&gt;Exame",B2:G2,"&lt;&gt;exame",B2:G2,"&lt;&gt;Nota",B2:G2,"&lt;&gt;Total"),"")</f>
        <v/>
      </c>
      <c r="I461" s="2" t="str">
        <f>IF(AND(A461&lt;&gt;"",H461&lt;&gt;""),ROUND(H461,0),"")</f>
        <v/>
      </c>
    </row>
    <row r="462" spans="2:9" x14ac:dyDescent="0.3">
      <c r="B462" s="2" t="str">
        <f>IF(A462&lt;&gt;"",VLOOKUP(Alunos!A462,Exame!A3:C1000,3, FALSE),"")</f>
        <v/>
      </c>
      <c r="C462" s="2" t="str">
        <f>IF(A462&lt;&gt;"",VLOOKUP(Alunos!A462,Agrupamentos!A3:B1000,2, FALSE),"")</f>
        <v/>
      </c>
      <c r="D462" s="2" t="str">
        <f>IF(A462&lt;&gt;"",VLOOKUP(Alunos!C462,'TP1'!A3:C1000,3, FALSE),"")</f>
        <v/>
      </c>
      <c r="E462" s="2" t="str">
        <f>IF(A462&lt;&gt;"", SUMIF(B1:D1,"&lt;&gt;",B462:D462),"")</f>
        <v/>
      </c>
      <c r="F462" s="2" t="str">
        <f>IF(AND(A462&lt;&gt;"",E462&lt;&gt;""),ROUND(E462,0),"")</f>
        <v/>
      </c>
      <c r="G462" s="2" t="str">
        <f>IF(A462&lt;&gt;"",VLOOKUP(Alunos!A462,Recurso!A3:C1000,3, FALSE),"")</f>
        <v/>
      </c>
      <c r="H462" s="2" t="str">
        <f>IF(OR(A462&lt;&gt;"",G462&lt;&gt;""), SUMIFS(B462:G462,B1:G1,"&lt;&gt;",B2:G2,"&lt;&gt;Exame",B2:G2,"&lt;&gt;exame",B2:G2,"&lt;&gt;Nota",B2:G2,"&lt;&gt;Total"),"")</f>
        <v/>
      </c>
      <c r="I462" s="2" t="str">
        <f>IF(AND(A462&lt;&gt;"",H462&lt;&gt;""),ROUND(H462,0),"")</f>
        <v/>
      </c>
    </row>
    <row r="463" spans="2:9" x14ac:dyDescent="0.3">
      <c r="B463" s="2" t="str">
        <f>IF(A463&lt;&gt;"",VLOOKUP(Alunos!A463,Exame!A3:C1000,3, FALSE),"")</f>
        <v/>
      </c>
      <c r="C463" s="2" t="str">
        <f>IF(A463&lt;&gt;"",VLOOKUP(Alunos!A463,Agrupamentos!A3:B1000,2, FALSE),"")</f>
        <v/>
      </c>
      <c r="D463" s="2" t="str">
        <f>IF(A463&lt;&gt;"",VLOOKUP(Alunos!C463,'TP1'!A3:C1000,3, FALSE),"")</f>
        <v/>
      </c>
      <c r="E463" s="2" t="str">
        <f>IF(A463&lt;&gt;"", SUMIF(B1:D1,"&lt;&gt;",B463:D463),"")</f>
        <v/>
      </c>
      <c r="F463" s="2" t="str">
        <f>IF(AND(A463&lt;&gt;"",E463&lt;&gt;""),ROUND(E463,0),"")</f>
        <v/>
      </c>
      <c r="G463" s="2" t="str">
        <f>IF(A463&lt;&gt;"",VLOOKUP(Alunos!A463,Recurso!A3:C1000,3, FALSE),"")</f>
        <v/>
      </c>
      <c r="H463" s="2" t="str">
        <f>IF(OR(A463&lt;&gt;"",G463&lt;&gt;""), SUMIFS(B463:G463,B1:G1,"&lt;&gt;",B2:G2,"&lt;&gt;Exame",B2:G2,"&lt;&gt;exame",B2:G2,"&lt;&gt;Nota",B2:G2,"&lt;&gt;Total"),"")</f>
        <v/>
      </c>
      <c r="I463" s="2" t="str">
        <f>IF(AND(A463&lt;&gt;"",H463&lt;&gt;""),ROUND(H463,0),"")</f>
        <v/>
      </c>
    </row>
    <row r="464" spans="2:9" x14ac:dyDescent="0.3">
      <c r="B464" s="2" t="str">
        <f>IF(A464&lt;&gt;"",VLOOKUP(Alunos!A464,Exame!A3:C1000,3, FALSE),"")</f>
        <v/>
      </c>
      <c r="C464" s="2" t="str">
        <f>IF(A464&lt;&gt;"",VLOOKUP(Alunos!A464,Agrupamentos!A3:B1000,2, FALSE),"")</f>
        <v/>
      </c>
      <c r="D464" s="2" t="str">
        <f>IF(A464&lt;&gt;"",VLOOKUP(Alunos!C464,'TP1'!A3:C1000,3, FALSE),"")</f>
        <v/>
      </c>
      <c r="E464" s="2" t="str">
        <f>IF(A464&lt;&gt;"", SUMIF(B1:D1,"&lt;&gt;",B464:D464),"")</f>
        <v/>
      </c>
      <c r="F464" s="2" t="str">
        <f>IF(AND(A464&lt;&gt;"",E464&lt;&gt;""),ROUND(E464,0),"")</f>
        <v/>
      </c>
      <c r="G464" s="2" t="str">
        <f>IF(A464&lt;&gt;"",VLOOKUP(Alunos!A464,Recurso!A3:C1000,3, FALSE),"")</f>
        <v/>
      </c>
      <c r="H464" s="2" t="str">
        <f>IF(OR(A464&lt;&gt;"",G464&lt;&gt;""), SUMIFS(B464:G464,B1:G1,"&lt;&gt;",B2:G2,"&lt;&gt;Exame",B2:G2,"&lt;&gt;exame",B2:G2,"&lt;&gt;Nota",B2:G2,"&lt;&gt;Total"),"")</f>
        <v/>
      </c>
      <c r="I464" s="2" t="str">
        <f>IF(AND(A464&lt;&gt;"",H464&lt;&gt;""),ROUND(H464,0),"")</f>
        <v/>
      </c>
    </row>
    <row r="465" spans="2:9" x14ac:dyDescent="0.3">
      <c r="B465" s="2" t="str">
        <f>IF(A465&lt;&gt;"",VLOOKUP(Alunos!A465,Exame!A3:C1000,3, FALSE),"")</f>
        <v/>
      </c>
      <c r="C465" s="2" t="str">
        <f>IF(A465&lt;&gt;"",VLOOKUP(Alunos!A465,Agrupamentos!A3:B1000,2, FALSE),"")</f>
        <v/>
      </c>
      <c r="D465" s="2" t="str">
        <f>IF(A465&lt;&gt;"",VLOOKUP(Alunos!C465,'TP1'!A3:C1000,3, FALSE),"")</f>
        <v/>
      </c>
      <c r="E465" s="2" t="str">
        <f>IF(A465&lt;&gt;"", SUMIF(B1:D1,"&lt;&gt;",B465:D465),"")</f>
        <v/>
      </c>
      <c r="F465" s="2" t="str">
        <f>IF(AND(A465&lt;&gt;"",E465&lt;&gt;""),ROUND(E465,0),"")</f>
        <v/>
      </c>
      <c r="G465" s="2" t="str">
        <f>IF(A465&lt;&gt;"",VLOOKUP(Alunos!A465,Recurso!A3:C1000,3, FALSE),"")</f>
        <v/>
      </c>
      <c r="H465" s="2" t="str">
        <f>IF(OR(A465&lt;&gt;"",G465&lt;&gt;""), SUMIFS(B465:G465,B1:G1,"&lt;&gt;",B2:G2,"&lt;&gt;Exame",B2:G2,"&lt;&gt;exame",B2:G2,"&lt;&gt;Nota",B2:G2,"&lt;&gt;Total"),"")</f>
        <v/>
      </c>
      <c r="I465" s="2" t="str">
        <f>IF(AND(A465&lt;&gt;"",H465&lt;&gt;""),ROUND(H465,0),"")</f>
        <v/>
      </c>
    </row>
    <row r="466" spans="2:9" x14ac:dyDescent="0.3">
      <c r="B466" s="2" t="str">
        <f>IF(A466&lt;&gt;"",VLOOKUP(Alunos!A466,Exame!A3:C1000,3, FALSE),"")</f>
        <v/>
      </c>
      <c r="C466" s="2" t="str">
        <f>IF(A466&lt;&gt;"",VLOOKUP(Alunos!A466,Agrupamentos!A3:B1000,2, FALSE),"")</f>
        <v/>
      </c>
      <c r="D466" s="2" t="str">
        <f>IF(A466&lt;&gt;"",VLOOKUP(Alunos!C466,'TP1'!A3:C1000,3, FALSE),"")</f>
        <v/>
      </c>
      <c r="E466" s="2" t="str">
        <f>IF(A466&lt;&gt;"", SUMIF(B1:D1,"&lt;&gt;",B466:D466),"")</f>
        <v/>
      </c>
      <c r="F466" s="2" t="str">
        <f>IF(AND(A466&lt;&gt;"",E466&lt;&gt;""),ROUND(E466,0),"")</f>
        <v/>
      </c>
      <c r="G466" s="2" t="str">
        <f>IF(A466&lt;&gt;"",VLOOKUP(Alunos!A466,Recurso!A3:C1000,3, FALSE),"")</f>
        <v/>
      </c>
      <c r="H466" s="2" t="str">
        <f>IF(OR(A466&lt;&gt;"",G466&lt;&gt;""), SUMIFS(B466:G466,B1:G1,"&lt;&gt;",B2:G2,"&lt;&gt;Exame",B2:G2,"&lt;&gt;exame",B2:G2,"&lt;&gt;Nota",B2:G2,"&lt;&gt;Total"),"")</f>
        <v/>
      </c>
      <c r="I466" s="2" t="str">
        <f>IF(AND(A466&lt;&gt;"",H466&lt;&gt;""),ROUND(H466,0),"")</f>
        <v/>
      </c>
    </row>
    <row r="467" spans="2:9" x14ac:dyDescent="0.3">
      <c r="B467" s="2" t="str">
        <f>IF(A467&lt;&gt;"",VLOOKUP(Alunos!A467,Exame!A3:C1000,3, FALSE),"")</f>
        <v/>
      </c>
      <c r="C467" s="2" t="str">
        <f>IF(A467&lt;&gt;"",VLOOKUP(Alunos!A467,Agrupamentos!A3:B1000,2, FALSE),"")</f>
        <v/>
      </c>
      <c r="D467" s="2" t="str">
        <f>IF(A467&lt;&gt;"",VLOOKUP(Alunos!C467,'TP1'!A3:C1000,3, FALSE),"")</f>
        <v/>
      </c>
      <c r="E467" s="2" t="str">
        <f>IF(A467&lt;&gt;"", SUMIF(B1:D1,"&lt;&gt;",B467:D467),"")</f>
        <v/>
      </c>
      <c r="F467" s="2" t="str">
        <f>IF(AND(A467&lt;&gt;"",E467&lt;&gt;""),ROUND(E467,0),"")</f>
        <v/>
      </c>
      <c r="G467" s="2" t="str">
        <f>IF(A467&lt;&gt;"",VLOOKUP(Alunos!A467,Recurso!A3:C1000,3, FALSE),"")</f>
        <v/>
      </c>
      <c r="H467" s="2" t="str">
        <f>IF(OR(A467&lt;&gt;"",G467&lt;&gt;""), SUMIFS(B467:G467,B1:G1,"&lt;&gt;",B2:G2,"&lt;&gt;Exame",B2:G2,"&lt;&gt;exame",B2:G2,"&lt;&gt;Nota",B2:G2,"&lt;&gt;Total"),"")</f>
        <v/>
      </c>
      <c r="I467" s="2" t="str">
        <f>IF(AND(A467&lt;&gt;"",H467&lt;&gt;""),ROUND(H467,0),"")</f>
        <v/>
      </c>
    </row>
    <row r="468" spans="2:9" x14ac:dyDescent="0.3">
      <c r="B468" s="2" t="str">
        <f>IF(A468&lt;&gt;"",VLOOKUP(Alunos!A468,Exame!A3:C1000,3, FALSE),"")</f>
        <v/>
      </c>
      <c r="C468" s="2" t="str">
        <f>IF(A468&lt;&gt;"",VLOOKUP(Alunos!A468,Agrupamentos!A3:B1000,2, FALSE),"")</f>
        <v/>
      </c>
      <c r="D468" s="2" t="str">
        <f>IF(A468&lt;&gt;"",VLOOKUP(Alunos!C468,'TP1'!A3:C1000,3, FALSE),"")</f>
        <v/>
      </c>
      <c r="E468" s="2" t="str">
        <f>IF(A468&lt;&gt;"", SUMIF(B1:D1,"&lt;&gt;",B468:D468),"")</f>
        <v/>
      </c>
      <c r="F468" s="2" t="str">
        <f>IF(AND(A468&lt;&gt;"",E468&lt;&gt;""),ROUND(E468,0),"")</f>
        <v/>
      </c>
      <c r="G468" s="2" t="str">
        <f>IF(A468&lt;&gt;"",VLOOKUP(Alunos!A468,Recurso!A3:C1000,3, FALSE),"")</f>
        <v/>
      </c>
      <c r="H468" s="2" t="str">
        <f>IF(OR(A468&lt;&gt;"",G468&lt;&gt;""), SUMIFS(B468:G468,B1:G1,"&lt;&gt;",B2:G2,"&lt;&gt;Exame",B2:G2,"&lt;&gt;exame",B2:G2,"&lt;&gt;Nota",B2:G2,"&lt;&gt;Total"),"")</f>
        <v/>
      </c>
      <c r="I468" s="2" t="str">
        <f>IF(AND(A468&lt;&gt;"",H468&lt;&gt;""),ROUND(H468,0),"")</f>
        <v/>
      </c>
    </row>
    <row r="469" spans="2:9" x14ac:dyDescent="0.3">
      <c r="B469" s="2" t="str">
        <f>IF(A469&lt;&gt;"",VLOOKUP(Alunos!A469,Exame!A3:C1000,3, FALSE),"")</f>
        <v/>
      </c>
      <c r="C469" s="2" t="str">
        <f>IF(A469&lt;&gt;"",VLOOKUP(Alunos!A469,Agrupamentos!A3:B1000,2, FALSE),"")</f>
        <v/>
      </c>
      <c r="D469" s="2" t="str">
        <f>IF(A469&lt;&gt;"",VLOOKUP(Alunos!C469,'TP1'!A3:C1000,3, FALSE),"")</f>
        <v/>
      </c>
      <c r="E469" s="2" t="str">
        <f>IF(A469&lt;&gt;"", SUMIF(B1:D1,"&lt;&gt;",B469:D469),"")</f>
        <v/>
      </c>
      <c r="F469" s="2" t="str">
        <f>IF(AND(A469&lt;&gt;"",E469&lt;&gt;""),ROUND(E469,0),"")</f>
        <v/>
      </c>
      <c r="G469" s="2" t="str">
        <f>IF(A469&lt;&gt;"",VLOOKUP(Alunos!A469,Recurso!A3:C1000,3, FALSE),"")</f>
        <v/>
      </c>
      <c r="H469" s="2" t="str">
        <f>IF(OR(A469&lt;&gt;"",G469&lt;&gt;""), SUMIFS(B469:G469,B1:G1,"&lt;&gt;",B2:G2,"&lt;&gt;Exame",B2:G2,"&lt;&gt;exame",B2:G2,"&lt;&gt;Nota",B2:G2,"&lt;&gt;Total"),"")</f>
        <v/>
      </c>
      <c r="I469" s="2" t="str">
        <f>IF(AND(A469&lt;&gt;"",H469&lt;&gt;""),ROUND(H469,0),"")</f>
        <v/>
      </c>
    </row>
    <row r="470" spans="2:9" x14ac:dyDescent="0.3">
      <c r="B470" s="2" t="str">
        <f>IF(A470&lt;&gt;"",VLOOKUP(Alunos!A470,Exame!A3:C1000,3, FALSE),"")</f>
        <v/>
      </c>
      <c r="C470" s="2" t="str">
        <f>IF(A470&lt;&gt;"",VLOOKUP(Alunos!A470,Agrupamentos!A3:B1000,2, FALSE),"")</f>
        <v/>
      </c>
      <c r="D470" s="2" t="str">
        <f>IF(A470&lt;&gt;"",VLOOKUP(Alunos!C470,'TP1'!A3:C1000,3, FALSE),"")</f>
        <v/>
      </c>
      <c r="E470" s="2" t="str">
        <f>IF(A470&lt;&gt;"", SUMIF(B1:D1,"&lt;&gt;",B470:D470),"")</f>
        <v/>
      </c>
      <c r="F470" s="2" t="str">
        <f>IF(AND(A470&lt;&gt;"",E470&lt;&gt;""),ROUND(E470,0),"")</f>
        <v/>
      </c>
      <c r="G470" s="2" t="str">
        <f>IF(A470&lt;&gt;"",VLOOKUP(Alunos!A470,Recurso!A3:C1000,3, FALSE),"")</f>
        <v/>
      </c>
      <c r="H470" s="2" t="str">
        <f>IF(OR(A470&lt;&gt;"",G470&lt;&gt;""), SUMIFS(B470:G470,B1:G1,"&lt;&gt;",B2:G2,"&lt;&gt;Exame",B2:G2,"&lt;&gt;exame",B2:G2,"&lt;&gt;Nota",B2:G2,"&lt;&gt;Total"),"")</f>
        <v/>
      </c>
      <c r="I470" s="2" t="str">
        <f>IF(AND(A470&lt;&gt;"",H470&lt;&gt;""),ROUND(H470,0),"")</f>
        <v/>
      </c>
    </row>
    <row r="471" spans="2:9" x14ac:dyDescent="0.3">
      <c r="B471" s="2" t="str">
        <f>IF(A471&lt;&gt;"",VLOOKUP(Alunos!A471,Exame!A3:C1000,3, FALSE),"")</f>
        <v/>
      </c>
      <c r="C471" s="2" t="str">
        <f>IF(A471&lt;&gt;"",VLOOKUP(Alunos!A471,Agrupamentos!A3:B1000,2, FALSE),"")</f>
        <v/>
      </c>
      <c r="D471" s="2" t="str">
        <f>IF(A471&lt;&gt;"",VLOOKUP(Alunos!C471,'TP1'!A3:C1000,3, FALSE),"")</f>
        <v/>
      </c>
      <c r="E471" s="2" t="str">
        <f>IF(A471&lt;&gt;"", SUMIF(B1:D1,"&lt;&gt;",B471:D471),"")</f>
        <v/>
      </c>
      <c r="F471" s="2" t="str">
        <f>IF(AND(A471&lt;&gt;"",E471&lt;&gt;""),ROUND(E471,0),"")</f>
        <v/>
      </c>
      <c r="G471" s="2" t="str">
        <f>IF(A471&lt;&gt;"",VLOOKUP(Alunos!A471,Recurso!A3:C1000,3, FALSE),"")</f>
        <v/>
      </c>
      <c r="H471" s="2" t="str">
        <f>IF(OR(A471&lt;&gt;"",G471&lt;&gt;""), SUMIFS(B471:G471,B1:G1,"&lt;&gt;",B2:G2,"&lt;&gt;Exame",B2:G2,"&lt;&gt;exame",B2:G2,"&lt;&gt;Nota",B2:G2,"&lt;&gt;Total"),"")</f>
        <v/>
      </c>
      <c r="I471" s="2" t="str">
        <f>IF(AND(A471&lt;&gt;"",H471&lt;&gt;""),ROUND(H471,0),"")</f>
        <v/>
      </c>
    </row>
    <row r="472" spans="2:9" x14ac:dyDescent="0.3">
      <c r="B472" s="2" t="str">
        <f>IF(A472&lt;&gt;"",VLOOKUP(Alunos!A472,Exame!A3:C1000,3, FALSE),"")</f>
        <v/>
      </c>
      <c r="C472" s="2" t="str">
        <f>IF(A472&lt;&gt;"",VLOOKUP(Alunos!A472,Agrupamentos!A3:B1000,2, FALSE),"")</f>
        <v/>
      </c>
      <c r="D472" s="2" t="str">
        <f>IF(A472&lt;&gt;"",VLOOKUP(Alunos!C472,'TP1'!A3:C1000,3, FALSE),"")</f>
        <v/>
      </c>
      <c r="E472" s="2" t="str">
        <f>IF(A472&lt;&gt;"", SUMIF(B1:D1,"&lt;&gt;",B472:D472),"")</f>
        <v/>
      </c>
      <c r="F472" s="2" t="str">
        <f>IF(AND(A472&lt;&gt;"",E472&lt;&gt;""),ROUND(E472,0),"")</f>
        <v/>
      </c>
      <c r="G472" s="2" t="str">
        <f>IF(A472&lt;&gt;"",VLOOKUP(Alunos!A472,Recurso!A3:C1000,3, FALSE),"")</f>
        <v/>
      </c>
      <c r="H472" s="2" t="str">
        <f>IF(OR(A472&lt;&gt;"",G472&lt;&gt;""), SUMIFS(B472:G472,B1:G1,"&lt;&gt;",B2:G2,"&lt;&gt;Exame",B2:G2,"&lt;&gt;exame",B2:G2,"&lt;&gt;Nota",B2:G2,"&lt;&gt;Total"),"")</f>
        <v/>
      </c>
      <c r="I472" s="2" t="str">
        <f>IF(AND(A472&lt;&gt;"",H472&lt;&gt;""),ROUND(H472,0),"")</f>
        <v/>
      </c>
    </row>
    <row r="473" spans="2:9" x14ac:dyDescent="0.3">
      <c r="B473" s="2" t="str">
        <f>IF(A473&lt;&gt;"",VLOOKUP(Alunos!A473,Exame!A3:C1000,3, FALSE),"")</f>
        <v/>
      </c>
      <c r="C473" s="2" t="str">
        <f>IF(A473&lt;&gt;"",VLOOKUP(Alunos!A473,Agrupamentos!A3:B1000,2, FALSE),"")</f>
        <v/>
      </c>
      <c r="D473" s="2" t="str">
        <f>IF(A473&lt;&gt;"",VLOOKUP(Alunos!C473,'TP1'!A3:C1000,3, FALSE),"")</f>
        <v/>
      </c>
      <c r="E473" s="2" t="str">
        <f>IF(A473&lt;&gt;"", SUMIF(B1:D1,"&lt;&gt;",B473:D473),"")</f>
        <v/>
      </c>
      <c r="F473" s="2" t="str">
        <f>IF(AND(A473&lt;&gt;"",E473&lt;&gt;""),ROUND(E473,0),"")</f>
        <v/>
      </c>
      <c r="G473" s="2" t="str">
        <f>IF(A473&lt;&gt;"",VLOOKUP(Alunos!A473,Recurso!A3:C1000,3, FALSE),"")</f>
        <v/>
      </c>
      <c r="H473" s="2" t="str">
        <f>IF(OR(A473&lt;&gt;"",G473&lt;&gt;""), SUMIFS(B473:G473,B1:G1,"&lt;&gt;",B2:G2,"&lt;&gt;Exame",B2:G2,"&lt;&gt;exame",B2:G2,"&lt;&gt;Nota",B2:G2,"&lt;&gt;Total"),"")</f>
        <v/>
      </c>
      <c r="I473" s="2" t="str">
        <f>IF(AND(A473&lt;&gt;"",H473&lt;&gt;""),ROUND(H473,0),"")</f>
        <v/>
      </c>
    </row>
    <row r="474" spans="2:9" x14ac:dyDescent="0.3">
      <c r="B474" s="2" t="str">
        <f>IF(A474&lt;&gt;"",VLOOKUP(Alunos!A474,Exame!A3:C1000,3, FALSE),"")</f>
        <v/>
      </c>
      <c r="C474" s="2" t="str">
        <f>IF(A474&lt;&gt;"",VLOOKUP(Alunos!A474,Agrupamentos!A3:B1000,2, FALSE),"")</f>
        <v/>
      </c>
      <c r="D474" s="2" t="str">
        <f>IF(A474&lt;&gt;"",VLOOKUP(Alunos!C474,'TP1'!A3:C1000,3, FALSE),"")</f>
        <v/>
      </c>
      <c r="E474" s="2" t="str">
        <f>IF(A474&lt;&gt;"", SUMIF(B1:D1,"&lt;&gt;",B474:D474),"")</f>
        <v/>
      </c>
      <c r="F474" s="2" t="str">
        <f>IF(AND(A474&lt;&gt;"",E474&lt;&gt;""),ROUND(E474,0),"")</f>
        <v/>
      </c>
      <c r="G474" s="2" t="str">
        <f>IF(A474&lt;&gt;"",VLOOKUP(Alunos!A474,Recurso!A3:C1000,3, FALSE),"")</f>
        <v/>
      </c>
      <c r="H474" s="2" t="str">
        <f>IF(OR(A474&lt;&gt;"",G474&lt;&gt;""), SUMIFS(B474:G474,B1:G1,"&lt;&gt;",B2:G2,"&lt;&gt;Exame",B2:G2,"&lt;&gt;exame",B2:G2,"&lt;&gt;Nota",B2:G2,"&lt;&gt;Total"),"")</f>
        <v/>
      </c>
      <c r="I474" s="2" t="str">
        <f>IF(AND(A474&lt;&gt;"",H474&lt;&gt;""),ROUND(H474,0),"")</f>
        <v/>
      </c>
    </row>
    <row r="475" spans="2:9" x14ac:dyDescent="0.3">
      <c r="B475" s="2" t="str">
        <f>IF(A475&lt;&gt;"",VLOOKUP(Alunos!A475,Exame!A3:C1000,3, FALSE),"")</f>
        <v/>
      </c>
      <c r="C475" s="2" t="str">
        <f>IF(A475&lt;&gt;"",VLOOKUP(Alunos!A475,Agrupamentos!A3:B1000,2, FALSE),"")</f>
        <v/>
      </c>
      <c r="D475" s="2" t="str">
        <f>IF(A475&lt;&gt;"",VLOOKUP(Alunos!C475,'TP1'!A3:C1000,3, FALSE),"")</f>
        <v/>
      </c>
      <c r="E475" s="2" t="str">
        <f>IF(A475&lt;&gt;"", SUMIF(B1:D1,"&lt;&gt;",B475:D475),"")</f>
        <v/>
      </c>
      <c r="F475" s="2" t="str">
        <f>IF(AND(A475&lt;&gt;"",E475&lt;&gt;""),ROUND(E475,0),"")</f>
        <v/>
      </c>
      <c r="G475" s="2" t="str">
        <f>IF(A475&lt;&gt;"",VLOOKUP(Alunos!A475,Recurso!A3:C1000,3, FALSE),"")</f>
        <v/>
      </c>
      <c r="H475" s="2" t="str">
        <f>IF(OR(A475&lt;&gt;"",G475&lt;&gt;""), SUMIFS(B475:G475,B1:G1,"&lt;&gt;",B2:G2,"&lt;&gt;Exame",B2:G2,"&lt;&gt;exame",B2:G2,"&lt;&gt;Nota",B2:G2,"&lt;&gt;Total"),"")</f>
        <v/>
      </c>
      <c r="I475" s="2" t="str">
        <f>IF(AND(A475&lt;&gt;"",H475&lt;&gt;""),ROUND(H475,0),"")</f>
        <v/>
      </c>
    </row>
    <row r="476" spans="2:9" x14ac:dyDescent="0.3">
      <c r="B476" s="2" t="str">
        <f>IF(A476&lt;&gt;"",VLOOKUP(Alunos!A476,Exame!A3:C1000,3, FALSE),"")</f>
        <v/>
      </c>
      <c r="C476" s="2" t="str">
        <f>IF(A476&lt;&gt;"",VLOOKUP(Alunos!A476,Agrupamentos!A3:B1000,2, FALSE),"")</f>
        <v/>
      </c>
      <c r="D476" s="2" t="str">
        <f>IF(A476&lt;&gt;"",VLOOKUP(Alunos!C476,'TP1'!A3:C1000,3, FALSE),"")</f>
        <v/>
      </c>
      <c r="E476" s="2" t="str">
        <f>IF(A476&lt;&gt;"", SUMIF(B1:D1,"&lt;&gt;",B476:D476),"")</f>
        <v/>
      </c>
      <c r="F476" s="2" t="str">
        <f>IF(AND(A476&lt;&gt;"",E476&lt;&gt;""),ROUND(E476,0),"")</f>
        <v/>
      </c>
      <c r="G476" s="2" t="str">
        <f>IF(A476&lt;&gt;"",VLOOKUP(Alunos!A476,Recurso!A3:C1000,3, FALSE),"")</f>
        <v/>
      </c>
      <c r="H476" s="2" t="str">
        <f>IF(OR(A476&lt;&gt;"",G476&lt;&gt;""), SUMIFS(B476:G476,B1:G1,"&lt;&gt;",B2:G2,"&lt;&gt;Exame",B2:G2,"&lt;&gt;exame",B2:G2,"&lt;&gt;Nota",B2:G2,"&lt;&gt;Total"),"")</f>
        <v/>
      </c>
      <c r="I476" s="2" t="str">
        <f>IF(AND(A476&lt;&gt;"",H476&lt;&gt;""),ROUND(H476,0),"")</f>
        <v/>
      </c>
    </row>
    <row r="477" spans="2:9" x14ac:dyDescent="0.3">
      <c r="B477" s="2" t="str">
        <f>IF(A477&lt;&gt;"",VLOOKUP(Alunos!A477,Exame!A3:C1000,3, FALSE),"")</f>
        <v/>
      </c>
      <c r="C477" s="2" t="str">
        <f>IF(A477&lt;&gt;"",VLOOKUP(Alunos!A477,Agrupamentos!A3:B1000,2, FALSE),"")</f>
        <v/>
      </c>
      <c r="D477" s="2" t="str">
        <f>IF(A477&lt;&gt;"",VLOOKUP(Alunos!C477,'TP1'!A3:C1000,3, FALSE),"")</f>
        <v/>
      </c>
      <c r="E477" s="2" t="str">
        <f>IF(A477&lt;&gt;"", SUMIF(B1:D1,"&lt;&gt;",B477:D477),"")</f>
        <v/>
      </c>
      <c r="F477" s="2" t="str">
        <f>IF(AND(A477&lt;&gt;"",E477&lt;&gt;""),ROUND(E477,0),"")</f>
        <v/>
      </c>
      <c r="G477" s="2" t="str">
        <f>IF(A477&lt;&gt;"",VLOOKUP(Alunos!A477,Recurso!A3:C1000,3, FALSE),"")</f>
        <v/>
      </c>
      <c r="H477" s="2" t="str">
        <f>IF(OR(A477&lt;&gt;"",G477&lt;&gt;""), SUMIFS(B477:G477,B1:G1,"&lt;&gt;",B2:G2,"&lt;&gt;Exame",B2:G2,"&lt;&gt;exame",B2:G2,"&lt;&gt;Nota",B2:G2,"&lt;&gt;Total"),"")</f>
        <v/>
      </c>
      <c r="I477" s="2" t="str">
        <f>IF(AND(A477&lt;&gt;"",H477&lt;&gt;""),ROUND(H477,0),"")</f>
        <v/>
      </c>
    </row>
    <row r="478" spans="2:9" x14ac:dyDescent="0.3">
      <c r="B478" s="2" t="str">
        <f>IF(A478&lt;&gt;"",VLOOKUP(Alunos!A478,Exame!A3:C1000,3, FALSE),"")</f>
        <v/>
      </c>
      <c r="C478" s="2" t="str">
        <f>IF(A478&lt;&gt;"",VLOOKUP(Alunos!A478,Agrupamentos!A3:B1000,2, FALSE),"")</f>
        <v/>
      </c>
      <c r="D478" s="2" t="str">
        <f>IF(A478&lt;&gt;"",VLOOKUP(Alunos!C478,'TP1'!A3:C1000,3, FALSE),"")</f>
        <v/>
      </c>
      <c r="E478" s="2" t="str">
        <f>IF(A478&lt;&gt;"", SUMIF(B1:D1,"&lt;&gt;",B478:D478),"")</f>
        <v/>
      </c>
      <c r="F478" s="2" t="str">
        <f>IF(AND(A478&lt;&gt;"",E478&lt;&gt;""),ROUND(E478,0),"")</f>
        <v/>
      </c>
      <c r="G478" s="2" t="str">
        <f>IF(A478&lt;&gt;"",VLOOKUP(Alunos!A478,Recurso!A3:C1000,3, FALSE),"")</f>
        <v/>
      </c>
      <c r="H478" s="2" t="str">
        <f>IF(OR(A478&lt;&gt;"",G478&lt;&gt;""), SUMIFS(B478:G478,B1:G1,"&lt;&gt;",B2:G2,"&lt;&gt;Exame",B2:G2,"&lt;&gt;exame",B2:G2,"&lt;&gt;Nota",B2:G2,"&lt;&gt;Total"),"")</f>
        <v/>
      </c>
      <c r="I478" s="2" t="str">
        <f>IF(AND(A478&lt;&gt;"",H478&lt;&gt;""),ROUND(H478,0),"")</f>
        <v/>
      </c>
    </row>
    <row r="479" spans="2:9" x14ac:dyDescent="0.3">
      <c r="B479" s="2" t="str">
        <f>IF(A479&lt;&gt;"",VLOOKUP(Alunos!A479,Exame!A3:C1000,3, FALSE),"")</f>
        <v/>
      </c>
      <c r="C479" s="2" t="str">
        <f>IF(A479&lt;&gt;"",VLOOKUP(Alunos!A479,Agrupamentos!A3:B1000,2, FALSE),"")</f>
        <v/>
      </c>
      <c r="D479" s="2" t="str">
        <f>IF(A479&lt;&gt;"",VLOOKUP(Alunos!C479,'TP1'!A3:C1000,3, FALSE),"")</f>
        <v/>
      </c>
      <c r="E479" s="2" t="str">
        <f>IF(A479&lt;&gt;"", SUMIF(B1:D1,"&lt;&gt;",B479:D479),"")</f>
        <v/>
      </c>
      <c r="F479" s="2" t="str">
        <f>IF(AND(A479&lt;&gt;"",E479&lt;&gt;""),ROUND(E479,0),"")</f>
        <v/>
      </c>
      <c r="G479" s="2" t="str">
        <f>IF(A479&lt;&gt;"",VLOOKUP(Alunos!A479,Recurso!A3:C1000,3, FALSE),"")</f>
        <v/>
      </c>
      <c r="H479" s="2" t="str">
        <f>IF(OR(A479&lt;&gt;"",G479&lt;&gt;""), SUMIFS(B479:G479,B1:G1,"&lt;&gt;",B2:G2,"&lt;&gt;Exame",B2:G2,"&lt;&gt;exame",B2:G2,"&lt;&gt;Nota",B2:G2,"&lt;&gt;Total"),"")</f>
        <v/>
      </c>
      <c r="I479" s="2" t="str">
        <f>IF(AND(A479&lt;&gt;"",H479&lt;&gt;""),ROUND(H479,0),"")</f>
        <v/>
      </c>
    </row>
    <row r="480" spans="2:9" x14ac:dyDescent="0.3">
      <c r="B480" s="2" t="str">
        <f>IF(A480&lt;&gt;"",VLOOKUP(Alunos!A480,Exame!A3:C1000,3, FALSE),"")</f>
        <v/>
      </c>
      <c r="C480" s="2" t="str">
        <f>IF(A480&lt;&gt;"",VLOOKUP(Alunos!A480,Agrupamentos!A3:B1000,2, FALSE),"")</f>
        <v/>
      </c>
      <c r="D480" s="2" t="str">
        <f>IF(A480&lt;&gt;"",VLOOKUP(Alunos!C480,'TP1'!A3:C1000,3, FALSE),"")</f>
        <v/>
      </c>
      <c r="E480" s="2" t="str">
        <f>IF(A480&lt;&gt;"", SUMIF(B1:D1,"&lt;&gt;",B480:D480),"")</f>
        <v/>
      </c>
      <c r="F480" s="2" t="str">
        <f>IF(AND(A480&lt;&gt;"",E480&lt;&gt;""),ROUND(E480,0),"")</f>
        <v/>
      </c>
      <c r="G480" s="2" t="str">
        <f>IF(A480&lt;&gt;"",VLOOKUP(Alunos!A480,Recurso!A3:C1000,3, FALSE),"")</f>
        <v/>
      </c>
      <c r="H480" s="2" t="str">
        <f>IF(OR(A480&lt;&gt;"",G480&lt;&gt;""), SUMIFS(B480:G480,B1:G1,"&lt;&gt;",B2:G2,"&lt;&gt;Exame",B2:G2,"&lt;&gt;exame",B2:G2,"&lt;&gt;Nota",B2:G2,"&lt;&gt;Total"),"")</f>
        <v/>
      </c>
      <c r="I480" s="2" t="str">
        <f>IF(AND(A480&lt;&gt;"",H480&lt;&gt;""),ROUND(H480,0),"")</f>
        <v/>
      </c>
    </row>
    <row r="481" spans="2:9" x14ac:dyDescent="0.3">
      <c r="B481" s="2" t="str">
        <f>IF(A481&lt;&gt;"",VLOOKUP(Alunos!A481,Exame!A3:C1000,3, FALSE),"")</f>
        <v/>
      </c>
      <c r="C481" s="2" t="str">
        <f>IF(A481&lt;&gt;"",VLOOKUP(Alunos!A481,Agrupamentos!A3:B1000,2, FALSE),"")</f>
        <v/>
      </c>
      <c r="D481" s="2" t="str">
        <f>IF(A481&lt;&gt;"",VLOOKUP(Alunos!C481,'TP1'!A3:C1000,3, FALSE),"")</f>
        <v/>
      </c>
      <c r="E481" s="2" t="str">
        <f>IF(A481&lt;&gt;"", SUMIF(B1:D1,"&lt;&gt;",B481:D481),"")</f>
        <v/>
      </c>
      <c r="F481" s="2" t="str">
        <f>IF(AND(A481&lt;&gt;"",E481&lt;&gt;""),ROUND(E481,0),"")</f>
        <v/>
      </c>
      <c r="G481" s="2" t="str">
        <f>IF(A481&lt;&gt;"",VLOOKUP(Alunos!A481,Recurso!A3:C1000,3, FALSE),"")</f>
        <v/>
      </c>
      <c r="H481" s="2" t="str">
        <f>IF(OR(A481&lt;&gt;"",G481&lt;&gt;""), SUMIFS(B481:G481,B1:G1,"&lt;&gt;",B2:G2,"&lt;&gt;Exame",B2:G2,"&lt;&gt;exame",B2:G2,"&lt;&gt;Nota",B2:G2,"&lt;&gt;Total"),"")</f>
        <v/>
      </c>
      <c r="I481" s="2" t="str">
        <f>IF(AND(A481&lt;&gt;"",H481&lt;&gt;""),ROUND(H481,0),"")</f>
        <v/>
      </c>
    </row>
    <row r="482" spans="2:9" x14ac:dyDescent="0.3">
      <c r="B482" s="2" t="str">
        <f>IF(A482&lt;&gt;"",VLOOKUP(Alunos!A482,Exame!A3:C1000,3, FALSE),"")</f>
        <v/>
      </c>
      <c r="C482" s="2" t="str">
        <f>IF(A482&lt;&gt;"",VLOOKUP(Alunos!A482,Agrupamentos!A3:B1000,2, FALSE),"")</f>
        <v/>
      </c>
      <c r="D482" s="2" t="str">
        <f>IF(A482&lt;&gt;"",VLOOKUP(Alunos!C482,'TP1'!A3:C1000,3, FALSE),"")</f>
        <v/>
      </c>
      <c r="E482" s="2" t="str">
        <f>IF(A482&lt;&gt;"", SUMIF(B1:D1,"&lt;&gt;",B482:D482),"")</f>
        <v/>
      </c>
      <c r="F482" s="2" t="str">
        <f>IF(AND(A482&lt;&gt;"",E482&lt;&gt;""),ROUND(E482,0),"")</f>
        <v/>
      </c>
      <c r="G482" s="2" t="str">
        <f>IF(A482&lt;&gt;"",VLOOKUP(Alunos!A482,Recurso!A3:C1000,3, FALSE),"")</f>
        <v/>
      </c>
      <c r="H482" s="2" t="str">
        <f>IF(OR(A482&lt;&gt;"",G482&lt;&gt;""), SUMIFS(B482:G482,B1:G1,"&lt;&gt;",B2:G2,"&lt;&gt;Exame",B2:G2,"&lt;&gt;exame",B2:G2,"&lt;&gt;Nota",B2:G2,"&lt;&gt;Total"),"")</f>
        <v/>
      </c>
      <c r="I482" s="2" t="str">
        <f>IF(AND(A482&lt;&gt;"",H482&lt;&gt;""),ROUND(H482,0),"")</f>
        <v/>
      </c>
    </row>
    <row r="483" spans="2:9" x14ac:dyDescent="0.3">
      <c r="B483" s="2" t="str">
        <f>IF(A483&lt;&gt;"",VLOOKUP(Alunos!A483,Exame!A3:C1000,3, FALSE),"")</f>
        <v/>
      </c>
      <c r="C483" s="2" t="str">
        <f>IF(A483&lt;&gt;"",VLOOKUP(Alunos!A483,Agrupamentos!A3:B1000,2, FALSE),"")</f>
        <v/>
      </c>
      <c r="D483" s="2" t="str">
        <f>IF(A483&lt;&gt;"",VLOOKUP(Alunos!C483,'TP1'!A3:C1000,3, FALSE),"")</f>
        <v/>
      </c>
      <c r="E483" s="2" t="str">
        <f>IF(A483&lt;&gt;"", SUMIF(B1:D1,"&lt;&gt;",B483:D483),"")</f>
        <v/>
      </c>
      <c r="F483" s="2" t="str">
        <f>IF(AND(A483&lt;&gt;"",E483&lt;&gt;""),ROUND(E483,0),"")</f>
        <v/>
      </c>
      <c r="G483" s="2" t="str">
        <f>IF(A483&lt;&gt;"",VLOOKUP(Alunos!A483,Recurso!A3:C1000,3, FALSE),"")</f>
        <v/>
      </c>
      <c r="H483" s="2" t="str">
        <f>IF(OR(A483&lt;&gt;"",G483&lt;&gt;""), SUMIFS(B483:G483,B1:G1,"&lt;&gt;",B2:G2,"&lt;&gt;Exame",B2:G2,"&lt;&gt;exame",B2:G2,"&lt;&gt;Nota",B2:G2,"&lt;&gt;Total"),"")</f>
        <v/>
      </c>
      <c r="I483" s="2" t="str">
        <f>IF(AND(A483&lt;&gt;"",H483&lt;&gt;""),ROUND(H483,0),"")</f>
        <v/>
      </c>
    </row>
    <row r="484" spans="2:9" x14ac:dyDescent="0.3">
      <c r="B484" s="2" t="str">
        <f>IF(A484&lt;&gt;"",VLOOKUP(Alunos!A484,Exame!A3:C1000,3, FALSE),"")</f>
        <v/>
      </c>
      <c r="C484" s="2" t="str">
        <f>IF(A484&lt;&gt;"",VLOOKUP(Alunos!A484,Agrupamentos!A3:B1000,2, FALSE),"")</f>
        <v/>
      </c>
      <c r="D484" s="2" t="str">
        <f>IF(A484&lt;&gt;"",VLOOKUP(Alunos!C484,'TP1'!A3:C1000,3, FALSE),"")</f>
        <v/>
      </c>
      <c r="E484" s="2" t="str">
        <f>IF(A484&lt;&gt;"", SUMIF(B1:D1,"&lt;&gt;",B484:D484),"")</f>
        <v/>
      </c>
      <c r="F484" s="2" t="str">
        <f>IF(AND(A484&lt;&gt;"",E484&lt;&gt;""),ROUND(E484,0),"")</f>
        <v/>
      </c>
      <c r="G484" s="2" t="str">
        <f>IF(A484&lt;&gt;"",VLOOKUP(Alunos!A484,Recurso!A3:C1000,3, FALSE),"")</f>
        <v/>
      </c>
      <c r="H484" s="2" t="str">
        <f>IF(OR(A484&lt;&gt;"",G484&lt;&gt;""), SUMIFS(B484:G484,B1:G1,"&lt;&gt;",B2:G2,"&lt;&gt;Exame",B2:G2,"&lt;&gt;exame",B2:G2,"&lt;&gt;Nota",B2:G2,"&lt;&gt;Total"),"")</f>
        <v/>
      </c>
      <c r="I484" s="2" t="str">
        <f>IF(AND(A484&lt;&gt;"",H484&lt;&gt;""),ROUND(H484,0),"")</f>
        <v/>
      </c>
    </row>
    <row r="485" spans="2:9" x14ac:dyDescent="0.3">
      <c r="B485" s="2" t="str">
        <f>IF(A485&lt;&gt;"",VLOOKUP(Alunos!A485,Exame!A3:C1000,3, FALSE),"")</f>
        <v/>
      </c>
      <c r="C485" s="2" t="str">
        <f>IF(A485&lt;&gt;"",VLOOKUP(Alunos!A485,Agrupamentos!A3:B1000,2, FALSE),"")</f>
        <v/>
      </c>
      <c r="D485" s="2" t="str">
        <f>IF(A485&lt;&gt;"",VLOOKUP(Alunos!C485,'TP1'!A3:C1000,3, FALSE),"")</f>
        <v/>
      </c>
      <c r="E485" s="2" t="str">
        <f>IF(A485&lt;&gt;"", SUMIF(B1:D1,"&lt;&gt;",B485:D485),"")</f>
        <v/>
      </c>
      <c r="F485" s="2" t="str">
        <f>IF(AND(A485&lt;&gt;"",E485&lt;&gt;""),ROUND(E485,0),"")</f>
        <v/>
      </c>
      <c r="G485" s="2" t="str">
        <f>IF(A485&lt;&gt;"",VLOOKUP(Alunos!A485,Recurso!A3:C1000,3, FALSE),"")</f>
        <v/>
      </c>
      <c r="H485" s="2" t="str">
        <f>IF(OR(A485&lt;&gt;"",G485&lt;&gt;""), SUMIFS(B485:G485,B1:G1,"&lt;&gt;",B2:G2,"&lt;&gt;Exame",B2:G2,"&lt;&gt;exame",B2:G2,"&lt;&gt;Nota",B2:G2,"&lt;&gt;Total"),"")</f>
        <v/>
      </c>
      <c r="I485" s="2" t="str">
        <f>IF(AND(A485&lt;&gt;"",H485&lt;&gt;""),ROUND(H485,0),"")</f>
        <v/>
      </c>
    </row>
    <row r="486" spans="2:9" x14ac:dyDescent="0.3">
      <c r="B486" s="2" t="str">
        <f>IF(A486&lt;&gt;"",VLOOKUP(Alunos!A486,Exame!A3:C1000,3, FALSE),"")</f>
        <v/>
      </c>
      <c r="C486" s="2" t="str">
        <f>IF(A486&lt;&gt;"",VLOOKUP(Alunos!A486,Agrupamentos!A3:B1000,2, FALSE),"")</f>
        <v/>
      </c>
      <c r="D486" s="2" t="str">
        <f>IF(A486&lt;&gt;"",VLOOKUP(Alunos!C486,'TP1'!A3:C1000,3, FALSE),"")</f>
        <v/>
      </c>
      <c r="E486" s="2" t="str">
        <f>IF(A486&lt;&gt;"", SUMIF(B1:D1,"&lt;&gt;",B486:D486),"")</f>
        <v/>
      </c>
      <c r="F486" s="2" t="str">
        <f>IF(AND(A486&lt;&gt;"",E486&lt;&gt;""),ROUND(E486,0),"")</f>
        <v/>
      </c>
      <c r="G486" s="2" t="str">
        <f>IF(A486&lt;&gt;"",VLOOKUP(Alunos!A486,Recurso!A3:C1000,3, FALSE),"")</f>
        <v/>
      </c>
      <c r="H486" s="2" t="str">
        <f>IF(OR(A486&lt;&gt;"",G486&lt;&gt;""), SUMIFS(B486:G486,B1:G1,"&lt;&gt;",B2:G2,"&lt;&gt;Exame",B2:G2,"&lt;&gt;exame",B2:G2,"&lt;&gt;Nota",B2:G2,"&lt;&gt;Total"),"")</f>
        <v/>
      </c>
      <c r="I486" s="2" t="str">
        <f>IF(AND(A486&lt;&gt;"",H486&lt;&gt;""),ROUND(H486,0),"")</f>
        <v/>
      </c>
    </row>
    <row r="487" spans="2:9" x14ac:dyDescent="0.3">
      <c r="B487" s="2" t="str">
        <f>IF(A487&lt;&gt;"",VLOOKUP(Alunos!A487,Exame!A3:C1000,3, FALSE),"")</f>
        <v/>
      </c>
      <c r="C487" s="2" t="str">
        <f>IF(A487&lt;&gt;"",VLOOKUP(Alunos!A487,Agrupamentos!A3:B1000,2, FALSE),"")</f>
        <v/>
      </c>
      <c r="D487" s="2" t="str">
        <f>IF(A487&lt;&gt;"",VLOOKUP(Alunos!C487,'TP1'!A3:C1000,3, FALSE),"")</f>
        <v/>
      </c>
      <c r="E487" s="2" t="str">
        <f>IF(A487&lt;&gt;"", SUMIF(B1:D1,"&lt;&gt;",B487:D487),"")</f>
        <v/>
      </c>
      <c r="F487" s="2" t="str">
        <f>IF(AND(A487&lt;&gt;"",E487&lt;&gt;""),ROUND(E487,0),"")</f>
        <v/>
      </c>
      <c r="G487" s="2" t="str">
        <f>IF(A487&lt;&gt;"",VLOOKUP(Alunos!A487,Recurso!A3:C1000,3, FALSE),"")</f>
        <v/>
      </c>
      <c r="H487" s="2" t="str">
        <f>IF(OR(A487&lt;&gt;"",G487&lt;&gt;""), SUMIFS(B487:G487,B1:G1,"&lt;&gt;",B2:G2,"&lt;&gt;Exame",B2:G2,"&lt;&gt;exame",B2:G2,"&lt;&gt;Nota",B2:G2,"&lt;&gt;Total"),"")</f>
        <v/>
      </c>
      <c r="I487" s="2" t="str">
        <f>IF(AND(A487&lt;&gt;"",H487&lt;&gt;""),ROUND(H487,0),"")</f>
        <v/>
      </c>
    </row>
    <row r="488" spans="2:9" x14ac:dyDescent="0.3">
      <c r="B488" s="2" t="str">
        <f>IF(A488&lt;&gt;"",VLOOKUP(Alunos!A488,Exame!A3:C1000,3, FALSE),"")</f>
        <v/>
      </c>
      <c r="C488" s="2" t="str">
        <f>IF(A488&lt;&gt;"",VLOOKUP(Alunos!A488,Agrupamentos!A3:B1000,2, FALSE),"")</f>
        <v/>
      </c>
      <c r="D488" s="2" t="str">
        <f>IF(A488&lt;&gt;"",VLOOKUP(Alunos!C488,'TP1'!A3:C1000,3, FALSE),"")</f>
        <v/>
      </c>
      <c r="E488" s="2" t="str">
        <f>IF(A488&lt;&gt;"", SUMIF(B1:D1,"&lt;&gt;",B488:D488),"")</f>
        <v/>
      </c>
      <c r="F488" s="2" t="str">
        <f>IF(AND(A488&lt;&gt;"",E488&lt;&gt;""),ROUND(E488,0),"")</f>
        <v/>
      </c>
      <c r="G488" s="2" t="str">
        <f>IF(A488&lt;&gt;"",VLOOKUP(Alunos!A488,Recurso!A3:C1000,3, FALSE),"")</f>
        <v/>
      </c>
      <c r="H488" s="2" t="str">
        <f>IF(OR(A488&lt;&gt;"",G488&lt;&gt;""), SUMIFS(B488:G488,B1:G1,"&lt;&gt;",B2:G2,"&lt;&gt;Exame",B2:G2,"&lt;&gt;exame",B2:G2,"&lt;&gt;Nota",B2:G2,"&lt;&gt;Total"),"")</f>
        <v/>
      </c>
      <c r="I488" s="2" t="str">
        <f>IF(AND(A488&lt;&gt;"",H488&lt;&gt;""),ROUND(H488,0),"")</f>
        <v/>
      </c>
    </row>
    <row r="489" spans="2:9" x14ac:dyDescent="0.3">
      <c r="B489" s="2" t="str">
        <f>IF(A489&lt;&gt;"",VLOOKUP(Alunos!A489,Exame!A3:C1000,3, FALSE),"")</f>
        <v/>
      </c>
      <c r="C489" s="2" t="str">
        <f>IF(A489&lt;&gt;"",VLOOKUP(Alunos!A489,Agrupamentos!A3:B1000,2, FALSE),"")</f>
        <v/>
      </c>
      <c r="D489" s="2" t="str">
        <f>IF(A489&lt;&gt;"",VLOOKUP(Alunos!C489,'TP1'!A3:C1000,3, FALSE),"")</f>
        <v/>
      </c>
      <c r="E489" s="2" t="str">
        <f>IF(A489&lt;&gt;"", SUMIF(B1:D1,"&lt;&gt;",B489:D489),"")</f>
        <v/>
      </c>
      <c r="F489" s="2" t="str">
        <f>IF(AND(A489&lt;&gt;"",E489&lt;&gt;""),ROUND(E489,0),"")</f>
        <v/>
      </c>
      <c r="G489" s="2" t="str">
        <f>IF(A489&lt;&gt;"",VLOOKUP(Alunos!A489,Recurso!A3:C1000,3, FALSE),"")</f>
        <v/>
      </c>
      <c r="H489" s="2" t="str">
        <f>IF(OR(A489&lt;&gt;"",G489&lt;&gt;""), SUMIFS(B489:G489,B1:G1,"&lt;&gt;",B2:G2,"&lt;&gt;Exame",B2:G2,"&lt;&gt;exame",B2:G2,"&lt;&gt;Nota",B2:G2,"&lt;&gt;Total"),"")</f>
        <v/>
      </c>
      <c r="I489" s="2" t="str">
        <f>IF(AND(A489&lt;&gt;"",H489&lt;&gt;""),ROUND(H489,0),"")</f>
        <v/>
      </c>
    </row>
    <row r="490" spans="2:9" x14ac:dyDescent="0.3">
      <c r="B490" s="2" t="str">
        <f>IF(A490&lt;&gt;"",VLOOKUP(Alunos!A490,Exame!A3:C1000,3, FALSE),"")</f>
        <v/>
      </c>
      <c r="C490" s="2" t="str">
        <f>IF(A490&lt;&gt;"",VLOOKUP(Alunos!A490,Agrupamentos!A3:B1000,2, FALSE),"")</f>
        <v/>
      </c>
      <c r="D490" s="2" t="str">
        <f>IF(A490&lt;&gt;"",VLOOKUP(Alunos!C490,'TP1'!A3:C1000,3, FALSE),"")</f>
        <v/>
      </c>
      <c r="E490" s="2" t="str">
        <f>IF(A490&lt;&gt;"", SUMIF(B1:D1,"&lt;&gt;",B490:D490),"")</f>
        <v/>
      </c>
      <c r="F490" s="2" t="str">
        <f>IF(AND(A490&lt;&gt;"",E490&lt;&gt;""),ROUND(E490,0),"")</f>
        <v/>
      </c>
      <c r="G490" s="2" t="str">
        <f>IF(A490&lt;&gt;"",VLOOKUP(Alunos!A490,Recurso!A3:C1000,3, FALSE),"")</f>
        <v/>
      </c>
      <c r="H490" s="2" t="str">
        <f>IF(OR(A490&lt;&gt;"",G490&lt;&gt;""), SUMIFS(B490:G490,B1:G1,"&lt;&gt;",B2:G2,"&lt;&gt;Exame",B2:G2,"&lt;&gt;exame",B2:G2,"&lt;&gt;Nota",B2:G2,"&lt;&gt;Total"),"")</f>
        <v/>
      </c>
      <c r="I490" s="2" t="str">
        <f>IF(AND(A490&lt;&gt;"",H490&lt;&gt;""),ROUND(H490,0),"")</f>
        <v/>
      </c>
    </row>
    <row r="491" spans="2:9" x14ac:dyDescent="0.3">
      <c r="B491" s="2" t="str">
        <f>IF(A491&lt;&gt;"",VLOOKUP(Alunos!A491,Exame!A3:C1000,3, FALSE),"")</f>
        <v/>
      </c>
      <c r="C491" s="2" t="str">
        <f>IF(A491&lt;&gt;"",VLOOKUP(Alunos!A491,Agrupamentos!A3:B1000,2, FALSE),"")</f>
        <v/>
      </c>
      <c r="D491" s="2" t="str">
        <f>IF(A491&lt;&gt;"",VLOOKUP(Alunos!C491,'TP1'!A3:C1000,3, FALSE),"")</f>
        <v/>
      </c>
      <c r="E491" s="2" t="str">
        <f>IF(A491&lt;&gt;"", SUMIF(B1:D1,"&lt;&gt;",B491:D491),"")</f>
        <v/>
      </c>
      <c r="F491" s="2" t="str">
        <f>IF(AND(A491&lt;&gt;"",E491&lt;&gt;""),ROUND(E491,0),"")</f>
        <v/>
      </c>
      <c r="G491" s="2" t="str">
        <f>IF(A491&lt;&gt;"",VLOOKUP(Alunos!A491,Recurso!A3:C1000,3, FALSE),"")</f>
        <v/>
      </c>
      <c r="H491" s="2" t="str">
        <f>IF(OR(A491&lt;&gt;"",G491&lt;&gt;""), SUMIFS(B491:G491,B1:G1,"&lt;&gt;",B2:G2,"&lt;&gt;Exame",B2:G2,"&lt;&gt;exame",B2:G2,"&lt;&gt;Nota",B2:G2,"&lt;&gt;Total"),"")</f>
        <v/>
      </c>
      <c r="I491" s="2" t="str">
        <f>IF(AND(A491&lt;&gt;"",H491&lt;&gt;""),ROUND(H491,0),"")</f>
        <v/>
      </c>
    </row>
    <row r="492" spans="2:9" x14ac:dyDescent="0.3">
      <c r="B492" s="2" t="str">
        <f>IF(A492&lt;&gt;"",VLOOKUP(Alunos!A492,Exame!A3:C1000,3, FALSE),"")</f>
        <v/>
      </c>
      <c r="C492" s="2" t="str">
        <f>IF(A492&lt;&gt;"",VLOOKUP(Alunos!A492,Agrupamentos!A3:B1000,2, FALSE),"")</f>
        <v/>
      </c>
      <c r="D492" s="2" t="str">
        <f>IF(A492&lt;&gt;"",VLOOKUP(Alunos!C492,'TP1'!A3:C1000,3, FALSE),"")</f>
        <v/>
      </c>
      <c r="E492" s="2" t="str">
        <f>IF(A492&lt;&gt;"", SUMIF(B1:D1,"&lt;&gt;",B492:D492),"")</f>
        <v/>
      </c>
      <c r="F492" s="2" t="str">
        <f>IF(AND(A492&lt;&gt;"",E492&lt;&gt;""),ROUND(E492,0),"")</f>
        <v/>
      </c>
      <c r="G492" s="2" t="str">
        <f>IF(A492&lt;&gt;"",VLOOKUP(Alunos!A492,Recurso!A3:C1000,3, FALSE),"")</f>
        <v/>
      </c>
      <c r="H492" s="2" t="str">
        <f>IF(OR(A492&lt;&gt;"",G492&lt;&gt;""), SUMIFS(B492:G492,B1:G1,"&lt;&gt;",B2:G2,"&lt;&gt;Exame",B2:G2,"&lt;&gt;exame",B2:G2,"&lt;&gt;Nota",B2:G2,"&lt;&gt;Total"),"")</f>
        <v/>
      </c>
      <c r="I492" s="2" t="str">
        <f>IF(AND(A492&lt;&gt;"",H492&lt;&gt;""),ROUND(H492,0),"")</f>
        <v/>
      </c>
    </row>
    <row r="493" spans="2:9" x14ac:dyDescent="0.3">
      <c r="B493" s="2" t="str">
        <f>IF(A493&lt;&gt;"",VLOOKUP(Alunos!A493,Exame!A3:C1000,3, FALSE),"")</f>
        <v/>
      </c>
      <c r="C493" s="2" t="str">
        <f>IF(A493&lt;&gt;"",VLOOKUP(Alunos!A493,Agrupamentos!A3:B1000,2, FALSE),"")</f>
        <v/>
      </c>
      <c r="D493" s="2" t="str">
        <f>IF(A493&lt;&gt;"",VLOOKUP(Alunos!C493,'TP1'!A3:C1000,3, FALSE),"")</f>
        <v/>
      </c>
      <c r="E493" s="2" t="str">
        <f>IF(A493&lt;&gt;"", SUMIF(B1:D1,"&lt;&gt;",B493:D493),"")</f>
        <v/>
      </c>
      <c r="F493" s="2" t="str">
        <f>IF(AND(A493&lt;&gt;"",E493&lt;&gt;""),ROUND(E493,0),"")</f>
        <v/>
      </c>
      <c r="G493" s="2" t="str">
        <f>IF(A493&lt;&gt;"",VLOOKUP(Alunos!A493,Recurso!A3:C1000,3, FALSE),"")</f>
        <v/>
      </c>
      <c r="H493" s="2" t="str">
        <f>IF(OR(A493&lt;&gt;"",G493&lt;&gt;""), SUMIFS(B493:G493,B1:G1,"&lt;&gt;",B2:G2,"&lt;&gt;Exame",B2:G2,"&lt;&gt;exame",B2:G2,"&lt;&gt;Nota",B2:G2,"&lt;&gt;Total"),"")</f>
        <v/>
      </c>
      <c r="I493" s="2" t="str">
        <f>IF(AND(A493&lt;&gt;"",H493&lt;&gt;""),ROUND(H493,0),"")</f>
        <v/>
      </c>
    </row>
    <row r="494" spans="2:9" x14ac:dyDescent="0.3">
      <c r="B494" s="2" t="str">
        <f>IF(A494&lt;&gt;"",VLOOKUP(Alunos!A494,Exame!A3:C1000,3, FALSE),"")</f>
        <v/>
      </c>
      <c r="C494" s="2" t="str">
        <f>IF(A494&lt;&gt;"",VLOOKUP(Alunos!A494,Agrupamentos!A3:B1000,2, FALSE),"")</f>
        <v/>
      </c>
      <c r="D494" s="2" t="str">
        <f>IF(A494&lt;&gt;"",VLOOKUP(Alunos!C494,'TP1'!A3:C1000,3, FALSE),"")</f>
        <v/>
      </c>
      <c r="E494" s="2" t="str">
        <f>IF(A494&lt;&gt;"", SUMIF(B1:D1,"&lt;&gt;",B494:D494),"")</f>
        <v/>
      </c>
      <c r="F494" s="2" t="str">
        <f>IF(AND(A494&lt;&gt;"",E494&lt;&gt;""),ROUND(E494,0),"")</f>
        <v/>
      </c>
      <c r="G494" s="2" t="str">
        <f>IF(A494&lt;&gt;"",VLOOKUP(Alunos!A494,Recurso!A3:C1000,3, FALSE),"")</f>
        <v/>
      </c>
      <c r="H494" s="2" t="str">
        <f>IF(OR(A494&lt;&gt;"",G494&lt;&gt;""), SUMIFS(B494:G494,B1:G1,"&lt;&gt;",B2:G2,"&lt;&gt;Exame",B2:G2,"&lt;&gt;exame",B2:G2,"&lt;&gt;Nota",B2:G2,"&lt;&gt;Total"),"")</f>
        <v/>
      </c>
      <c r="I494" s="2" t="str">
        <f>IF(AND(A494&lt;&gt;"",H494&lt;&gt;""),ROUND(H494,0),"")</f>
        <v/>
      </c>
    </row>
    <row r="495" spans="2:9" x14ac:dyDescent="0.3">
      <c r="B495" s="2" t="str">
        <f>IF(A495&lt;&gt;"",VLOOKUP(Alunos!A495,Exame!A3:C1000,3, FALSE),"")</f>
        <v/>
      </c>
      <c r="C495" s="2" t="str">
        <f>IF(A495&lt;&gt;"",VLOOKUP(Alunos!A495,Agrupamentos!A3:B1000,2, FALSE),"")</f>
        <v/>
      </c>
      <c r="D495" s="2" t="str">
        <f>IF(A495&lt;&gt;"",VLOOKUP(Alunos!C495,'TP1'!A3:C1000,3, FALSE),"")</f>
        <v/>
      </c>
      <c r="E495" s="2" t="str">
        <f>IF(A495&lt;&gt;"", SUMIF(B1:D1,"&lt;&gt;",B495:D495),"")</f>
        <v/>
      </c>
      <c r="F495" s="2" t="str">
        <f>IF(AND(A495&lt;&gt;"",E495&lt;&gt;""),ROUND(E495,0),"")</f>
        <v/>
      </c>
      <c r="G495" s="2" t="str">
        <f>IF(A495&lt;&gt;"",VLOOKUP(Alunos!A495,Recurso!A3:C1000,3, FALSE),"")</f>
        <v/>
      </c>
      <c r="H495" s="2" t="str">
        <f>IF(OR(A495&lt;&gt;"",G495&lt;&gt;""), SUMIFS(B495:G495,B1:G1,"&lt;&gt;",B2:G2,"&lt;&gt;Exame",B2:G2,"&lt;&gt;exame",B2:G2,"&lt;&gt;Nota",B2:G2,"&lt;&gt;Total"),"")</f>
        <v/>
      </c>
      <c r="I495" s="2" t="str">
        <f>IF(AND(A495&lt;&gt;"",H495&lt;&gt;""),ROUND(H495,0),"")</f>
        <v/>
      </c>
    </row>
    <row r="496" spans="2:9" x14ac:dyDescent="0.3">
      <c r="B496" s="2" t="str">
        <f>IF(A496&lt;&gt;"",VLOOKUP(Alunos!A496,Exame!A3:C1000,3, FALSE),"")</f>
        <v/>
      </c>
      <c r="C496" s="2" t="str">
        <f>IF(A496&lt;&gt;"",VLOOKUP(Alunos!A496,Agrupamentos!A3:B1000,2, FALSE),"")</f>
        <v/>
      </c>
      <c r="D496" s="2" t="str">
        <f>IF(A496&lt;&gt;"",VLOOKUP(Alunos!C496,'TP1'!A3:C1000,3, FALSE),"")</f>
        <v/>
      </c>
      <c r="E496" s="2" t="str">
        <f>IF(A496&lt;&gt;"", SUMIF(B1:D1,"&lt;&gt;",B496:D496),"")</f>
        <v/>
      </c>
      <c r="F496" s="2" t="str">
        <f>IF(AND(A496&lt;&gt;"",E496&lt;&gt;""),ROUND(E496,0),"")</f>
        <v/>
      </c>
      <c r="G496" s="2" t="str">
        <f>IF(A496&lt;&gt;"",VLOOKUP(Alunos!A496,Recurso!A3:C1000,3, FALSE),"")</f>
        <v/>
      </c>
      <c r="H496" s="2" t="str">
        <f>IF(OR(A496&lt;&gt;"",G496&lt;&gt;""), SUMIFS(B496:G496,B1:G1,"&lt;&gt;",B2:G2,"&lt;&gt;Exame",B2:G2,"&lt;&gt;exame",B2:G2,"&lt;&gt;Nota",B2:G2,"&lt;&gt;Total"),"")</f>
        <v/>
      </c>
      <c r="I496" s="2" t="str">
        <f>IF(AND(A496&lt;&gt;"",H496&lt;&gt;""),ROUND(H496,0),"")</f>
        <v/>
      </c>
    </row>
    <row r="497" spans="2:9" x14ac:dyDescent="0.3">
      <c r="B497" s="2" t="str">
        <f>IF(A497&lt;&gt;"",VLOOKUP(Alunos!A497,Exame!A3:C1000,3, FALSE),"")</f>
        <v/>
      </c>
      <c r="C497" s="2" t="str">
        <f>IF(A497&lt;&gt;"",VLOOKUP(Alunos!A497,Agrupamentos!A3:B1000,2, FALSE),"")</f>
        <v/>
      </c>
      <c r="D497" s="2" t="str">
        <f>IF(A497&lt;&gt;"",VLOOKUP(Alunos!C497,'TP1'!A3:C1000,3, FALSE),"")</f>
        <v/>
      </c>
      <c r="E497" s="2" t="str">
        <f>IF(A497&lt;&gt;"", SUMIF(B1:D1,"&lt;&gt;",B497:D497),"")</f>
        <v/>
      </c>
      <c r="F497" s="2" t="str">
        <f>IF(AND(A497&lt;&gt;"",E497&lt;&gt;""),ROUND(E497,0),"")</f>
        <v/>
      </c>
      <c r="G497" s="2" t="str">
        <f>IF(A497&lt;&gt;"",VLOOKUP(Alunos!A497,Recurso!A3:C1000,3, FALSE),"")</f>
        <v/>
      </c>
      <c r="H497" s="2" t="str">
        <f>IF(OR(A497&lt;&gt;"",G497&lt;&gt;""), SUMIFS(B497:G497,B1:G1,"&lt;&gt;",B2:G2,"&lt;&gt;Exame",B2:G2,"&lt;&gt;exame",B2:G2,"&lt;&gt;Nota",B2:G2,"&lt;&gt;Total"),"")</f>
        <v/>
      </c>
      <c r="I497" s="2" t="str">
        <f>IF(AND(A497&lt;&gt;"",H497&lt;&gt;""),ROUND(H497,0),"")</f>
        <v/>
      </c>
    </row>
    <row r="498" spans="2:9" x14ac:dyDescent="0.3">
      <c r="B498" s="2" t="str">
        <f>IF(A498&lt;&gt;"",VLOOKUP(Alunos!A498,Exame!A3:C1000,3, FALSE),"")</f>
        <v/>
      </c>
      <c r="C498" s="2" t="str">
        <f>IF(A498&lt;&gt;"",VLOOKUP(Alunos!A498,Agrupamentos!A3:B1000,2, FALSE),"")</f>
        <v/>
      </c>
      <c r="D498" s="2" t="str">
        <f>IF(A498&lt;&gt;"",VLOOKUP(Alunos!C498,'TP1'!A3:C1000,3, FALSE),"")</f>
        <v/>
      </c>
      <c r="E498" s="2" t="str">
        <f>IF(A498&lt;&gt;"", SUMIF(B1:D1,"&lt;&gt;",B498:D498),"")</f>
        <v/>
      </c>
      <c r="F498" s="2" t="str">
        <f>IF(AND(A498&lt;&gt;"",E498&lt;&gt;""),ROUND(E498,0),"")</f>
        <v/>
      </c>
      <c r="G498" s="2" t="str">
        <f>IF(A498&lt;&gt;"",VLOOKUP(Alunos!A498,Recurso!A3:C1000,3, FALSE),"")</f>
        <v/>
      </c>
      <c r="H498" s="2" t="str">
        <f>IF(OR(A498&lt;&gt;"",G498&lt;&gt;""), SUMIFS(B498:G498,B1:G1,"&lt;&gt;",B2:G2,"&lt;&gt;Exame",B2:G2,"&lt;&gt;exame",B2:G2,"&lt;&gt;Nota",B2:G2,"&lt;&gt;Total"),"")</f>
        <v/>
      </c>
      <c r="I498" s="2" t="str">
        <f>IF(AND(A498&lt;&gt;"",H498&lt;&gt;""),ROUND(H498,0),"")</f>
        <v/>
      </c>
    </row>
    <row r="499" spans="2:9" x14ac:dyDescent="0.3">
      <c r="B499" s="2" t="str">
        <f>IF(A499&lt;&gt;"",VLOOKUP(Alunos!A499,Exame!A3:C1000,3, FALSE),"")</f>
        <v/>
      </c>
      <c r="C499" s="2" t="str">
        <f>IF(A499&lt;&gt;"",VLOOKUP(Alunos!A499,Agrupamentos!A3:B1000,2, FALSE),"")</f>
        <v/>
      </c>
      <c r="D499" s="2" t="str">
        <f>IF(A499&lt;&gt;"",VLOOKUP(Alunos!C499,'TP1'!A3:C1000,3, FALSE),"")</f>
        <v/>
      </c>
      <c r="E499" s="2" t="str">
        <f>IF(A499&lt;&gt;"", SUMIF(B1:D1,"&lt;&gt;",B499:D499),"")</f>
        <v/>
      </c>
      <c r="F499" s="2" t="str">
        <f>IF(AND(A499&lt;&gt;"",E499&lt;&gt;""),ROUND(E499,0),"")</f>
        <v/>
      </c>
      <c r="G499" s="2" t="str">
        <f>IF(A499&lt;&gt;"",VLOOKUP(Alunos!A499,Recurso!A3:C1000,3, FALSE),"")</f>
        <v/>
      </c>
      <c r="H499" s="2" t="str">
        <f>IF(OR(A499&lt;&gt;"",G499&lt;&gt;""), SUMIFS(B499:G499,B1:G1,"&lt;&gt;",B2:G2,"&lt;&gt;Exame",B2:G2,"&lt;&gt;exame",B2:G2,"&lt;&gt;Nota",B2:G2,"&lt;&gt;Total"),"")</f>
        <v/>
      </c>
      <c r="I499" s="2" t="str">
        <f>IF(AND(A499&lt;&gt;"",H499&lt;&gt;""),ROUND(H499,0),"")</f>
        <v/>
      </c>
    </row>
    <row r="500" spans="2:9" x14ac:dyDescent="0.3">
      <c r="B500" s="2" t="str">
        <f>IF(A500&lt;&gt;"",VLOOKUP(Alunos!A500,Exame!A3:C1000,3, FALSE),"")</f>
        <v/>
      </c>
      <c r="C500" s="2" t="str">
        <f>IF(A500&lt;&gt;"",VLOOKUP(Alunos!A500,Agrupamentos!A3:B1000,2, FALSE),"")</f>
        <v/>
      </c>
      <c r="D500" s="2" t="str">
        <f>IF(A500&lt;&gt;"",VLOOKUP(Alunos!C500,'TP1'!A3:C1000,3, FALSE),"")</f>
        <v/>
      </c>
      <c r="E500" s="2" t="str">
        <f>IF(A500&lt;&gt;"", SUMIF(B1:D1,"&lt;&gt;",B500:D500),"")</f>
        <v/>
      </c>
      <c r="F500" s="2" t="str">
        <f>IF(AND(A500&lt;&gt;"",E500&lt;&gt;""),ROUND(E500,0),"")</f>
        <v/>
      </c>
      <c r="G500" s="2" t="str">
        <f>IF(A500&lt;&gt;"",VLOOKUP(Alunos!A500,Recurso!A3:C1000,3, FALSE),"")</f>
        <v/>
      </c>
      <c r="H500" s="2" t="str">
        <f>IF(OR(A500&lt;&gt;"",G500&lt;&gt;""), SUMIFS(B500:G500,B1:G1,"&lt;&gt;",B2:G2,"&lt;&gt;Exame",B2:G2,"&lt;&gt;exame",B2:G2,"&lt;&gt;Nota",B2:G2,"&lt;&gt;Total"),"")</f>
        <v/>
      </c>
      <c r="I500" s="2" t="str">
        <f>IF(AND(A500&lt;&gt;"",H500&lt;&gt;""),ROUND(H500,0),"")</f>
        <v/>
      </c>
    </row>
    <row r="501" spans="2:9" x14ac:dyDescent="0.3">
      <c r="B501" s="2" t="str">
        <f>IF(A501&lt;&gt;"",VLOOKUP(Alunos!A501,Exame!A3:C1000,3, FALSE),"")</f>
        <v/>
      </c>
      <c r="C501" s="2" t="str">
        <f>IF(A501&lt;&gt;"",VLOOKUP(Alunos!A501,Agrupamentos!A3:B1000,2, FALSE),"")</f>
        <v/>
      </c>
      <c r="D501" s="2" t="str">
        <f>IF(A501&lt;&gt;"",VLOOKUP(Alunos!C501,'TP1'!A3:C1000,3, FALSE),"")</f>
        <v/>
      </c>
      <c r="E501" s="2" t="str">
        <f>IF(A501&lt;&gt;"", SUMIF(B1:D1,"&lt;&gt;",B501:D501),"")</f>
        <v/>
      </c>
      <c r="F501" s="2" t="str">
        <f>IF(AND(A501&lt;&gt;"",E501&lt;&gt;""),ROUND(E501,0),"")</f>
        <v/>
      </c>
      <c r="G501" s="2" t="str">
        <f>IF(A501&lt;&gt;"",VLOOKUP(Alunos!A501,Recurso!A3:C1000,3, FALSE),"")</f>
        <v/>
      </c>
      <c r="H501" s="2" t="str">
        <f>IF(OR(A501&lt;&gt;"",G501&lt;&gt;""), SUMIFS(B501:G501,B1:G1,"&lt;&gt;",B2:G2,"&lt;&gt;Exame",B2:G2,"&lt;&gt;exame",B2:G2,"&lt;&gt;Nota",B2:G2,"&lt;&gt;Total"),"")</f>
        <v/>
      </c>
      <c r="I501" s="2" t="str">
        <f>IF(AND(A501&lt;&gt;"",H501&lt;&gt;""),ROUND(H501,0),"")</f>
        <v/>
      </c>
    </row>
    <row r="502" spans="2:9" x14ac:dyDescent="0.3">
      <c r="B502" s="2" t="str">
        <f>IF(A502&lt;&gt;"",VLOOKUP(Alunos!A502,Exame!A3:C1000,3, FALSE),"")</f>
        <v/>
      </c>
      <c r="C502" s="2" t="str">
        <f>IF(A502&lt;&gt;"",VLOOKUP(Alunos!A502,Agrupamentos!A3:B1000,2, FALSE),"")</f>
        <v/>
      </c>
      <c r="D502" s="2" t="str">
        <f>IF(A502&lt;&gt;"",VLOOKUP(Alunos!C502,'TP1'!A3:C1000,3, FALSE),"")</f>
        <v/>
      </c>
      <c r="E502" s="2" t="str">
        <f>IF(A502&lt;&gt;"", SUMIF(B1:D1,"&lt;&gt;",B502:D502),"")</f>
        <v/>
      </c>
      <c r="F502" s="2" t="str">
        <f>IF(AND(A502&lt;&gt;"",E502&lt;&gt;""),ROUND(E502,0),"")</f>
        <v/>
      </c>
      <c r="G502" s="2" t="str">
        <f>IF(A502&lt;&gt;"",VLOOKUP(Alunos!A502,Recurso!A3:C1000,3, FALSE),"")</f>
        <v/>
      </c>
      <c r="H502" s="2" t="str">
        <f>IF(OR(A502&lt;&gt;"",G502&lt;&gt;""), SUMIFS(B502:G502,B1:G1,"&lt;&gt;",B2:G2,"&lt;&gt;Exame",B2:G2,"&lt;&gt;exame",B2:G2,"&lt;&gt;Nota",B2:G2,"&lt;&gt;Total"),"")</f>
        <v/>
      </c>
      <c r="I502" s="2" t="str">
        <f>IF(AND(A502&lt;&gt;"",H502&lt;&gt;""),ROUND(H502,0),"")</f>
        <v/>
      </c>
    </row>
    <row r="503" spans="2:9" x14ac:dyDescent="0.3">
      <c r="B503" s="2" t="str">
        <f>IF(A503&lt;&gt;"",VLOOKUP(Alunos!A503,Exame!A3:C1000,3, FALSE),"")</f>
        <v/>
      </c>
      <c r="C503" s="2" t="str">
        <f>IF(A503&lt;&gt;"",VLOOKUP(Alunos!A503,Agrupamentos!A3:B1000,2, FALSE),"")</f>
        <v/>
      </c>
      <c r="D503" s="2" t="str">
        <f>IF(A503&lt;&gt;"",VLOOKUP(Alunos!C503,'TP1'!A3:C1000,3, FALSE),"")</f>
        <v/>
      </c>
      <c r="E503" s="2" t="str">
        <f>IF(A503&lt;&gt;"", SUMIF(B1:D1,"&lt;&gt;",B503:D503),"")</f>
        <v/>
      </c>
      <c r="F503" s="2" t="str">
        <f>IF(AND(A503&lt;&gt;"",E503&lt;&gt;""),ROUND(E503,0),"")</f>
        <v/>
      </c>
      <c r="G503" s="2" t="str">
        <f>IF(A503&lt;&gt;"",VLOOKUP(Alunos!A503,Recurso!A3:C1000,3, FALSE),"")</f>
        <v/>
      </c>
      <c r="H503" s="2" t="str">
        <f>IF(OR(A503&lt;&gt;"",G503&lt;&gt;""), SUMIFS(B503:G503,B1:G1,"&lt;&gt;",B2:G2,"&lt;&gt;Exame",B2:G2,"&lt;&gt;exame",B2:G2,"&lt;&gt;Nota",B2:G2,"&lt;&gt;Total"),"")</f>
        <v/>
      </c>
      <c r="I503" s="2" t="str">
        <f>IF(AND(A503&lt;&gt;"",H503&lt;&gt;""),ROUND(H503,0),"")</f>
        <v/>
      </c>
    </row>
    <row r="504" spans="2:9" x14ac:dyDescent="0.3">
      <c r="B504" s="2" t="str">
        <f>IF(A504&lt;&gt;"",VLOOKUP(Alunos!A504,Exame!A3:C1000,3, FALSE),"")</f>
        <v/>
      </c>
      <c r="C504" s="2" t="str">
        <f>IF(A504&lt;&gt;"",VLOOKUP(Alunos!A504,Agrupamentos!A3:B1000,2, FALSE),"")</f>
        <v/>
      </c>
      <c r="D504" s="2" t="str">
        <f>IF(A504&lt;&gt;"",VLOOKUP(Alunos!C504,'TP1'!A3:C1000,3, FALSE),"")</f>
        <v/>
      </c>
      <c r="E504" s="2" t="str">
        <f>IF(A504&lt;&gt;"", SUMIF(B1:D1,"&lt;&gt;",B504:D504),"")</f>
        <v/>
      </c>
      <c r="F504" s="2" t="str">
        <f>IF(AND(A504&lt;&gt;"",E504&lt;&gt;""),ROUND(E504,0),"")</f>
        <v/>
      </c>
      <c r="G504" s="2" t="str">
        <f>IF(A504&lt;&gt;"",VLOOKUP(Alunos!A504,Recurso!A3:C1000,3, FALSE),"")</f>
        <v/>
      </c>
      <c r="H504" s="2" t="str">
        <f>IF(OR(A504&lt;&gt;"",G504&lt;&gt;""), SUMIFS(B504:G504,B1:G1,"&lt;&gt;",B2:G2,"&lt;&gt;Exame",B2:G2,"&lt;&gt;exame",B2:G2,"&lt;&gt;Nota",B2:G2,"&lt;&gt;Total"),"")</f>
        <v/>
      </c>
      <c r="I504" s="2" t="str">
        <f>IF(AND(A504&lt;&gt;"",H504&lt;&gt;""),ROUND(H504,0),"")</f>
        <v/>
      </c>
    </row>
    <row r="505" spans="2:9" x14ac:dyDescent="0.3">
      <c r="B505" s="2" t="str">
        <f>IF(A505&lt;&gt;"",VLOOKUP(Alunos!A505,Exame!A3:C1000,3, FALSE),"")</f>
        <v/>
      </c>
      <c r="C505" s="2" t="str">
        <f>IF(A505&lt;&gt;"",VLOOKUP(Alunos!A505,Agrupamentos!A3:B1000,2, FALSE),"")</f>
        <v/>
      </c>
      <c r="D505" s="2" t="str">
        <f>IF(A505&lt;&gt;"",VLOOKUP(Alunos!C505,'TP1'!A3:C1000,3, FALSE),"")</f>
        <v/>
      </c>
      <c r="E505" s="2" t="str">
        <f>IF(A505&lt;&gt;"", SUMIF(B1:D1,"&lt;&gt;",B505:D505),"")</f>
        <v/>
      </c>
      <c r="F505" s="2" t="str">
        <f>IF(AND(A505&lt;&gt;"",E505&lt;&gt;""),ROUND(E505,0),"")</f>
        <v/>
      </c>
      <c r="G505" s="2" t="str">
        <f>IF(A505&lt;&gt;"",VLOOKUP(Alunos!A505,Recurso!A3:C1000,3, FALSE),"")</f>
        <v/>
      </c>
      <c r="H505" s="2" t="str">
        <f>IF(OR(A505&lt;&gt;"",G505&lt;&gt;""), SUMIFS(B505:G505,B1:G1,"&lt;&gt;",B2:G2,"&lt;&gt;Exame",B2:G2,"&lt;&gt;exame",B2:G2,"&lt;&gt;Nota",B2:G2,"&lt;&gt;Total"),"")</f>
        <v/>
      </c>
      <c r="I505" s="2" t="str">
        <f>IF(AND(A505&lt;&gt;"",H505&lt;&gt;""),ROUND(H505,0),"")</f>
        <v/>
      </c>
    </row>
    <row r="506" spans="2:9" x14ac:dyDescent="0.3">
      <c r="B506" s="2" t="str">
        <f>IF(A506&lt;&gt;"",VLOOKUP(Alunos!A506,Exame!A3:C1000,3, FALSE),"")</f>
        <v/>
      </c>
      <c r="C506" s="2" t="str">
        <f>IF(A506&lt;&gt;"",VLOOKUP(Alunos!A506,Agrupamentos!A3:B1000,2, FALSE),"")</f>
        <v/>
      </c>
      <c r="D506" s="2" t="str">
        <f>IF(A506&lt;&gt;"",VLOOKUP(Alunos!C506,'TP1'!A3:C1000,3, FALSE),"")</f>
        <v/>
      </c>
      <c r="E506" s="2" t="str">
        <f>IF(A506&lt;&gt;"", SUMIF(B1:D1,"&lt;&gt;",B506:D506),"")</f>
        <v/>
      </c>
      <c r="F506" s="2" t="str">
        <f>IF(AND(A506&lt;&gt;"",E506&lt;&gt;""),ROUND(E506,0),"")</f>
        <v/>
      </c>
      <c r="G506" s="2" t="str">
        <f>IF(A506&lt;&gt;"",VLOOKUP(Alunos!A506,Recurso!A3:C1000,3, FALSE),"")</f>
        <v/>
      </c>
      <c r="H506" s="2" t="str">
        <f>IF(OR(A506&lt;&gt;"",G506&lt;&gt;""), SUMIFS(B506:G506,B1:G1,"&lt;&gt;",B2:G2,"&lt;&gt;Exame",B2:G2,"&lt;&gt;exame",B2:G2,"&lt;&gt;Nota",B2:G2,"&lt;&gt;Total"),"")</f>
        <v/>
      </c>
      <c r="I506" s="2" t="str">
        <f>IF(AND(A506&lt;&gt;"",H506&lt;&gt;""),ROUND(H506,0),"")</f>
        <v/>
      </c>
    </row>
    <row r="507" spans="2:9" x14ac:dyDescent="0.3">
      <c r="B507" s="2" t="str">
        <f>IF(A507&lt;&gt;"",VLOOKUP(Alunos!A507,Exame!A3:C1000,3, FALSE),"")</f>
        <v/>
      </c>
      <c r="C507" s="2" t="str">
        <f>IF(A507&lt;&gt;"",VLOOKUP(Alunos!A507,Agrupamentos!A3:B1000,2, FALSE),"")</f>
        <v/>
      </c>
      <c r="D507" s="2" t="str">
        <f>IF(A507&lt;&gt;"",VLOOKUP(Alunos!C507,'TP1'!A3:C1000,3, FALSE),"")</f>
        <v/>
      </c>
      <c r="E507" s="2" t="str">
        <f>IF(A507&lt;&gt;"", SUMIF(B1:D1,"&lt;&gt;",B507:D507),"")</f>
        <v/>
      </c>
      <c r="F507" s="2" t="str">
        <f>IF(AND(A507&lt;&gt;"",E507&lt;&gt;""),ROUND(E507,0),"")</f>
        <v/>
      </c>
      <c r="G507" s="2" t="str">
        <f>IF(A507&lt;&gt;"",VLOOKUP(Alunos!A507,Recurso!A3:C1000,3, FALSE),"")</f>
        <v/>
      </c>
      <c r="H507" s="2" t="str">
        <f>IF(OR(A507&lt;&gt;"",G507&lt;&gt;""), SUMIFS(B507:G507,B1:G1,"&lt;&gt;",B2:G2,"&lt;&gt;Exame",B2:G2,"&lt;&gt;exame",B2:G2,"&lt;&gt;Nota",B2:G2,"&lt;&gt;Total"),"")</f>
        <v/>
      </c>
      <c r="I507" s="2" t="str">
        <f>IF(AND(A507&lt;&gt;"",H507&lt;&gt;""),ROUND(H507,0),"")</f>
        <v/>
      </c>
    </row>
    <row r="508" spans="2:9" x14ac:dyDescent="0.3">
      <c r="B508" s="2" t="str">
        <f>IF(A508&lt;&gt;"",VLOOKUP(Alunos!A508,Exame!A3:C1000,3, FALSE),"")</f>
        <v/>
      </c>
      <c r="C508" s="2" t="str">
        <f>IF(A508&lt;&gt;"",VLOOKUP(Alunos!A508,Agrupamentos!A3:B1000,2, FALSE),"")</f>
        <v/>
      </c>
      <c r="D508" s="2" t="str">
        <f>IF(A508&lt;&gt;"",VLOOKUP(Alunos!C508,'TP1'!A3:C1000,3, FALSE),"")</f>
        <v/>
      </c>
      <c r="E508" s="2" t="str">
        <f>IF(A508&lt;&gt;"", SUMIF(B1:D1,"&lt;&gt;",B508:D508),"")</f>
        <v/>
      </c>
      <c r="F508" s="2" t="str">
        <f>IF(AND(A508&lt;&gt;"",E508&lt;&gt;""),ROUND(E508,0),"")</f>
        <v/>
      </c>
      <c r="G508" s="2" t="str">
        <f>IF(A508&lt;&gt;"",VLOOKUP(Alunos!A508,Recurso!A3:C1000,3, FALSE),"")</f>
        <v/>
      </c>
      <c r="H508" s="2" t="str">
        <f>IF(OR(A508&lt;&gt;"",G508&lt;&gt;""), SUMIFS(B508:G508,B1:G1,"&lt;&gt;",B2:G2,"&lt;&gt;Exame",B2:G2,"&lt;&gt;exame",B2:G2,"&lt;&gt;Nota",B2:G2,"&lt;&gt;Total"),"")</f>
        <v/>
      </c>
      <c r="I508" s="2" t="str">
        <f>IF(AND(A508&lt;&gt;"",H508&lt;&gt;""),ROUND(H508,0),"")</f>
        <v/>
      </c>
    </row>
    <row r="509" spans="2:9" x14ac:dyDescent="0.3">
      <c r="B509" s="2" t="str">
        <f>IF(A509&lt;&gt;"",VLOOKUP(Alunos!A509,Exame!A3:C1000,3, FALSE),"")</f>
        <v/>
      </c>
      <c r="C509" s="2" t="str">
        <f>IF(A509&lt;&gt;"",VLOOKUP(Alunos!A509,Agrupamentos!A3:B1000,2, FALSE),"")</f>
        <v/>
      </c>
      <c r="D509" s="2" t="str">
        <f>IF(A509&lt;&gt;"",VLOOKUP(Alunos!C509,'TP1'!A3:C1000,3, FALSE),"")</f>
        <v/>
      </c>
      <c r="E509" s="2" t="str">
        <f>IF(A509&lt;&gt;"", SUMIF(B1:D1,"&lt;&gt;",B509:D509),"")</f>
        <v/>
      </c>
      <c r="F509" s="2" t="str">
        <f>IF(AND(A509&lt;&gt;"",E509&lt;&gt;""),ROUND(E509,0),"")</f>
        <v/>
      </c>
      <c r="G509" s="2" t="str">
        <f>IF(A509&lt;&gt;"",VLOOKUP(Alunos!A509,Recurso!A3:C1000,3, FALSE),"")</f>
        <v/>
      </c>
      <c r="H509" s="2" t="str">
        <f>IF(OR(A509&lt;&gt;"",G509&lt;&gt;""), SUMIFS(B509:G509,B1:G1,"&lt;&gt;",B2:G2,"&lt;&gt;Exame",B2:G2,"&lt;&gt;exame",B2:G2,"&lt;&gt;Nota",B2:G2,"&lt;&gt;Total"),"")</f>
        <v/>
      </c>
      <c r="I509" s="2" t="str">
        <f>IF(AND(A509&lt;&gt;"",H509&lt;&gt;""),ROUND(H509,0),"")</f>
        <v/>
      </c>
    </row>
    <row r="510" spans="2:9" x14ac:dyDescent="0.3">
      <c r="B510" s="2" t="str">
        <f>IF(A510&lt;&gt;"",VLOOKUP(Alunos!A510,Exame!A3:C1000,3, FALSE),"")</f>
        <v/>
      </c>
      <c r="C510" s="2" t="str">
        <f>IF(A510&lt;&gt;"",VLOOKUP(Alunos!A510,Agrupamentos!A3:B1000,2, FALSE),"")</f>
        <v/>
      </c>
      <c r="D510" s="2" t="str">
        <f>IF(A510&lt;&gt;"",VLOOKUP(Alunos!C510,'TP1'!A3:C1000,3, FALSE),"")</f>
        <v/>
      </c>
      <c r="E510" s="2" t="str">
        <f>IF(A510&lt;&gt;"", SUMIF(B1:D1,"&lt;&gt;",B510:D510),"")</f>
        <v/>
      </c>
      <c r="F510" s="2" t="str">
        <f>IF(AND(A510&lt;&gt;"",E510&lt;&gt;""),ROUND(E510,0),"")</f>
        <v/>
      </c>
      <c r="G510" s="2" t="str">
        <f>IF(A510&lt;&gt;"",VLOOKUP(Alunos!A510,Recurso!A3:C1000,3, FALSE),"")</f>
        <v/>
      </c>
      <c r="H510" s="2" t="str">
        <f>IF(OR(A510&lt;&gt;"",G510&lt;&gt;""), SUMIFS(B510:G510,B1:G1,"&lt;&gt;",B2:G2,"&lt;&gt;Exame",B2:G2,"&lt;&gt;exame",B2:G2,"&lt;&gt;Nota",B2:G2,"&lt;&gt;Total"),"")</f>
        <v/>
      </c>
      <c r="I510" s="2" t="str">
        <f>IF(AND(A510&lt;&gt;"",H510&lt;&gt;""),ROUND(H510,0),"")</f>
        <v/>
      </c>
    </row>
    <row r="511" spans="2:9" x14ac:dyDescent="0.3">
      <c r="B511" s="2" t="str">
        <f>IF(A511&lt;&gt;"",VLOOKUP(Alunos!A511,Exame!A3:C1000,3, FALSE),"")</f>
        <v/>
      </c>
      <c r="C511" s="2" t="str">
        <f>IF(A511&lt;&gt;"",VLOOKUP(Alunos!A511,Agrupamentos!A3:B1000,2, FALSE),"")</f>
        <v/>
      </c>
      <c r="D511" s="2" t="str">
        <f>IF(A511&lt;&gt;"",VLOOKUP(Alunos!C511,'TP1'!A3:C1000,3, FALSE),"")</f>
        <v/>
      </c>
      <c r="E511" s="2" t="str">
        <f>IF(A511&lt;&gt;"", SUMIF(B1:D1,"&lt;&gt;",B511:D511),"")</f>
        <v/>
      </c>
      <c r="F511" s="2" t="str">
        <f>IF(AND(A511&lt;&gt;"",E511&lt;&gt;""),ROUND(E511,0),"")</f>
        <v/>
      </c>
      <c r="G511" s="2" t="str">
        <f>IF(A511&lt;&gt;"",VLOOKUP(Alunos!A511,Recurso!A3:C1000,3, FALSE),"")</f>
        <v/>
      </c>
      <c r="H511" s="2" t="str">
        <f>IF(OR(A511&lt;&gt;"",G511&lt;&gt;""), SUMIFS(B511:G511,B1:G1,"&lt;&gt;",B2:G2,"&lt;&gt;Exame",B2:G2,"&lt;&gt;exame",B2:G2,"&lt;&gt;Nota",B2:G2,"&lt;&gt;Total"),"")</f>
        <v/>
      </c>
      <c r="I511" s="2" t="str">
        <f>IF(AND(A511&lt;&gt;"",H511&lt;&gt;""),ROUND(H511,0),"")</f>
        <v/>
      </c>
    </row>
    <row r="512" spans="2:9" x14ac:dyDescent="0.3">
      <c r="B512" s="2" t="str">
        <f>IF(A512&lt;&gt;"",VLOOKUP(Alunos!A512,Exame!A3:C1000,3, FALSE),"")</f>
        <v/>
      </c>
      <c r="C512" s="2" t="str">
        <f>IF(A512&lt;&gt;"",VLOOKUP(Alunos!A512,Agrupamentos!A3:B1000,2, FALSE),"")</f>
        <v/>
      </c>
      <c r="D512" s="2" t="str">
        <f>IF(A512&lt;&gt;"",VLOOKUP(Alunos!C512,'TP1'!A3:C1000,3, FALSE),"")</f>
        <v/>
      </c>
      <c r="E512" s="2" t="str">
        <f>IF(A512&lt;&gt;"", SUMIF(B1:D1,"&lt;&gt;",B512:D512),"")</f>
        <v/>
      </c>
      <c r="F512" s="2" t="str">
        <f>IF(AND(A512&lt;&gt;"",E512&lt;&gt;""),ROUND(E512,0),"")</f>
        <v/>
      </c>
      <c r="G512" s="2" t="str">
        <f>IF(A512&lt;&gt;"",VLOOKUP(Alunos!A512,Recurso!A3:C1000,3, FALSE),"")</f>
        <v/>
      </c>
      <c r="H512" s="2" t="str">
        <f>IF(OR(A512&lt;&gt;"",G512&lt;&gt;""), SUMIFS(B512:G512,B1:G1,"&lt;&gt;",B2:G2,"&lt;&gt;Exame",B2:G2,"&lt;&gt;exame",B2:G2,"&lt;&gt;Nota",B2:G2,"&lt;&gt;Total"),"")</f>
        <v/>
      </c>
      <c r="I512" s="2" t="str">
        <f>IF(AND(A512&lt;&gt;"",H512&lt;&gt;""),ROUND(H512,0),"")</f>
        <v/>
      </c>
    </row>
    <row r="513" spans="2:9" x14ac:dyDescent="0.3">
      <c r="B513" s="2" t="str">
        <f>IF(A513&lt;&gt;"",VLOOKUP(Alunos!A513,Exame!A3:C1000,3, FALSE),"")</f>
        <v/>
      </c>
      <c r="C513" s="2" t="str">
        <f>IF(A513&lt;&gt;"",VLOOKUP(Alunos!A513,Agrupamentos!A3:B1000,2, FALSE),"")</f>
        <v/>
      </c>
      <c r="D513" s="2" t="str">
        <f>IF(A513&lt;&gt;"",VLOOKUP(Alunos!C513,'TP1'!A3:C1000,3, FALSE),"")</f>
        <v/>
      </c>
      <c r="E513" s="2" t="str">
        <f>IF(A513&lt;&gt;"", SUMIF(B1:D1,"&lt;&gt;",B513:D513),"")</f>
        <v/>
      </c>
      <c r="F513" s="2" t="str">
        <f>IF(AND(A513&lt;&gt;"",E513&lt;&gt;""),ROUND(E513,0),"")</f>
        <v/>
      </c>
      <c r="G513" s="2" t="str">
        <f>IF(A513&lt;&gt;"",VLOOKUP(Alunos!A513,Recurso!A3:C1000,3, FALSE),"")</f>
        <v/>
      </c>
      <c r="H513" s="2" t="str">
        <f>IF(OR(A513&lt;&gt;"",G513&lt;&gt;""), SUMIFS(B513:G513,B1:G1,"&lt;&gt;",B2:G2,"&lt;&gt;Exame",B2:G2,"&lt;&gt;exame",B2:G2,"&lt;&gt;Nota",B2:G2,"&lt;&gt;Total"),"")</f>
        <v/>
      </c>
      <c r="I513" s="2" t="str">
        <f>IF(AND(A513&lt;&gt;"",H513&lt;&gt;""),ROUND(H513,0),"")</f>
        <v/>
      </c>
    </row>
    <row r="514" spans="2:9" x14ac:dyDescent="0.3">
      <c r="B514" s="2" t="str">
        <f>IF(A514&lt;&gt;"",VLOOKUP(Alunos!A514,Exame!A3:C1000,3, FALSE),"")</f>
        <v/>
      </c>
      <c r="C514" s="2" t="str">
        <f>IF(A514&lt;&gt;"",VLOOKUP(Alunos!A514,Agrupamentos!A3:B1000,2, FALSE),"")</f>
        <v/>
      </c>
      <c r="D514" s="2" t="str">
        <f>IF(A514&lt;&gt;"",VLOOKUP(Alunos!C514,'TP1'!A3:C1000,3, FALSE),"")</f>
        <v/>
      </c>
      <c r="E514" s="2" t="str">
        <f>IF(A514&lt;&gt;"", SUMIF(B1:D1,"&lt;&gt;",B514:D514),"")</f>
        <v/>
      </c>
      <c r="F514" s="2" t="str">
        <f>IF(AND(A514&lt;&gt;"",E514&lt;&gt;""),ROUND(E514,0),"")</f>
        <v/>
      </c>
      <c r="G514" s="2" t="str">
        <f>IF(A514&lt;&gt;"",VLOOKUP(Alunos!A514,Recurso!A3:C1000,3, FALSE),"")</f>
        <v/>
      </c>
      <c r="H514" s="2" t="str">
        <f>IF(OR(A514&lt;&gt;"",G514&lt;&gt;""), SUMIFS(B514:G514,B1:G1,"&lt;&gt;",B2:G2,"&lt;&gt;Exame",B2:G2,"&lt;&gt;exame",B2:G2,"&lt;&gt;Nota",B2:G2,"&lt;&gt;Total"),"")</f>
        <v/>
      </c>
      <c r="I514" s="2" t="str">
        <f>IF(AND(A514&lt;&gt;"",H514&lt;&gt;""),ROUND(H514,0),"")</f>
        <v/>
      </c>
    </row>
    <row r="515" spans="2:9" x14ac:dyDescent="0.3">
      <c r="B515" s="2" t="str">
        <f>IF(A515&lt;&gt;"",VLOOKUP(Alunos!A515,Exame!A3:C1000,3, FALSE),"")</f>
        <v/>
      </c>
      <c r="C515" s="2" t="str">
        <f>IF(A515&lt;&gt;"",VLOOKUP(Alunos!A515,Agrupamentos!A3:B1000,2, FALSE),"")</f>
        <v/>
      </c>
      <c r="D515" s="2" t="str">
        <f>IF(A515&lt;&gt;"",VLOOKUP(Alunos!C515,'TP1'!A3:C1000,3, FALSE),"")</f>
        <v/>
      </c>
      <c r="E515" s="2" t="str">
        <f>IF(A515&lt;&gt;"", SUMIF(B1:D1,"&lt;&gt;",B515:D515),"")</f>
        <v/>
      </c>
      <c r="F515" s="2" t="str">
        <f>IF(AND(A515&lt;&gt;"",E515&lt;&gt;""),ROUND(E515,0),"")</f>
        <v/>
      </c>
      <c r="G515" s="2" t="str">
        <f>IF(A515&lt;&gt;"",VLOOKUP(Alunos!A515,Recurso!A3:C1000,3, FALSE),"")</f>
        <v/>
      </c>
      <c r="H515" s="2" t="str">
        <f>IF(OR(A515&lt;&gt;"",G515&lt;&gt;""), SUMIFS(B515:G515,B1:G1,"&lt;&gt;",B2:G2,"&lt;&gt;Exame",B2:G2,"&lt;&gt;exame",B2:G2,"&lt;&gt;Nota",B2:G2,"&lt;&gt;Total"),"")</f>
        <v/>
      </c>
      <c r="I515" s="2" t="str">
        <f>IF(AND(A515&lt;&gt;"",H515&lt;&gt;""),ROUND(H515,0),"")</f>
        <v/>
      </c>
    </row>
    <row r="516" spans="2:9" x14ac:dyDescent="0.3">
      <c r="B516" s="2" t="str">
        <f>IF(A516&lt;&gt;"",VLOOKUP(Alunos!A516,Exame!A3:C1000,3, FALSE),"")</f>
        <v/>
      </c>
      <c r="C516" s="2" t="str">
        <f>IF(A516&lt;&gt;"",VLOOKUP(Alunos!A516,Agrupamentos!A3:B1000,2, FALSE),"")</f>
        <v/>
      </c>
      <c r="D516" s="2" t="str">
        <f>IF(A516&lt;&gt;"",VLOOKUP(Alunos!C516,'TP1'!A3:C1000,3, FALSE),"")</f>
        <v/>
      </c>
      <c r="E516" s="2" t="str">
        <f>IF(A516&lt;&gt;"", SUMIF(B1:D1,"&lt;&gt;",B516:D516),"")</f>
        <v/>
      </c>
      <c r="F516" s="2" t="str">
        <f>IF(AND(A516&lt;&gt;"",E516&lt;&gt;""),ROUND(E516,0),"")</f>
        <v/>
      </c>
      <c r="G516" s="2" t="str">
        <f>IF(A516&lt;&gt;"",VLOOKUP(Alunos!A516,Recurso!A3:C1000,3, FALSE),"")</f>
        <v/>
      </c>
      <c r="H516" s="2" t="str">
        <f>IF(OR(A516&lt;&gt;"",G516&lt;&gt;""), SUMIFS(B516:G516,B1:G1,"&lt;&gt;",B2:G2,"&lt;&gt;Exame",B2:G2,"&lt;&gt;exame",B2:G2,"&lt;&gt;Nota",B2:G2,"&lt;&gt;Total"),"")</f>
        <v/>
      </c>
      <c r="I516" s="2" t="str">
        <f>IF(AND(A516&lt;&gt;"",H516&lt;&gt;""),ROUND(H516,0),"")</f>
        <v/>
      </c>
    </row>
    <row r="517" spans="2:9" x14ac:dyDescent="0.3">
      <c r="B517" s="2" t="str">
        <f>IF(A517&lt;&gt;"",VLOOKUP(Alunos!A517,Exame!A3:C1000,3, FALSE),"")</f>
        <v/>
      </c>
      <c r="C517" s="2" t="str">
        <f>IF(A517&lt;&gt;"",VLOOKUP(Alunos!A517,Agrupamentos!A3:B1000,2, FALSE),"")</f>
        <v/>
      </c>
      <c r="D517" s="2" t="str">
        <f>IF(A517&lt;&gt;"",VLOOKUP(Alunos!C517,'TP1'!A3:C1000,3, FALSE),"")</f>
        <v/>
      </c>
      <c r="E517" s="2" t="str">
        <f>IF(A517&lt;&gt;"", SUMIF(B1:D1,"&lt;&gt;",B517:D517),"")</f>
        <v/>
      </c>
      <c r="F517" s="2" t="str">
        <f>IF(AND(A517&lt;&gt;"",E517&lt;&gt;""),ROUND(E517,0),"")</f>
        <v/>
      </c>
      <c r="G517" s="2" t="str">
        <f>IF(A517&lt;&gt;"",VLOOKUP(Alunos!A517,Recurso!A3:C1000,3, FALSE),"")</f>
        <v/>
      </c>
      <c r="H517" s="2" t="str">
        <f>IF(OR(A517&lt;&gt;"",G517&lt;&gt;""), SUMIFS(B517:G517,B1:G1,"&lt;&gt;",B2:G2,"&lt;&gt;Exame",B2:G2,"&lt;&gt;exame",B2:G2,"&lt;&gt;Nota",B2:G2,"&lt;&gt;Total"),"")</f>
        <v/>
      </c>
      <c r="I517" s="2" t="str">
        <f>IF(AND(A517&lt;&gt;"",H517&lt;&gt;""),ROUND(H517,0),"")</f>
        <v/>
      </c>
    </row>
    <row r="518" spans="2:9" x14ac:dyDescent="0.3">
      <c r="B518" s="2" t="str">
        <f>IF(A518&lt;&gt;"",VLOOKUP(Alunos!A518,Exame!A3:C1000,3, FALSE),"")</f>
        <v/>
      </c>
      <c r="C518" s="2" t="str">
        <f>IF(A518&lt;&gt;"",VLOOKUP(Alunos!A518,Agrupamentos!A3:B1000,2, FALSE),"")</f>
        <v/>
      </c>
      <c r="D518" s="2" t="str">
        <f>IF(A518&lt;&gt;"",VLOOKUP(Alunos!C518,'TP1'!A3:C1000,3, FALSE),"")</f>
        <v/>
      </c>
      <c r="E518" s="2" t="str">
        <f>IF(A518&lt;&gt;"", SUMIF(B1:D1,"&lt;&gt;",B518:D518),"")</f>
        <v/>
      </c>
      <c r="F518" s="2" t="str">
        <f>IF(AND(A518&lt;&gt;"",E518&lt;&gt;""),ROUND(E518,0),"")</f>
        <v/>
      </c>
      <c r="G518" s="2" t="str">
        <f>IF(A518&lt;&gt;"",VLOOKUP(Alunos!A518,Recurso!A3:C1000,3, FALSE),"")</f>
        <v/>
      </c>
      <c r="H518" s="2" t="str">
        <f>IF(OR(A518&lt;&gt;"",G518&lt;&gt;""), SUMIFS(B518:G518,B1:G1,"&lt;&gt;",B2:G2,"&lt;&gt;Exame",B2:G2,"&lt;&gt;exame",B2:G2,"&lt;&gt;Nota",B2:G2,"&lt;&gt;Total"),"")</f>
        <v/>
      </c>
      <c r="I518" s="2" t="str">
        <f>IF(AND(A518&lt;&gt;"",H518&lt;&gt;""),ROUND(H518,0),"")</f>
        <v/>
      </c>
    </row>
    <row r="519" spans="2:9" x14ac:dyDescent="0.3">
      <c r="B519" s="2" t="str">
        <f>IF(A519&lt;&gt;"",VLOOKUP(Alunos!A519,Exame!A3:C1000,3, FALSE),"")</f>
        <v/>
      </c>
      <c r="C519" s="2" t="str">
        <f>IF(A519&lt;&gt;"",VLOOKUP(Alunos!A519,Agrupamentos!A3:B1000,2, FALSE),"")</f>
        <v/>
      </c>
      <c r="D519" s="2" t="str">
        <f>IF(A519&lt;&gt;"",VLOOKUP(Alunos!C519,'TP1'!A3:C1000,3, FALSE),"")</f>
        <v/>
      </c>
      <c r="E519" s="2" t="str">
        <f>IF(A519&lt;&gt;"", SUMIF(B1:D1,"&lt;&gt;",B519:D519),"")</f>
        <v/>
      </c>
      <c r="F519" s="2" t="str">
        <f>IF(AND(A519&lt;&gt;"",E519&lt;&gt;""),ROUND(E519,0),"")</f>
        <v/>
      </c>
      <c r="G519" s="2" t="str">
        <f>IF(A519&lt;&gt;"",VLOOKUP(Alunos!A519,Recurso!A3:C1000,3, FALSE),"")</f>
        <v/>
      </c>
      <c r="H519" s="2" t="str">
        <f>IF(OR(A519&lt;&gt;"",G519&lt;&gt;""), SUMIFS(B519:G519,B1:G1,"&lt;&gt;",B2:G2,"&lt;&gt;Exame",B2:G2,"&lt;&gt;exame",B2:G2,"&lt;&gt;Nota",B2:G2,"&lt;&gt;Total"),"")</f>
        <v/>
      </c>
      <c r="I519" s="2" t="str">
        <f>IF(AND(A519&lt;&gt;"",H519&lt;&gt;""),ROUND(H519,0),"")</f>
        <v/>
      </c>
    </row>
    <row r="520" spans="2:9" x14ac:dyDescent="0.3">
      <c r="B520" s="2" t="str">
        <f>IF(A520&lt;&gt;"",VLOOKUP(Alunos!A520,Exame!A3:C1000,3, FALSE),"")</f>
        <v/>
      </c>
      <c r="C520" s="2" t="str">
        <f>IF(A520&lt;&gt;"",VLOOKUP(Alunos!A520,Agrupamentos!A3:B1000,2, FALSE),"")</f>
        <v/>
      </c>
      <c r="D520" s="2" t="str">
        <f>IF(A520&lt;&gt;"",VLOOKUP(Alunos!C520,'TP1'!A3:C1000,3, FALSE),"")</f>
        <v/>
      </c>
      <c r="E520" s="2" t="str">
        <f>IF(A520&lt;&gt;"", SUMIF(B1:D1,"&lt;&gt;",B520:D520),"")</f>
        <v/>
      </c>
      <c r="F520" s="2" t="str">
        <f>IF(AND(A520&lt;&gt;"",E520&lt;&gt;""),ROUND(E520,0),"")</f>
        <v/>
      </c>
      <c r="G520" s="2" t="str">
        <f>IF(A520&lt;&gt;"",VLOOKUP(Alunos!A520,Recurso!A3:C1000,3, FALSE),"")</f>
        <v/>
      </c>
      <c r="H520" s="2" t="str">
        <f>IF(OR(A520&lt;&gt;"",G520&lt;&gt;""), SUMIFS(B520:G520,B1:G1,"&lt;&gt;",B2:G2,"&lt;&gt;Exame",B2:G2,"&lt;&gt;exame",B2:G2,"&lt;&gt;Nota",B2:G2,"&lt;&gt;Total"),"")</f>
        <v/>
      </c>
      <c r="I520" s="2" t="str">
        <f>IF(AND(A520&lt;&gt;"",H520&lt;&gt;""),ROUND(H520,0),"")</f>
        <v/>
      </c>
    </row>
    <row r="521" spans="2:9" x14ac:dyDescent="0.3">
      <c r="B521" s="2" t="str">
        <f>IF(A521&lt;&gt;"",VLOOKUP(Alunos!A521,Exame!A3:C1000,3, FALSE),"")</f>
        <v/>
      </c>
      <c r="C521" s="2" t="str">
        <f>IF(A521&lt;&gt;"",VLOOKUP(Alunos!A521,Agrupamentos!A3:B1000,2, FALSE),"")</f>
        <v/>
      </c>
      <c r="D521" s="2" t="str">
        <f>IF(A521&lt;&gt;"",VLOOKUP(Alunos!C521,'TP1'!A3:C1000,3, FALSE),"")</f>
        <v/>
      </c>
      <c r="E521" s="2" t="str">
        <f>IF(A521&lt;&gt;"", SUMIF(B1:D1,"&lt;&gt;",B521:D521),"")</f>
        <v/>
      </c>
      <c r="F521" s="2" t="str">
        <f>IF(AND(A521&lt;&gt;"",E521&lt;&gt;""),ROUND(E521,0),"")</f>
        <v/>
      </c>
      <c r="G521" s="2" t="str">
        <f>IF(A521&lt;&gt;"",VLOOKUP(Alunos!A521,Recurso!A3:C1000,3, FALSE),"")</f>
        <v/>
      </c>
      <c r="H521" s="2" t="str">
        <f>IF(OR(A521&lt;&gt;"",G521&lt;&gt;""), SUMIFS(B521:G521,B1:G1,"&lt;&gt;",B2:G2,"&lt;&gt;Exame",B2:G2,"&lt;&gt;exame",B2:G2,"&lt;&gt;Nota",B2:G2,"&lt;&gt;Total"),"")</f>
        <v/>
      </c>
      <c r="I521" s="2" t="str">
        <f>IF(AND(A521&lt;&gt;"",H521&lt;&gt;""),ROUND(H521,0),"")</f>
        <v/>
      </c>
    </row>
    <row r="522" spans="2:9" x14ac:dyDescent="0.3">
      <c r="B522" s="2" t="str">
        <f>IF(A522&lt;&gt;"",VLOOKUP(Alunos!A522,Exame!A3:C1000,3, FALSE),"")</f>
        <v/>
      </c>
      <c r="C522" s="2" t="str">
        <f>IF(A522&lt;&gt;"",VLOOKUP(Alunos!A522,Agrupamentos!A3:B1000,2, FALSE),"")</f>
        <v/>
      </c>
      <c r="D522" s="2" t="str">
        <f>IF(A522&lt;&gt;"",VLOOKUP(Alunos!C522,'TP1'!A3:C1000,3, FALSE),"")</f>
        <v/>
      </c>
      <c r="E522" s="2" t="str">
        <f>IF(A522&lt;&gt;"", SUMIF(B1:D1,"&lt;&gt;",B522:D522),"")</f>
        <v/>
      </c>
      <c r="F522" s="2" t="str">
        <f>IF(AND(A522&lt;&gt;"",E522&lt;&gt;""),ROUND(E522,0),"")</f>
        <v/>
      </c>
      <c r="G522" s="2" t="str">
        <f>IF(A522&lt;&gt;"",VLOOKUP(Alunos!A522,Recurso!A3:C1000,3, FALSE),"")</f>
        <v/>
      </c>
      <c r="H522" s="2" t="str">
        <f>IF(OR(A522&lt;&gt;"",G522&lt;&gt;""), SUMIFS(B522:G522,B1:G1,"&lt;&gt;",B2:G2,"&lt;&gt;Exame",B2:G2,"&lt;&gt;exame",B2:G2,"&lt;&gt;Nota",B2:G2,"&lt;&gt;Total"),"")</f>
        <v/>
      </c>
      <c r="I522" s="2" t="str">
        <f>IF(AND(A522&lt;&gt;"",H522&lt;&gt;""),ROUND(H522,0),"")</f>
        <v/>
      </c>
    </row>
    <row r="523" spans="2:9" x14ac:dyDescent="0.3">
      <c r="B523" s="2" t="str">
        <f>IF(A523&lt;&gt;"",VLOOKUP(Alunos!A523,Exame!A3:C1000,3, FALSE),"")</f>
        <v/>
      </c>
      <c r="C523" s="2" t="str">
        <f>IF(A523&lt;&gt;"",VLOOKUP(Alunos!A523,Agrupamentos!A3:B1000,2, FALSE),"")</f>
        <v/>
      </c>
      <c r="D523" s="2" t="str">
        <f>IF(A523&lt;&gt;"",VLOOKUP(Alunos!C523,'TP1'!A3:C1000,3, FALSE),"")</f>
        <v/>
      </c>
      <c r="E523" s="2" t="str">
        <f>IF(A523&lt;&gt;"", SUMIF(B1:D1,"&lt;&gt;",B523:D523),"")</f>
        <v/>
      </c>
      <c r="F523" s="2" t="str">
        <f>IF(AND(A523&lt;&gt;"",E523&lt;&gt;""),ROUND(E523,0),"")</f>
        <v/>
      </c>
      <c r="G523" s="2" t="str">
        <f>IF(A523&lt;&gt;"",VLOOKUP(Alunos!A523,Recurso!A3:C1000,3, FALSE),"")</f>
        <v/>
      </c>
      <c r="H523" s="2" t="str">
        <f>IF(OR(A523&lt;&gt;"",G523&lt;&gt;""), SUMIFS(B523:G523,B1:G1,"&lt;&gt;",B2:G2,"&lt;&gt;Exame",B2:G2,"&lt;&gt;exame",B2:G2,"&lt;&gt;Nota",B2:G2,"&lt;&gt;Total"),"")</f>
        <v/>
      </c>
      <c r="I523" s="2" t="str">
        <f>IF(AND(A523&lt;&gt;"",H523&lt;&gt;""),ROUND(H523,0),"")</f>
        <v/>
      </c>
    </row>
    <row r="524" spans="2:9" x14ac:dyDescent="0.3">
      <c r="B524" s="2" t="str">
        <f>IF(A524&lt;&gt;"",VLOOKUP(Alunos!A524,Exame!A3:C1000,3, FALSE),"")</f>
        <v/>
      </c>
      <c r="C524" s="2" t="str">
        <f>IF(A524&lt;&gt;"",VLOOKUP(Alunos!A524,Agrupamentos!A3:B1000,2, FALSE),"")</f>
        <v/>
      </c>
      <c r="D524" s="2" t="str">
        <f>IF(A524&lt;&gt;"",VLOOKUP(Alunos!C524,'TP1'!A3:C1000,3, FALSE),"")</f>
        <v/>
      </c>
      <c r="E524" s="2" t="str">
        <f>IF(A524&lt;&gt;"", SUMIF(B1:D1,"&lt;&gt;",B524:D524),"")</f>
        <v/>
      </c>
      <c r="F524" s="2" t="str">
        <f>IF(AND(A524&lt;&gt;"",E524&lt;&gt;""),ROUND(E524,0),"")</f>
        <v/>
      </c>
      <c r="G524" s="2" t="str">
        <f>IF(A524&lt;&gt;"",VLOOKUP(Alunos!A524,Recurso!A3:C1000,3, FALSE),"")</f>
        <v/>
      </c>
      <c r="H524" s="2" t="str">
        <f>IF(OR(A524&lt;&gt;"",G524&lt;&gt;""), SUMIFS(B524:G524,B1:G1,"&lt;&gt;",B2:G2,"&lt;&gt;Exame",B2:G2,"&lt;&gt;exame",B2:G2,"&lt;&gt;Nota",B2:G2,"&lt;&gt;Total"),"")</f>
        <v/>
      </c>
      <c r="I524" s="2" t="str">
        <f>IF(AND(A524&lt;&gt;"",H524&lt;&gt;""),ROUND(H524,0),"")</f>
        <v/>
      </c>
    </row>
    <row r="525" spans="2:9" x14ac:dyDescent="0.3">
      <c r="B525" s="2" t="str">
        <f>IF(A525&lt;&gt;"",VLOOKUP(Alunos!A525,Exame!A3:C1000,3, FALSE),"")</f>
        <v/>
      </c>
      <c r="C525" s="2" t="str">
        <f>IF(A525&lt;&gt;"",VLOOKUP(Alunos!A525,Agrupamentos!A3:B1000,2, FALSE),"")</f>
        <v/>
      </c>
      <c r="D525" s="2" t="str">
        <f>IF(A525&lt;&gt;"",VLOOKUP(Alunos!C525,'TP1'!A3:C1000,3, FALSE),"")</f>
        <v/>
      </c>
      <c r="E525" s="2" t="str">
        <f>IF(A525&lt;&gt;"", SUMIF(B1:D1,"&lt;&gt;",B525:D525),"")</f>
        <v/>
      </c>
      <c r="F525" s="2" t="str">
        <f>IF(AND(A525&lt;&gt;"",E525&lt;&gt;""),ROUND(E525,0),"")</f>
        <v/>
      </c>
      <c r="G525" s="2" t="str">
        <f>IF(A525&lt;&gt;"",VLOOKUP(Alunos!A525,Recurso!A3:C1000,3, FALSE),"")</f>
        <v/>
      </c>
      <c r="H525" s="2" t="str">
        <f>IF(OR(A525&lt;&gt;"",G525&lt;&gt;""), SUMIFS(B525:G525,B1:G1,"&lt;&gt;",B2:G2,"&lt;&gt;Exame",B2:G2,"&lt;&gt;exame",B2:G2,"&lt;&gt;Nota",B2:G2,"&lt;&gt;Total"),"")</f>
        <v/>
      </c>
      <c r="I525" s="2" t="str">
        <f>IF(AND(A525&lt;&gt;"",H525&lt;&gt;""),ROUND(H525,0),"")</f>
        <v/>
      </c>
    </row>
    <row r="526" spans="2:9" x14ac:dyDescent="0.3">
      <c r="B526" s="2" t="str">
        <f>IF(A526&lt;&gt;"",VLOOKUP(Alunos!A526,Exame!A3:C1000,3, FALSE),"")</f>
        <v/>
      </c>
      <c r="C526" s="2" t="str">
        <f>IF(A526&lt;&gt;"",VLOOKUP(Alunos!A526,Agrupamentos!A3:B1000,2, FALSE),"")</f>
        <v/>
      </c>
      <c r="D526" s="2" t="str">
        <f>IF(A526&lt;&gt;"",VLOOKUP(Alunos!C526,'TP1'!A3:C1000,3, FALSE),"")</f>
        <v/>
      </c>
      <c r="E526" s="2" t="str">
        <f>IF(A526&lt;&gt;"", SUMIF(B1:D1,"&lt;&gt;",B526:D526),"")</f>
        <v/>
      </c>
      <c r="F526" s="2" t="str">
        <f>IF(AND(A526&lt;&gt;"",E526&lt;&gt;""),ROUND(E526,0),"")</f>
        <v/>
      </c>
      <c r="G526" s="2" t="str">
        <f>IF(A526&lt;&gt;"",VLOOKUP(Alunos!A526,Recurso!A3:C1000,3, FALSE),"")</f>
        <v/>
      </c>
      <c r="H526" s="2" t="str">
        <f>IF(OR(A526&lt;&gt;"",G526&lt;&gt;""), SUMIFS(B526:G526,B1:G1,"&lt;&gt;",B2:G2,"&lt;&gt;Exame",B2:G2,"&lt;&gt;exame",B2:G2,"&lt;&gt;Nota",B2:G2,"&lt;&gt;Total"),"")</f>
        <v/>
      </c>
      <c r="I526" s="2" t="str">
        <f>IF(AND(A526&lt;&gt;"",H526&lt;&gt;""),ROUND(H526,0),"")</f>
        <v/>
      </c>
    </row>
    <row r="527" spans="2:9" x14ac:dyDescent="0.3">
      <c r="B527" s="2" t="str">
        <f>IF(A527&lt;&gt;"",VLOOKUP(Alunos!A527,Exame!A3:C1000,3, FALSE),"")</f>
        <v/>
      </c>
      <c r="C527" s="2" t="str">
        <f>IF(A527&lt;&gt;"",VLOOKUP(Alunos!A527,Agrupamentos!A3:B1000,2, FALSE),"")</f>
        <v/>
      </c>
      <c r="D527" s="2" t="str">
        <f>IF(A527&lt;&gt;"",VLOOKUP(Alunos!C527,'TP1'!A3:C1000,3, FALSE),"")</f>
        <v/>
      </c>
      <c r="E527" s="2" t="str">
        <f>IF(A527&lt;&gt;"", SUMIF(B1:D1,"&lt;&gt;",B527:D527),"")</f>
        <v/>
      </c>
      <c r="F527" s="2" t="str">
        <f>IF(AND(A527&lt;&gt;"",E527&lt;&gt;""),ROUND(E527,0),"")</f>
        <v/>
      </c>
      <c r="G527" s="2" t="str">
        <f>IF(A527&lt;&gt;"",VLOOKUP(Alunos!A527,Recurso!A3:C1000,3, FALSE),"")</f>
        <v/>
      </c>
      <c r="H527" s="2" t="str">
        <f>IF(OR(A527&lt;&gt;"",G527&lt;&gt;""), SUMIFS(B527:G527,B1:G1,"&lt;&gt;",B2:G2,"&lt;&gt;Exame",B2:G2,"&lt;&gt;exame",B2:G2,"&lt;&gt;Nota",B2:G2,"&lt;&gt;Total"),"")</f>
        <v/>
      </c>
      <c r="I527" s="2" t="str">
        <f>IF(AND(A527&lt;&gt;"",H527&lt;&gt;""),ROUND(H527,0),"")</f>
        <v/>
      </c>
    </row>
    <row r="528" spans="2:9" x14ac:dyDescent="0.3">
      <c r="B528" s="2" t="str">
        <f>IF(A528&lt;&gt;"",VLOOKUP(Alunos!A528,Exame!A3:C1000,3, FALSE),"")</f>
        <v/>
      </c>
      <c r="C528" s="2" t="str">
        <f>IF(A528&lt;&gt;"",VLOOKUP(Alunos!A528,Agrupamentos!A3:B1000,2, FALSE),"")</f>
        <v/>
      </c>
      <c r="D528" s="2" t="str">
        <f>IF(A528&lt;&gt;"",VLOOKUP(Alunos!C528,'TP1'!A3:C1000,3, FALSE),"")</f>
        <v/>
      </c>
      <c r="E528" s="2" t="str">
        <f>IF(A528&lt;&gt;"", SUMIF(B1:D1,"&lt;&gt;",B528:D528),"")</f>
        <v/>
      </c>
      <c r="F528" s="2" t="str">
        <f>IF(AND(A528&lt;&gt;"",E528&lt;&gt;""),ROUND(E528,0),"")</f>
        <v/>
      </c>
      <c r="G528" s="2" t="str">
        <f>IF(A528&lt;&gt;"",VLOOKUP(Alunos!A528,Recurso!A3:C1000,3, FALSE),"")</f>
        <v/>
      </c>
      <c r="H528" s="2" t="str">
        <f>IF(OR(A528&lt;&gt;"",G528&lt;&gt;""), SUMIFS(B528:G528,B1:G1,"&lt;&gt;",B2:G2,"&lt;&gt;Exame",B2:G2,"&lt;&gt;exame",B2:G2,"&lt;&gt;Nota",B2:G2,"&lt;&gt;Total"),"")</f>
        <v/>
      </c>
      <c r="I528" s="2" t="str">
        <f>IF(AND(A528&lt;&gt;"",H528&lt;&gt;""),ROUND(H528,0),"")</f>
        <v/>
      </c>
    </row>
    <row r="529" spans="2:9" x14ac:dyDescent="0.3">
      <c r="B529" s="2" t="str">
        <f>IF(A529&lt;&gt;"",VLOOKUP(Alunos!A529,Exame!A3:C1000,3, FALSE),"")</f>
        <v/>
      </c>
      <c r="C529" s="2" t="str">
        <f>IF(A529&lt;&gt;"",VLOOKUP(Alunos!A529,Agrupamentos!A3:B1000,2, FALSE),"")</f>
        <v/>
      </c>
      <c r="D529" s="2" t="str">
        <f>IF(A529&lt;&gt;"",VLOOKUP(Alunos!C529,'TP1'!A3:C1000,3, FALSE),"")</f>
        <v/>
      </c>
      <c r="E529" s="2" t="str">
        <f>IF(A529&lt;&gt;"", SUMIF(B1:D1,"&lt;&gt;",B529:D529),"")</f>
        <v/>
      </c>
      <c r="F529" s="2" t="str">
        <f>IF(AND(A529&lt;&gt;"",E529&lt;&gt;""),ROUND(E529,0),"")</f>
        <v/>
      </c>
      <c r="G529" s="2" t="str">
        <f>IF(A529&lt;&gt;"",VLOOKUP(Alunos!A529,Recurso!A3:C1000,3, FALSE),"")</f>
        <v/>
      </c>
      <c r="H529" s="2" t="str">
        <f>IF(OR(A529&lt;&gt;"",G529&lt;&gt;""), SUMIFS(B529:G529,B1:G1,"&lt;&gt;",B2:G2,"&lt;&gt;Exame",B2:G2,"&lt;&gt;exame",B2:G2,"&lt;&gt;Nota",B2:G2,"&lt;&gt;Total"),"")</f>
        <v/>
      </c>
      <c r="I529" s="2" t="str">
        <f>IF(AND(A529&lt;&gt;"",H529&lt;&gt;""),ROUND(H529,0),"")</f>
        <v/>
      </c>
    </row>
    <row r="530" spans="2:9" x14ac:dyDescent="0.3">
      <c r="B530" s="2" t="str">
        <f>IF(A530&lt;&gt;"",VLOOKUP(Alunos!A530,Exame!A3:C1000,3, FALSE),"")</f>
        <v/>
      </c>
      <c r="C530" s="2" t="str">
        <f>IF(A530&lt;&gt;"",VLOOKUP(Alunos!A530,Agrupamentos!A3:B1000,2, FALSE),"")</f>
        <v/>
      </c>
      <c r="D530" s="2" t="str">
        <f>IF(A530&lt;&gt;"",VLOOKUP(Alunos!C530,'TP1'!A3:C1000,3, FALSE),"")</f>
        <v/>
      </c>
      <c r="E530" s="2" t="str">
        <f>IF(A530&lt;&gt;"", SUMIF(B1:D1,"&lt;&gt;",B530:D530),"")</f>
        <v/>
      </c>
      <c r="F530" s="2" t="str">
        <f>IF(AND(A530&lt;&gt;"",E530&lt;&gt;""),ROUND(E530,0),"")</f>
        <v/>
      </c>
      <c r="G530" s="2" t="str">
        <f>IF(A530&lt;&gt;"",VLOOKUP(Alunos!A530,Recurso!A3:C1000,3, FALSE),"")</f>
        <v/>
      </c>
      <c r="H530" s="2" t="str">
        <f>IF(OR(A530&lt;&gt;"",G530&lt;&gt;""), SUMIFS(B530:G530,B1:G1,"&lt;&gt;",B2:G2,"&lt;&gt;Exame",B2:G2,"&lt;&gt;exame",B2:G2,"&lt;&gt;Nota",B2:G2,"&lt;&gt;Total"),"")</f>
        <v/>
      </c>
      <c r="I530" s="2" t="str">
        <f>IF(AND(A530&lt;&gt;"",H530&lt;&gt;""),ROUND(H530,0),"")</f>
        <v/>
      </c>
    </row>
    <row r="531" spans="2:9" x14ac:dyDescent="0.3">
      <c r="B531" s="2" t="str">
        <f>IF(A531&lt;&gt;"",VLOOKUP(Alunos!A531,Exame!A3:C1000,3, FALSE),"")</f>
        <v/>
      </c>
      <c r="C531" s="2" t="str">
        <f>IF(A531&lt;&gt;"",VLOOKUP(Alunos!A531,Agrupamentos!A3:B1000,2, FALSE),"")</f>
        <v/>
      </c>
      <c r="D531" s="2" t="str">
        <f>IF(A531&lt;&gt;"",VLOOKUP(Alunos!C531,'TP1'!A3:C1000,3, FALSE),"")</f>
        <v/>
      </c>
      <c r="E531" s="2" t="str">
        <f>IF(A531&lt;&gt;"", SUMIF(B1:D1,"&lt;&gt;",B531:D531),"")</f>
        <v/>
      </c>
      <c r="F531" s="2" t="str">
        <f>IF(AND(A531&lt;&gt;"",E531&lt;&gt;""),ROUND(E531,0),"")</f>
        <v/>
      </c>
      <c r="G531" s="2" t="str">
        <f>IF(A531&lt;&gt;"",VLOOKUP(Alunos!A531,Recurso!A3:C1000,3, FALSE),"")</f>
        <v/>
      </c>
      <c r="H531" s="2" t="str">
        <f>IF(OR(A531&lt;&gt;"",G531&lt;&gt;""), SUMIFS(B531:G531,B1:G1,"&lt;&gt;",B2:G2,"&lt;&gt;Exame",B2:G2,"&lt;&gt;exame",B2:G2,"&lt;&gt;Nota",B2:G2,"&lt;&gt;Total"),"")</f>
        <v/>
      </c>
      <c r="I531" s="2" t="str">
        <f>IF(AND(A531&lt;&gt;"",H531&lt;&gt;""),ROUND(H531,0),"")</f>
        <v/>
      </c>
    </row>
    <row r="532" spans="2:9" x14ac:dyDescent="0.3">
      <c r="B532" s="2" t="str">
        <f>IF(A532&lt;&gt;"",VLOOKUP(Alunos!A532,Exame!A3:C1000,3, FALSE),"")</f>
        <v/>
      </c>
      <c r="C532" s="2" t="str">
        <f>IF(A532&lt;&gt;"",VLOOKUP(Alunos!A532,Agrupamentos!A3:B1000,2, FALSE),"")</f>
        <v/>
      </c>
      <c r="D532" s="2" t="str">
        <f>IF(A532&lt;&gt;"",VLOOKUP(Alunos!C532,'TP1'!A3:C1000,3, FALSE),"")</f>
        <v/>
      </c>
      <c r="E532" s="2" t="str">
        <f>IF(A532&lt;&gt;"", SUMIF(B1:D1,"&lt;&gt;",B532:D532),"")</f>
        <v/>
      </c>
      <c r="F532" s="2" t="str">
        <f>IF(AND(A532&lt;&gt;"",E532&lt;&gt;""),ROUND(E532,0),"")</f>
        <v/>
      </c>
      <c r="G532" s="2" t="str">
        <f>IF(A532&lt;&gt;"",VLOOKUP(Alunos!A532,Recurso!A3:C1000,3, FALSE),"")</f>
        <v/>
      </c>
      <c r="H532" s="2" t="str">
        <f>IF(OR(A532&lt;&gt;"",G532&lt;&gt;""), SUMIFS(B532:G532,B1:G1,"&lt;&gt;",B2:G2,"&lt;&gt;Exame",B2:G2,"&lt;&gt;exame",B2:G2,"&lt;&gt;Nota",B2:G2,"&lt;&gt;Total"),"")</f>
        <v/>
      </c>
      <c r="I532" s="2" t="str">
        <f>IF(AND(A532&lt;&gt;"",H532&lt;&gt;""),ROUND(H532,0),"")</f>
        <v/>
      </c>
    </row>
    <row r="533" spans="2:9" x14ac:dyDescent="0.3">
      <c r="B533" s="2" t="str">
        <f>IF(A533&lt;&gt;"",VLOOKUP(Alunos!A533,Exame!A3:C1000,3, FALSE),"")</f>
        <v/>
      </c>
      <c r="C533" s="2" t="str">
        <f>IF(A533&lt;&gt;"",VLOOKUP(Alunos!A533,Agrupamentos!A3:B1000,2, FALSE),"")</f>
        <v/>
      </c>
      <c r="D533" s="2" t="str">
        <f>IF(A533&lt;&gt;"",VLOOKUP(Alunos!C533,'TP1'!A3:C1000,3, FALSE),"")</f>
        <v/>
      </c>
      <c r="E533" s="2" t="str">
        <f>IF(A533&lt;&gt;"", SUMIF(B1:D1,"&lt;&gt;",B533:D533),"")</f>
        <v/>
      </c>
      <c r="F533" s="2" t="str">
        <f>IF(AND(A533&lt;&gt;"",E533&lt;&gt;""),ROUND(E533,0),"")</f>
        <v/>
      </c>
      <c r="G533" s="2" t="str">
        <f>IF(A533&lt;&gt;"",VLOOKUP(Alunos!A533,Recurso!A3:C1000,3, FALSE),"")</f>
        <v/>
      </c>
      <c r="H533" s="2" t="str">
        <f>IF(OR(A533&lt;&gt;"",G533&lt;&gt;""), SUMIFS(B533:G533,B1:G1,"&lt;&gt;",B2:G2,"&lt;&gt;Exame",B2:G2,"&lt;&gt;exame",B2:G2,"&lt;&gt;Nota",B2:G2,"&lt;&gt;Total"),"")</f>
        <v/>
      </c>
      <c r="I533" s="2" t="str">
        <f>IF(AND(A533&lt;&gt;"",H533&lt;&gt;""),ROUND(H533,0),"")</f>
        <v/>
      </c>
    </row>
    <row r="534" spans="2:9" x14ac:dyDescent="0.3">
      <c r="B534" s="2" t="str">
        <f>IF(A534&lt;&gt;"",VLOOKUP(Alunos!A534,Exame!A3:C1000,3, FALSE),"")</f>
        <v/>
      </c>
      <c r="C534" s="2" t="str">
        <f>IF(A534&lt;&gt;"",VLOOKUP(Alunos!A534,Agrupamentos!A3:B1000,2, FALSE),"")</f>
        <v/>
      </c>
      <c r="D534" s="2" t="str">
        <f>IF(A534&lt;&gt;"",VLOOKUP(Alunos!C534,'TP1'!A3:C1000,3, FALSE),"")</f>
        <v/>
      </c>
      <c r="E534" s="2" t="str">
        <f>IF(A534&lt;&gt;"", SUMIF(B1:D1,"&lt;&gt;",B534:D534),"")</f>
        <v/>
      </c>
      <c r="F534" s="2" t="str">
        <f>IF(AND(A534&lt;&gt;"",E534&lt;&gt;""),ROUND(E534,0),"")</f>
        <v/>
      </c>
      <c r="G534" s="2" t="str">
        <f>IF(A534&lt;&gt;"",VLOOKUP(Alunos!A534,Recurso!A3:C1000,3, FALSE),"")</f>
        <v/>
      </c>
      <c r="H534" s="2" t="str">
        <f>IF(OR(A534&lt;&gt;"",G534&lt;&gt;""), SUMIFS(B534:G534,B1:G1,"&lt;&gt;",B2:G2,"&lt;&gt;Exame",B2:G2,"&lt;&gt;exame",B2:G2,"&lt;&gt;Nota",B2:G2,"&lt;&gt;Total"),"")</f>
        <v/>
      </c>
      <c r="I534" s="2" t="str">
        <f>IF(AND(A534&lt;&gt;"",H534&lt;&gt;""),ROUND(H534,0),"")</f>
        <v/>
      </c>
    </row>
    <row r="535" spans="2:9" x14ac:dyDescent="0.3">
      <c r="B535" s="2" t="str">
        <f>IF(A535&lt;&gt;"",VLOOKUP(Alunos!A535,Exame!A3:C1000,3, FALSE),"")</f>
        <v/>
      </c>
      <c r="C535" s="2" t="str">
        <f>IF(A535&lt;&gt;"",VLOOKUP(Alunos!A535,Agrupamentos!A3:B1000,2, FALSE),"")</f>
        <v/>
      </c>
      <c r="D535" s="2" t="str">
        <f>IF(A535&lt;&gt;"",VLOOKUP(Alunos!C535,'TP1'!A3:C1000,3, FALSE),"")</f>
        <v/>
      </c>
      <c r="E535" s="2" t="str">
        <f>IF(A535&lt;&gt;"", SUMIF(B1:D1,"&lt;&gt;",B535:D535),"")</f>
        <v/>
      </c>
      <c r="F535" s="2" t="str">
        <f>IF(AND(A535&lt;&gt;"",E535&lt;&gt;""),ROUND(E535,0),"")</f>
        <v/>
      </c>
      <c r="G535" s="2" t="str">
        <f>IF(A535&lt;&gt;"",VLOOKUP(Alunos!A535,Recurso!A3:C1000,3, FALSE),"")</f>
        <v/>
      </c>
      <c r="H535" s="2" t="str">
        <f>IF(OR(A535&lt;&gt;"",G535&lt;&gt;""), SUMIFS(B535:G535,B1:G1,"&lt;&gt;",B2:G2,"&lt;&gt;Exame",B2:G2,"&lt;&gt;exame",B2:G2,"&lt;&gt;Nota",B2:G2,"&lt;&gt;Total"),"")</f>
        <v/>
      </c>
      <c r="I535" s="2" t="str">
        <f>IF(AND(A535&lt;&gt;"",H535&lt;&gt;""),ROUND(H535,0),"")</f>
        <v/>
      </c>
    </row>
    <row r="536" spans="2:9" x14ac:dyDescent="0.3">
      <c r="B536" s="2" t="str">
        <f>IF(A536&lt;&gt;"",VLOOKUP(Alunos!A536,Exame!A3:C1000,3, FALSE),"")</f>
        <v/>
      </c>
      <c r="C536" s="2" t="str">
        <f>IF(A536&lt;&gt;"",VLOOKUP(Alunos!A536,Agrupamentos!A3:B1000,2, FALSE),"")</f>
        <v/>
      </c>
      <c r="D536" s="2" t="str">
        <f>IF(A536&lt;&gt;"",VLOOKUP(Alunos!C536,'TP1'!A3:C1000,3, FALSE),"")</f>
        <v/>
      </c>
      <c r="E536" s="2" t="str">
        <f>IF(A536&lt;&gt;"", SUMIF(B1:D1,"&lt;&gt;",B536:D536),"")</f>
        <v/>
      </c>
      <c r="F536" s="2" t="str">
        <f>IF(AND(A536&lt;&gt;"",E536&lt;&gt;""),ROUND(E536,0),"")</f>
        <v/>
      </c>
      <c r="G536" s="2" t="str">
        <f>IF(A536&lt;&gt;"",VLOOKUP(Alunos!A536,Recurso!A3:C1000,3, FALSE),"")</f>
        <v/>
      </c>
      <c r="H536" s="2" t="str">
        <f>IF(OR(A536&lt;&gt;"",G536&lt;&gt;""), SUMIFS(B536:G536,B1:G1,"&lt;&gt;",B2:G2,"&lt;&gt;Exame",B2:G2,"&lt;&gt;exame",B2:G2,"&lt;&gt;Nota",B2:G2,"&lt;&gt;Total"),"")</f>
        <v/>
      </c>
      <c r="I536" s="2" t="str">
        <f>IF(AND(A536&lt;&gt;"",H536&lt;&gt;""),ROUND(H536,0),"")</f>
        <v/>
      </c>
    </row>
    <row r="537" spans="2:9" x14ac:dyDescent="0.3">
      <c r="B537" s="2" t="str">
        <f>IF(A537&lt;&gt;"",VLOOKUP(Alunos!A537,Exame!A3:C1000,3, FALSE),"")</f>
        <v/>
      </c>
      <c r="C537" s="2" t="str">
        <f>IF(A537&lt;&gt;"",VLOOKUP(Alunos!A537,Agrupamentos!A3:B1000,2, FALSE),"")</f>
        <v/>
      </c>
      <c r="D537" s="2" t="str">
        <f>IF(A537&lt;&gt;"",VLOOKUP(Alunos!C537,'TP1'!A3:C1000,3, FALSE),"")</f>
        <v/>
      </c>
      <c r="E537" s="2" t="str">
        <f>IF(A537&lt;&gt;"", SUMIF(B1:D1,"&lt;&gt;",B537:D537),"")</f>
        <v/>
      </c>
      <c r="F537" s="2" t="str">
        <f>IF(AND(A537&lt;&gt;"",E537&lt;&gt;""),ROUND(E537,0),"")</f>
        <v/>
      </c>
      <c r="G537" s="2" t="str">
        <f>IF(A537&lt;&gt;"",VLOOKUP(Alunos!A537,Recurso!A3:C1000,3, FALSE),"")</f>
        <v/>
      </c>
      <c r="H537" s="2" t="str">
        <f>IF(OR(A537&lt;&gt;"",G537&lt;&gt;""), SUMIFS(B537:G537,B1:G1,"&lt;&gt;",B2:G2,"&lt;&gt;Exame",B2:G2,"&lt;&gt;exame",B2:G2,"&lt;&gt;Nota",B2:G2,"&lt;&gt;Total"),"")</f>
        <v/>
      </c>
      <c r="I537" s="2" t="str">
        <f>IF(AND(A537&lt;&gt;"",H537&lt;&gt;""),ROUND(H537,0),"")</f>
        <v/>
      </c>
    </row>
    <row r="538" spans="2:9" x14ac:dyDescent="0.3">
      <c r="B538" s="2" t="str">
        <f>IF(A538&lt;&gt;"",VLOOKUP(Alunos!A538,Exame!A3:C1000,3, FALSE),"")</f>
        <v/>
      </c>
      <c r="C538" s="2" t="str">
        <f>IF(A538&lt;&gt;"",VLOOKUP(Alunos!A538,Agrupamentos!A3:B1000,2, FALSE),"")</f>
        <v/>
      </c>
      <c r="D538" s="2" t="str">
        <f>IF(A538&lt;&gt;"",VLOOKUP(Alunos!C538,'TP1'!A3:C1000,3, FALSE),"")</f>
        <v/>
      </c>
      <c r="E538" s="2" t="str">
        <f>IF(A538&lt;&gt;"", SUMIF(B1:D1,"&lt;&gt;",B538:D538),"")</f>
        <v/>
      </c>
      <c r="F538" s="2" t="str">
        <f>IF(AND(A538&lt;&gt;"",E538&lt;&gt;""),ROUND(E538,0),"")</f>
        <v/>
      </c>
      <c r="G538" s="2" t="str">
        <f>IF(A538&lt;&gt;"",VLOOKUP(Alunos!A538,Recurso!A3:C1000,3, FALSE),"")</f>
        <v/>
      </c>
      <c r="H538" s="2" t="str">
        <f>IF(OR(A538&lt;&gt;"",G538&lt;&gt;""), SUMIFS(B538:G538,B1:G1,"&lt;&gt;",B2:G2,"&lt;&gt;Exame",B2:G2,"&lt;&gt;exame",B2:G2,"&lt;&gt;Nota",B2:G2,"&lt;&gt;Total"),"")</f>
        <v/>
      </c>
      <c r="I538" s="2" t="str">
        <f>IF(AND(A538&lt;&gt;"",H538&lt;&gt;""),ROUND(H538,0),"")</f>
        <v/>
      </c>
    </row>
    <row r="539" spans="2:9" x14ac:dyDescent="0.3">
      <c r="B539" s="2" t="str">
        <f>IF(A539&lt;&gt;"",VLOOKUP(Alunos!A539,Exame!A3:C1000,3, FALSE),"")</f>
        <v/>
      </c>
      <c r="C539" s="2" t="str">
        <f>IF(A539&lt;&gt;"",VLOOKUP(Alunos!A539,Agrupamentos!A3:B1000,2, FALSE),"")</f>
        <v/>
      </c>
      <c r="D539" s="2" t="str">
        <f>IF(A539&lt;&gt;"",VLOOKUP(Alunos!C539,'TP1'!A3:C1000,3, FALSE),"")</f>
        <v/>
      </c>
      <c r="E539" s="2" t="str">
        <f>IF(A539&lt;&gt;"", SUMIF(B1:D1,"&lt;&gt;",B539:D539),"")</f>
        <v/>
      </c>
      <c r="F539" s="2" t="str">
        <f>IF(AND(A539&lt;&gt;"",E539&lt;&gt;""),ROUND(E539,0),"")</f>
        <v/>
      </c>
      <c r="G539" s="2" t="str">
        <f>IF(A539&lt;&gt;"",VLOOKUP(Alunos!A539,Recurso!A3:C1000,3, FALSE),"")</f>
        <v/>
      </c>
      <c r="H539" s="2" t="str">
        <f>IF(OR(A539&lt;&gt;"",G539&lt;&gt;""), SUMIFS(B539:G539,B1:G1,"&lt;&gt;",B2:G2,"&lt;&gt;Exame",B2:G2,"&lt;&gt;exame",B2:G2,"&lt;&gt;Nota",B2:G2,"&lt;&gt;Total"),"")</f>
        <v/>
      </c>
      <c r="I539" s="2" t="str">
        <f>IF(AND(A539&lt;&gt;"",H539&lt;&gt;""),ROUND(H539,0),"")</f>
        <v/>
      </c>
    </row>
    <row r="540" spans="2:9" x14ac:dyDescent="0.3">
      <c r="B540" s="2" t="str">
        <f>IF(A540&lt;&gt;"",VLOOKUP(Alunos!A540,Exame!A3:C1000,3, FALSE),"")</f>
        <v/>
      </c>
      <c r="C540" s="2" t="str">
        <f>IF(A540&lt;&gt;"",VLOOKUP(Alunos!A540,Agrupamentos!A3:B1000,2, FALSE),"")</f>
        <v/>
      </c>
      <c r="D540" s="2" t="str">
        <f>IF(A540&lt;&gt;"",VLOOKUP(Alunos!C540,'TP1'!A3:C1000,3, FALSE),"")</f>
        <v/>
      </c>
      <c r="E540" s="2" t="str">
        <f>IF(A540&lt;&gt;"", SUMIF(B1:D1,"&lt;&gt;",B540:D540),"")</f>
        <v/>
      </c>
      <c r="F540" s="2" t="str">
        <f>IF(AND(A540&lt;&gt;"",E540&lt;&gt;""),ROUND(E540,0),"")</f>
        <v/>
      </c>
      <c r="G540" s="2" t="str">
        <f>IF(A540&lt;&gt;"",VLOOKUP(Alunos!A540,Recurso!A3:C1000,3, FALSE),"")</f>
        <v/>
      </c>
      <c r="H540" s="2" t="str">
        <f>IF(OR(A540&lt;&gt;"",G540&lt;&gt;""), SUMIFS(B540:G540,B1:G1,"&lt;&gt;",B2:G2,"&lt;&gt;Exame",B2:G2,"&lt;&gt;exame",B2:G2,"&lt;&gt;Nota",B2:G2,"&lt;&gt;Total"),"")</f>
        <v/>
      </c>
      <c r="I540" s="2" t="str">
        <f>IF(AND(A540&lt;&gt;"",H540&lt;&gt;""),ROUND(H540,0),"")</f>
        <v/>
      </c>
    </row>
    <row r="541" spans="2:9" x14ac:dyDescent="0.3">
      <c r="B541" s="2" t="str">
        <f>IF(A541&lt;&gt;"",VLOOKUP(Alunos!A541,Exame!A3:C1000,3, FALSE),"")</f>
        <v/>
      </c>
      <c r="C541" s="2" t="str">
        <f>IF(A541&lt;&gt;"",VLOOKUP(Alunos!A541,Agrupamentos!A3:B1000,2, FALSE),"")</f>
        <v/>
      </c>
      <c r="D541" s="2" t="str">
        <f>IF(A541&lt;&gt;"",VLOOKUP(Alunos!C541,'TP1'!A3:C1000,3, FALSE),"")</f>
        <v/>
      </c>
      <c r="E541" s="2" t="str">
        <f>IF(A541&lt;&gt;"", SUMIF(B1:D1,"&lt;&gt;",B541:D541),"")</f>
        <v/>
      </c>
      <c r="F541" s="2" t="str">
        <f>IF(AND(A541&lt;&gt;"",E541&lt;&gt;""),ROUND(E541,0),"")</f>
        <v/>
      </c>
      <c r="G541" s="2" t="str">
        <f>IF(A541&lt;&gt;"",VLOOKUP(Alunos!A541,Recurso!A3:C1000,3, FALSE),"")</f>
        <v/>
      </c>
      <c r="H541" s="2" t="str">
        <f>IF(OR(A541&lt;&gt;"",G541&lt;&gt;""), SUMIFS(B541:G541,B1:G1,"&lt;&gt;",B2:G2,"&lt;&gt;Exame",B2:G2,"&lt;&gt;exame",B2:G2,"&lt;&gt;Nota",B2:G2,"&lt;&gt;Total"),"")</f>
        <v/>
      </c>
      <c r="I541" s="2" t="str">
        <f>IF(AND(A541&lt;&gt;"",H541&lt;&gt;""),ROUND(H541,0),"")</f>
        <v/>
      </c>
    </row>
    <row r="542" spans="2:9" x14ac:dyDescent="0.3">
      <c r="B542" s="2" t="str">
        <f>IF(A542&lt;&gt;"",VLOOKUP(Alunos!A542,Exame!A3:C1000,3, FALSE),"")</f>
        <v/>
      </c>
      <c r="C542" s="2" t="str">
        <f>IF(A542&lt;&gt;"",VLOOKUP(Alunos!A542,Agrupamentos!A3:B1000,2, FALSE),"")</f>
        <v/>
      </c>
      <c r="D542" s="2" t="str">
        <f>IF(A542&lt;&gt;"",VLOOKUP(Alunos!C542,'TP1'!A3:C1000,3, FALSE),"")</f>
        <v/>
      </c>
      <c r="E542" s="2" t="str">
        <f>IF(A542&lt;&gt;"", SUMIF(B1:D1,"&lt;&gt;",B542:D542),"")</f>
        <v/>
      </c>
      <c r="F542" s="2" t="str">
        <f>IF(AND(A542&lt;&gt;"",E542&lt;&gt;""),ROUND(E542,0),"")</f>
        <v/>
      </c>
      <c r="G542" s="2" t="str">
        <f>IF(A542&lt;&gt;"",VLOOKUP(Alunos!A542,Recurso!A3:C1000,3, FALSE),"")</f>
        <v/>
      </c>
      <c r="H542" s="2" t="str">
        <f>IF(OR(A542&lt;&gt;"",G542&lt;&gt;""), SUMIFS(B542:G542,B1:G1,"&lt;&gt;",B2:G2,"&lt;&gt;Exame",B2:G2,"&lt;&gt;exame",B2:G2,"&lt;&gt;Nota",B2:G2,"&lt;&gt;Total"),"")</f>
        <v/>
      </c>
      <c r="I542" s="2" t="str">
        <f>IF(AND(A542&lt;&gt;"",H542&lt;&gt;""),ROUND(H542,0),"")</f>
        <v/>
      </c>
    </row>
    <row r="543" spans="2:9" x14ac:dyDescent="0.3">
      <c r="B543" s="2" t="str">
        <f>IF(A543&lt;&gt;"",VLOOKUP(Alunos!A543,Exame!A3:C1000,3, FALSE),"")</f>
        <v/>
      </c>
      <c r="C543" s="2" t="str">
        <f>IF(A543&lt;&gt;"",VLOOKUP(Alunos!A543,Agrupamentos!A3:B1000,2, FALSE),"")</f>
        <v/>
      </c>
      <c r="D543" s="2" t="str">
        <f>IF(A543&lt;&gt;"",VLOOKUP(Alunos!C543,'TP1'!A3:C1000,3, FALSE),"")</f>
        <v/>
      </c>
      <c r="E543" s="2" t="str">
        <f>IF(A543&lt;&gt;"", SUMIF(B1:D1,"&lt;&gt;",B543:D543),"")</f>
        <v/>
      </c>
      <c r="F543" s="2" t="str">
        <f>IF(AND(A543&lt;&gt;"",E543&lt;&gt;""),ROUND(E543,0),"")</f>
        <v/>
      </c>
      <c r="G543" s="2" t="str">
        <f>IF(A543&lt;&gt;"",VLOOKUP(Alunos!A543,Recurso!A3:C1000,3, FALSE),"")</f>
        <v/>
      </c>
      <c r="H543" s="2" t="str">
        <f>IF(OR(A543&lt;&gt;"",G543&lt;&gt;""), SUMIFS(B543:G543,B1:G1,"&lt;&gt;",B2:G2,"&lt;&gt;Exame",B2:G2,"&lt;&gt;exame",B2:G2,"&lt;&gt;Nota",B2:G2,"&lt;&gt;Total"),"")</f>
        <v/>
      </c>
      <c r="I543" s="2" t="str">
        <f>IF(AND(A543&lt;&gt;"",H543&lt;&gt;""),ROUND(H543,0),"")</f>
        <v/>
      </c>
    </row>
    <row r="544" spans="2:9" x14ac:dyDescent="0.3">
      <c r="B544" s="2" t="str">
        <f>IF(A544&lt;&gt;"",VLOOKUP(Alunos!A544,Exame!A3:C1000,3, FALSE),"")</f>
        <v/>
      </c>
      <c r="C544" s="2" t="str">
        <f>IF(A544&lt;&gt;"",VLOOKUP(Alunos!A544,Agrupamentos!A3:B1000,2, FALSE),"")</f>
        <v/>
      </c>
      <c r="D544" s="2" t="str">
        <f>IF(A544&lt;&gt;"",VLOOKUP(Alunos!C544,'TP1'!A3:C1000,3, FALSE),"")</f>
        <v/>
      </c>
      <c r="E544" s="2" t="str">
        <f>IF(A544&lt;&gt;"", SUMIF(B1:D1,"&lt;&gt;",B544:D544),"")</f>
        <v/>
      </c>
      <c r="F544" s="2" t="str">
        <f>IF(AND(A544&lt;&gt;"",E544&lt;&gt;""),ROUND(E544,0),"")</f>
        <v/>
      </c>
      <c r="G544" s="2" t="str">
        <f>IF(A544&lt;&gt;"",VLOOKUP(Alunos!A544,Recurso!A3:C1000,3, FALSE),"")</f>
        <v/>
      </c>
      <c r="H544" s="2" t="str">
        <f>IF(OR(A544&lt;&gt;"",G544&lt;&gt;""), SUMIFS(B544:G544,B1:G1,"&lt;&gt;",B2:G2,"&lt;&gt;Exame",B2:G2,"&lt;&gt;exame",B2:G2,"&lt;&gt;Nota",B2:G2,"&lt;&gt;Total"),"")</f>
        <v/>
      </c>
      <c r="I544" s="2" t="str">
        <f>IF(AND(A544&lt;&gt;"",H544&lt;&gt;""),ROUND(H544,0),"")</f>
        <v/>
      </c>
    </row>
    <row r="545" spans="2:9" x14ac:dyDescent="0.3">
      <c r="B545" s="2" t="str">
        <f>IF(A545&lt;&gt;"",VLOOKUP(Alunos!A545,Exame!A3:C1000,3, FALSE),"")</f>
        <v/>
      </c>
      <c r="C545" s="2" t="str">
        <f>IF(A545&lt;&gt;"",VLOOKUP(Alunos!A545,Agrupamentos!A3:B1000,2, FALSE),"")</f>
        <v/>
      </c>
      <c r="D545" s="2" t="str">
        <f>IF(A545&lt;&gt;"",VLOOKUP(Alunos!C545,'TP1'!A3:C1000,3, FALSE),"")</f>
        <v/>
      </c>
      <c r="E545" s="2" t="str">
        <f>IF(A545&lt;&gt;"", SUMIF(B1:D1,"&lt;&gt;",B545:D545),"")</f>
        <v/>
      </c>
      <c r="F545" s="2" t="str">
        <f>IF(AND(A545&lt;&gt;"",E545&lt;&gt;""),ROUND(E545,0),"")</f>
        <v/>
      </c>
      <c r="G545" s="2" t="str">
        <f>IF(A545&lt;&gt;"",VLOOKUP(Alunos!A545,Recurso!A3:C1000,3, FALSE),"")</f>
        <v/>
      </c>
      <c r="H545" s="2" t="str">
        <f>IF(OR(A545&lt;&gt;"",G545&lt;&gt;""), SUMIFS(B545:G545,B1:G1,"&lt;&gt;",B2:G2,"&lt;&gt;Exame",B2:G2,"&lt;&gt;exame",B2:G2,"&lt;&gt;Nota",B2:G2,"&lt;&gt;Total"),"")</f>
        <v/>
      </c>
      <c r="I545" s="2" t="str">
        <f>IF(AND(A545&lt;&gt;"",H545&lt;&gt;""),ROUND(H545,0),"")</f>
        <v/>
      </c>
    </row>
    <row r="546" spans="2:9" x14ac:dyDescent="0.3">
      <c r="B546" s="2" t="str">
        <f>IF(A546&lt;&gt;"",VLOOKUP(Alunos!A546,Exame!A3:C1000,3, FALSE),"")</f>
        <v/>
      </c>
      <c r="C546" s="2" t="str">
        <f>IF(A546&lt;&gt;"",VLOOKUP(Alunos!A546,Agrupamentos!A3:B1000,2, FALSE),"")</f>
        <v/>
      </c>
      <c r="D546" s="2" t="str">
        <f>IF(A546&lt;&gt;"",VLOOKUP(Alunos!C546,'TP1'!A3:C1000,3, FALSE),"")</f>
        <v/>
      </c>
      <c r="E546" s="2" t="str">
        <f>IF(A546&lt;&gt;"", SUMIF(B1:D1,"&lt;&gt;",B546:D546),"")</f>
        <v/>
      </c>
      <c r="F546" s="2" t="str">
        <f>IF(AND(A546&lt;&gt;"",E546&lt;&gt;""),ROUND(E546,0),"")</f>
        <v/>
      </c>
      <c r="G546" s="2" t="str">
        <f>IF(A546&lt;&gt;"",VLOOKUP(Alunos!A546,Recurso!A3:C1000,3, FALSE),"")</f>
        <v/>
      </c>
      <c r="H546" s="2" t="str">
        <f>IF(OR(A546&lt;&gt;"",G546&lt;&gt;""), SUMIFS(B546:G546,B1:G1,"&lt;&gt;",B2:G2,"&lt;&gt;Exame",B2:G2,"&lt;&gt;exame",B2:G2,"&lt;&gt;Nota",B2:G2,"&lt;&gt;Total"),"")</f>
        <v/>
      </c>
      <c r="I546" s="2" t="str">
        <f>IF(AND(A546&lt;&gt;"",H546&lt;&gt;""),ROUND(H546,0),"")</f>
        <v/>
      </c>
    </row>
    <row r="547" spans="2:9" x14ac:dyDescent="0.3">
      <c r="B547" s="2" t="str">
        <f>IF(A547&lt;&gt;"",VLOOKUP(Alunos!A547,Exame!A3:C1000,3, FALSE),"")</f>
        <v/>
      </c>
      <c r="C547" s="2" t="str">
        <f>IF(A547&lt;&gt;"",VLOOKUP(Alunos!A547,Agrupamentos!A3:B1000,2, FALSE),"")</f>
        <v/>
      </c>
      <c r="D547" s="2" t="str">
        <f>IF(A547&lt;&gt;"",VLOOKUP(Alunos!C547,'TP1'!A3:C1000,3, FALSE),"")</f>
        <v/>
      </c>
      <c r="E547" s="2" t="str">
        <f>IF(A547&lt;&gt;"", SUMIF(B1:D1,"&lt;&gt;",B547:D547),"")</f>
        <v/>
      </c>
      <c r="F547" s="2" t="str">
        <f>IF(AND(A547&lt;&gt;"",E547&lt;&gt;""),ROUND(E547,0),"")</f>
        <v/>
      </c>
      <c r="G547" s="2" t="str">
        <f>IF(A547&lt;&gt;"",VLOOKUP(Alunos!A547,Recurso!A3:C1000,3, FALSE),"")</f>
        <v/>
      </c>
      <c r="H547" s="2" t="str">
        <f>IF(OR(A547&lt;&gt;"",G547&lt;&gt;""), SUMIFS(B547:G547,B1:G1,"&lt;&gt;",B2:G2,"&lt;&gt;Exame",B2:G2,"&lt;&gt;exame",B2:G2,"&lt;&gt;Nota",B2:G2,"&lt;&gt;Total"),"")</f>
        <v/>
      </c>
      <c r="I547" s="2" t="str">
        <f>IF(AND(A547&lt;&gt;"",H547&lt;&gt;""),ROUND(H547,0),"")</f>
        <v/>
      </c>
    </row>
    <row r="548" spans="2:9" x14ac:dyDescent="0.3">
      <c r="B548" s="2" t="str">
        <f>IF(A548&lt;&gt;"",VLOOKUP(Alunos!A548,Exame!A3:C1000,3, FALSE),"")</f>
        <v/>
      </c>
      <c r="C548" s="2" t="str">
        <f>IF(A548&lt;&gt;"",VLOOKUP(Alunos!A548,Agrupamentos!A3:B1000,2, FALSE),"")</f>
        <v/>
      </c>
      <c r="D548" s="2" t="str">
        <f>IF(A548&lt;&gt;"",VLOOKUP(Alunos!C548,'TP1'!A3:C1000,3, FALSE),"")</f>
        <v/>
      </c>
      <c r="E548" s="2" t="str">
        <f>IF(A548&lt;&gt;"", SUMIF(B1:D1,"&lt;&gt;",B548:D548),"")</f>
        <v/>
      </c>
      <c r="F548" s="2" t="str">
        <f>IF(AND(A548&lt;&gt;"",E548&lt;&gt;""),ROUND(E548,0),"")</f>
        <v/>
      </c>
      <c r="G548" s="2" t="str">
        <f>IF(A548&lt;&gt;"",VLOOKUP(Alunos!A548,Recurso!A3:C1000,3, FALSE),"")</f>
        <v/>
      </c>
      <c r="H548" s="2" t="str">
        <f>IF(OR(A548&lt;&gt;"",G548&lt;&gt;""), SUMIFS(B548:G548,B1:G1,"&lt;&gt;",B2:G2,"&lt;&gt;Exame",B2:G2,"&lt;&gt;exame",B2:G2,"&lt;&gt;Nota",B2:G2,"&lt;&gt;Total"),"")</f>
        <v/>
      </c>
      <c r="I548" s="2" t="str">
        <f>IF(AND(A548&lt;&gt;"",H548&lt;&gt;""),ROUND(H548,0),"")</f>
        <v/>
      </c>
    </row>
    <row r="549" spans="2:9" x14ac:dyDescent="0.3">
      <c r="B549" s="2" t="str">
        <f>IF(A549&lt;&gt;"",VLOOKUP(Alunos!A549,Exame!A3:C1000,3, FALSE),"")</f>
        <v/>
      </c>
      <c r="C549" s="2" t="str">
        <f>IF(A549&lt;&gt;"",VLOOKUP(Alunos!A549,Agrupamentos!A3:B1000,2, FALSE),"")</f>
        <v/>
      </c>
      <c r="D549" s="2" t="str">
        <f>IF(A549&lt;&gt;"",VLOOKUP(Alunos!C549,'TP1'!A3:C1000,3, FALSE),"")</f>
        <v/>
      </c>
      <c r="E549" s="2" t="str">
        <f>IF(A549&lt;&gt;"", SUMIF(B1:D1,"&lt;&gt;",B549:D549),"")</f>
        <v/>
      </c>
      <c r="F549" s="2" t="str">
        <f>IF(AND(A549&lt;&gt;"",E549&lt;&gt;""),ROUND(E549,0),"")</f>
        <v/>
      </c>
      <c r="G549" s="2" t="str">
        <f>IF(A549&lt;&gt;"",VLOOKUP(Alunos!A549,Recurso!A3:C1000,3, FALSE),"")</f>
        <v/>
      </c>
      <c r="H549" s="2" t="str">
        <f>IF(OR(A549&lt;&gt;"",G549&lt;&gt;""), SUMIFS(B549:G549,B1:G1,"&lt;&gt;",B2:G2,"&lt;&gt;Exame",B2:G2,"&lt;&gt;exame",B2:G2,"&lt;&gt;Nota",B2:G2,"&lt;&gt;Total"),"")</f>
        <v/>
      </c>
      <c r="I549" s="2" t="str">
        <f>IF(AND(A549&lt;&gt;"",H549&lt;&gt;""),ROUND(H549,0),"")</f>
        <v/>
      </c>
    </row>
    <row r="550" spans="2:9" x14ac:dyDescent="0.3">
      <c r="B550" s="2" t="str">
        <f>IF(A550&lt;&gt;"",VLOOKUP(Alunos!A550,Exame!A3:C1000,3, FALSE),"")</f>
        <v/>
      </c>
      <c r="C550" s="2" t="str">
        <f>IF(A550&lt;&gt;"",VLOOKUP(Alunos!A550,Agrupamentos!A3:B1000,2, FALSE),"")</f>
        <v/>
      </c>
      <c r="D550" s="2" t="str">
        <f>IF(A550&lt;&gt;"",VLOOKUP(Alunos!C550,'TP1'!A3:C1000,3, FALSE),"")</f>
        <v/>
      </c>
      <c r="E550" s="2" t="str">
        <f>IF(A550&lt;&gt;"", SUMIF(B1:D1,"&lt;&gt;",B550:D550),"")</f>
        <v/>
      </c>
      <c r="F550" s="2" t="str">
        <f>IF(AND(A550&lt;&gt;"",E550&lt;&gt;""),ROUND(E550,0),"")</f>
        <v/>
      </c>
      <c r="G550" s="2" t="str">
        <f>IF(A550&lt;&gt;"",VLOOKUP(Alunos!A550,Recurso!A3:C1000,3, FALSE),"")</f>
        <v/>
      </c>
      <c r="H550" s="2" t="str">
        <f>IF(OR(A550&lt;&gt;"",G550&lt;&gt;""), SUMIFS(B550:G550,B1:G1,"&lt;&gt;",B2:G2,"&lt;&gt;Exame",B2:G2,"&lt;&gt;exame",B2:G2,"&lt;&gt;Nota",B2:G2,"&lt;&gt;Total"),"")</f>
        <v/>
      </c>
      <c r="I550" s="2" t="str">
        <f>IF(AND(A550&lt;&gt;"",H550&lt;&gt;""),ROUND(H550,0),"")</f>
        <v/>
      </c>
    </row>
    <row r="551" spans="2:9" x14ac:dyDescent="0.3">
      <c r="B551" s="2" t="str">
        <f>IF(A551&lt;&gt;"",VLOOKUP(Alunos!A551,Exame!A3:C1000,3, FALSE),"")</f>
        <v/>
      </c>
      <c r="C551" s="2" t="str">
        <f>IF(A551&lt;&gt;"",VLOOKUP(Alunos!A551,Agrupamentos!A3:B1000,2, FALSE),"")</f>
        <v/>
      </c>
      <c r="D551" s="2" t="str">
        <f>IF(A551&lt;&gt;"",VLOOKUP(Alunos!C551,'TP1'!A3:C1000,3, FALSE),"")</f>
        <v/>
      </c>
      <c r="E551" s="2" t="str">
        <f>IF(A551&lt;&gt;"", SUMIF(B1:D1,"&lt;&gt;",B551:D551),"")</f>
        <v/>
      </c>
      <c r="F551" s="2" t="str">
        <f>IF(AND(A551&lt;&gt;"",E551&lt;&gt;""),ROUND(E551,0),"")</f>
        <v/>
      </c>
      <c r="G551" s="2" t="str">
        <f>IF(A551&lt;&gt;"",VLOOKUP(Alunos!A551,Recurso!A3:C1000,3, FALSE),"")</f>
        <v/>
      </c>
      <c r="H551" s="2" t="str">
        <f>IF(OR(A551&lt;&gt;"",G551&lt;&gt;""), SUMIFS(B551:G551,B1:G1,"&lt;&gt;",B2:G2,"&lt;&gt;Exame",B2:G2,"&lt;&gt;exame",B2:G2,"&lt;&gt;Nota",B2:G2,"&lt;&gt;Total"),"")</f>
        <v/>
      </c>
      <c r="I551" s="2" t="str">
        <f>IF(AND(A551&lt;&gt;"",H551&lt;&gt;""),ROUND(H551,0),"")</f>
        <v/>
      </c>
    </row>
    <row r="552" spans="2:9" x14ac:dyDescent="0.3">
      <c r="B552" s="2" t="str">
        <f>IF(A552&lt;&gt;"",VLOOKUP(Alunos!A552,Exame!A3:C1000,3, FALSE),"")</f>
        <v/>
      </c>
      <c r="C552" s="2" t="str">
        <f>IF(A552&lt;&gt;"",VLOOKUP(Alunos!A552,Agrupamentos!A3:B1000,2, FALSE),"")</f>
        <v/>
      </c>
      <c r="D552" s="2" t="str">
        <f>IF(A552&lt;&gt;"",VLOOKUP(Alunos!C552,'TP1'!A3:C1000,3, FALSE),"")</f>
        <v/>
      </c>
      <c r="E552" s="2" t="str">
        <f>IF(A552&lt;&gt;"", SUMIF(B1:D1,"&lt;&gt;",B552:D552),"")</f>
        <v/>
      </c>
      <c r="F552" s="2" t="str">
        <f>IF(AND(A552&lt;&gt;"",E552&lt;&gt;""),ROUND(E552,0),"")</f>
        <v/>
      </c>
      <c r="G552" s="2" t="str">
        <f>IF(A552&lt;&gt;"",VLOOKUP(Alunos!A552,Recurso!A3:C1000,3, FALSE),"")</f>
        <v/>
      </c>
      <c r="H552" s="2" t="str">
        <f>IF(OR(A552&lt;&gt;"",G552&lt;&gt;""), SUMIFS(B552:G552,B1:G1,"&lt;&gt;",B2:G2,"&lt;&gt;Exame",B2:G2,"&lt;&gt;exame",B2:G2,"&lt;&gt;Nota",B2:G2,"&lt;&gt;Total"),"")</f>
        <v/>
      </c>
      <c r="I552" s="2" t="str">
        <f>IF(AND(A552&lt;&gt;"",H552&lt;&gt;""),ROUND(H552,0),"")</f>
        <v/>
      </c>
    </row>
    <row r="553" spans="2:9" x14ac:dyDescent="0.3">
      <c r="B553" s="2" t="str">
        <f>IF(A553&lt;&gt;"",VLOOKUP(Alunos!A553,Exame!A3:C1000,3, FALSE),"")</f>
        <v/>
      </c>
      <c r="C553" s="2" t="str">
        <f>IF(A553&lt;&gt;"",VLOOKUP(Alunos!A553,Agrupamentos!A3:B1000,2, FALSE),"")</f>
        <v/>
      </c>
      <c r="D553" s="2" t="str">
        <f>IF(A553&lt;&gt;"",VLOOKUP(Alunos!C553,'TP1'!A3:C1000,3, FALSE),"")</f>
        <v/>
      </c>
      <c r="E553" s="2" t="str">
        <f>IF(A553&lt;&gt;"", SUMIF(B1:D1,"&lt;&gt;",B553:D553),"")</f>
        <v/>
      </c>
      <c r="F553" s="2" t="str">
        <f>IF(AND(A553&lt;&gt;"",E553&lt;&gt;""),ROUND(E553,0),"")</f>
        <v/>
      </c>
      <c r="G553" s="2" t="str">
        <f>IF(A553&lt;&gt;"",VLOOKUP(Alunos!A553,Recurso!A3:C1000,3, FALSE),"")</f>
        <v/>
      </c>
      <c r="H553" s="2" t="str">
        <f>IF(OR(A553&lt;&gt;"",G553&lt;&gt;""), SUMIFS(B553:G553,B1:G1,"&lt;&gt;",B2:G2,"&lt;&gt;Exame",B2:G2,"&lt;&gt;exame",B2:G2,"&lt;&gt;Nota",B2:G2,"&lt;&gt;Total"),"")</f>
        <v/>
      </c>
      <c r="I553" s="2" t="str">
        <f>IF(AND(A553&lt;&gt;"",H553&lt;&gt;""),ROUND(H553,0),"")</f>
        <v/>
      </c>
    </row>
    <row r="554" spans="2:9" x14ac:dyDescent="0.3">
      <c r="B554" s="2" t="str">
        <f>IF(A554&lt;&gt;"",VLOOKUP(Alunos!A554,Exame!A3:C1000,3, FALSE),"")</f>
        <v/>
      </c>
      <c r="C554" s="2" t="str">
        <f>IF(A554&lt;&gt;"",VLOOKUP(Alunos!A554,Agrupamentos!A3:B1000,2, FALSE),"")</f>
        <v/>
      </c>
      <c r="D554" s="2" t="str">
        <f>IF(A554&lt;&gt;"",VLOOKUP(Alunos!C554,'TP1'!A3:C1000,3, FALSE),"")</f>
        <v/>
      </c>
      <c r="E554" s="2" t="str">
        <f>IF(A554&lt;&gt;"", SUMIF(B1:D1,"&lt;&gt;",B554:D554),"")</f>
        <v/>
      </c>
      <c r="F554" s="2" t="str">
        <f>IF(AND(A554&lt;&gt;"",E554&lt;&gt;""),ROUND(E554,0),"")</f>
        <v/>
      </c>
      <c r="G554" s="2" t="str">
        <f>IF(A554&lt;&gt;"",VLOOKUP(Alunos!A554,Recurso!A3:C1000,3, FALSE),"")</f>
        <v/>
      </c>
      <c r="H554" s="2" t="str">
        <f>IF(OR(A554&lt;&gt;"",G554&lt;&gt;""), SUMIFS(B554:G554,B1:G1,"&lt;&gt;",B2:G2,"&lt;&gt;Exame",B2:G2,"&lt;&gt;exame",B2:G2,"&lt;&gt;Nota",B2:G2,"&lt;&gt;Total"),"")</f>
        <v/>
      </c>
      <c r="I554" s="2" t="str">
        <f>IF(AND(A554&lt;&gt;"",H554&lt;&gt;""),ROUND(H554,0),"")</f>
        <v/>
      </c>
    </row>
    <row r="555" spans="2:9" x14ac:dyDescent="0.3">
      <c r="B555" s="2" t="str">
        <f>IF(A555&lt;&gt;"",VLOOKUP(Alunos!A555,Exame!A3:C1000,3, FALSE),"")</f>
        <v/>
      </c>
      <c r="C555" s="2" t="str">
        <f>IF(A555&lt;&gt;"",VLOOKUP(Alunos!A555,Agrupamentos!A3:B1000,2, FALSE),"")</f>
        <v/>
      </c>
      <c r="D555" s="2" t="str">
        <f>IF(A555&lt;&gt;"",VLOOKUP(Alunos!C555,'TP1'!A3:C1000,3, FALSE),"")</f>
        <v/>
      </c>
      <c r="E555" s="2" t="str">
        <f>IF(A555&lt;&gt;"", SUMIF(B1:D1,"&lt;&gt;",B555:D555),"")</f>
        <v/>
      </c>
      <c r="F555" s="2" t="str">
        <f>IF(AND(A555&lt;&gt;"",E555&lt;&gt;""),ROUND(E555,0),"")</f>
        <v/>
      </c>
      <c r="G555" s="2" t="str">
        <f>IF(A555&lt;&gt;"",VLOOKUP(Alunos!A555,Recurso!A3:C1000,3, FALSE),"")</f>
        <v/>
      </c>
      <c r="H555" s="2" t="str">
        <f>IF(OR(A555&lt;&gt;"",G555&lt;&gt;""), SUMIFS(B555:G555,B1:G1,"&lt;&gt;",B2:G2,"&lt;&gt;Exame",B2:G2,"&lt;&gt;exame",B2:G2,"&lt;&gt;Nota",B2:G2,"&lt;&gt;Total"),"")</f>
        <v/>
      </c>
      <c r="I555" s="2" t="str">
        <f>IF(AND(A555&lt;&gt;"",H555&lt;&gt;""),ROUND(H555,0),"")</f>
        <v/>
      </c>
    </row>
    <row r="556" spans="2:9" x14ac:dyDescent="0.3">
      <c r="B556" s="2" t="str">
        <f>IF(A556&lt;&gt;"",VLOOKUP(Alunos!A556,Exame!A3:C1000,3, FALSE),"")</f>
        <v/>
      </c>
      <c r="C556" s="2" t="str">
        <f>IF(A556&lt;&gt;"",VLOOKUP(Alunos!A556,Agrupamentos!A3:B1000,2, FALSE),"")</f>
        <v/>
      </c>
      <c r="D556" s="2" t="str">
        <f>IF(A556&lt;&gt;"",VLOOKUP(Alunos!C556,'TP1'!A3:C1000,3, FALSE),"")</f>
        <v/>
      </c>
      <c r="E556" s="2" t="str">
        <f>IF(A556&lt;&gt;"", SUMIF(B1:D1,"&lt;&gt;",B556:D556),"")</f>
        <v/>
      </c>
      <c r="F556" s="2" t="str">
        <f>IF(AND(A556&lt;&gt;"",E556&lt;&gt;""),ROUND(E556,0),"")</f>
        <v/>
      </c>
      <c r="G556" s="2" t="str">
        <f>IF(A556&lt;&gt;"",VLOOKUP(Alunos!A556,Recurso!A3:C1000,3, FALSE),"")</f>
        <v/>
      </c>
      <c r="H556" s="2" t="str">
        <f>IF(OR(A556&lt;&gt;"",G556&lt;&gt;""), SUMIFS(B556:G556,B1:G1,"&lt;&gt;",B2:G2,"&lt;&gt;Exame",B2:G2,"&lt;&gt;exame",B2:G2,"&lt;&gt;Nota",B2:G2,"&lt;&gt;Total"),"")</f>
        <v/>
      </c>
      <c r="I556" s="2" t="str">
        <f>IF(AND(A556&lt;&gt;"",H556&lt;&gt;""),ROUND(H556,0),"")</f>
        <v/>
      </c>
    </row>
    <row r="557" spans="2:9" x14ac:dyDescent="0.3">
      <c r="B557" s="2" t="str">
        <f>IF(A557&lt;&gt;"",VLOOKUP(Alunos!A557,Exame!A3:C1000,3, FALSE),"")</f>
        <v/>
      </c>
      <c r="C557" s="2" t="str">
        <f>IF(A557&lt;&gt;"",VLOOKUP(Alunos!A557,Agrupamentos!A3:B1000,2, FALSE),"")</f>
        <v/>
      </c>
      <c r="D557" s="2" t="str">
        <f>IF(A557&lt;&gt;"",VLOOKUP(Alunos!C557,'TP1'!A3:C1000,3, FALSE),"")</f>
        <v/>
      </c>
      <c r="E557" s="2" t="str">
        <f>IF(A557&lt;&gt;"", SUMIF(B1:D1,"&lt;&gt;",B557:D557),"")</f>
        <v/>
      </c>
      <c r="F557" s="2" t="str">
        <f>IF(AND(A557&lt;&gt;"",E557&lt;&gt;""),ROUND(E557,0),"")</f>
        <v/>
      </c>
      <c r="G557" s="2" t="str">
        <f>IF(A557&lt;&gt;"",VLOOKUP(Alunos!A557,Recurso!A3:C1000,3, FALSE),"")</f>
        <v/>
      </c>
      <c r="H557" s="2" t="str">
        <f>IF(OR(A557&lt;&gt;"",G557&lt;&gt;""), SUMIFS(B557:G557,B1:G1,"&lt;&gt;",B2:G2,"&lt;&gt;Exame",B2:G2,"&lt;&gt;exame",B2:G2,"&lt;&gt;Nota",B2:G2,"&lt;&gt;Total"),"")</f>
        <v/>
      </c>
      <c r="I557" s="2" t="str">
        <f>IF(AND(A557&lt;&gt;"",H557&lt;&gt;""),ROUND(H557,0),"")</f>
        <v/>
      </c>
    </row>
    <row r="558" spans="2:9" x14ac:dyDescent="0.3">
      <c r="B558" s="2" t="str">
        <f>IF(A558&lt;&gt;"",VLOOKUP(Alunos!A558,Exame!A3:C1000,3, FALSE),"")</f>
        <v/>
      </c>
      <c r="C558" s="2" t="str">
        <f>IF(A558&lt;&gt;"",VLOOKUP(Alunos!A558,Agrupamentos!A3:B1000,2, FALSE),"")</f>
        <v/>
      </c>
      <c r="D558" s="2" t="str">
        <f>IF(A558&lt;&gt;"",VLOOKUP(Alunos!C558,'TP1'!A3:C1000,3, FALSE),"")</f>
        <v/>
      </c>
      <c r="E558" s="2" t="str">
        <f>IF(A558&lt;&gt;"", SUMIF(B1:D1,"&lt;&gt;",B558:D558),"")</f>
        <v/>
      </c>
      <c r="F558" s="2" t="str">
        <f>IF(AND(A558&lt;&gt;"",E558&lt;&gt;""),ROUND(E558,0),"")</f>
        <v/>
      </c>
      <c r="G558" s="2" t="str">
        <f>IF(A558&lt;&gt;"",VLOOKUP(Alunos!A558,Recurso!A3:C1000,3, FALSE),"")</f>
        <v/>
      </c>
      <c r="H558" s="2" t="str">
        <f>IF(OR(A558&lt;&gt;"",G558&lt;&gt;""), SUMIFS(B558:G558,B1:G1,"&lt;&gt;",B2:G2,"&lt;&gt;Exame",B2:G2,"&lt;&gt;exame",B2:G2,"&lt;&gt;Nota",B2:G2,"&lt;&gt;Total"),"")</f>
        <v/>
      </c>
      <c r="I558" s="2" t="str">
        <f>IF(AND(A558&lt;&gt;"",H558&lt;&gt;""),ROUND(H558,0),"")</f>
        <v/>
      </c>
    </row>
    <row r="559" spans="2:9" x14ac:dyDescent="0.3">
      <c r="B559" s="2" t="str">
        <f>IF(A559&lt;&gt;"",VLOOKUP(Alunos!A559,Exame!A3:C1000,3, FALSE),"")</f>
        <v/>
      </c>
      <c r="C559" s="2" t="str">
        <f>IF(A559&lt;&gt;"",VLOOKUP(Alunos!A559,Agrupamentos!A3:B1000,2, FALSE),"")</f>
        <v/>
      </c>
      <c r="D559" s="2" t="str">
        <f>IF(A559&lt;&gt;"",VLOOKUP(Alunos!C559,'TP1'!A3:C1000,3, FALSE),"")</f>
        <v/>
      </c>
      <c r="E559" s="2" t="str">
        <f>IF(A559&lt;&gt;"", SUMIF(B1:D1,"&lt;&gt;",B559:D559),"")</f>
        <v/>
      </c>
      <c r="F559" s="2" t="str">
        <f>IF(AND(A559&lt;&gt;"",E559&lt;&gt;""),ROUND(E559,0),"")</f>
        <v/>
      </c>
      <c r="G559" s="2" t="str">
        <f>IF(A559&lt;&gt;"",VLOOKUP(Alunos!A559,Recurso!A3:C1000,3, FALSE),"")</f>
        <v/>
      </c>
      <c r="H559" s="2" t="str">
        <f>IF(OR(A559&lt;&gt;"",G559&lt;&gt;""), SUMIFS(B559:G559,B1:G1,"&lt;&gt;",B2:G2,"&lt;&gt;Exame",B2:G2,"&lt;&gt;exame",B2:G2,"&lt;&gt;Nota",B2:G2,"&lt;&gt;Total"),"")</f>
        <v/>
      </c>
      <c r="I559" s="2" t="str">
        <f>IF(AND(A559&lt;&gt;"",H559&lt;&gt;""),ROUND(H559,0),"")</f>
        <v/>
      </c>
    </row>
    <row r="560" spans="2:9" x14ac:dyDescent="0.3">
      <c r="B560" s="2" t="str">
        <f>IF(A560&lt;&gt;"",VLOOKUP(Alunos!A560,Exame!A3:C1000,3, FALSE),"")</f>
        <v/>
      </c>
      <c r="C560" s="2" t="str">
        <f>IF(A560&lt;&gt;"",VLOOKUP(Alunos!A560,Agrupamentos!A3:B1000,2, FALSE),"")</f>
        <v/>
      </c>
      <c r="D560" s="2" t="str">
        <f>IF(A560&lt;&gt;"",VLOOKUP(Alunos!C560,'TP1'!A3:C1000,3, FALSE),"")</f>
        <v/>
      </c>
      <c r="E560" s="2" t="str">
        <f>IF(A560&lt;&gt;"", SUMIF(B1:D1,"&lt;&gt;",B560:D560),"")</f>
        <v/>
      </c>
      <c r="F560" s="2" t="str">
        <f>IF(AND(A560&lt;&gt;"",E560&lt;&gt;""),ROUND(E560,0),"")</f>
        <v/>
      </c>
      <c r="G560" s="2" t="str">
        <f>IF(A560&lt;&gt;"",VLOOKUP(Alunos!A560,Recurso!A3:C1000,3, FALSE),"")</f>
        <v/>
      </c>
      <c r="H560" s="2" t="str">
        <f>IF(OR(A560&lt;&gt;"",G560&lt;&gt;""), SUMIFS(B560:G560,B1:G1,"&lt;&gt;",B2:G2,"&lt;&gt;Exame",B2:G2,"&lt;&gt;exame",B2:G2,"&lt;&gt;Nota",B2:G2,"&lt;&gt;Total"),"")</f>
        <v/>
      </c>
      <c r="I560" s="2" t="str">
        <f>IF(AND(A560&lt;&gt;"",H560&lt;&gt;""),ROUND(H560,0),"")</f>
        <v/>
      </c>
    </row>
    <row r="561" spans="2:9" x14ac:dyDescent="0.3">
      <c r="B561" s="2" t="str">
        <f>IF(A561&lt;&gt;"",VLOOKUP(Alunos!A561,Exame!A3:C1000,3, FALSE),"")</f>
        <v/>
      </c>
      <c r="C561" s="2" t="str">
        <f>IF(A561&lt;&gt;"",VLOOKUP(Alunos!A561,Agrupamentos!A3:B1000,2, FALSE),"")</f>
        <v/>
      </c>
      <c r="D561" s="2" t="str">
        <f>IF(A561&lt;&gt;"",VLOOKUP(Alunos!C561,'TP1'!A3:C1000,3, FALSE),"")</f>
        <v/>
      </c>
      <c r="E561" s="2" t="str">
        <f>IF(A561&lt;&gt;"", SUMIF(B1:D1,"&lt;&gt;",B561:D561),"")</f>
        <v/>
      </c>
      <c r="F561" s="2" t="str">
        <f>IF(AND(A561&lt;&gt;"",E561&lt;&gt;""),ROUND(E561,0),"")</f>
        <v/>
      </c>
      <c r="G561" s="2" t="str">
        <f>IF(A561&lt;&gt;"",VLOOKUP(Alunos!A561,Recurso!A3:C1000,3, FALSE),"")</f>
        <v/>
      </c>
      <c r="H561" s="2" t="str">
        <f>IF(OR(A561&lt;&gt;"",G561&lt;&gt;""), SUMIFS(B561:G561,B1:G1,"&lt;&gt;",B2:G2,"&lt;&gt;Exame",B2:G2,"&lt;&gt;exame",B2:G2,"&lt;&gt;Nota",B2:G2,"&lt;&gt;Total"),"")</f>
        <v/>
      </c>
      <c r="I561" s="2" t="str">
        <f>IF(AND(A561&lt;&gt;"",H561&lt;&gt;""),ROUND(H561,0),"")</f>
        <v/>
      </c>
    </row>
    <row r="562" spans="2:9" x14ac:dyDescent="0.3">
      <c r="B562" s="2" t="str">
        <f>IF(A562&lt;&gt;"",VLOOKUP(Alunos!A562,Exame!A3:C1000,3, FALSE),"")</f>
        <v/>
      </c>
      <c r="C562" s="2" t="str">
        <f>IF(A562&lt;&gt;"",VLOOKUP(Alunos!A562,Agrupamentos!A3:B1000,2, FALSE),"")</f>
        <v/>
      </c>
      <c r="D562" s="2" t="str">
        <f>IF(A562&lt;&gt;"",VLOOKUP(Alunos!C562,'TP1'!A3:C1000,3, FALSE),"")</f>
        <v/>
      </c>
      <c r="E562" s="2" t="str">
        <f>IF(A562&lt;&gt;"", SUMIF(B1:D1,"&lt;&gt;",B562:D562),"")</f>
        <v/>
      </c>
      <c r="F562" s="2" t="str">
        <f>IF(AND(A562&lt;&gt;"",E562&lt;&gt;""),ROUND(E562,0),"")</f>
        <v/>
      </c>
      <c r="G562" s="2" t="str">
        <f>IF(A562&lt;&gt;"",VLOOKUP(Alunos!A562,Recurso!A3:C1000,3, FALSE),"")</f>
        <v/>
      </c>
      <c r="H562" s="2" t="str">
        <f>IF(OR(A562&lt;&gt;"",G562&lt;&gt;""), SUMIFS(B562:G562,B1:G1,"&lt;&gt;",B2:G2,"&lt;&gt;Exame",B2:G2,"&lt;&gt;exame",B2:G2,"&lt;&gt;Nota",B2:G2,"&lt;&gt;Total"),"")</f>
        <v/>
      </c>
      <c r="I562" s="2" t="str">
        <f>IF(AND(A562&lt;&gt;"",H562&lt;&gt;""),ROUND(H562,0),"")</f>
        <v/>
      </c>
    </row>
    <row r="563" spans="2:9" x14ac:dyDescent="0.3">
      <c r="B563" s="2" t="str">
        <f>IF(A563&lt;&gt;"",VLOOKUP(Alunos!A563,Exame!A3:C1000,3, FALSE),"")</f>
        <v/>
      </c>
      <c r="C563" s="2" t="str">
        <f>IF(A563&lt;&gt;"",VLOOKUP(Alunos!A563,Agrupamentos!A3:B1000,2, FALSE),"")</f>
        <v/>
      </c>
      <c r="D563" s="2" t="str">
        <f>IF(A563&lt;&gt;"",VLOOKUP(Alunos!C563,'TP1'!A3:C1000,3, FALSE),"")</f>
        <v/>
      </c>
      <c r="E563" s="2" t="str">
        <f>IF(A563&lt;&gt;"", SUMIF(B1:D1,"&lt;&gt;",B563:D563),"")</f>
        <v/>
      </c>
      <c r="F563" s="2" t="str">
        <f>IF(AND(A563&lt;&gt;"",E563&lt;&gt;""),ROUND(E563,0),"")</f>
        <v/>
      </c>
      <c r="G563" s="2" t="str">
        <f>IF(A563&lt;&gt;"",VLOOKUP(Alunos!A563,Recurso!A3:C1000,3, FALSE),"")</f>
        <v/>
      </c>
      <c r="H563" s="2" t="str">
        <f>IF(OR(A563&lt;&gt;"",G563&lt;&gt;""), SUMIFS(B563:G563,B1:G1,"&lt;&gt;",B2:G2,"&lt;&gt;Exame",B2:G2,"&lt;&gt;exame",B2:G2,"&lt;&gt;Nota",B2:G2,"&lt;&gt;Total"),"")</f>
        <v/>
      </c>
      <c r="I563" s="2" t="str">
        <f>IF(AND(A563&lt;&gt;"",H563&lt;&gt;""),ROUND(H563,0),"")</f>
        <v/>
      </c>
    </row>
    <row r="564" spans="2:9" x14ac:dyDescent="0.3">
      <c r="B564" s="2" t="str">
        <f>IF(A564&lt;&gt;"",VLOOKUP(Alunos!A564,Exame!A3:C1000,3, FALSE),"")</f>
        <v/>
      </c>
      <c r="C564" s="2" t="str">
        <f>IF(A564&lt;&gt;"",VLOOKUP(Alunos!A564,Agrupamentos!A3:B1000,2, FALSE),"")</f>
        <v/>
      </c>
      <c r="D564" s="2" t="str">
        <f>IF(A564&lt;&gt;"",VLOOKUP(Alunos!C564,'TP1'!A3:C1000,3, FALSE),"")</f>
        <v/>
      </c>
      <c r="E564" s="2" t="str">
        <f>IF(A564&lt;&gt;"", SUMIF(B1:D1,"&lt;&gt;",B564:D564),"")</f>
        <v/>
      </c>
      <c r="F564" s="2" t="str">
        <f>IF(AND(A564&lt;&gt;"",E564&lt;&gt;""),ROUND(E564,0),"")</f>
        <v/>
      </c>
      <c r="G564" s="2" t="str">
        <f>IF(A564&lt;&gt;"",VLOOKUP(Alunos!A564,Recurso!A3:C1000,3, FALSE),"")</f>
        <v/>
      </c>
      <c r="H564" s="2" t="str">
        <f>IF(OR(A564&lt;&gt;"",G564&lt;&gt;""), SUMIFS(B564:G564,B1:G1,"&lt;&gt;",B2:G2,"&lt;&gt;Exame",B2:G2,"&lt;&gt;exame",B2:G2,"&lt;&gt;Nota",B2:G2,"&lt;&gt;Total"),"")</f>
        <v/>
      </c>
      <c r="I564" s="2" t="str">
        <f>IF(AND(A564&lt;&gt;"",H564&lt;&gt;""),ROUND(H564,0),"")</f>
        <v/>
      </c>
    </row>
    <row r="565" spans="2:9" x14ac:dyDescent="0.3">
      <c r="B565" s="2" t="str">
        <f>IF(A565&lt;&gt;"",VLOOKUP(Alunos!A565,Exame!A3:C1000,3, FALSE),"")</f>
        <v/>
      </c>
      <c r="C565" s="2" t="str">
        <f>IF(A565&lt;&gt;"",VLOOKUP(Alunos!A565,Agrupamentos!A3:B1000,2, FALSE),"")</f>
        <v/>
      </c>
      <c r="D565" s="2" t="str">
        <f>IF(A565&lt;&gt;"",VLOOKUP(Alunos!C565,'TP1'!A3:C1000,3, FALSE),"")</f>
        <v/>
      </c>
      <c r="E565" s="2" t="str">
        <f>IF(A565&lt;&gt;"", SUMIF(B1:D1,"&lt;&gt;",B565:D565),"")</f>
        <v/>
      </c>
      <c r="F565" s="2" t="str">
        <f>IF(AND(A565&lt;&gt;"",E565&lt;&gt;""),ROUND(E565,0),"")</f>
        <v/>
      </c>
      <c r="G565" s="2" t="str">
        <f>IF(A565&lt;&gt;"",VLOOKUP(Alunos!A565,Recurso!A3:C1000,3, FALSE),"")</f>
        <v/>
      </c>
      <c r="H565" s="2" t="str">
        <f>IF(OR(A565&lt;&gt;"",G565&lt;&gt;""), SUMIFS(B565:G565,B1:G1,"&lt;&gt;",B2:G2,"&lt;&gt;Exame",B2:G2,"&lt;&gt;exame",B2:G2,"&lt;&gt;Nota",B2:G2,"&lt;&gt;Total"),"")</f>
        <v/>
      </c>
      <c r="I565" s="2" t="str">
        <f>IF(AND(A565&lt;&gt;"",H565&lt;&gt;""),ROUND(H565,0),"")</f>
        <v/>
      </c>
    </row>
    <row r="566" spans="2:9" x14ac:dyDescent="0.3">
      <c r="B566" s="2" t="str">
        <f>IF(A566&lt;&gt;"",VLOOKUP(Alunos!A566,Exame!A3:C1000,3, FALSE),"")</f>
        <v/>
      </c>
      <c r="C566" s="2" t="str">
        <f>IF(A566&lt;&gt;"",VLOOKUP(Alunos!A566,Agrupamentos!A3:B1000,2, FALSE),"")</f>
        <v/>
      </c>
      <c r="D566" s="2" t="str">
        <f>IF(A566&lt;&gt;"",VLOOKUP(Alunos!C566,'TP1'!A3:C1000,3, FALSE),"")</f>
        <v/>
      </c>
      <c r="E566" s="2" t="str">
        <f>IF(A566&lt;&gt;"", SUMIF(B1:D1,"&lt;&gt;",B566:D566),"")</f>
        <v/>
      </c>
      <c r="F566" s="2" t="str">
        <f>IF(AND(A566&lt;&gt;"",E566&lt;&gt;""),ROUND(E566,0),"")</f>
        <v/>
      </c>
      <c r="G566" s="2" t="str">
        <f>IF(A566&lt;&gt;"",VLOOKUP(Alunos!A566,Recurso!A3:C1000,3, FALSE),"")</f>
        <v/>
      </c>
      <c r="H566" s="2" t="str">
        <f>IF(OR(A566&lt;&gt;"",G566&lt;&gt;""), SUMIFS(B566:G566,B1:G1,"&lt;&gt;",B2:G2,"&lt;&gt;Exame",B2:G2,"&lt;&gt;exame",B2:G2,"&lt;&gt;Nota",B2:G2,"&lt;&gt;Total"),"")</f>
        <v/>
      </c>
      <c r="I566" s="2" t="str">
        <f>IF(AND(A566&lt;&gt;"",H566&lt;&gt;""),ROUND(H566,0),"")</f>
        <v/>
      </c>
    </row>
    <row r="567" spans="2:9" x14ac:dyDescent="0.3">
      <c r="B567" s="2" t="str">
        <f>IF(A567&lt;&gt;"",VLOOKUP(Alunos!A567,Exame!A3:C1000,3, FALSE),"")</f>
        <v/>
      </c>
      <c r="C567" s="2" t="str">
        <f>IF(A567&lt;&gt;"",VLOOKUP(Alunos!A567,Agrupamentos!A3:B1000,2, FALSE),"")</f>
        <v/>
      </c>
      <c r="D567" s="2" t="str">
        <f>IF(A567&lt;&gt;"",VLOOKUP(Alunos!C567,'TP1'!A3:C1000,3, FALSE),"")</f>
        <v/>
      </c>
      <c r="E567" s="2" t="str">
        <f>IF(A567&lt;&gt;"", SUMIF(B1:D1,"&lt;&gt;",B567:D567),"")</f>
        <v/>
      </c>
      <c r="F567" s="2" t="str">
        <f>IF(AND(A567&lt;&gt;"",E567&lt;&gt;""),ROUND(E567,0),"")</f>
        <v/>
      </c>
      <c r="G567" s="2" t="str">
        <f>IF(A567&lt;&gt;"",VLOOKUP(Alunos!A567,Recurso!A3:C1000,3, FALSE),"")</f>
        <v/>
      </c>
      <c r="H567" s="2" t="str">
        <f>IF(OR(A567&lt;&gt;"",G567&lt;&gt;""), SUMIFS(B567:G567,B1:G1,"&lt;&gt;",B2:G2,"&lt;&gt;Exame",B2:G2,"&lt;&gt;exame",B2:G2,"&lt;&gt;Nota",B2:G2,"&lt;&gt;Total"),"")</f>
        <v/>
      </c>
      <c r="I567" s="2" t="str">
        <f>IF(AND(A567&lt;&gt;"",H567&lt;&gt;""),ROUND(H567,0),"")</f>
        <v/>
      </c>
    </row>
    <row r="568" spans="2:9" x14ac:dyDescent="0.3">
      <c r="B568" s="2" t="str">
        <f>IF(A568&lt;&gt;"",VLOOKUP(Alunos!A568,Exame!A3:C1000,3, FALSE),"")</f>
        <v/>
      </c>
      <c r="C568" s="2" t="str">
        <f>IF(A568&lt;&gt;"",VLOOKUP(Alunos!A568,Agrupamentos!A3:B1000,2, FALSE),"")</f>
        <v/>
      </c>
      <c r="D568" s="2" t="str">
        <f>IF(A568&lt;&gt;"",VLOOKUP(Alunos!C568,'TP1'!A3:C1000,3, FALSE),"")</f>
        <v/>
      </c>
      <c r="E568" s="2" t="str">
        <f>IF(A568&lt;&gt;"", SUMIF(B1:D1,"&lt;&gt;",B568:D568),"")</f>
        <v/>
      </c>
      <c r="F568" s="2" t="str">
        <f>IF(AND(A568&lt;&gt;"",E568&lt;&gt;""),ROUND(E568,0),"")</f>
        <v/>
      </c>
      <c r="G568" s="2" t="str">
        <f>IF(A568&lt;&gt;"",VLOOKUP(Alunos!A568,Recurso!A3:C1000,3, FALSE),"")</f>
        <v/>
      </c>
      <c r="H568" s="2" t="str">
        <f>IF(OR(A568&lt;&gt;"",G568&lt;&gt;""), SUMIFS(B568:G568,B1:G1,"&lt;&gt;",B2:G2,"&lt;&gt;Exame",B2:G2,"&lt;&gt;exame",B2:G2,"&lt;&gt;Nota",B2:G2,"&lt;&gt;Total"),"")</f>
        <v/>
      </c>
      <c r="I568" s="2" t="str">
        <f>IF(AND(A568&lt;&gt;"",H568&lt;&gt;""),ROUND(H568,0),"")</f>
        <v/>
      </c>
    </row>
    <row r="569" spans="2:9" x14ac:dyDescent="0.3">
      <c r="B569" s="2" t="str">
        <f>IF(A569&lt;&gt;"",VLOOKUP(Alunos!A569,Exame!A3:C1000,3, FALSE),"")</f>
        <v/>
      </c>
      <c r="C569" s="2" t="str">
        <f>IF(A569&lt;&gt;"",VLOOKUP(Alunos!A569,Agrupamentos!A3:B1000,2, FALSE),"")</f>
        <v/>
      </c>
      <c r="D569" s="2" t="str">
        <f>IF(A569&lt;&gt;"",VLOOKUP(Alunos!C569,'TP1'!A3:C1000,3, FALSE),"")</f>
        <v/>
      </c>
      <c r="E569" s="2" t="str">
        <f>IF(A569&lt;&gt;"", SUMIF(B1:D1,"&lt;&gt;",B569:D569),"")</f>
        <v/>
      </c>
      <c r="F569" s="2" t="str">
        <f>IF(AND(A569&lt;&gt;"",E569&lt;&gt;""),ROUND(E569,0),"")</f>
        <v/>
      </c>
      <c r="G569" s="2" t="str">
        <f>IF(A569&lt;&gt;"",VLOOKUP(Alunos!A569,Recurso!A3:C1000,3, FALSE),"")</f>
        <v/>
      </c>
      <c r="H569" s="2" t="str">
        <f>IF(OR(A569&lt;&gt;"",G569&lt;&gt;""), SUMIFS(B569:G569,B1:G1,"&lt;&gt;",B2:G2,"&lt;&gt;Exame",B2:G2,"&lt;&gt;exame",B2:G2,"&lt;&gt;Nota",B2:G2,"&lt;&gt;Total"),"")</f>
        <v/>
      </c>
      <c r="I569" s="2" t="str">
        <f>IF(AND(A569&lt;&gt;"",H569&lt;&gt;""),ROUND(H569,0),"")</f>
        <v/>
      </c>
    </row>
    <row r="570" spans="2:9" x14ac:dyDescent="0.3">
      <c r="B570" s="2" t="str">
        <f>IF(A570&lt;&gt;"",VLOOKUP(Alunos!A570,Exame!A3:C1000,3, FALSE),"")</f>
        <v/>
      </c>
      <c r="C570" s="2" t="str">
        <f>IF(A570&lt;&gt;"",VLOOKUP(Alunos!A570,Agrupamentos!A3:B1000,2, FALSE),"")</f>
        <v/>
      </c>
      <c r="D570" s="2" t="str">
        <f>IF(A570&lt;&gt;"",VLOOKUP(Alunos!C570,'TP1'!A3:C1000,3, FALSE),"")</f>
        <v/>
      </c>
      <c r="E570" s="2" t="str">
        <f>IF(A570&lt;&gt;"", SUMIF(B1:D1,"&lt;&gt;",B570:D570),"")</f>
        <v/>
      </c>
      <c r="F570" s="2" t="str">
        <f>IF(AND(A570&lt;&gt;"",E570&lt;&gt;""),ROUND(E570,0),"")</f>
        <v/>
      </c>
      <c r="G570" s="2" t="str">
        <f>IF(A570&lt;&gt;"",VLOOKUP(Alunos!A570,Recurso!A3:C1000,3, FALSE),"")</f>
        <v/>
      </c>
      <c r="H570" s="2" t="str">
        <f>IF(OR(A570&lt;&gt;"",G570&lt;&gt;""), SUMIFS(B570:G570,B1:G1,"&lt;&gt;",B2:G2,"&lt;&gt;Exame",B2:G2,"&lt;&gt;exame",B2:G2,"&lt;&gt;Nota",B2:G2,"&lt;&gt;Total"),"")</f>
        <v/>
      </c>
      <c r="I570" s="2" t="str">
        <f>IF(AND(A570&lt;&gt;"",H570&lt;&gt;""),ROUND(H570,0),"")</f>
        <v/>
      </c>
    </row>
    <row r="571" spans="2:9" x14ac:dyDescent="0.3">
      <c r="B571" s="2" t="str">
        <f>IF(A571&lt;&gt;"",VLOOKUP(Alunos!A571,Exame!A3:C1000,3, FALSE),"")</f>
        <v/>
      </c>
      <c r="C571" s="2" t="str">
        <f>IF(A571&lt;&gt;"",VLOOKUP(Alunos!A571,Agrupamentos!A3:B1000,2, FALSE),"")</f>
        <v/>
      </c>
      <c r="D571" s="2" t="str">
        <f>IF(A571&lt;&gt;"",VLOOKUP(Alunos!C571,'TP1'!A3:C1000,3, FALSE),"")</f>
        <v/>
      </c>
      <c r="E571" s="2" t="str">
        <f>IF(A571&lt;&gt;"", SUMIF(B1:D1,"&lt;&gt;",B571:D571),"")</f>
        <v/>
      </c>
      <c r="F571" s="2" t="str">
        <f>IF(AND(A571&lt;&gt;"",E571&lt;&gt;""),ROUND(E571,0),"")</f>
        <v/>
      </c>
      <c r="G571" s="2" t="str">
        <f>IF(A571&lt;&gt;"",VLOOKUP(Alunos!A571,Recurso!A3:C1000,3, FALSE),"")</f>
        <v/>
      </c>
      <c r="H571" s="2" t="str">
        <f>IF(OR(A571&lt;&gt;"",G571&lt;&gt;""), SUMIFS(B571:G571,B1:G1,"&lt;&gt;",B2:G2,"&lt;&gt;Exame",B2:G2,"&lt;&gt;exame",B2:G2,"&lt;&gt;Nota",B2:G2,"&lt;&gt;Total"),"")</f>
        <v/>
      </c>
      <c r="I571" s="2" t="str">
        <f>IF(AND(A571&lt;&gt;"",H571&lt;&gt;""),ROUND(H571,0),"")</f>
        <v/>
      </c>
    </row>
    <row r="572" spans="2:9" x14ac:dyDescent="0.3">
      <c r="B572" s="2" t="str">
        <f>IF(A572&lt;&gt;"",VLOOKUP(Alunos!A572,Exame!A3:C1000,3, FALSE),"")</f>
        <v/>
      </c>
      <c r="C572" s="2" t="str">
        <f>IF(A572&lt;&gt;"",VLOOKUP(Alunos!A572,Agrupamentos!A3:B1000,2, FALSE),"")</f>
        <v/>
      </c>
      <c r="D572" s="2" t="str">
        <f>IF(A572&lt;&gt;"",VLOOKUP(Alunos!C572,'TP1'!A3:C1000,3, FALSE),"")</f>
        <v/>
      </c>
      <c r="E572" s="2" t="str">
        <f>IF(A572&lt;&gt;"", SUMIF(B1:D1,"&lt;&gt;",B572:D572),"")</f>
        <v/>
      </c>
      <c r="F572" s="2" t="str">
        <f>IF(AND(A572&lt;&gt;"",E572&lt;&gt;""),ROUND(E572,0),"")</f>
        <v/>
      </c>
      <c r="G572" s="2" t="str">
        <f>IF(A572&lt;&gt;"",VLOOKUP(Alunos!A572,Recurso!A3:C1000,3, FALSE),"")</f>
        <v/>
      </c>
      <c r="H572" s="2" t="str">
        <f>IF(OR(A572&lt;&gt;"",G572&lt;&gt;""), SUMIFS(B572:G572,B1:G1,"&lt;&gt;",B2:G2,"&lt;&gt;Exame",B2:G2,"&lt;&gt;exame",B2:G2,"&lt;&gt;Nota",B2:G2,"&lt;&gt;Total"),"")</f>
        <v/>
      </c>
      <c r="I572" s="2" t="str">
        <f>IF(AND(A572&lt;&gt;"",H572&lt;&gt;""),ROUND(H572,0),"")</f>
        <v/>
      </c>
    </row>
    <row r="573" spans="2:9" x14ac:dyDescent="0.3">
      <c r="B573" s="2" t="str">
        <f>IF(A573&lt;&gt;"",VLOOKUP(Alunos!A573,Exame!A3:C1000,3, FALSE),"")</f>
        <v/>
      </c>
      <c r="C573" s="2" t="str">
        <f>IF(A573&lt;&gt;"",VLOOKUP(Alunos!A573,Agrupamentos!A3:B1000,2, FALSE),"")</f>
        <v/>
      </c>
      <c r="D573" s="2" t="str">
        <f>IF(A573&lt;&gt;"",VLOOKUP(Alunos!C573,'TP1'!A3:C1000,3, FALSE),"")</f>
        <v/>
      </c>
      <c r="E573" s="2" t="str">
        <f>IF(A573&lt;&gt;"", SUMIF(B1:D1,"&lt;&gt;",B573:D573),"")</f>
        <v/>
      </c>
      <c r="F573" s="2" t="str">
        <f>IF(AND(A573&lt;&gt;"",E573&lt;&gt;""),ROUND(E573,0),"")</f>
        <v/>
      </c>
      <c r="G573" s="2" t="str">
        <f>IF(A573&lt;&gt;"",VLOOKUP(Alunos!A573,Recurso!A3:C1000,3, FALSE),"")</f>
        <v/>
      </c>
      <c r="H573" s="2" t="str">
        <f>IF(OR(A573&lt;&gt;"",G573&lt;&gt;""), SUMIFS(B573:G573,B1:G1,"&lt;&gt;",B2:G2,"&lt;&gt;Exame",B2:G2,"&lt;&gt;exame",B2:G2,"&lt;&gt;Nota",B2:G2,"&lt;&gt;Total"),"")</f>
        <v/>
      </c>
      <c r="I573" s="2" t="str">
        <f>IF(AND(A573&lt;&gt;"",H573&lt;&gt;""),ROUND(H573,0),"")</f>
        <v/>
      </c>
    </row>
    <row r="574" spans="2:9" x14ac:dyDescent="0.3">
      <c r="B574" s="2" t="str">
        <f>IF(A574&lt;&gt;"",VLOOKUP(Alunos!A574,Exame!A3:C1000,3, FALSE),"")</f>
        <v/>
      </c>
      <c r="C574" s="2" t="str">
        <f>IF(A574&lt;&gt;"",VLOOKUP(Alunos!A574,Agrupamentos!A3:B1000,2, FALSE),"")</f>
        <v/>
      </c>
      <c r="D574" s="2" t="str">
        <f>IF(A574&lt;&gt;"",VLOOKUP(Alunos!C574,'TP1'!A3:C1000,3, FALSE),"")</f>
        <v/>
      </c>
      <c r="E574" s="2" t="str">
        <f>IF(A574&lt;&gt;"", SUMIF(B1:D1,"&lt;&gt;",B574:D574),"")</f>
        <v/>
      </c>
      <c r="F574" s="2" t="str">
        <f>IF(AND(A574&lt;&gt;"",E574&lt;&gt;""),ROUND(E574,0),"")</f>
        <v/>
      </c>
      <c r="G574" s="2" t="str">
        <f>IF(A574&lt;&gt;"",VLOOKUP(Alunos!A574,Recurso!A3:C1000,3, FALSE),"")</f>
        <v/>
      </c>
      <c r="H574" s="2" t="str">
        <f>IF(OR(A574&lt;&gt;"",G574&lt;&gt;""), SUMIFS(B574:G574,B1:G1,"&lt;&gt;",B2:G2,"&lt;&gt;Exame",B2:G2,"&lt;&gt;exame",B2:G2,"&lt;&gt;Nota",B2:G2,"&lt;&gt;Total"),"")</f>
        <v/>
      </c>
      <c r="I574" s="2" t="str">
        <f>IF(AND(A574&lt;&gt;"",H574&lt;&gt;""),ROUND(H574,0),"")</f>
        <v/>
      </c>
    </row>
    <row r="575" spans="2:9" x14ac:dyDescent="0.3">
      <c r="B575" s="2" t="str">
        <f>IF(A575&lt;&gt;"",VLOOKUP(Alunos!A575,Exame!A3:C1000,3, FALSE),"")</f>
        <v/>
      </c>
      <c r="C575" s="2" t="str">
        <f>IF(A575&lt;&gt;"",VLOOKUP(Alunos!A575,Agrupamentos!A3:B1000,2, FALSE),"")</f>
        <v/>
      </c>
      <c r="D575" s="2" t="str">
        <f>IF(A575&lt;&gt;"",VLOOKUP(Alunos!C575,'TP1'!A3:C1000,3, FALSE),"")</f>
        <v/>
      </c>
      <c r="E575" s="2" t="str">
        <f>IF(A575&lt;&gt;"", SUMIF(B1:D1,"&lt;&gt;",B575:D575),"")</f>
        <v/>
      </c>
      <c r="F575" s="2" t="str">
        <f>IF(AND(A575&lt;&gt;"",E575&lt;&gt;""),ROUND(E575,0),"")</f>
        <v/>
      </c>
      <c r="G575" s="2" t="str">
        <f>IF(A575&lt;&gt;"",VLOOKUP(Alunos!A575,Recurso!A3:C1000,3, FALSE),"")</f>
        <v/>
      </c>
      <c r="H575" s="2" t="str">
        <f>IF(OR(A575&lt;&gt;"",G575&lt;&gt;""), SUMIFS(B575:G575,B1:G1,"&lt;&gt;",B2:G2,"&lt;&gt;Exame",B2:G2,"&lt;&gt;exame",B2:G2,"&lt;&gt;Nota",B2:G2,"&lt;&gt;Total"),"")</f>
        <v/>
      </c>
      <c r="I575" s="2" t="str">
        <f>IF(AND(A575&lt;&gt;"",H575&lt;&gt;""),ROUND(H575,0),"")</f>
        <v/>
      </c>
    </row>
    <row r="576" spans="2:9" x14ac:dyDescent="0.3">
      <c r="B576" s="2" t="str">
        <f>IF(A576&lt;&gt;"",VLOOKUP(Alunos!A576,Exame!A3:C1000,3, FALSE),"")</f>
        <v/>
      </c>
      <c r="C576" s="2" t="str">
        <f>IF(A576&lt;&gt;"",VLOOKUP(Alunos!A576,Agrupamentos!A3:B1000,2, FALSE),"")</f>
        <v/>
      </c>
      <c r="D576" s="2" t="str">
        <f>IF(A576&lt;&gt;"",VLOOKUP(Alunos!C576,'TP1'!A3:C1000,3, FALSE),"")</f>
        <v/>
      </c>
      <c r="E576" s="2" t="str">
        <f>IF(A576&lt;&gt;"", SUMIF(B1:D1,"&lt;&gt;",B576:D576),"")</f>
        <v/>
      </c>
      <c r="F576" s="2" t="str">
        <f>IF(AND(A576&lt;&gt;"",E576&lt;&gt;""),ROUND(E576,0),"")</f>
        <v/>
      </c>
      <c r="G576" s="2" t="str">
        <f>IF(A576&lt;&gt;"",VLOOKUP(Alunos!A576,Recurso!A3:C1000,3, FALSE),"")</f>
        <v/>
      </c>
      <c r="H576" s="2" t="str">
        <f>IF(OR(A576&lt;&gt;"",G576&lt;&gt;""), SUMIFS(B576:G576,B1:G1,"&lt;&gt;",B2:G2,"&lt;&gt;Exame",B2:G2,"&lt;&gt;exame",B2:G2,"&lt;&gt;Nota",B2:G2,"&lt;&gt;Total"),"")</f>
        <v/>
      </c>
      <c r="I576" s="2" t="str">
        <f>IF(AND(A576&lt;&gt;"",H576&lt;&gt;""),ROUND(H576,0),"")</f>
        <v/>
      </c>
    </row>
    <row r="577" spans="2:9" x14ac:dyDescent="0.3">
      <c r="B577" s="2" t="str">
        <f>IF(A577&lt;&gt;"",VLOOKUP(Alunos!A577,Exame!A3:C1000,3, FALSE),"")</f>
        <v/>
      </c>
      <c r="C577" s="2" t="str">
        <f>IF(A577&lt;&gt;"",VLOOKUP(Alunos!A577,Agrupamentos!A3:B1000,2, FALSE),"")</f>
        <v/>
      </c>
      <c r="D577" s="2" t="str">
        <f>IF(A577&lt;&gt;"",VLOOKUP(Alunos!C577,'TP1'!A3:C1000,3, FALSE),"")</f>
        <v/>
      </c>
      <c r="E577" s="2" t="str">
        <f>IF(A577&lt;&gt;"", SUMIF(B1:D1,"&lt;&gt;",B577:D577),"")</f>
        <v/>
      </c>
      <c r="F577" s="2" t="str">
        <f>IF(AND(A577&lt;&gt;"",E577&lt;&gt;""),ROUND(E577,0),"")</f>
        <v/>
      </c>
      <c r="G577" s="2" t="str">
        <f>IF(A577&lt;&gt;"",VLOOKUP(Alunos!A577,Recurso!A3:C1000,3, FALSE),"")</f>
        <v/>
      </c>
      <c r="H577" s="2" t="str">
        <f>IF(OR(A577&lt;&gt;"",G577&lt;&gt;""), SUMIFS(B577:G577,B1:G1,"&lt;&gt;",B2:G2,"&lt;&gt;Exame",B2:G2,"&lt;&gt;exame",B2:G2,"&lt;&gt;Nota",B2:G2,"&lt;&gt;Total"),"")</f>
        <v/>
      </c>
      <c r="I577" s="2" t="str">
        <f>IF(AND(A577&lt;&gt;"",H577&lt;&gt;""),ROUND(H577,0),"")</f>
        <v/>
      </c>
    </row>
    <row r="578" spans="2:9" x14ac:dyDescent="0.3">
      <c r="B578" s="2" t="str">
        <f>IF(A578&lt;&gt;"",VLOOKUP(Alunos!A578,Exame!A3:C1000,3, FALSE),"")</f>
        <v/>
      </c>
      <c r="C578" s="2" t="str">
        <f>IF(A578&lt;&gt;"",VLOOKUP(Alunos!A578,Agrupamentos!A3:B1000,2, FALSE),"")</f>
        <v/>
      </c>
      <c r="D578" s="2" t="str">
        <f>IF(A578&lt;&gt;"",VLOOKUP(Alunos!C578,'TP1'!A3:C1000,3, FALSE),"")</f>
        <v/>
      </c>
      <c r="E578" s="2" t="str">
        <f>IF(A578&lt;&gt;"", SUMIF(B1:D1,"&lt;&gt;",B578:D578),"")</f>
        <v/>
      </c>
      <c r="F578" s="2" t="str">
        <f>IF(AND(A578&lt;&gt;"",E578&lt;&gt;""),ROUND(E578,0),"")</f>
        <v/>
      </c>
      <c r="G578" s="2" t="str">
        <f>IF(A578&lt;&gt;"",VLOOKUP(Alunos!A578,Recurso!A3:C1000,3, FALSE),"")</f>
        <v/>
      </c>
      <c r="H578" s="2" t="str">
        <f>IF(OR(A578&lt;&gt;"",G578&lt;&gt;""), SUMIFS(B578:G578,B1:G1,"&lt;&gt;",B2:G2,"&lt;&gt;Exame",B2:G2,"&lt;&gt;exame",B2:G2,"&lt;&gt;Nota",B2:G2,"&lt;&gt;Total"),"")</f>
        <v/>
      </c>
      <c r="I578" s="2" t="str">
        <f>IF(AND(A578&lt;&gt;"",H578&lt;&gt;""),ROUND(H578,0),"")</f>
        <v/>
      </c>
    </row>
    <row r="579" spans="2:9" x14ac:dyDescent="0.3">
      <c r="B579" s="2" t="str">
        <f>IF(A579&lt;&gt;"",VLOOKUP(Alunos!A579,Exame!A3:C1000,3, FALSE),"")</f>
        <v/>
      </c>
      <c r="C579" s="2" t="str">
        <f>IF(A579&lt;&gt;"",VLOOKUP(Alunos!A579,Agrupamentos!A3:B1000,2, FALSE),"")</f>
        <v/>
      </c>
      <c r="D579" s="2" t="str">
        <f>IF(A579&lt;&gt;"",VLOOKUP(Alunos!C579,'TP1'!A3:C1000,3, FALSE),"")</f>
        <v/>
      </c>
      <c r="E579" s="2" t="str">
        <f>IF(A579&lt;&gt;"", SUMIF(B1:D1,"&lt;&gt;",B579:D579),"")</f>
        <v/>
      </c>
      <c r="F579" s="2" t="str">
        <f>IF(AND(A579&lt;&gt;"",E579&lt;&gt;""),ROUND(E579,0),"")</f>
        <v/>
      </c>
      <c r="G579" s="2" t="str">
        <f>IF(A579&lt;&gt;"",VLOOKUP(Alunos!A579,Recurso!A3:C1000,3, FALSE),"")</f>
        <v/>
      </c>
      <c r="H579" s="2" t="str">
        <f>IF(OR(A579&lt;&gt;"",G579&lt;&gt;""), SUMIFS(B579:G579,B1:G1,"&lt;&gt;",B2:G2,"&lt;&gt;Exame",B2:G2,"&lt;&gt;exame",B2:G2,"&lt;&gt;Nota",B2:G2,"&lt;&gt;Total"),"")</f>
        <v/>
      </c>
      <c r="I579" s="2" t="str">
        <f>IF(AND(A579&lt;&gt;"",H579&lt;&gt;""),ROUND(H579,0),"")</f>
        <v/>
      </c>
    </row>
    <row r="580" spans="2:9" x14ac:dyDescent="0.3">
      <c r="B580" s="2" t="str">
        <f>IF(A580&lt;&gt;"",VLOOKUP(Alunos!A580,Exame!A3:C1000,3, FALSE),"")</f>
        <v/>
      </c>
      <c r="C580" s="2" t="str">
        <f>IF(A580&lt;&gt;"",VLOOKUP(Alunos!A580,Agrupamentos!A3:B1000,2, FALSE),"")</f>
        <v/>
      </c>
      <c r="D580" s="2" t="str">
        <f>IF(A580&lt;&gt;"",VLOOKUP(Alunos!C580,'TP1'!A3:C1000,3, FALSE),"")</f>
        <v/>
      </c>
      <c r="E580" s="2" t="str">
        <f>IF(A580&lt;&gt;"", SUMIF(B1:D1,"&lt;&gt;",B580:D580),"")</f>
        <v/>
      </c>
      <c r="F580" s="2" t="str">
        <f>IF(AND(A580&lt;&gt;"",E580&lt;&gt;""),ROUND(E580,0),"")</f>
        <v/>
      </c>
      <c r="G580" s="2" t="str">
        <f>IF(A580&lt;&gt;"",VLOOKUP(Alunos!A580,Recurso!A3:C1000,3, FALSE),"")</f>
        <v/>
      </c>
      <c r="H580" s="2" t="str">
        <f>IF(OR(A580&lt;&gt;"",G580&lt;&gt;""), SUMIFS(B580:G580,B1:G1,"&lt;&gt;",B2:G2,"&lt;&gt;Exame",B2:G2,"&lt;&gt;exame",B2:G2,"&lt;&gt;Nota",B2:G2,"&lt;&gt;Total"),"")</f>
        <v/>
      </c>
      <c r="I580" s="2" t="str">
        <f>IF(AND(A580&lt;&gt;"",H580&lt;&gt;""),ROUND(H580,0),"")</f>
        <v/>
      </c>
    </row>
    <row r="581" spans="2:9" x14ac:dyDescent="0.3">
      <c r="B581" s="2" t="str">
        <f>IF(A581&lt;&gt;"",VLOOKUP(Alunos!A581,Exame!A3:C1000,3, FALSE),"")</f>
        <v/>
      </c>
      <c r="C581" s="2" t="str">
        <f>IF(A581&lt;&gt;"",VLOOKUP(Alunos!A581,Agrupamentos!A3:B1000,2, FALSE),"")</f>
        <v/>
      </c>
      <c r="D581" s="2" t="str">
        <f>IF(A581&lt;&gt;"",VLOOKUP(Alunos!C581,'TP1'!A3:C1000,3, FALSE),"")</f>
        <v/>
      </c>
      <c r="E581" s="2" t="str">
        <f>IF(A581&lt;&gt;"", SUMIF(B1:D1,"&lt;&gt;",B581:D581),"")</f>
        <v/>
      </c>
      <c r="F581" s="2" t="str">
        <f>IF(AND(A581&lt;&gt;"",E581&lt;&gt;""),ROUND(E581,0),"")</f>
        <v/>
      </c>
      <c r="G581" s="2" t="str">
        <f>IF(A581&lt;&gt;"",VLOOKUP(Alunos!A581,Recurso!A3:C1000,3, FALSE),"")</f>
        <v/>
      </c>
      <c r="H581" s="2" t="str">
        <f>IF(OR(A581&lt;&gt;"",G581&lt;&gt;""), SUMIFS(B581:G581,B1:G1,"&lt;&gt;",B2:G2,"&lt;&gt;Exame",B2:G2,"&lt;&gt;exame",B2:G2,"&lt;&gt;Nota",B2:G2,"&lt;&gt;Total"),"")</f>
        <v/>
      </c>
      <c r="I581" s="2" t="str">
        <f>IF(AND(A581&lt;&gt;"",H581&lt;&gt;""),ROUND(H581,0),"")</f>
        <v/>
      </c>
    </row>
    <row r="582" spans="2:9" x14ac:dyDescent="0.3">
      <c r="B582" s="2" t="str">
        <f>IF(A582&lt;&gt;"",VLOOKUP(Alunos!A582,Exame!A3:C1000,3, FALSE),"")</f>
        <v/>
      </c>
      <c r="C582" s="2" t="str">
        <f>IF(A582&lt;&gt;"",VLOOKUP(Alunos!A582,Agrupamentos!A3:B1000,2, FALSE),"")</f>
        <v/>
      </c>
      <c r="D582" s="2" t="str">
        <f>IF(A582&lt;&gt;"",VLOOKUP(Alunos!C582,'TP1'!A3:C1000,3, FALSE),"")</f>
        <v/>
      </c>
      <c r="E582" s="2" t="str">
        <f>IF(A582&lt;&gt;"", SUMIF(B1:D1,"&lt;&gt;",B582:D582),"")</f>
        <v/>
      </c>
      <c r="F582" s="2" t="str">
        <f>IF(AND(A582&lt;&gt;"",E582&lt;&gt;""),ROUND(E582,0),"")</f>
        <v/>
      </c>
      <c r="G582" s="2" t="str">
        <f>IF(A582&lt;&gt;"",VLOOKUP(Alunos!A582,Recurso!A3:C1000,3, FALSE),"")</f>
        <v/>
      </c>
      <c r="H582" s="2" t="str">
        <f>IF(OR(A582&lt;&gt;"",G582&lt;&gt;""), SUMIFS(B582:G582,B1:G1,"&lt;&gt;",B2:G2,"&lt;&gt;Exame",B2:G2,"&lt;&gt;exame",B2:G2,"&lt;&gt;Nota",B2:G2,"&lt;&gt;Total"),"")</f>
        <v/>
      </c>
      <c r="I582" s="2" t="str">
        <f>IF(AND(A582&lt;&gt;"",H582&lt;&gt;""),ROUND(H582,0),"")</f>
        <v/>
      </c>
    </row>
    <row r="583" spans="2:9" x14ac:dyDescent="0.3">
      <c r="B583" s="2" t="str">
        <f>IF(A583&lt;&gt;"",VLOOKUP(Alunos!A583,Exame!A3:C1000,3, FALSE),"")</f>
        <v/>
      </c>
      <c r="C583" s="2" t="str">
        <f>IF(A583&lt;&gt;"",VLOOKUP(Alunos!A583,Agrupamentos!A3:B1000,2, FALSE),"")</f>
        <v/>
      </c>
      <c r="D583" s="2" t="str">
        <f>IF(A583&lt;&gt;"",VLOOKUP(Alunos!C583,'TP1'!A3:C1000,3, FALSE),"")</f>
        <v/>
      </c>
      <c r="E583" s="2" t="str">
        <f>IF(A583&lt;&gt;"", SUMIF(B1:D1,"&lt;&gt;",B583:D583),"")</f>
        <v/>
      </c>
      <c r="F583" s="2" t="str">
        <f>IF(AND(A583&lt;&gt;"",E583&lt;&gt;""),ROUND(E583,0),"")</f>
        <v/>
      </c>
      <c r="G583" s="2" t="str">
        <f>IF(A583&lt;&gt;"",VLOOKUP(Alunos!A583,Recurso!A3:C1000,3, FALSE),"")</f>
        <v/>
      </c>
      <c r="H583" s="2" t="str">
        <f>IF(OR(A583&lt;&gt;"",G583&lt;&gt;""), SUMIFS(B583:G583,B1:G1,"&lt;&gt;",B2:G2,"&lt;&gt;Exame",B2:G2,"&lt;&gt;exame",B2:G2,"&lt;&gt;Nota",B2:G2,"&lt;&gt;Total"),"")</f>
        <v/>
      </c>
      <c r="I583" s="2" t="str">
        <f>IF(AND(A583&lt;&gt;"",H583&lt;&gt;""),ROUND(H583,0),"")</f>
        <v/>
      </c>
    </row>
    <row r="584" spans="2:9" x14ac:dyDescent="0.3">
      <c r="B584" s="2" t="str">
        <f>IF(A584&lt;&gt;"",VLOOKUP(Alunos!A584,Exame!A3:C1000,3, FALSE),"")</f>
        <v/>
      </c>
      <c r="C584" s="2" t="str">
        <f>IF(A584&lt;&gt;"",VLOOKUP(Alunos!A584,Agrupamentos!A3:B1000,2, FALSE),"")</f>
        <v/>
      </c>
      <c r="D584" s="2" t="str">
        <f>IF(A584&lt;&gt;"",VLOOKUP(Alunos!C584,'TP1'!A3:C1000,3, FALSE),"")</f>
        <v/>
      </c>
      <c r="E584" s="2" t="str">
        <f>IF(A584&lt;&gt;"", SUMIF(B1:D1,"&lt;&gt;",B584:D584),"")</f>
        <v/>
      </c>
      <c r="F584" s="2" t="str">
        <f>IF(AND(A584&lt;&gt;"",E584&lt;&gt;""),ROUND(E584,0),"")</f>
        <v/>
      </c>
      <c r="G584" s="2" t="str">
        <f>IF(A584&lt;&gt;"",VLOOKUP(Alunos!A584,Recurso!A3:C1000,3, FALSE),"")</f>
        <v/>
      </c>
      <c r="H584" s="2" t="str">
        <f>IF(OR(A584&lt;&gt;"",G584&lt;&gt;""), SUMIFS(B584:G584,B1:G1,"&lt;&gt;",B2:G2,"&lt;&gt;Exame",B2:G2,"&lt;&gt;exame",B2:G2,"&lt;&gt;Nota",B2:G2,"&lt;&gt;Total"),"")</f>
        <v/>
      </c>
      <c r="I584" s="2" t="str">
        <f>IF(AND(A584&lt;&gt;"",H584&lt;&gt;""),ROUND(H584,0),"")</f>
        <v/>
      </c>
    </row>
    <row r="585" spans="2:9" x14ac:dyDescent="0.3">
      <c r="B585" s="2" t="str">
        <f>IF(A585&lt;&gt;"",VLOOKUP(Alunos!A585,Exame!A3:C1000,3, FALSE),"")</f>
        <v/>
      </c>
      <c r="C585" s="2" t="str">
        <f>IF(A585&lt;&gt;"",VLOOKUP(Alunos!A585,Agrupamentos!A3:B1000,2, FALSE),"")</f>
        <v/>
      </c>
      <c r="D585" s="2" t="str">
        <f>IF(A585&lt;&gt;"",VLOOKUP(Alunos!C585,'TP1'!A3:C1000,3, FALSE),"")</f>
        <v/>
      </c>
      <c r="E585" s="2" t="str">
        <f>IF(A585&lt;&gt;"", SUMIF(B1:D1,"&lt;&gt;",B585:D585),"")</f>
        <v/>
      </c>
      <c r="F585" s="2" t="str">
        <f>IF(AND(A585&lt;&gt;"",E585&lt;&gt;""),ROUND(E585,0),"")</f>
        <v/>
      </c>
      <c r="G585" s="2" t="str">
        <f>IF(A585&lt;&gt;"",VLOOKUP(Alunos!A585,Recurso!A3:C1000,3, FALSE),"")</f>
        <v/>
      </c>
      <c r="H585" s="2" t="str">
        <f>IF(OR(A585&lt;&gt;"",G585&lt;&gt;""), SUMIFS(B585:G585,B1:G1,"&lt;&gt;",B2:G2,"&lt;&gt;Exame",B2:G2,"&lt;&gt;exame",B2:G2,"&lt;&gt;Nota",B2:G2,"&lt;&gt;Total"),"")</f>
        <v/>
      </c>
      <c r="I585" s="2" t="str">
        <f>IF(AND(A585&lt;&gt;"",H585&lt;&gt;""),ROUND(H585,0),"")</f>
        <v/>
      </c>
    </row>
    <row r="586" spans="2:9" x14ac:dyDescent="0.3">
      <c r="B586" s="2" t="str">
        <f>IF(A586&lt;&gt;"",VLOOKUP(Alunos!A586,Exame!A3:C1000,3, FALSE),"")</f>
        <v/>
      </c>
      <c r="C586" s="2" t="str">
        <f>IF(A586&lt;&gt;"",VLOOKUP(Alunos!A586,Agrupamentos!A3:B1000,2, FALSE),"")</f>
        <v/>
      </c>
      <c r="D586" s="2" t="str">
        <f>IF(A586&lt;&gt;"",VLOOKUP(Alunos!C586,'TP1'!A3:C1000,3, FALSE),"")</f>
        <v/>
      </c>
      <c r="E586" s="2" t="str">
        <f>IF(A586&lt;&gt;"", SUMIF(B1:D1,"&lt;&gt;",B586:D586),"")</f>
        <v/>
      </c>
      <c r="F586" s="2" t="str">
        <f>IF(AND(A586&lt;&gt;"",E586&lt;&gt;""),ROUND(E586,0),"")</f>
        <v/>
      </c>
      <c r="G586" s="2" t="str">
        <f>IF(A586&lt;&gt;"",VLOOKUP(Alunos!A586,Recurso!A3:C1000,3, FALSE),"")</f>
        <v/>
      </c>
      <c r="H586" s="2" t="str">
        <f>IF(OR(A586&lt;&gt;"",G586&lt;&gt;""), SUMIFS(B586:G586,B1:G1,"&lt;&gt;",B2:G2,"&lt;&gt;Exame",B2:G2,"&lt;&gt;exame",B2:G2,"&lt;&gt;Nota",B2:G2,"&lt;&gt;Total"),"")</f>
        <v/>
      </c>
      <c r="I586" s="2" t="str">
        <f>IF(AND(A586&lt;&gt;"",H586&lt;&gt;""),ROUND(H586,0),"")</f>
        <v/>
      </c>
    </row>
    <row r="587" spans="2:9" x14ac:dyDescent="0.3">
      <c r="B587" s="2" t="str">
        <f>IF(A587&lt;&gt;"",VLOOKUP(Alunos!A587,Exame!A3:C1000,3, FALSE),"")</f>
        <v/>
      </c>
      <c r="C587" s="2" t="str">
        <f>IF(A587&lt;&gt;"",VLOOKUP(Alunos!A587,Agrupamentos!A3:B1000,2, FALSE),"")</f>
        <v/>
      </c>
      <c r="D587" s="2" t="str">
        <f>IF(A587&lt;&gt;"",VLOOKUP(Alunos!C587,'TP1'!A3:C1000,3, FALSE),"")</f>
        <v/>
      </c>
      <c r="E587" s="2" t="str">
        <f>IF(A587&lt;&gt;"", SUMIF(B1:D1,"&lt;&gt;",B587:D587),"")</f>
        <v/>
      </c>
      <c r="F587" s="2" t="str">
        <f>IF(AND(A587&lt;&gt;"",E587&lt;&gt;""),ROUND(E587,0),"")</f>
        <v/>
      </c>
      <c r="G587" s="2" t="str">
        <f>IF(A587&lt;&gt;"",VLOOKUP(Alunos!A587,Recurso!A3:C1000,3, FALSE),"")</f>
        <v/>
      </c>
      <c r="H587" s="2" t="str">
        <f>IF(OR(A587&lt;&gt;"",G587&lt;&gt;""), SUMIFS(B587:G587,B1:G1,"&lt;&gt;",B2:G2,"&lt;&gt;Exame",B2:G2,"&lt;&gt;exame",B2:G2,"&lt;&gt;Nota",B2:G2,"&lt;&gt;Total"),"")</f>
        <v/>
      </c>
      <c r="I587" s="2" t="str">
        <f>IF(AND(A587&lt;&gt;"",H587&lt;&gt;""),ROUND(H587,0),"")</f>
        <v/>
      </c>
    </row>
    <row r="588" spans="2:9" x14ac:dyDescent="0.3">
      <c r="B588" s="2" t="str">
        <f>IF(A588&lt;&gt;"",VLOOKUP(Alunos!A588,Exame!A3:C1000,3, FALSE),"")</f>
        <v/>
      </c>
      <c r="C588" s="2" t="str">
        <f>IF(A588&lt;&gt;"",VLOOKUP(Alunos!A588,Agrupamentos!A3:B1000,2, FALSE),"")</f>
        <v/>
      </c>
      <c r="D588" s="2" t="str">
        <f>IF(A588&lt;&gt;"",VLOOKUP(Alunos!C588,'TP1'!A3:C1000,3, FALSE),"")</f>
        <v/>
      </c>
      <c r="E588" s="2" t="str">
        <f>IF(A588&lt;&gt;"", SUMIF(B1:D1,"&lt;&gt;",B588:D588),"")</f>
        <v/>
      </c>
      <c r="F588" s="2" t="str">
        <f>IF(AND(A588&lt;&gt;"",E588&lt;&gt;""),ROUND(E588,0),"")</f>
        <v/>
      </c>
      <c r="G588" s="2" t="str">
        <f>IF(A588&lt;&gt;"",VLOOKUP(Alunos!A588,Recurso!A3:C1000,3, FALSE),"")</f>
        <v/>
      </c>
      <c r="H588" s="2" t="str">
        <f>IF(OR(A588&lt;&gt;"",G588&lt;&gt;""), SUMIFS(B588:G588,B1:G1,"&lt;&gt;",B2:G2,"&lt;&gt;Exame",B2:G2,"&lt;&gt;exame",B2:G2,"&lt;&gt;Nota",B2:G2,"&lt;&gt;Total"),"")</f>
        <v/>
      </c>
      <c r="I588" s="2" t="str">
        <f>IF(AND(A588&lt;&gt;"",H588&lt;&gt;""),ROUND(H588,0),"")</f>
        <v/>
      </c>
    </row>
    <row r="589" spans="2:9" x14ac:dyDescent="0.3">
      <c r="B589" s="2" t="str">
        <f>IF(A589&lt;&gt;"",VLOOKUP(Alunos!A589,Exame!A3:C1000,3, FALSE),"")</f>
        <v/>
      </c>
      <c r="C589" s="2" t="str">
        <f>IF(A589&lt;&gt;"",VLOOKUP(Alunos!A589,Agrupamentos!A3:B1000,2, FALSE),"")</f>
        <v/>
      </c>
      <c r="D589" s="2" t="str">
        <f>IF(A589&lt;&gt;"",VLOOKUP(Alunos!C589,'TP1'!A3:C1000,3, FALSE),"")</f>
        <v/>
      </c>
      <c r="E589" s="2" t="str">
        <f>IF(A589&lt;&gt;"", SUMIF(B1:D1,"&lt;&gt;",B589:D589),"")</f>
        <v/>
      </c>
      <c r="F589" s="2" t="str">
        <f>IF(AND(A589&lt;&gt;"",E589&lt;&gt;""),ROUND(E589,0),"")</f>
        <v/>
      </c>
      <c r="G589" s="2" t="str">
        <f>IF(A589&lt;&gt;"",VLOOKUP(Alunos!A589,Recurso!A3:C1000,3, FALSE),"")</f>
        <v/>
      </c>
      <c r="H589" s="2" t="str">
        <f>IF(OR(A589&lt;&gt;"",G589&lt;&gt;""), SUMIFS(B589:G589,B1:G1,"&lt;&gt;",B2:G2,"&lt;&gt;Exame",B2:G2,"&lt;&gt;exame",B2:G2,"&lt;&gt;Nota",B2:G2,"&lt;&gt;Total"),"")</f>
        <v/>
      </c>
      <c r="I589" s="2" t="str">
        <f>IF(AND(A589&lt;&gt;"",H589&lt;&gt;""),ROUND(H589,0),"")</f>
        <v/>
      </c>
    </row>
    <row r="590" spans="2:9" x14ac:dyDescent="0.3">
      <c r="B590" s="2" t="str">
        <f>IF(A590&lt;&gt;"",VLOOKUP(Alunos!A590,Exame!A3:C1000,3, FALSE),"")</f>
        <v/>
      </c>
      <c r="C590" s="2" t="str">
        <f>IF(A590&lt;&gt;"",VLOOKUP(Alunos!A590,Agrupamentos!A3:B1000,2, FALSE),"")</f>
        <v/>
      </c>
      <c r="D590" s="2" t="str">
        <f>IF(A590&lt;&gt;"",VLOOKUP(Alunos!C590,'TP1'!A3:C1000,3, FALSE),"")</f>
        <v/>
      </c>
      <c r="E590" s="2" t="str">
        <f>IF(A590&lt;&gt;"", SUMIF(B1:D1,"&lt;&gt;",B590:D590),"")</f>
        <v/>
      </c>
      <c r="F590" s="2" t="str">
        <f>IF(AND(A590&lt;&gt;"",E590&lt;&gt;""),ROUND(E590,0),"")</f>
        <v/>
      </c>
      <c r="G590" s="2" t="str">
        <f>IF(A590&lt;&gt;"",VLOOKUP(Alunos!A590,Recurso!A3:C1000,3, FALSE),"")</f>
        <v/>
      </c>
      <c r="H590" s="2" t="str">
        <f>IF(OR(A590&lt;&gt;"",G590&lt;&gt;""), SUMIFS(B590:G590,B1:G1,"&lt;&gt;",B2:G2,"&lt;&gt;Exame",B2:G2,"&lt;&gt;exame",B2:G2,"&lt;&gt;Nota",B2:G2,"&lt;&gt;Total"),"")</f>
        <v/>
      </c>
      <c r="I590" s="2" t="str">
        <f>IF(AND(A590&lt;&gt;"",H590&lt;&gt;""),ROUND(H590,0),"")</f>
        <v/>
      </c>
    </row>
    <row r="591" spans="2:9" x14ac:dyDescent="0.3">
      <c r="B591" s="2" t="str">
        <f>IF(A591&lt;&gt;"",VLOOKUP(Alunos!A591,Exame!A3:C1000,3, FALSE),"")</f>
        <v/>
      </c>
      <c r="C591" s="2" t="str">
        <f>IF(A591&lt;&gt;"",VLOOKUP(Alunos!A591,Agrupamentos!A3:B1000,2, FALSE),"")</f>
        <v/>
      </c>
      <c r="D591" s="2" t="str">
        <f>IF(A591&lt;&gt;"",VLOOKUP(Alunos!C591,'TP1'!A3:C1000,3, FALSE),"")</f>
        <v/>
      </c>
      <c r="E591" s="2" t="str">
        <f>IF(A591&lt;&gt;"", SUMIF(B1:D1,"&lt;&gt;",B591:D591),"")</f>
        <v/>
      </c>
      <c r="F591" s="2" t="str">
        <f>IF(AND(A591&lt;&gt;"",E591&lt;&gt;""),ROUND(E591,0),"")</f>
        <v/>
      </c>
      <c r="G591" s="2" t="str">
        <f>IF(A591&lt;&gt;"",VLOOKUP(Alunos!A591,Recurso!A3:C1000,3, FALSE),"")</f>
        <v/>
      </c>
      <c r="H591" s="2" t="str">
        <f>IF(OR(A591&lt;&gt;"",G591&lt;&gt;""), SUMIFS(B591:G591,B1:G1,"&lt;&gt;",B2:G2,"&lt;&gt;Exame",B2:G2,"&lt;&gt;exame",B2:G2,"&lt;&gt;Nota",B2:G2,"&lt;&gt;Total"),"")</f>
        <v/>
      </c>
      <c r="I591" s="2" t="str">
        <f>IF(AND(A591&lt;&gt;"",H591&lt;&gt;""),ROUND(H591,0),"")</f>
        <v/>
      </c>
    </row>
    <row r="592" spans="2:9" x14ac:dyDescent="0.3">
      <c r="B592" s="2" t="str">
        <f>IF(A592&lt;&gt;"",VLOOKUP(Alunos!A592,Exame!A3:C1000,3, FALSE),"")</f>
        <v/>
      </c>
      <c r="C592" s="2" t="str">
        <f>IF(A592&lt;&gt;"",VLOOKUP(Alunos!A592,Agrupamentos!A3:B1000,2, FALSE),"")</f>
        <v/>
      </c>
      <c r="D592" s="2" t="str">
        <f>IF(A592&lt;&gt;"",VLOOKUP(Alunos!C592,'TP1'!A3:C1000,3, FALSE),"")</f>
        <v/>
      </c>
      <c r="E592" s="2" t="str">
        <f>IF(A592&lt;&gt;"", SUMIF(B1:D1,"&lt;&gt;",B592:D592),"")</f>
        <v/>
      </c>
      <c r="F592" s="2" t="str">
        <f>IF(AND(A592&lt;&gt;"",E592&lt;&gt;""),ROUND(E592,0),"")</f>
        <v/>
      </c>
      <c r="G592" s="2" t="str">
        <f>IF(A592&lt;&gt;"",VLOOKUP(Alunos!A592,Recurso!A3:C1000,3, FALSE),"")</f>
        <v/>
      </c>
      <c r="H592" s="2" t="str">
        <f>IF(OR(A592&lt;&gt;"",G592&lt;&gt;""), SUMIFS(B592:G592,B1:G1,"&lt;&gt;",B2:G2,"&lt;&gt;Exame",B2:G2,"&lt;&gt;exame",B2:G2,"&lt;&gt;Nota",B2:G2,"&lt;&gt;Total"),"")</f>
        <v/>
      </c>
      <c r="I592" s="2" t="str">
        <f>IF(AND(A592&lt;&gt;"",H592&lt;&gt;""),ROUND(H592,0),"")</f>
        <v/>
      </c>
    </row>
    <row r="593" spans="2:9" x14ac:dyDescent="0.3">
      <c r="B593" s="2" t="str">
        <f>IF(A593&lt;&gt;"",VLOOKUP(Alunos!A593,Exame!A3:C1000,3, FALSE),"")</f>
        <v/>
      </c>
      <c r="C593" s="2" t="str">
        <f>IF(A593&lt;&gt;"",VLOOKUP(Alunos!A593,Agrupamentos!A3:B1000,2, FALSE),"")</f>
        <v/>
      </c>
      <c r="D593" s="2" t="str">
        <f>IF(A593&lt;&gt;"",VLOOKUP(Alunos!C593,'TP1'!A3:C1000,3, FALSE),"")</f>
        <v/>
      </c>
      <c r="E593" s="2" t="str">
        <f>IF(A593&lt;&gt;"", SUMIF(B1:D1,"&lt;&gt;",B593:D593),"")</f>
        <v/>
      </c>
      <c r="F593" s="2" t="str">
        <f>IF(AND(A593&lt;&gt;"",E593&lt;&gt;""),ROUND(E593,0),"")</f>
        <v/>
      </c>
      <c r="G593" s="2" t="str">
        <f>IF(A593&lt;&gt;"",VLOOKUP(Alunos!A593,Recurso!A3:C1000,3, FALSE),"")</f>
        <v/>
      </c>
      <c r="H593" s="2" t="str">
        <f>IF(OR(A593&lt;&gt;"",G593&lt;&gt;""), SUMIFS(B593:G593,B1:G1,"&lt;&gt;",B2:G2,"&lt;&gt;Exame",B2:G2,"&lt;&gt;exame",B2:G2,"&lt;&gt;Nota",B2:G2,"&lt;&gt;Total"),"")</f>
        <v/>
      </c>
      <c r="I593" s="2" t="str">
        <f>IF(AND(A593&lt;&gt;"",H593&lt;&gt;""),ROUND(H593,0),"")</f>
        <v/>
      </c>
    </row>
    <row r="594" spans="2:9" x14ac:dyDescent="0.3">
      <c r="B594" s="2" t="str">
        <f>IF(A594&lt;&gt;"",VLOOKUP(Alunos!A594,Exame!A3:C1000,3, FALSE),"")</f>
        <v/>
      </c>
      <c r="C594" s="2" t="str">
        <f>IF(A594&lt;&gt;"",VLOOKUP(Alunos!A594,Agrupamentos!A3:B1000,2, FALSE),"")</f>
        <v/>
      </c>
      <c r="D594" s="2" t="str">
        <f>IF(A594&lt;&gt;"",VLOOKUP(Alunos!C594,'TP1'!A3:C1000,3, FALSE),"")</f>
        <v/>
      </c>
      <c r="E594" s="2" t="str">
        <f>IF(A594&lt;&gt;"", SUMIF(B1:D1,"&lt;&gt;",B594:D594),"")</f>
        <v/>
      </c>
      <c r="F594" s="2" t="str">
        <f>IF(AND(A594&lt;&gt;"",E594&lt;&gt;""),ROUND(E594,0),"")</f>
        <v/>
      </c>
      <c r="G594" s="2" t="str">
        <f>IF(A594&lt;&gt;"",VLOOKUP(Alunos!A594,Recurso!A3:C1000,3, FALSE),"")</f>
        <v/>
      </c>
      <c r="H594" s="2" t="str">
        <f>IF(OR(A594&lt;&gt;"",G594&lt;&gt;""), SUMIFS(B594:G594,B1:G1,"&lt;&gt;",B2:G2,"&lt;&gt;Exame",B2:G2,"&lt;&gt;exame",B2:G2,"&lt;&gt;Nota",B2:G2,"&lt;&gt;Total"),"")</f>
        <v/>
      </c>
      <c r="I594" s="2" t="str">
        <f>IF(AND(A594&lt;&gt;"",H594&lt;&gt;""),ROUND(H594,0),"")</f>
        <v/>
      </c>
    </row>
    <row r="595" spans="2:9" x14ac:dyDescent="0.3">
      <c r="B595" s="2" t="str">
        <f>IF(A595&lt;&gt;"",VLOOKUP(Alunos!A595,Exame!A3:C1000,3, FALSE),"")</f>
        <v/>
      </c>
      <c r="C595" s="2" t="str">
        <f>IF(A595&lt;&gt;"",VLOOKUP(Alunos!A595,Agrupamentos!A3:B1000,2, FALSE),"")</f>
        <v/>
      </c>
      <c r="D595" s="2" t="str">
        <f>IF(A595&lt;&gt;"",VLOOKUP(Alunos!C595,'TP1'!A3:C1000,3, FALSE),"")</f>
        <v/>
      </c>
      <c r="E595" s="2" t="str">
        <f>IF(A595&lt;&gt;"", SUMIF(B1:D1,"&lt;&gt;",B595:D595),"")</f>
        <v/>
      </c>
      <c r="F595" s="2" t="str">
        <f>IF(AND(A595&lt;&gt;"",E595&lt;&gt;""),ROUND(E595,0),"")</f>
        <v/>
      </c>
      <c r="G595" s="2" t="str">
        <f>IF(A595&lt;&gt;"",VLOOKUP(Alunos!A595,Recurso!A3:C1000,3, FALSE),"")</f>
        <v/>
      </c>
      <c r="H595" s="2" t="str">
        <f>IF(OR(A595&lt;&gt;"",G595&lt;&gt;""), SUMIFS(B595:G595,B1:G1,"&lt;&gt;",B2:G2,"&lt;&gt;Exame",B2:G2,"&lt;&gt;exame",B2:G2,"&lt;&gt;Nota",B2:G2,"&lt;&gt;Total"),"")</f>
        <v/>
      </c>
      <c r="I595" s="2" t="str">
        <f>IF(AND(A595&lt;&gt;"",H595&lt;&gt;""),ROUND(H595,0),"")</f>
        <v/>
      </c>
    </row>
    <row r="596" spans="2:9" x14ac:dyDescent="0.3">
      <c r="B596" s="2" t="str">
        <f>IF(A596&lt;&gt;"",VLOOKUP(Alunos!A596,Exame!A3:C1000,3, FALSE),"")</f>
        <v/>
      </c>
      <c r="C596" s="2" t="str">
        <f>IF(A596&lt;&gt;"",VLOOKUP(Alunos!A596,Agrupamentos!A3:B1000,2, FALSE),"")</f>
        <v/>
      </c>
      <c r="D596" s="2" t="str">
        <f>IF(A596&lt;&gt;"",VLOOKUP(Alunos!C596,'TP1'!A3:C1000,3, FALSE),"")</f>
        <v/>
      </c>
      <c r="E596" s="2" t="str">
        <f>IF(A596&lt;&gt;"", SUMIF(B1:D1,"&lt;&gt;",B596:D596),"")</f>
        <v/>
      </c>
      <c r="F596" s="2" t="str">
        <f>IF(AND(A596&lt;&gt;"",E596&lt;&gt;""),ROUND(E596,0),"")</f>
        <v/>
      </c>
      <c r="G596" s="2" t="str">
        <f>IF(A596&lt;&gt;"",VLOOKUP(Alunos!A596,Recurso!A3:C1000,3, FALSE),"")</f>
        <v/>
      </c>
      <c r="H596" s="2" t="str">
        <f>IF(OR(A596&lt;&gt;"",G596&lt;&gt;""), SUMIFS(B596:G596,B1:G1,"&lt;&gt;",B2:G2,"&lt;&gt;Exame",B2:G2,"&lt;&gt;exame",B2:G2,"&lt;&gt;Nota",B2:G2,"&lt;&gt;Total"),"")</f>
        <v/>
      </c>
      <c r="I596" s="2" t="str">
        <f>IF(AND(A596&lt;&gt;"",H596&lt;&gt;""),ROUND(H596,0),"")</f>
        <v/>
      </c>
    </row>
    <row r="597" spans="2:9" x14ac:dyDescent="0.3">
      <c r="B597" s="2" t="str">
        <f>IF(A597&lt;&gt;"",VLOOKUP(Alunos!A597,Exame!A3:C1000,3, FALSE),"")</f>
        <v/>
      </c>
      <c r="C597" s="2" t="str">
        <f>IF(A597&lt;&gt;"",VLOOKUP(Alunos!A597,Agrupamentos!A3:B1000,2, FALSE),"")</f>
        <v/>
      </c>
      <c r="D597" s="2" t="str">
        <f>IF(A597&lt;&gt;"",VLOOKUP(Alunos!C597,'TP1'!A3:C1000,3, FALSE),"")</f>
        <v/>
      </c>
      <c r="E597" s="2" t="str">
        <f>IF(A597&lt;&gt;"", SUMIF(B1:D1,"&lt;&gt;",B597:D597),"")</f>
        <v/>
      </c>
      <c r="F597" s="2" t="str">
        <f>IF(AND(A597&lt;&gt;"",E597&lt;&gt;""),ROUND(E597,0),"")</f>
        <v/>
      </c>
      <c r="G597" s="2" t="str">
        <f>IF(A597&lt;&gt;"",VLOOKUP(Alunos!A597,Recurso!A3:C1000,3, FALSE),"")</f>
        <v/>
      </c>
      <c r="H597" s="2" t="str">
        <f>IF(OR(A597&lt;&gt;"",G597&lt;&gt;""), SUMIFS(B597:G597,B1:G1,"&lt;&gt;",B2:G2,"&lt;&gt;Exame",B2:G2,"&lt;&gt;exame",B2:G2,"&lt;&gt;Nota",B2:G2,"&lt;&gt;Total"),"")</f>
        <v/>
      </c>
      <c r="I597" s="2" t="str">
        <f>IF(AND(A597&lt;&gt;"",H597&lt;&gt;""),ROUND(H597,0),"")</f>
        <v/>
      </c>
    </row>
    <row r="598" spans="2:9" x14ac:dyDescent="0.3">
      <c r="B598" s="2" t="str">
        <f>IF(A598&lt;&gt;"",VLOOKUP(Alunos!A598,Exame!A3:C1000,3, FALSE),"")</f>
        <v/>
      </c>
      <c r="C598" s="2" t="str">
        <f>IF(A598&lt;&gt;"",VLOOKUP(Alunos!A598,Agrupamentos!A3:B1000,2, FALSE),"")</f>
        <v/>
      </c>
      <c r="D598" s="2" t="str">
        <f>IF(A598&lt;&gt;"",VLOOKUP(Alunos!C598,'TP1'!A3:C1000,3, FALSE),"")</f>
        <v/>
      </c>
      <c r="E598" s="2" t="str">
        <f>IF(A598&lt;&gt;"", SUMIF(B1:D1,"&lt;&gt;",B598:D598),"")</f>
        <v/>
      </c>
      <c r="F598" s="2" t="str">
        <f>IF(AND(A598&lt;&gt;"",E598&lt;&gt;""),ROUND(E598,0),"")</f>
        <v/>
      </c>
      <c r="G598" s="2" t="str">
        <f>IF(A598&lt;&gt;"",VLOOKUP(Alunos!A598,Recurso!A3:C1000,3, FALSE),"")</f>
        <v/>
      </c>
      <c r="H598" s="2" t="str">
        <f>IF(OR(A598&lt;&gt;"",G598&lt;&gt;""), SUMIFS(B598:G598,B1:G1,"&lt;&gt;",B2:G2,"&lt;&gt;Exame",B2:G2,"&lt;&gt;exame",B2:G2,"&lt;&gt;Nota",B2:G2,"&lt;&gt;Total"),"")</f>
        <v/>
      </c>
      <c r="I598" s="2" t="str">
        <f>IF(AND(A598&lt;&gt;"",H598&lt;&gt;""),ROUND(H598,0),"")</f>
        <v/>
      </c>
    </row>
    <row r="599" spans="2:9" x14ac:dyDescent="0.3">
      <c r="B599" s="2" t="str">
        <f>IF(A599&lt;&gt;"",VLOOKUP(Alunos!A599,Exame!A3:C1000,3, FALSE),"")</f>
        <v/>
      </c>
      <c r="C599" s="2" t="str">
        <f>IF(A599&lt;&gt;"",VLOOKUP(Alunos!A599,Agrupamentos!A3:B1000,2, FALSE),"")</f>
        <v/>
      </c>
      <c r="D599" s="2" t="str">
        <f>IF(A599&lt;&gt;"",VLOOKUP(Alunos!C599,'TP1'!A3:C1000,3, FALSE),"")</f>
        <v/>
      </c>
      <c r="E599" s="2" t="str">
        <f>IF(A599&lt;&gt;"", SUMIF(B1:D1,"&lt;&gt;",B599:D599),"")</f>
        <v/>
      </c>
      <c r="F599" s="2" t="str">
        <f>IF(AND(A599&lt;&gt;"",E599&lt;&gt;""),ROUND(E599,0),"")</f>
        <v/>
      </c>
      <c r="G599" s="2" t="str">
        <f>IF(A599&lt;&gt;"",VLOOKUP(Alunos!A599,Recurso!A3:C1000,3, FALSE),"")</f>
        <v/>
      </c>
      <c r="H599" s="2" t="str">
        <f>IF(OR(A599&lt;&gt;"",G599&lt;&gt;""), SUMIFS(B599:G599,B1:G1,"&lt;&gt;",B2:G2,"&lt;&gt;Exame",B2:G2,"&lt;&gt;exame",B2:G2,"&lt;&gt;Nota",B2:G2,"&lt;&gt;Total"),"")</f>
        <v/>
      </c>
      <c r="I599" s="2" t="str">
        <f>IF(AND(A599&lt;&gt;"",H599&lt;&gt;""),ROUND(H599,0),"")</f>
        <v/>
      </c>
    </row>
    <row r="600" spans="2:9" x14ac:dyDescent="0.3">
      <c r="B600" s="2" t="str">
        <f>IF(A600&lt;&gt;"",VLOOKUP(Alunos!A600,Exame!A3:C1000,3, FALSE),"")</f>
        <v/>
      </c>
      <c r="C600" s="2" t="str">
        <f>IF(A600&lt;&gt;"",VLOOKUP(Alunos!A600,Agrupamentos!A3:B1000,2, FALSE),"")</f>
        <v/>
      </c>
      <c r="D600" s="2" t="str">
        <f>IF(A600&lt;&gt;"",VLOOKUP(Alunos!C600,'TP1'!A3:C1000,3, FALSE),"")</f>
        <v/>
      </c>
      <c r="E600" s="2" t="str">
        <f>IF(A600&lt;&gt;"", SUMIF(B1:D1,"&lt;&gt;",B600:D600),"")</f>
        <v/>
      </c>
      <c r="F600" s="2" t="str">
        <f>IF(AND(A600&lt;&gt;"",E600&lt;&gt;""),ROUND(E600,0),"")</f>
        <v/>
      </c>
      <c r="G600" s="2" t="str">
        <f>IF(A600&lt;&gt;"",VLOOKUP(Alunos!A600,Recurso!A3:C1000,3, FALSE),"")</f>
        <v/>
      </c>
      <c r="H600" s="2" t="str">
        <f>IF(OR(A600&lt;&gt;"",G600&lt;&gt;""), SUMIFS(B600:G600,B1:G1,"&lt;&gt;",B2:G2,"&lt;&gt;Exame",B2:G2,"&lt;&gt;exame",B2:G2,"&lt;&gt;Nota",B2:G2,"&lt;&gt;Total"),"")</f>
        <v/>
      </c>
      <c r="I600" s="2" t="str">
        <f>IF(AND(A600&lt;&gt;"",H600&lt;&gt;""),ROUND(H600,0),"")</f>
        <v/>
      </c>
    </row>
    <row r="601" spans="2:9" x14ac:dyDescent="0.3">
      <c r="B601" s="2" t="str">
        <f>IF(A601&lt;&gt;"",VLOOKUP(Alunos!A601,Exame!A3:C1000,3, FALSE),"")</f>
        <v/>
      </c>
      <c r="C601" s="2" t="str">
        <f>IF(A601&lt;&gt;"",VLOOKUP(Alunos!A601,Agrupamentos!A3:B1000,2, FALSE),"")</f>
        <v/>
      </c>
      <c r="D601" s="2" t="str">
        <f>IF(A601&lt;&gt;"",VLOOKUP(Alunos!C601,'TP1'!A3:C1000,3, FALSE),"")</f>
        <v/>
      </c>
      <c r="E601" s="2" t="str">
        <f>IF(A601&lt;&gt;"", SUMIF(B1:D1,"&lt;&gt;",B601:D601),"")</f>
        <v/>
      </c>
      <c r="F601" s="2" t="str">
        <f>IF(AND(A601&lt;&gt;"",E601&lt;&gt;""),ROUND(E601,0),"")</f>
        <v/>
      </c>
      <c r="G601" s="2" t="str">
        <f>IF(A601&lt;&gt;"",VLOOKUP(Alunos!A601,Recurso!A3:C1000,3, FALSE),"")</f>
        <v/>
      </c>
      <c r="H601" s="2" t="str">
        <f>IF(OR(A601&lt;&gt;"",G601&lt;&gt;""), SUMIFS(B601:G601,B1:G1,"&lt;&gt;",B2:G2,"&lt;&gt;Exame",B2:G2,"&lt;&gt;exame",B2:G2,"&lt;&gt;Nota",B2:G2,"&lt;&gt;Total"),"")</f>
        <v/>
      </c>
      <c r="I601" s="2" t="str">
        <f>IF(AND(A601&lt;&gt;"",H601&lt;&gt;""),ROUND(H601,0),"")</f>
        <v/>
      </c>
    </row>
    <row r="602" spans="2:9" x14ac:dyDescent="0.3">
      <c r="B602" s="2" t="str">
        <f>IF(A602&lt;&gt;"",VLOOKUP(Alunos!A602,Exame!A3:C1000,3, FALSE),"")</f>
        <v/>
      </c>
      <c r="C602" s="2" t="str">
        <f>IF(A602&lt;&gt;"",VLOOKUP(Alunos!A602,Agrupamentos!A3:B1000,2, FALSE),"")</f>
        <v/>
      </c>
      <c r="D602" s="2" t="str">
        <f>IF(A602&lt;&gt;"",VLOOKUP(Alunos!C602,'TP1'!A3:C1000,3, FALSE),"")</f>
        <v/>
      </c>
      <c r="E602" s="2" t="str">
        <f>IF(A602&lt;&gt;"", SUMIF(B1:D1,"&lt;&gt;",B602:D602),"")</f>
        <v/>
      </c>
      <c r="F602" s="2" t="str">
        <f>IF(AND(A602&lt;&gt;"",E602&lt;&gt;""),ROUND(E602,0),"")</f>
        <v/>
      </c>
      <c r="G602" s="2" t="str">
        <f>IF(A602&lt;&gt;"",VLOOKUP(Alunos!A602,Recurso!A3:C1000,3, FALSE),"")</f>
        <v/>
      </c>
      <c r="H602" s="2" t="str">
        <f>IF(OR(A602&lt;&gt;"",G602&lt;&gt;""), SUMIFS(B602:G602,B1:G1,"&lt;&gt;",B2:G2,"&lt;&gt;Exame",B2:G2,"&lt;&gt;exame",B2:G2,"&lt;&gt;Nota",B2:G2,"&lt;&gt;Total"),"")</f>
        <v/>
      </c>
      <c r="I602" s="2" t="str">
        <f>IF(AND(A602&lt;&gt;"",H602&lt;&gt;""),ROUND(H602,0),"")</f>
        <v/>
      </c>
    </row>
    <row r="603" spans="2:9" x14ac:dyDescent="0.3">
      <c r="B603" s="2" t="str">
        <f>IF(A603&lt;&gt;"",VLOOKUP(Alunos!A603,Exame!A3:C1000,3, FALSE),"")</f>
        <v/>
      </c>
      <c r="C603" s="2" t="str">
        <f>IF(A603&lt;&gt;"",VLOOKUP(Alunos!A603,Agrupamentos!A3:B1000,2, FALSE),"")</f>
        <v/>
      </c>
      <c r="D603" s="2" t="str">
        <f>IF(A603&lt;&gt;"",VLOOKUP(Alunos!C603,'TP1'!A3:C1000,3, FALSE),"")</f>
        <v/>
      </c>
      <c r="E603" s="2" t="str">
        <f>IF(A603&lt;&gt;"", SUMIF(B1:D1,"&lt;&gt;",B603:D603),"")</f>
        <v/>
      </c>
      <c r="F603" s="2" t="str">
        <f>IF(AND(A603&lt;&gt;"",E603&lt;&gt;""),ROUND(E603,0),"")</f>
        <v/>
      </c>
      <c r="G603" s="2" t="str">
        <f>IF(A603&lt;&gt;"",VLOOKUP(Alunos!A603,Recurso!A3:C1000,3, FALSE),"")</f>
        <v/>
      </c>
      <c r="H603" s="2" t="str">
        <f>IF(OR(A603&lt;&gt;"",G603&lt;&gt;""), SUMIFS(B603:G603,B1:G1,"&lt;&gt;",B2:G2,"&lt;&gt;Exame",B2:G2,"&lt;&gt;exame",B2:G2,"&lt;&gt;Nota",B2:G2,"&lt;&gt;Total"),"")</f>
        <v/>
      </c>
      <c r="I603" s="2" t="str">
        <f>IF(AND(A603&lt;&gt;"",H603&lt;&gt;""),ROUND(H603,0),"")</f>
        <v/>
      </c>
    </row>
    <row r="604" spans="2:9" x14ac:dyDescent="0.3">
      <c r="B604" s="2" t="str">
        <f>IF(A604&lt;&gt;"",VLOOKUP(Alunos!A604,Exame!A3:C1000,3, FALSE),"")</f>
        <v/>
      </c>
      <c r="C604" s="2" t="str">
        <f>IF(A604&lt;&gt;"",VLOOKUP(Alunos!A604,Agrupamentos!A3:B1000,2, FALSE),"")</f>
        <v/>
      </c>
      <c r="D604" s="2" t="str">
        <f>IF(A604&lt;&gt;"",VLOOKUP(Alunos!C604,'TP1'!A3:C1000,3, FALSE),"")</f>
        <v/>
      </c>
      <c r="E604" s="2" t="str">
        <f>IF(A604&lt;&gt;"", SUMIF(B1:D1,"&lt;&gt;",B604:D604),"")</f>
        <v/>
      </c>
      <c r="F604" s="2" t="str">
        <f>IF(AND(A604&lt;&gt;"",E604&lt;&gt;""),ROUND(E604,0),"")</f>
        <v/>
      </c>
      <c r="G604" s="2" t="str">
        <f>IF(A604&lt;&gt;"",VLOOKUP(Alunos!A604,Recurso!A3:C1000,3, FALSE),"")</f>
        <v/>
      </c>
      <c r="H604" s="2" t="str">
        <f>IF(OR(A604&lt;&gt;"",G604&lt;&gt;""), SUMIFS(B604:G604,B1:G1,"&lt;&gt;",B2:G2,"&lt;&gt;Exame",B2:G2,"&lt;&gt;exame",B2:G2,"&lt;&gt;Nota",B2:G2,"&lt;&gt;Total"),"")</f>
        <v/>
      </c>
      <c r="I604" s="2" t="str">
        <f>IF(AND(A604&lt;&gt;"",H604&lt;&gt;""),ROUND(H604,0),"")</f>
        <v/>
      </c>
    </row>
    <row r="605" spans="2:9" x14ac:dyDescent="0.3">
      <c r="B605" s="2" t="str">
        <f>IF(A605&lt;&gt;"",VLOOKUP(Alunos!A605,Exame!A3:C1000,3, FALSE),"")</f>
        <v/>
      </c>
      <c r="C605" s="2" t="str">
        <f>IF(A605&lt;&gt;"",VLOOKUP(Alunos!A605,Agrupamentos!A3:B1000,2, FALSE),"")</f>
        <v/>
      </c>
      <c r="D605" s="2" t="str">
        <f>IF(A605&lt;&gt;"",VLOOKUP(Alunos!C605,'TP1'!A3:C1000,3, FALSE),"")</f>
        <v/>
      </c>
      <c r="E605" s="2" t="str">
        <f>IF(A605&lt;&gt;"", SUMIF(B1:D1,"&lt;&gt;",B605:D605),"")</f>
        <v/>
      </c>
      <c r="F605" s="2" t="str">
        <f>IF(AND(A605&lt;&gt;"",E605&lt;&gt;""),ROUND(E605,0),"")</f>
        <v/>
      </c>
      <c r="G605" s="2" t="str">
        <f>IF(A605&lt;&gt;"",VLOOKUP(Alunos!A605,Recurso!A3:C1000,3, FALSE),"")</f>
        <v/>
      </c>
      <c r="H605" s="2" t="str">
        <f>IF(OR(A605&lt;&gt;"",G605&lt;&gt;""), SUMIFS(B605:G605,B1:G1,"&lt;&gt;",B2:G2,"&lt;&gt;Exame",B2:G2,"&lt;&gt;exame",B2:G2,"&lt;&gt;Nota",B2:G2,"&lt;&gt;Total"),"")</f>
        <v/>
      </c>
      <c r="I605" s="2" t="str">
        <f>IF(AND(A605&lt;&gt;"",H605&lt;&gt;""),ROUND(H605,0),"")</f>
        <v/>
      </c>
    </row>
    <row r="606" spans="2:9" x14ac:dyDescent="0.3">
      <c r="B606" s="2" t="str">
        <f>IF(A606&lt;&gt;"",VLOOKUP(Alunos!A606,Exame!A3:C1000,3, FALSE),"")</f>
        <v/>
      </c>
      <c r="C606" s="2" t="str">
        <f>IF(A606&lt;&gt;"",VLOOKUP(Alunos!A606,Agrupamentos!A3:B1000,2, FALSE),"")</f>
        <v/>
      </c>
      <c r="D606" s="2" t="str">
        <f>IF(A606&lt;&gt;"",VLOOKUP(Alunos!C606,'TP1'!A3:C1000,3, FALSE),"")</f>
        <v/>
      </c>
      <c r="E606" s="2" t="str">
        <f>IF(A606&lt;&gt;"", SUMIF(B1:D1,"&lt;&gt;",B606:D606),"")</f>
        <v/>
      </c>
      <c r="F606" s="2" t="str">
        <f>IF(AND(A606&lt;&gt;"",E606&lt;&gt;""),ROUND(E606,0),"")</f>
        <v/>
      </c>
      <c r="G606" s="2" t="str">
        <f>IF(A606&lt;&gt;"",VLOOKUP(Alunos!A606,Recurso!A3:C1000,3, FALSE),"")</f>
        <v/>
      </c>
      <c r="H606" s="2" t="str">
        <f>IF(OR(A606&lt;&gt;"",G606&lt;&gt;""), SUMIFS(B606:G606,B1:G1,"&lt;&gt;",B2:G2,"&lt;&gt;Exame",B2:G2,"&lt;&gt;exame",B2:G2,"&lt;&gt;Nota",B2:G2,"&lt;&gt;Total"),"")</f>
        <v/>
      </c>
      <c r="I606" s="2" t="str">
        <f>IF(AND(A606&lt;&gt;"",H606&lt;&gt;""),ROUND(H606,0),"")</f>
        <v/>
      </c>
    </row>
    <row r="607" spans="2:9" x14ac:dyDescent="0.3">
      <c r="B607" s="2" t="str">
        <f>IF(A607&lt;&gt;"",VLOOKUP(Alunos!A607,Exame!A3:C1000,3, FALSE),"")</f>
        <v/>
      </c>
      <c r="C607" s="2" t="str">
        <f>IF(A607&lt;&gt;"",VLOOKUP(Alunos!A607,Agrupamentos!A3:B1000,2, FALSE),"")</f>
        <v/>
      </c>
      <c r="D607" s="2" t="str">
        <f>IF(A607&lt;&gt;"",VLOOKUP(Alunos!C607,'TP1'!A3:C1000,3, FALSE),"")</f>
        <v/>
      </c>
      <c r="E607" s="2" t="str">
        <f>IF(A607&lt;&gt;"", SUMIF(B1:D1,"&lt;&gt;",B607:D607),"")</f>
        <v/>
      </c>
      <c r="F607" s="2" t="str">
        <f>IF(AND(A607&lt;&gt;"",E607&lt;&gt;""),ROUND(E607,0),"")</f>
        <v/>
      </c>
      <c r="G607" s="2" t="str">
        <f>IF(A607&lt;&gt;"",VLOOKUP(Alunos!A607,Recurso!A3:C1000,3, FALSE),"")</f>
        <v/>
      </c>
      <c r="H607" s="2" t="str">
        <f>IF(OR(A607&lt;&gt;"",G607&lt;&gt;""), SUMIFS(B607:G607,B1:G1,"&lt;&gt;",B2:G2,"&lt;&gt;Exame",B2:G2,"&lt;&gt;exame",B2:G2,"&lt;&gt;Nota",B2:G2,"&lt;&gt;Total"),"")</f>
        <v/>
      </c>
      <c r="I607" s="2" t="str">
        <f>IF(AND(A607&lt;&gt;"",H607&lt;&gt;""),ROUND(H607,0),"")</f>
        <v/>
      </c>
    </row>
    <row r="608" spans="2:9" x14ac:dyDescent="0.3">
      <c r="B608" s="2" t="str">
        <f>IF(A608&lt;&gt;"",VLOOKUP(Alunos!A608,Exame!A3:C1000,3, FALSE),"")</f>
        <v/>
      </c>
      <c r="C608" s="2" t="str">
        <f>IF(A608&lt;&gt;"",VLOOKUP(Alunos!A608,Agrupamentos!A3:B1000,2, FALSE),"")</f>
        <v/>
      </c>
      <c r="D608" s="2" t="str">
        <f>IF(A608&lt;&gt;"",VLOOKUP(Alunos!C608,'TP1'!A3:C1000,3, FALSE),"")</f>
        <v/>
      </c>
      <c r="E608" s="2" t="str">
        <f>IF(A608&lt;&gt;"", SUMIF(B1:D1,"&lt;&gt;",B608:D608),"")</f>
        <v/>
      </c>
      <c r="F608" s="2" t="str">
        <f>IF(AND(A608&lt;&gt;"",E608&lt;&gt;""),ROUND(E608,0),"")</f>
        <v/>
      </c>
      <c r="G608" s="2" t="str">
        <f>IF(A608&lt;&gt;"",VLOOKUP(Alunos!A608,Recurso!A3:C1000,3, FALSE),"")</f>
        <v/>
      </c>
      <c r="H608" s="2" t="str">
        <f>IF(OR(A608&lt;&gt;"",G608&lt;&gt;""), SUMIFS(B608:G608,B1:G1,"&lt;&gt;",B2:G2,"&lt;&gt;Exame",B2:G2,"&lt;&gt;exame",B2:G2,"&lt;&gt;Nota",B2:G2,"&lt;&gt;Total"),"")</f>
        <v/>
      </c>
      <c r="I608" s="2" t="str">
        <f>IF(AND(A608&lt;&gt;"",H608&lt;&gt;""),ROUND(H608,0),"")</f>
        <v/>
      </c>
    </row>
    <row r="609" spans="2:9" x14ac:dyDescent="0.3">
      <c r="B609" s="2" t="str">
        <f>IF(A609&lt;&gt;"",VLOOKUP(Alunos!A609,Exame!A3:C1000,3, FALSE),"")</f>
        <v/>
      </c>
      <c r="C609" s="2" t="str">
        <f>IF(A609&lt;&gt;"",VLOOKUP(Alunos!A609,Agrupamentos!A3:B1000,2, FALSE),"")</f>
        <v/>
      </c>
      <c r="D609" s="2" t="str">
        <f>IF(A609&lt;&gt;"",VLOOKUP(Alunos!C609,'TP1'!A3:C1000,3, FALSE),"")</f>
        <v/>
      </c>
      <c r="E609" s="2" t="str">
        <f>IF(A609&lt;&gt;"", SUMIF(B1:D1,"&lt;&gt;",B609:D609),"")</f>
        <v/>
      </c>
      <c r="F609" s="2" t="str">
        <f>IF(AND(A609&lt;&gt;"",E609&lt;&gt;""),ROUND(E609,0),"")</f>
        <v/>
      </c>
      <c r="G609" s="2" t="str">
        <f>IF(A609&lt;&gt;"",VLOOKUP(Alunos!A609,Recurso!A3:C1000,3, FALSE),"")</f>
        <v/>
      </c>
      <c r="H609" s="2" t="str">
        <f>IF(OR(A609&lt;&gt;"",G609&lt;&gt;""), SUMIFS(B609:G609,B1:G1,"&lt;&gt;",B2:G2,"&lt;&gt;Exame",B2:G2,"&lt;&gt;exame",B2:G2,"&lt;&gt;Nota",B2:G2,"&lt;&gt;Total"),"")</f>
        <v/>
      </c>
      <c r="I609" s="2" t="str">
        <f>IF(AND(A609&lt;&gt;"",H609&lt;&gt;""),ROUND(H609,0),"")</f>
        <v/>
      </c>
    </row>
    <row r="610" spans="2:9" x14ac:dyDescent="0.3">
      <c r="B610" s="2" t="str">
        <f>IF(A610&lt;&gt;"",VLOOKUP(Alunos!A610,Exame!A3:C1000,3, FALSE),"")</f>
        <v/>
      </c>
      <c r="C610" s="2" t="str">
        <f>IF(A610&lt;&gt;"",VLOOKUP(Alunos!A610,Agrupamentos!A3:B1000,2, FALSE),"")</f>
        <v/>
      </c>
      <c r="D610" s="2" t="str">
        <f>IF(A610&lt;&gt;"",VLOOKUP(Alunos!C610,'TP1'!A3:C1000,3, FALSE),"")</f>
        <v/>
      </c>
      <c r="E610" s="2" t="str">
        <f>IF(A610&lt;&gt;"", SUMIF(B1:D1,"&lt;&gt;",B610:D610),"")</f>
        <v/>
      </c>
      <c r="F610" s="2" t="str">
        <f>IF(AND(A610&lt;&gt;"",E610&lt;&gt;""),ROUND(E610,0),"")</f>
        <v/>
      </c>
      <c r="G610" s="2" t="str">
        <f>IF(A610&lt;&gt;"",VLOOKUP(Alunos!A610,Recurso!A3:C1000,3, FALSE),"")</f>
        <v/>
      </c>
      <c r="H610" s="2" t="str">
        <f>IF(OR(A610&lt;&gt;"",G610&lt;&gt;""), SUMIFS(B610:G610,B1:G1,"&lt;&gt;",B2:G2,"&lt;&gt;Exame",B2:G2,"&lt;&gt;exame",B2:G2,"&lt;&gt;Nota",B2:G2,"&lt;&gt;Total"),"")</f>
        <v/>
      </c>
      <c r="I610" s="2" t="str">
        <f>IF(AND(A610&lt;&gt;"",H610&lt;&gt;""),ROUND(H610,0),"")</f>
        <v/>
      </c>
    </row>
    <row r="611" spans="2:9" x14ac:dyDescent="0.3">
      <c r="B611" s="2" t="str">
        <f>IF(A611&lt;&gt;"",VLOOKUP(Alunos!A611,Exame!A3:C1000,3, FALSE),"")</f>
        <v/>
      </c>
      <c r="C611" s="2" t="str">
        <f>IF(A611&lt;&gt;"",VLOOKUP(Alunos!A611,Agrupamentos!A3:B1000,2, FALSE),"")</f>
        <v/>
      </c>
      <c r="D611" s="2" t="str">
        <f>IF(A611&lt;&gt;"",VLOOKUP(Alunos!C611,'TP1'!A3:C1000,3, FALSE),"")</f>
        <v/>
      </c>
      <c r="E611" s="2" t="str">
        <f>IF(A611&lt;&gt;"", SUMIF(B1:D1,"&lt;&gt;",B611:D611),"")</f>
        <v/>
      </c>
      <c r="F611" s="2" t="str">
        <f>IF(AND(A611&lt;&gt;"",E611&lt;&gt;""),ROUND(E611,0),"")</f>
        <v/>
      </c>
      <c r="G611" s="2" t="str">
        <f>IF(A611&lt;&gt;"",VLOOKUP(Alunos!A611,Recurso!A3:C1000,3, FALSE),"")</f>
        <v/>
      </c>
      <c r="H611" s="2" t="str">
        <f>IF(OR(A611&lt;&gt;"",G611&lt;&gt;""), SUMIFS(B611:G611,B1:G1,"&lt;&gt;",B2:G2,"&lt;&gt;Exame",B2:G2,"&lt;&gt;exame",B2:G2,"&lt;&gt;Nota",B2:G2,"&lt;&gt;Total"),"")</f>
        <v/>
      </c>
      <c r="I611" s="2" t="str">
        <f>IF(AND(A611&lt;&gt;"",H611&lt;&gt;""),ROUND(H611,0),"")</f>
        <v/>
      </c>
    </row>
    <row r="612" spans="2:9" x14ac:dyDescent="0.3">
      <c r="B612" s="2" t="str">
        <f>IF(A612&lt;&gt;"",VLOOKUP(Alunos!A612,Exame!A3:C1000,3, FALSE),"")</f>
        <v/>
      </c>
      <c r="C612" s="2" t="str">
        <f>IF(A612&lt;&gt;"",VLOOKUP(Alunos!A612,Agrupamentos!A3:B1000,2, FALSE),"")</f>
        <v/>
      </c>
      <c r="D612" s="2" t="str">
        <f>IF(A612&lt;&gt;"",VLOOKUP(Alunos!C612,'TP1'!A3:C1000,3, FALSE),"")</f>
        <v/>
      </c>
      <c r="E612" s="2" t="str">
        <f>IF(A612&lt;&gt;"", SUMIF(B1:D1,"&lt;&gt;",B612:D612),"")</f>
        <v/>
      </c>
      <c r="F612" s="2" t="str">
        <f>IF(AND(A612&lt;&gt;"",E612&lt;&gt;""),ROUND(E612,0),"")</f>
        <v/>
      </c>
      <c r="G612" s="2" t="str">
        <f>IF(A612&lt;&gt;"",VLOOKUP(Alunos!A612,Recurso!A3:C1000,3, FALSE),"")</f>
        <v/>
      </c>
      <c r="H612" s="2" t="str">
        <f>IF(OR(A612&lt;&gt;"",G612&lt;&gt;""), SUMIFS(B612:G612,B1:G1,"&lt;&gt;",B2:G2,"&lt;&gt;Exame",B2:G2,"&lt;&gt;exame",B2:G2,"&lt;&gt;Nota",B2:G2,"&lt;&gt;Total"),"")</f>
        <v/>
      </c>
      <c r="I612" s="2" t="str">
        <f>IF(AND(A612&lt;&gt;"",H612&lt;&gt;""),ROUND(H612,0),"")</f>
        <v/>
      </c>
    </row>
    <row r="613" spans="2:9" x14ac:dyDescent="0.3">
      <c r="B613" s="2" t="str">
        <f>IF(A613&lt;&gt;"",VLOOKUP(Alunos!A613,Exame!A3:C1000,3, FALSE),"")</f>
        <v/>
      </c>
      <c r="C613" s="2" t="str">
        <f>IF(A613&lt;&gt;"",VLOOKUP(Alunos!A613,Agrupamentos!A3:B1000,2, FALSE),"")</f>
        <v/>
      </c>
      <c r="D613" s="2" t="str">
        <f>IF(A613&lt;&gt;"",VLOOKUP(Alunos!C613,'TP1'!A3:C1000,3, FALSE),"")</f>
        <v/>
      </c>
      <c r="E613" s="2" t="str">
        <f>IF(A613&lt;&gt;"", SUMIF(B1:D1,"&lt;&gt;",B613:D613),"")</f>
        <v/>
      </c>
      <c r="F613" s="2" t="str">
        <f>IF(AND(A613&lt;&gt;"",E613&lt;&gt;""),ROUND(E613,0),"")</f>
        <v/>
      </c>
      <c r="G613" s="2" t="str">
        <f>IF(A613&lt;&gt;"",VLOOKUP(Alunos!A613,Recurso!A3:C1000,3, FALSE),"")</f>
        <v/>
      </c>
      <c r="H613" s="2" t="str">
        <f>IF(OR(A613&lt;&gt;"",G613&lt;&gt;""), SUMIFS(B613:G613,B1:G1,"&lt;&gt;",B2:G2,"&lt;&gt;Exame",B2:G2,"&lt;&gt;exame",B2:G2,"&lt;&gt;Nota",B2:G2,"&lt;&gt;Total"),"")</f>
        <v/>
      </c>
      <c r="I613" s="2" t="str">
        <f>IF(AND(A613&lt;&gt;"",H613&lt;&gt;""),ROUND(H613,0),"")</f>
        <v/>
      </c>
    </row>
    <row r="614" spans="2:9" x14ac:dyDescent="0.3">
      <c r="B614" s="2" t="str">
        <f>IF(A614&lt;&gt;"",VLOOKUP(Alunos!A614,Exame!A3:C1000,3, FALSE),"")</f>
        <v/>
      </c>
      <c r="C614" s="2" t="str">
        <f>IF(A614&lt;&gt;"",VLOOKUP(Alunos!A614,Agrupamentos!A3:B1000,2, FALSE),"")</f>
        <v/>
      </c>
      <c r="D614" s="2" t="str">
        <f>IF(A614&lt;&gt;"",VLOOKUP(Alunos!C614,'TP1'!A3:C1000,3, FALSE),"")</f>
        <v/>
      </c>
      <c r="E614" s="2" t="str">
        <f>IF(A614&lt;&gt;"", SUMIF(B1:D1,"&lt;&gt;",B614:D614),"")</f>
        <v/>
      </c>
      <c r="F614" s="2" t="str">
        <f>IF(AND(A614&lt;&gt;"",E614&lt;&gt;""),ROUND(E614,0),"")</f>
        <v/>
      </c>
      <c r="G614" s="2" t="str">
        <f>IF(A614&lt;&gt;"",VLOOKUP(Alunos!A614,Recurso!A3:C1000,3, FALSE),"")</f>
        <v/>
      </c>
      <c r="H614" s="2" t="str">
        <f>IF(OR(A614&lt;&gt;"",G614&lt;&gt;""), SUMIFS(B614:G614,B1:G1,"&lt;&gt;",B2:G2,"&lt;&gt;Exame",B2:G2,"&lt;&gt;exame",B2:G2,"&lt;&gt;Nota",B2:G2,"&lt;&gt;Total"),"")</f>
        <v/>
      </c>
      <c r="I614" s="2" t="str">
        <f>IF(AND(A614&lt;&gt;"",H614&lt;&gt;""),ROUND(H614,0),"")</f>
        <v/>
      </c>
    </row>
    <row r="615" spans="2:9" x14ac:dyDescent="0.3">
      <c r="B615" s="2" t="str">
        <f>IF(A615&lt;&gt;"",VLOOKUP(Alunos!A615,Exame!A3:C1000,3, FALSE),"")</f>
        <v/>
      </c>
      <c r="C615" s="2" t="str">
        <f>IF(A615&lt;&gt;"",VLOOKUP(Alunos!A615,Agrupamentos!A3:B1000,2, FALSE),"")</f>
        <v/>
      </c>
      <c r="D615" s="2" t="str">
        <f>IF(A615&lt;&gt;"",VLOOKUP(Alunos!C615,'TP1'!A3:C1000,3, FALSE),"")</f>
        <v/>
      </c>
      <c r="E615" s="2" t="str">
        <f>IF(A615&lt;&gt;"", SUMIF(B1:D1,"&lt;&gt;",B615:D615),"")</f>
        <v/>
      </c>
      <c r="F615" s="2" t="str">
        <f>IF(AND(A615&lt;&gt;"",E615&lt;&gt;""),ROUND(E615,0),"")</f>
        <v/>
      </c>
      <c r="G615" s="2" t="str">
        <f>IF(A615&lt;&gt;"",VLOOKUP(Alunos!A615,Recurso!A3:C1000,3, FALSE),"")</f>
        <v/>
      </c>
      <c r="H615" s="2" t="str">
        <f>IF(OR(A615&lt;&gt;"",G615&lt;&gt;""), SUMIFS(B615:G615,B1:G1,"&lt;&gt;",B2:G2,"&lt;&gt;Exame",B2:G2,"&lt;&gt;exame",B2:G2,"&lt;&gt;Nota",B2:G2,"&lt;&gt;Total"),"")</f>
        <v/>
      </c>
      <c r="I615" s="2" t="str">
        <f>IF(AND(A615&lt;&gt;"",H615&lt;&gt;""),ROUND(H615,0),"")</f>
        <v/>
      </c>
    </row>
    <row r="616" spans="2:9" x14ac:dyDescent="0.3">
      <c r="B616" s="2" t="str">
        <f>IF(A616&lt;&gt;"",VLOOKUP(Alunos!A616,Exame!A3:C1000,3, FALSE),"")</f>
        <v/>
      </c>
      <c r="C616" s="2" t="str">
        <f>IF(A616&lt;&gt;"",VLOOKUP(Alunos!A616,Agrupamentos!A3:B1000,2, FALSE),"")</f>
        <v/>
      </c>
      <c r="D616" s="2" t="str">
        <f>IF(A616&lt;&gt;"",VLOOKUP(Alunos!C616,'TP1'!A3:C1000,3, FALSE),"")</f>
        <v/>
      </c>
      <c r="E616" s="2" t="str">
        <f>IF(A616&lt;&gt;"", SUMIF(B1:D1,"&lt;&gt;",B616:D616),"")</f>
        <v/>
      </c>
      <c r="F616" s="2" t="str">
        <f>IF(AND(A616&lt;&gt;"",E616&lt;&gt;""),ROUND(E616,0),"")</f>
        <v/>
      </c>
      <c r="G616" s="2" t="str">
        <f>IF(A616&lt;&gt;"",VLOOKUP(Alunos!A616,Recurso!A3:C1000,3, FALSE),"")</f>
        <v/>
      </c>
      <c r="H616" s="2" t="str">
        <f>IF(OR(A616&lt;&gt;"",G616&lt;&gt;""), SUMIFS(B616:G616,B1:G1,"&lt;&gt;",B2:G2,"&lt;&gt;Exame",B2:G2,"&lt;&gt;exame",B2:G2,"&lt;&gt;Nota",B2:G2,"&lt;&gt;Total"),"")</f>
        <v/>
      </c>
      <c r="I616" s="2" t="str">
        <f>IF(AND(A616&lt;&gt;"",H616&lt;&gt;""),ROUND(H616,0),"")</f>
        <v/>
      </c>
    </row>
    <row r="617" spans="2:9" x14ac:dyDescent="0.3">
      <c r="B617" s="2" t="str">
        <f>IF(A617&lt;&gt;"",VLOOKUP(Alunos!A617,Exame!A3:C1000,3, FALSE),"")</f>
        <v/>
      </c>
      <c r="C617" s="2" t="str">
        <f>IF(A617&lt;&gt;"",VLOOKUP(Alunos!A617,Agrupamentos!A3:B1000,2, FALSE),"")</f>
        <v/>
      </c>
      <c r="D617" s="2" t="str">
        <f>IF(A617&lt;&gt;"",VLOOKUP(Alunos!C617,'TP1'!A3:C1000,3, FALSE),"")</f>
        <v/>
      </c>
      <c r="E617" s="2" t="str">
        <f>IF(A617&lt;&gt;"", SUMIF(B1:D1,"&lt;&gt;",B617:D617),"")</f>
        <v/>
      </c>
      <c r="F617" s="2" t="str">
        <f>IF(AND(A617&lt;&gt;"",E617&lt;&gt;""),ROUND(E617,0),"")</f>
        <v/>
      </c>
      <c r="G617" s="2" t="str">
        <f>IF(A617&lt;&gt;"",VLOOKUP(Alunos!A617,Recurso!A3:C1000,3, FALSE),"")</f>
        <v/>
      </c>
      <c r="H617" s="2" t="str">
        <f>IF(OR(A617&lt;&gt;"",G617&lt;&gt;""), SUMIFS(B617:G617,B1:G1,"&lt;&gt;",B2:G2,"&lt;&gt;Exame",B2:G2,"&lt;&gt;exame",B2:G2,"&lt;&gt;Nota",B2:G2,"&lt;&gt;Total"),"")</f>
        <v/>
      </c>
      <c r="I617" s="2" t="str">
        <f>IF(AND(A617&lt;&gt;"",H617&lt;&gt;""),ROUND(H617,0),"")</f>
        <v/>
      </c>
    </row>
    <row r="618" spans="2:9" x14ac:dyDescent="0.3">
      <c r="B618" s="2" t="str">
        <f>IF(A618&lt;&gt;"",VLOOKUP(Alunos!A618,Exame!A3:C1000,3, FALSE),"")</f>
        <v/>
      </c>
      <c r="C618" s="2" t="str">
        <f>IF(A618&lt;&gt;"",VLOOKUP(Alunos!A618,Agrupamentos!A3:B1000,2, FALSE),"")</f>
        <v/>
      </c>
      <c r="D618" s="2" t="str">
        <f>IF(A618&lt;&gt;"",VLOOKUP(Alunos!C618,'TP1'!A3:C1000,3, FALSE),"")</f>
        <v/>
      </c>
      <c r="E618" s="2" t="str">
        <f>IF(A618&lt;&gt;"", SUMIF(B1:D1,"&lt;&gt;",B618:D618),"")</f>
        <v/>
      </c>
      <c r="F618" s="2" t="str">
        <f>IF(AND(A618&lt;&gt;"",E618&lt;&gt;""),ROUND(E618,0),"")</f>
        <v/>
      </c>
      <c r="G618" s="2" t="str">
        <f>IF(A618&lt;&gt;"",VLOOKUP(Alunos!A618,Recurso!A3:C1000,3, FALSE),"")</f>
        <v/>
      </c>
      <c r="H618" s="2" t="str">
        <f>IF(OR(A618&lt;&gt;"",G618&lt;&gt;""), SUMIFS(B618:G618,B1:G1,"&lt;&gt;",B2:G2,"&lt;&gt;Exame",B2:G2,"&lt;&gt;exame",B2:G2,"&lt;&gt;Nota",B2:G2,"&lt;&gt;Total"),"")</f>
        <v/>
      </c>
      <c r="I618" s="2" t="str">
        <f>IF(AND(A618&lt;&gt;"",H618&lt;&gt;""),ROUND(H618,0),"")</f>
        <v/>
      </c>
    </row>
    <row r="619" spans="2:9" x14ac:dyDescent="0.3">
      <c r="B619" s="2" t="str">
        <f>IF(A619&lt;&gt;"",VLOOKUP(Alunos!A619,Exame!A3:C1000,3, FALSE),"")</f>
        <v/>
      </c>
      <c r="C619" s="2" t="str">
        <f>IF(A619&lt;&gt;"",VLOOKUP(Alunos!A619,Agrupamentos!A3:B1000,2, FALSE),"")</f>
        <v/>
      </c>
      <c r="D619" s="2" t="str">
        <f>IF(A619&lt;&gt;"",VLOOKUP(Alunos!C619,'TP1'!A3:C1000,3, FALSE),"")</f>
        <v/>
      </c>
      <c r="E619" s="2" t="str">
        <f>IF(A619&lt;&gt;"", SUMIF(B1:D1,"&lt;&gt;",B619:D619),"")</f>
        <v/>
      </c>
      <c r="F619" s="2" t="str">
        <f>IF(AND(A619&lt;&gt;"",E619&lt;&gt;""),ROUND(E619,0),"")</f>
        <v/>
      </c>
      <c r="G619" s="2" t="str">
        <f>IF(A619&lt;&gt;"",VLOOKUP(Alunos!A619,Recurso!A3:C1000,3, FALSE),"")</f>
        <v/>
      </c>
      <c r="H619" s="2" t="str">
        <f>IF(OR(A619&lt;&gt;"",G619&lt;&gt;""), SUMIFS(B619:G619,B1:G1,"&lt;&gt;",B2:G2,"&lt;&gt;Exame",B2:G2,"&lt;&gt;exame",B2:G2,"&lt;&gt;Nota",B2:G2,"&lt;&gt;Total"),"")</f>
        <v/>
      </c>
      <c r="I619" s="2" t="str">
        <f>IF(AND(A619&lt;&gt;"",H619&lt;&gt;""),ROUND(H619,0),"")</f>
        <v/>
      </c>
    </row>
    <row r="620" spans="2:9" x14ac:dyDescent="0.3">
      <c r="B620" s="2" t="str">
        <f>IF(A620&lt;&gt;"",VLOOKUP(Alunos!A620,Exame!A3:C1000,3, FALSE),"")</f>
        <v/>
      </c>
      <c r="C620" s="2" t="str">
        <f>IF(A620&lt;&gt;"",VLOOKUP(Alunos!A620,Agrupamentos!A3:B1000,2, FALSE),"")</f>
        <v/>
      </c>
      <c r="D620" s="2" t="str">
        <f>IF(A620&lt;&gt;"",VLOOKUP(Alunos!C620,'TP1'!A3:C1000,3, FALSE),"")</f>
        <v/>
      </c>
      <c r="E620" s="2" t="str">
        <f>IF(A620&lt;&gt;"", SUMIF(B1:D1,"&lt;&gt;",B620:D620),"")</f>
        <v/>
      </c>
      <c r="F620" s="2" t="str">
        <f>IF(AND(A620&lt;&gt;"",E620&lt;&gt;""),ROUND(E620,0),"")</f>
        <v/>
      </c>
      <c r="G620" s="2" t="str">
        <f>IF(A620&lt;&gt;"",VLOOKUP(Alunos!A620,Recurso!A3:C1000,3, FALSE),"")</f>
        <v/>
      </c>
      <c r="H620" s="2" t="str">
        <f>IF(OR(A620&lt;&gt;"",G620&lt;&gt;""), SUMIFS(B620:G620,B1:G1,"&lt;&gt;",B2:G2,"&lt;&gt;Exame",B2:G2,"&lt;&gt;exame",B2:G2,"&lt;&gt;Nota",B2:G2,"&lt;&gt;Total"),"")</f>
        <v/>
      </c>
      <c r="I620" s="2" t="str">
        <f>IF(AND(A620&lt;&gt;"",H620&lt;&gt;""),ROUND(H620,0),"")</f>
        <v/>
      </c>
    </row>
    <row r="621" spans="2:9" x14ac:dyDescent="0.3">
      <c r="B621" s="2" t="str">
        <f>IF(A621&lt;&gt;"",VLOOKUP(Alunos!A621,Exame!A3:C1000,3, FALSE),"")</f>
        <v/>
      </c>
      <c r="C621" s="2" t="str">
        <f>IF(A621&lt;&gt;"",VLOOKUP(Alunos!A621,Agrupamentos!A3:B1000,2, FALSE),"")</f>
        <v/>
      </c>
      <c r="D621" s="2" t="str">
        <f>IF(A621&lt;&gt;"",VLOOKUP(Alunos!C621,'TP1'!A3:C1000,3, FALSE),"")</f>
        <v/>
      </c>
      <c r="E621" s="2" t="str">
        <f>IF(A621&lt;&gt;"", SUMIF(B1:D1,"&lt;&gt;",B621:D621),"")</f>
        <v/>
      </c>
      <c r="F621" s="2" t="str">
        <f>IF(AND(A621&lt;&gt;"",E621&lt;&gt;""),ROUND(E621,0),"")</f>
        <v/>
      </c>
      <c r="G621" s="2" t="str">
        <f>IF(A621&lt;&gt;"",VLOOKUP(Alunos!A621,Recurso!A3:C1000,3, FALSE),"")</f>
        <v/>
      </c>
      <c r="H621" s="2" t="str">
        <f>IF(OR(A621&lt;&gt;"",G621&lt;&gt;""), SUMIFS(B621:G621,B1:G1,"&lt;&gt;",B2:G2,"&lt;&gt;Exame",B2:G2,"&lt;&gt;exame",B2:G2,"&lt;&gt;Nota",B2:G2,"&lt;&gt;Total"),"")</f>
        <v/>
      </c>
      <c r="I621" s="2" t="str">
        <f>IF(AND(A621&lt;&gt;"",H621&lt;&gt;""),ROUND(H621,0),"")</f>
        <v/>
      </c>
    </row>
    <row r="622" spans="2:9" x14ac:dyDescent="0.3">
      <c r="B622" s="2" t="str">
        <f>IF(A622&lt;&gt;"",VLOOKUP(Alunos!A622,Exame!A3:C1000,3, FALSE),"")</f>
        <v/>
      </c>
      <c r="C622" s="2" t="str">
        <f>IF(A622&lt;&gt;"",VLOOKUP(Alunos!A622,Agrupamentos!A3:B1000,2, FALSE),"")</f>
        <v/>
      </c>
      <c r="D622" s="2" t="str">
        <f>IF(A622&lt;&gt;"",VLOOKUP(Alunos!C622,'TP1'!A3:C1000,3, FALSE),"")</f>
        <v/>
      </c>
      <c r="E622" s="2" t="str">
        <f>IF(A622&lt;&gt;"", SUMIF(B1:D1,"&lt;&gt;",B622:D622),"")</f>
        <v/>
      </c>
      <c r="F622" s="2" t="str">
        <f>IF(AND(A622&lt;&gt;"",E622&lt;&gt;""),ROUND(E622,0),"")</f>
        <v/>
      </c>
      <c r="G622" s="2" t="str">
        <f>IF(A622&lt;&gt;"",VLOOKUP(Alunos!A622,Recurso!A3:C1000,3, FALSE),"")</f>
        <v/>
      </c>
      <c r="H622" s="2" t="str">
        <f>IF(OR(A622&lt;&gt;"",G622&lt;&gt;""), SUMIFS(B622:G622,B1:G1,"&lt;&gt;",B2:G2,"&lt;&gt;Exame",B2:G2,"&lt;&gt;exame",B2:G2,"&lt;&gt;Nota",B2:G2,"&lt;&gt;Total"),"")</f>
        <v/>
      </c>
      <c r="I622" s="2" t="str">
        <f>IF(AND(A622&lt;&gt;"",H622&lt;&gt;""),ROUND(H622,0),"")</f>
        <v/>
      </c>
    </row>
    <row r="623" spans="2:9" x14ac:dyDescent="0.3">
      <c r="B623" s="2" t="str">
        <f>IF(A623&lt;&gt;"",VLOOKUP(Alunos!A623,Exame!A3:C1000,3, FALSE),"")</f>
        <v/>
      </c>
      <c r="C623" s="2" t="str">
        <f>IF(A623&lt;&gt;"",VLOOKUP(Alunos!A623,Agrupamentos!A3:B1000,2, FALSE),"")</f>
        <v/>
      </c>
      <c r="D623" s="2" t="str">
        <f>IF(A623&lt;&gt;"",VLOOKUP(Alunos!C623,'TP1'!A3:C1000,3, FALSE),"")</f>
        <v/>
      </c>
      <c r="E623" s="2" t="str">
        <f>IF(A623&lt;&gt;"", SUMIF(B1:D1,"&lt;&gt;",B623:D623),"")</f>
        <v/>
      </c>
      <c r="F623" s="2" t="str">
        <f>IF(AND(A623&lt;&gt;"",E623&lt;&gt;""),ROUND(E623,0),"")</f>
        <v/>
      </c>
      <c r="G623" s="2" t="str">
        <f>IF(A623&lt;&gt;"",VLOOKUP(Alunos!A623,Recurso!A3:C1000,3, FALSE),"")</f>
        <v/>
      </c>
      <c r="H623" s="2" t="str">
        <f>IF(OR(A623&lt;&gt;"",G623&lt;&gt;""), SUMIFS(B623:G623,B1:G1,"&lt;&gt;",B2:G2,"&lt;&gt;Exame",B2:G2,"&lt;&gt;exame",B2:G2,"&lt;&gt;Nota",B2:G2,"&lt;&gt;Total"),"")</f>
        <v/>
      </c>
      <c r="I623" s="2" t="str">
        <f>IF(AND(A623&lt;&gt;"",H623&lt;&gt;""),ROUND(H623,0),"")</f>
        <v/>
      </c>
    </row>
    <row r="624" spans="2:9" x14ac:dyDescent="0.3">
      <c r="B624" s="2" t="str">
        <f>IF(A624&lt;&gt;"",VLOOKUP(Alunos!A624,Exame!A3:C1000,3, FALSE),"")</f>
        <v/>
      </c>
      <c r="C624" s="2" t="str">
        <f>IF(A624&lt;&gt;"",VLOOKUP(Alunos!A624,Agrupamentos!A3:B1000,2, FALSE),"")</f>
        <v/>
      </c>
      <c r="D624" s="2" t="str">
        <f>IF(A624&lt;&gt;"",VLOOKUP(Alunos!C624,'TP1'!A3:C1000,3, FALSE),"")</f>
        <v/>
      </c>
      <c r="E624" s="2" t="str">
        <f>IF(A624&lt;&gt;"", SUMIF(B1:D1,"&lt;&gt;",B624:D624),"")</f>
        <v/>
      </c>
      <c r="F624" s="2" t="str">
        <f>IF(AND(A624&lt;&gt;"",E624&lt;&gt;""),ROUND(E624,0),"")</f>
        <v/>
      </c>
      <c r="G624" s="2" t="str">
        <f>IF(A624&lt;&gt;"",VLOOKUP(Alunos!A624,Recurso!A3:C1000,3, FALSE),"")</f>
        <v/>
      </c>
      <c r="H624" s="2" t="str">
        <f>IF(OR(A624&lt;&gt;"",G624&lt;&gt;""), SUMIFS(B624:G624,B1:G1,"&lt;&gt;",B2:G2,"&lt;&gt;Exame",B2:G2,"&lt;&gt;exame",B2:G2,"&lt;&gt;Nota",B2:G2,"&lt;&gt;Total"),"")</f>
        <v/>
      </c>
      <c r="I624" s="2" t="str">
        <f>IF(AND(A624&lt;&gt;"",H624&lt;&gt;""),ROUND(H624,0),"")</f>
        <v/>
      </c>
    </row>
    <row r="625" spans="2:9" x14ac:dyDescent="0.3">
      <c r="B625" s="2" t="str">
        <f>IF(A625&lt;&gt;"",VLOOKUP(Alunos!A625,Exame!A3:C1000,3, FALSE),"")</f>
        <v/>
      </c>
      <c r="C625" s="2" t="str">
        <f>IF(A625&lt;&gt;"",VLOOKUP(Alunos!A625,Agrupamentos!A3:B1000,2, FALSE),"")</f>
        <v/>
      </c>
      <c r="D625" s="2" t="str">
        <f>IF(A625&lt;&gt;"",VLOOKUP(Alunos!C625,'TP1'!A3:C1000,3, FALSE),"")</f>
        <v/>
      </c>
      <c r="E625" s="2" t="str">
        <f>IF(A625&lt;&gt;"", SUMIF(B1:D1,"&lt;&gt;",B625:D625),"")</f>
        <v/>
      </c>
      <c r="F625" s="2" t="str">
        <f>IF(AND(A625&lt;&gt;"",E625&lt;&gt;""),ROUND(E625,0),"")</f>
        <v/>
      </c>
      <c r="G625" s="2" t="str">
        <f>IF(A625&lt;&gt;"",VLOOKUP(Alunos!A625,Recurso!A3:C1000,3, FALSE),"")</f>
        <v/>
      </c>
      <c r="H625" s="2" t="str">
        <f>IF(OR(A625&lt;&gt;"",G625&lt;&gt;""), SUMIFS(B625:G625,B1:G1,"&lt;&gt;",B2:G2,"&lt;&gt;Exame",B2:G2,"&lt;&gt;exame",B2:G2,"&lt;&gt;Nota",B2:G2,"&lt;&gt;Total"),"")</f>
        <v/>
      </c>
      <c r="I625" s="2" t="str">
        <f>IF(AND(A625&lt;&gt;"",H625&lt;&gt;""),ROUND(H625,0),"")</f>
        <v/>
      </c>
    </row>
    <row r="626" spans="2:9" x14ac:dyDescent="0.3">
      <c r="B626" s="2" t="str">
        <f>IF(A626&lt;&gt;"",VLOOKUP(Alunos!A626,Exame!A3:C1000,3, FALSE),"")</f>
        <v/>
      </c>
      <c r="C626" s="2" t="str">
        <f>IF(A626&lt;&gt;"",VLOOKUP(Alunos!A626,Agrupamentos!A3:B1000,2, FALSE),"")</f>
        <v/>
      </c>
      <c r="D626" s="2" t="str">
        <f>IF(A626&lt;&gt;"",VLOOKUP(Alunos!C626,'TP1'!A3:C1000,3, FALSE),"")</f>
        <v/>
      </c>
      <c r="E626" s="2" t="str">
        <f>IF(A626&lt;&gt;"", SUMIF(B1:D1,"&lt;&gt;",B626:D626),"")</f>
        <v/>
      </c>
      <c r="F626" s="2" t="str">
        <f>IF(AND(A626&lt;&gt;"",E626&lt;&gt;""),ROUND(E626,0),"")</f>
        <v/>
      </c>
      <c r="G626" s="2" t="str">
        <f>IF(A626&lt;&gt;"",VLOOKUP(Alunos!A626,Recurso!A3:C1000,3, FALSE),"")</f>
        <v/>
      </c>
      <c r="H626" s="2" t="str">
        <f>IF(OR(A626&lt;&gt;"",G626&lt;&gt;""), SUMIFS(B626:G626,B1:G1,"&lt;&gt;",B2:G2,"&lt;&gt;Exame",B2:G2,"&lt;&gt;exame",B2:G2,"&lt;&gt;Nota",B2:G2,"&lt;&gt;Total"),"")</f>
        <v/>
      </c>
      <c r="I626" s="2" t="str">
        <f>IF(AND(A626&lt;&gt;"",H626&lt;&gt;""),ROUND(H626,0),"")</f>
        <v/>
      </c>
    </row>
    <row r="627" spans="2:9" x14ac:dyDescent="0.3">
      <c r="B627" s="2" t="str">
        <f>IF(A627&lt;&gt;"",VLOOKUP(Alunos!A627,Exame!A3:C1000,3, FALSE),"")</f>
        <v/>
      </c>
      <c r="C627" s="2" t="str">
        <f>IF(A627&lt;&gt;"",VLOOKUP(Alunos!A627,Agrupamentos!A3:B1000,2, FALSE),"")</f>
        <v/>
      </c>
      <c r="D627" s="2" t="str">
        <f>IF(A627&lt;&gt;"",VLOOKUP(Alunos!C627,'TP1'!A3:C1000,3, FALSE),"")</f>
        <v/>
      </c>
      <c r="E627" s="2" t="str">
        <f>IF(A627&lt;&gt;"", SUMIF(B1:D1,"&lt;&gt;",B627:D627),"")</f>
        <v/>
      </c>
      <c r="F627" s="2" t="str">
        <f>IF(AND(A627&lt;&gt;"",E627&lt;&gt;""),ROUND(E627,0),"")</f>
        <v/>
      </c>
      <c r="G627" s="2" t="str">
        <f>IF(A627&lt;&gt;"",VLOOKUP(Alunos!A627,Recurso!A3:C1000,3, FALSE),"")</f>
        <v/>
      </c>
      <c r="H627" s="2" t="str">
        <f>IF(OR(A627&lt;&gt;"",G627&lt;&gt;""), SUMIFS(B627:G627,B1:G1,"&lt;&gt;",B2:G2,"&lt;&gt;Exame",B2:G2,"&lt;&gt;exame",B2:G2,"&lt;&gt;Nota",B2:G2,"&lt;&gt;Total"),"")</f>
        <v/>
      </c>
      <c r="I627" s="2" t="str">
        <f>IF(AND(A627&lt;&gt;"",H627&lt;&gt;""),ROUND(H627,0),"")</f>
        <v/>
      </c>
    </row>
    <row r="628" spans="2:9" x14ac:dyDescent="0.3">
      <c r="B628" s="2" t="str">
        <f>IF(A628&lt;&gt;"",VLOOKUP(Alunos!A628,Exame!A3:C1000,3, FALSE),"")</f>
        <v/>
      </c>
      <c r="C628" s="2" t="str">
        <f>IF(A628&lt;&gt;"",VLOOKUP(Alunos!A628,Agrupamentos!A3:B1000,2, FALSE),"")</f>
        <v/>
      </c>
      <c r="D628" s="2" t="str">
        <f>IF(A628&lt;&gt;"",VLOOKUP(Alunos!C628,'TP1'!A3:C1000,3, FALSE),"")</f>
        <v/>
      </c>
      <c r="E628" s="2" t="str">
        <f>IF(A628&lt;&gt;"", SUMIF(B1:D1,"&lt;&gt;",B628:D628),"")</f>
        <v/>
      </c>
      <c r="F628" s="2" t="str">
        <f>IF(AND(A628&lt;&gt;"",E628&lt;&gt;""),ROUND(E628,0),"")</f>
        <v/>
      </c>
      <c r="G628" s="2" t="str">
        <f>IF(A628&lt;&gt;"",VLOOKUP(Alunos!A628,Recurso!A3:C1000,3, FALSE),"")</f>
        <v/>
      </c>
      <c r="H628" s="2" t="str">
        <f>IF(OR(A628&lt;&gt;"",G628&lt;&gt;""), SUMIFS(B628:G628,B1:G1,"&lt;&gt;",B2:G2,"&lt;&gt;Exame",B2:G2,"&lt;&gt;exame",B2:G2,"&lt;&gt;Nota",B2:G2,"&lt;&gt;Total"),"")</f>
        <v/>
      </c>
      <c r="I628" s="2" t="str">
        <f>IF(AND(A628&lt;&gt;"",H628&lt;&gt;""),ROUND(H628,0),"")</f>
        <v/>
      </c>
    </row>
    <row r="629" spans="2:9" x14ac:dyDescent="0.3">
      <c r="B629" s="2" t="str">
        <f>IF(A629&lt;&gt;"",VLOOKUP(Alunos!A629,Exame!A3:C1000,3, FALSE),"")</f>
        <v/>
      </c>
      <c r="C629" s="2" t="str">
        <f>IF(A629&lt;&gt;"",VLOOKUP(Alunos!A629,Agrupamentos!A3:B1000,2, FALSE),"")</f>
        <v/>
      </c>
      <c r="D629" s="2" t="str">
        <f>IF(A629&lt;&gt;"",VLOOKUP(Alunos!C629,'TP1'!A3:C1000,3, FALSE),"")</f>
        <v/>
      </c>
      <c r="E629" s="2" t="str">
        <f>IF(A629&lt;&gt;"", SUMIF(B1:D1,"&lt;&gt;",B629:D629),"")</f>
        <v/>
      </c>
      <c r="F629" s="2" t="str">
        <f>IF(AND(A629&lt;&gt;"",E629&lt;&gt;""),ROUND(E629,0),"")</f>
        <v/>
      </c>
      <c r="G629" s="2" t="str">
        <f>IF(A629&lt;&gt;"",VLOOKUP(Alunos!A629,Recurso!A3:C1000,3, FALSE),"")</f>
        <v/>
      </c>
      <c r="H629" s="2" t="str">
        <f>IF(OR(A629&lt;&gt;"",G629&lt;&gt;""), SUMIFS(B629:G629,B1:G1,"&lt;&gt;",B2:G2,"&lt;&gt;Exame",B2:G2,"&lt;&gt;exame",B2:G2,"&lt;&gt;Nota",B2:G2,"&lt;&gt;Total"),"")</f>
        <v/>
      </c>
      <c r="I629" s="2" t="str">
        <f>IF(AND(A629&lt;&gt;"",H629&lt;&gt;""),ROUND(H629,0),"")</f>
        <v/>
      </c>
    </row>
    <row r="630" spans="2:9" x14ac:dyDescent="0.3">
      <c r="B630" s="2" t="str">
        <f>IF(A630&lt;&gt;"",VLOOKUP(Alunos!A630,Exame!A3:C1000,3, FALSE),"")</f>
        <v/>
      </c>
      <c r="C630" s="2" t="str">
        <f>IF(A630&lt;&gt;"",VLOOKUP(Alunos!A630,Agrupamentos!A3:B1000,2, FALSE),"")</f>
        <v/>
      </c>
      <c r="D630" s="2" t="str">
        <f>IF(A630&lt;&gt;"",VLOOKUP(Alunos!C630,'TP1'!A3:C1000,3, FALSE),"")</f>
        <v/>
      </c>
      <c r="E630" s="2" t="str">
        <f>IF(A630&lt;&gt;"", SUMIF(B1:D1,"&lt;&gt;",B630:D630),"")</f>
        <v/>
      </c>
      <c r="F630" s="2" t="str">
        <f>IF(AND(A630&lt;&gt;"",E630&lt;&gt;""),ROUND(E630,0),"")</f>
        <v/>
      </c>
      <c r="G630" s="2" t="str">
        <f>IF(A630&lt;&gt;"",VLOOKUP(Alunos!A630,Recurso!A3:C1000,3, FALSE),"")</f>
        <v/>
      </c>
      <c r="H630" s="2" t="str">
        <f>IF(OR(A630&lt;&gt;"",G630&lt;&gt;""), SUMIFS(B630:G630,B1:G1,"&lt;&gt;",B2:G2,"&lt;&gt;Exame",B2:G2,"&lt;&gt;exame",B2:G2,"&lt;&gt;Nota",B2:G2,"&lt;&gt;Total"),"")</f>
        <v/>
      </c>
      <c r="I630" s="2" t="str">
        <f>IF(AND(A630&lt;&gt;"",H630&lt;&gt;""),ROUND(H630,0),"")</f>
        <v/>
      </c>
    </row>
    <row r="631" spans="2:9" x14ac:dyDescent="0.3">
      <c r="B631" s="2" t="str">
        <f>IF(A631&lt;&gt;"",VLOOKUP(Alunos!A631,Exame!A3:C1000,3, FALSE),"")</f>
        <v/>
      </c>
      <c r="C631" s="2" t="str">
        <f>IF(A631&lt;&gt;"",VLOOKUP(Alunos!A631,Agrupamentos!A3:B1000,2, FALSE),"")</f>
        <v/>
      </c>
      <c r="D631" s="2" t="str">
        <f>IF(A631&lt;&gt;"",VLOOKUP(Alunos!C631,'TP1'!A3:C1000,3, FALSE),"")</f>
        <v/>
      </c>
      <c r="E631" s="2" t="str">
        <f>IF(A631&lt;&gt;"", SUMIF(B1:D1,"&lt;&gt;",B631:D631),"")</f>
        <v/>
      </c>
      <c r="F631" s="2" t="str">
        <f>IF(AND(A631&lt;&gt;"",E631&lt;&gt;""),ROUND(E631,0),"")</f>
        <v/>
      </c>
      <c r="G631" s="2" t="str">
        <f>IF(A631&lt;&gt;"",VLOOKUP(Alunos!A631,Recurso!A3:C1000,3, FALSE),"")</f>
        <v/>
      </c>
      <c r="H631" s="2" t="str">
        <f>IF(OR(A631&lt;&gt;"",G631&lt;&gt;""), SUMIFS(B631:G631,B1:G1,"&lt;&gt;",B2:G2,"&lt;&gt;Exame",B2:G2,"&lt;&gt;exame",B2:G2,"&lt;&gt;Nota",B2:G2,"&lt;&gt;Total"),"")</f>
        <v/>
      </c>
      <c r="I631" s="2" t="str">
        <f>IF(AND(A631&lt;&gt;"",H631&lt;&gt;""),ROUND(H631,0),"")</f>
        <v/>
      </c>
    </row>
    <row r="632" spans="2:9" x14ac:dyDescent="0.3">
      <c r="B632" s="2" t="str">
        <f>IF(A632&lt;&gt;"",VLOOKUP(Alunos!A632,Exame!A3:C1000,3, FALSE),"")</f>
        <v/>
      </c>
      <c r="C632" s="2" t="str">
        <f>IF(A632&lt;&gt;"",VLOOKUP(Alunos!A632,Agrupamentos!A3:B1000,2, FALSE),"")</f>
        <v/>
      </c>
      <c r="D632" s="2" t="str">
        <f>IF(A632&lt;&gt;"",VLOOKUP(Alunos!C632,'TP1'!A3:C1000,3, FALSE),"")</f>
        <v/>
      </c>
      <c r="E632" s="2" t="str">
        <f>IF(A632&lt;&gt;"", SUMIF(B1:D1,"&lt;&gt;",B632:D632),"")</f>
        <v/>
      </c>
      <c r="F632" s="2" t="str">
        <f>IF(AND(A632&lt;&gt;"",E632&lt;&gt;""),ROUND(E632,0),"")</f>
        <v/>
      </c>
      <c r="G632" s="2" t="str">
        <f>IF(A632&lt;&gt;"",VLOOKUP(Alunos!A632,Recurso!A3:C1000,3, FALSE),"")</f>
        <v/>
      </c>
      <c r="H632" s="2" t="str">
        <f>IF(OR(A632&lt;&gt;"",G632&lt;&gt;""), SUMIFS(B632:G632,B1:G1,"&lt;&gt;",B2:G2,"&lt;&gt;Exame",B2:G2,"&lt;&gt;exame",B2:G2,"&lt;&gt;Nota",B2:G2,"&lt;&gt;Total"),"")</f>
        <v/>
      </c>
      <c r="I632" s="2" t="str">
        <f>IF(AND(A632&lt;&gt;"",H632&lt;&gt;""),ROUND(H632,0),"")</f>
        <v/>
      </c>
    </row>
    <row r="633" spans="2:9" x14ac:dyDescent="0.3">
      <c r="B633" s="2" t="str">
        <f>IF(A633&lt;&gt;"",VLOOKUP(Alunos!A633,Exame!A3:C1000,3, FALSE),"")</f>
        <v/>
      </c>
      <c r="C633" s="2" t="str">
        <f>IF(A633&lt;&gt;"",VLOOKUP(Alunos!A633,Agrupamentos!A3:B1000,2, FALSE),"")</f>
        <v/>
      </c>
      <c r="D633" s="2" t="str">
        <f>IF(A633&lt;&gt;"",VLOOKUP(Alunos!C633,'TP1'!A3:C1000,3, FALSE),"")</f>
        <v/>
      </c>
      <c r="E633" s="2" t="str">
        <f>IF(A633&lt;&gt;"", SUMIF(B1:D1,"&lt;&gt;",B633:D633),"")</f>
        <v/>
      </c>
      <c r="F633" s="2" t="str">
        <f>IF(AND(A633&lt;&gt;"",E633&lt;&gt;""),ROUND(E633,0),"")</f>
        <v/>
      </c>
      <c r="G633" s="2" t="str">
        <f>IF(A633&lt;&gt;"",VLOOKUP(Alunos!A633,Recurso!A3:C1000,3, FALSE),"")</f>
        <v/>
      </c>
      <c r="H633" s="2" t="str">
        <f>IF(OR(A633&lt;&gt;"",G633&lt;&gt;""), SUMIFS(B633:G633,B1:G1,"&lt;&gt;",B2:G2,"&lt;&gt;Exame",B2:G2,"&lt;&gt;exame",B2:G2,"&lt;&gt;Nota",B2:G2,"&lt;&gt;Total"),"")</f>
        <v/>
      </c>
      <c r="I633" s="2" t="str">
        <f>IF(AND(A633&lt;&gt;"",H633&lt;&gt;""),ROUND(H633,0),"")</f>
        <v/>
      </c>
    </row>
    <row r="634" spans="2:9" x14ac:dyDescent="0.3">
      <c r="B634" s="2" t="str">
        <f>IF(A634&lt;&gt;"",VLOOKUP(Alunos!A634,Exame!A3:C1000,3, FALSE),"")</f>
        <v/>
      </c>
      <c r="C634" s="2" t="str">
        <f>IF(A634&lt;&gt;"",VLOOKUP(Alunos!A634,Agrupamentos!A3:B1000,2, FALSE),"")</f>
        <v/>
      </c>
      <c r="D634" s="2" t="str">
        <f>IF(A634&lt;&gt;"",VLOOKUP(Alunos!C634,'TP1'!A3:C1000,3, FALSE),"")</f>
        <v/>
      </c>
      <c r="E634" s="2" t="str">
        <f>IF(A634&lt;&gt;"", SUMIF(B1:D1,"&lt;&gt;",B634:D634),"")</f>
        <v/>
      </c>
      <c r="F634" s="2" t="str">
        <f>IF(AND(A634&lt;&gt;"",E634&lt;&gt;""),ROUND(E634,0),"")</f>
        <v/>
      </c>
      <c r="G634" s="2" t="str">
        <f>IF(A634&lt;&gt;"",VLOOKUP(Alunos!A634,Recurso!A3:C1000,3, FALSE),"")</f>
        <v/>
      </c>
      <c r="H634" s="2" t="str">
        <f>IF(OR(A634&lt;&gt;"",G634&lt;&gt;""), SUMIFS(B634:G634,B1:G1,"&lt;&gt;",B2:G2,"&lt;&gt;Exame",B2:G2,"&lt;&gt;exame",B2:G2,"&lt;&gt;Nota",B2:G2,"&lt;&gt;Total"),"")</f>
        <v/>
      </c>
      <c r="I634" s="2" t="str">
        <f>IF(AND(A634&lt;&gt;"",H634&lt;&gt;""),ROUND(H634,0),"")</f>
        <v/>
      </c>
    </row>
    <row r="635" spans="2:9" x14ac:dyDescent="0.3">
      <c r="B635" s="2" t="str">
        <f>IF(A635&lt;&gt;"",VLOOKUP(Alunos!A635,Exame!A3:C1000,3, FALSE),"")</f>
        <v/>
      </c>
      <c r="C635" s="2" t="str">
        <f>IF(A635&lt;&gt;"",VLOOKUP(Alunos!A635,Agrupamentos!A3:B1000,2, FALSE),"")</f>
        <v/>
      </c>
      <c r="D635" s="2" t="str">
        <f>IF(A635&lt;&gt;"",VLOOKUP(Alunos!C635,'TP1'!A3:C1000,3, FALSE),"")</f>
        <v/>
      </c>
      <c r="E635" s="2" t="str">
        <f>IF(A635&lt;&gt;"", SUMIF(B1:D1,"&lt;&gt;",B635:D635),"")</f>
        <v/>
      </c>
      <c r="F635" s="2" t="str">
        <f>IF(AND(A635&lt;&gt;"",E635&lt;&gt;""),ROUND(E635,0),"")</f>
        <v/>
      </c>
      <c r="G635" s="2" t="str">
        <f>IF(A635&lt;&gt;"",VLOOKUP(Alunos!A635,Recurso!A3:C1000,3, FALSE),"")</f>
        <v/>
      </c>
      <c r="H635" s="2" t="str">
        <f>IF(OR(A635&lt;&gt;"",G635&lt;&gt;""), SUMIFS(B635:G635,B1:G1,"&lt;&gt;",B2:G2,"&lt;&gt;Exame",B2:G2,"&lt;&gt;exame",B2:G2,"&lt;&gt;Nota",B2:G2,"&lt;&gt;Total"),"")</f>
        <v/>
      </c>
      <c r="I635" s="2" t="str">
        <f>IF(AND(A635&lt;&gt;"",H635&lt;&gt;""),ROUND(H635,0),"")</f>
        <v/>
      </c>
    </row>
    <row r="636" spans="2:9" x14ac:dyDescent="0.3">
      <c r="B636" s="2" t="str">
        <f>IF(A636&lt;&gt;"",VLOOKUP(Alunos!A636,Exame!A3:C1000,3, FALSE),"")</f>
        <v/>
      </c>
      <c r="C636" s="2" t="str">
        <f>IF(A636&lt;&gt;"",VLOOKUP(Alunos!A636,Agrupamentos!A3:B1000,2, FALSE),"")</f>
        <v/>
      </c>
      <c r="D636" s="2" t="str">
        <f>IF(A636&lt;&gt;"",VLOOKUP(Alunos!C636,'TP1'!A3:C1000,3, FALSE),"")</f>
        <v/>
      </c>
      <c r="E636" s="2" t="str">
        <f>IF(A636&lt;&gt;"", SUMIF(B1:D1,"&lt;&gt;",B636:D636),"")</f>
        <v/>
      </c>
      <c r="F636" s="2" t="str">
        <f>IF(AND(A636&lt;&gt;"",E636&lt;&gt;""),ROUND(E636,0),"")</f>
        <v/>
      </c>
      <c r="G636" s="2" t="str">
        <f>IF(A636&lt;&gt;"",VLOOKUP(Alunos!A636,Recurso!A3:C1000,3, FALSE),"")</f>
        <v/>
      </c>
      <c r="H636" s="2" t="str">
        <f>IF(OR(A636&lt;&gt;"",G636&lt;&gt;""), SUMIFS(B636:G636,B1:G1,"&lt;&gt;",B2:G2,"&lt;&gt;Exame",B2:G2,"&lt;&gt;exame",B2:G2,"&lt;&gt;Nota",B2:G2,"&lt;&gt;Total"),"")</f>
        <v/>
      </c>
      <c r="I636" s="2" t="str">
        <f>IF(AND(A636&lt;&gt;"",H636&lt;&gt;""),ROUND(H636,0),"")</f>
        <v/>
      </c>
    </row>
    <row r="637" spans="2:9" x14ac:dyDescent="0.3">
      <c r="B637" s="2" t="str">
        <f>IF(A637&lt;&gt;"",VLOOKUP(Alunos!A637,Exame!A3:C1000,3, FALSE),"")</f>
        <v/>
      </c>
      <c r="C637" s="2" t="str">
        <f>IF(A637&lt;&gt;"",VLOOKUP(Alunos!A637,Agrupamentos!A3:B1000,2, FALSE),"")</f>
        <v/>
      </c>
      <c r="D637" s="2" t="str">
        <f>IF(A637&lt;&gt;"",VLOOKUP(Alunos!C637,'TP1'!A3:C1000,3, FALSE),"")</f>
        <v/>
      </c>
      <c r="E637" s="2" t="str">
        <f>IF(A637&lt;&gt;"", SUMIF(B1:D1,"&lt;&gt;",B637:D637),"")</f>
        <v/>
      </c>
      <c r="F637" s="2" t="str">
        <f>IF(AND(A637&lt;&gt;"",E637&lt;&gt;""),ROUND(E637,0),"")</f>
        <v/>
      </c>
      <c r="G637" s="2" t="str">
        <f>IF(A637&lt;&gt;"",VLOOKUP(Alunos!A637,Recurso!A3:C1000,3, FALSE),"")</f>
        <v/>
      </c>
      <c r="H637" s="2" t="str">
        <f>IF(OR(A637&lt;&gt;"",G637&lt;&gt;""), SUMIFS(B637:G637,B1:G1,"&lt;&gt;",B2:G2,"&lt;&gt;Exame",B2:G2,"&lt;&gt;exame",B2:G2,"&lt;&gt;Nota",B2:G2,"&lt;&gt;Total"),"")</f>
        <v/>
      </c>
      <c r="I637" s="2" t="str">
        <f>IF(AND(A637&lt;&gt;"",H637&lt;&gt;""),ROUND(H637,0),"")</f>
        <v/>
      </c>
    </row>
    <row r="638" spans="2:9" x14ac:dyDescent="0.3">
      <c r="B638" s="2" t="str">
        <f>IF(A638&lt;&gt;"",VLOOKUP(Alunos!A638,Exame!A3:C1000,3, FALSE),"")</f>
        <v/>
      </c>
      <c r="C638" s="2" t="str">
        <f>IF(A638&lt;&gt;"",VLOOKUP(Alunos!A638,Agrupamentos!A3:B1000,2, FALSE),"")</f>
        <v/>
      </c>
      <c r="D638" s="2" t="str">
        <f>IF(A638&lt;&gt;"",VLOOKUP(Alunos!C638,'TP1'!A3:C1000,3, FALSE),"")</f>
        <v/>
      </c>
      <c r="E638" s="2" t="str">
        <f>IF(A638&lt;&gt;"", SUMIF(B1:D1,"&lt;&gt;",B638:D638),"")</f>
        <v/>
      </c>
      <c r="F638" s="2" t="str">
        <f>IF(AND(A638&lt;&gt;"",E638&lt;&gt;""),ROUND(E638,0),"")</f>
        <v/>
      </c>
      <c r="G638" s="2" t="str">
        <f>IF(A638&lt;&gt;"",VLOOKUP(Alunos!A638,Recurso!A3:C1000,3, FALSE),"")</f>
        <v/>
      </c>
      <c r="H638" s="2" t="str">
        <f>IF(OR(A638&lt;&gt;"",G638&lt;&gt;""), SUMIFS(B638:G638,B1:G1,"&lt;&gt;",B2:G2,"&lt;&gt;Exame",B2:G2,"&lt;&gt;exame",B2:G2,"&lt;&gt;Nota",B2:G2,"&lt;&gt;Total"),"")</f>
        <v/>
      </c>
      <c r="I638" s="2" t="str">
        <f>IF(AND(A638&lt;&gt;"",H638&lt;&gt;""),ROUND(H638,0),"")</f>
        <v/>
      </c>
    </row>
    <row r="639" spans="2:9" x14ac:dyDescent="0.3">
      <c r="B639" s="2" t="str">
        <f>IF(A639&lt;&gt;"",VLOOKUP(Alunos!A639,Exame!A3:C1000,3, FALSE),"")</f>
        <v/>
      </c>
      <c r="C639" s="2" t="str">
        <f>IF(A639&lt;&gt;"",VLOOKUP(Alunos!A639,Agrupamentos!A3:B1000,2, FALSE),"")</f>
        <v/>
      </c>
      <c r="D639" s="2" t="str">
        <f>IF(A639&lt;&gt;"",VLOOKUP(Alunos!C639,'TP1'!A3:C1000,3, FALSE),"")</f>
        <v/>
      </c>
      <c r="E639" s="2" t="str">
        <f>IF(A639&lt;&gt;"", SUMIF(B1:D1,"&lt;&gt;",B639:D639),"")</f>
        <v/>
      </c>
      <c r="F639" s="2" t="str">
        <f>IF(AND(A639&lt;&gt;"",E639&lt;&gt;""),ROUND(E639,0),"")</f>
        <v/>
      </c>
      <c r="G639" s="2" t="str">
        <f>IF(A639&lt;&gt;"",VLOOKUP(Alunos!A639,Recurso!A3:C1000,3, FALSE),"")</f>
        <v/>
      </c>
      <c r="H639" s="2" t="str">
        <f>IF(OR(A639&lt;&gt;"",G639&lt;&gt;""), SUMIFS(B639:G639,B1:G1,"&lt;&gt;",B2:G2,"&lt;&gt;Exame",B2:G2,"&lt;&gt;exame",B2:G2,"&lt;&gt;Nota",B2:G2,"&lt;&gt;Total"),"")</f>
        <v/>
      </c>
      <c r="I639" s="2" t="str">
        <f>IF(AND(A639&lt;&gt;"",H639&lt;&gt;""),ROUND(H639,0),"")</f>
        <v/>
      </c>
    </row>
    <row r="640" spans="2:9" x14ac:dyDescent="0.3">
      <c r="B640" s="2" t="str">
        <f>IF(A640&lt;&gt;"",VLOOKUP(Alunos!A640,Exame!A3:C1000,3, FALSE),"")</f>
        <v/>
      </c>
      <c r="C640" s="2" t="str">
        <f>IF(A640&lt;&gt;"",VLOOKUP(Alunos!A640,Agrupamentos!A3:B1000,2, FALSE),"")</f>
        <v/>
      </c>
      <c r="D640" s="2" t="str">
        <f>IF(A640&lt;&gt;"",VLOOKUP(Alunos!C640,'TP1'!A3:C1000,3, FALSE),"")</f>
        <v/>
      </c>
      <c r="E640" s="2" t="str">
        <f>IF(A640&lt;&gt;"", SUMIF(B1:D1,"&lt;&gt;",B640:D640),"")</f>
        <v/>
      </c>
      <c r="F640" s="2" t="str">
        <f>IF(AND(A640&lt;&gt;"",E640&lt;&gt;""),ROUND(E640,0),"")</f>
        <v/>
      </c>
      <c r="G640" s="2" t="str">
        <f>IF(A640&lt;&gt;"",VLOOKUP(Alunos!A640,Recurso!A3:C1000,3, FALSE),"")</f>
        <v/>
      </c>
      <c r="H640" s="2" t="str">
        <f>IF(OR(A640&lt;&gt;"",G640&lt;&gt;""), SUMIFS(B640:G640,B1:G1,"&lt;&gt;",B2:G2,"&lt;&gt;Exame",B2:G2,"&lt;&gt;exame",B2:G2,"&lt;&gt;Nota",B2:G2,"&lt;&gt;Total"),"")</f>
        <v/>
      </c>
      <c r="I640" s="2" t="str">
        <f>IF(AND(A640&lt;&gt;"",H640&lt;&gt;""),ROUND(H640,0),"")</f>
        <v/>
      </c>
    </row>
    <row r="641" spans="2:9" x14ac:dyDescent="0.3">
      <c r="B641" s="2" t="str">
        <f>IF(A641&lt;&gt;"",VLOOKUP(Alunos!A641,Exame!A3:C1000,3, FALSE),"")</f>
        <v/>
      </c>
      <c r="C641" s="2" t="str">
        <f>IF(A641&lt;&gt;"",VLOOKUP(Alunos!A641,Agrupamentos!A3:B1000,2, FALSE),"")</f>
        <v/>
      </c>
      <c r="D641" s="2" t="str">
        <f>IF(A641&lt;&gt;"",VLOOKUP(Alunos!C641,'TP1'!A3:C1000,3, FALSE),"")</f>
        <v/>
      </c>
      <c r="E641" s="2" t="str">
        <f>IF(A641&lt;&gt;"", SUMIF(B1:D1,"&lt;&gt;",B641:D641),"")</f>
        <v/>
      </c>
      <c r="F641" s="2" t="str">
        <f>IF(AND(A641&lt;&gt;"",E641&lt;&gt;""),ROUND(E641,0),"")</f>
        <v/>
      </c>
      <c r="G641" s="2" t="str">
        <f>IF(A641&lt;&gt;"",VLOOKUP(Alunos!A641,Recurso!A3:C1000,3, FALSE),"")</f>
        <v/>
      </c>
      <c r="H641" s="2" t="str">
        <f>IF(OR(A641&lt;&gt;"",G641&lt;&gt;""), SUMIFS(B641:G641,B1:G1,"&lt;&gt;",B2:G2,"&lt;&gt;Exame",B2:G2,"&lt;&gt;exame",B2:G2,"&lt;&gt;Nota",B2:G2,"&lt;&gt;Total"),"")</f>
        <v/>
      </c>
      <c r="I641" s="2" t="str">
        <f>IF(AND(A641&lt;&gt;"",H641&lt;&gt;""),ROUND(H641,0),"")</f>
        <v/>
      </c>
    </row>
    <row r="642" spans="2:9" x14ac:dyDescent="0.3">
      <c r="B642" s="2" t="str">
        <f>IF(A642&lt;&gt;"",VLOOKUP(Alunos!A642,Exame!A3:C1000,3, FALSE),"")</f>
        <v/>
      </c>
      <c r="C642" s="2" t="str">
        <f>IF(A642&lt;&gt;"",VLOOKUP(Alunos!A642,Agrupamentos!A3:B1000,2, FALSE),"")</f>
        <v/>
      </c>
      <c r="D642" s="2" t="str">
        <f>IF(A642&lt;&gt;"",VLOOKUP(Alunos!C642,'TP1'!A3:C1000,3, FALSE),"")</f>
        <v/>
      </c>
      <c r="E642" s="2" t="str">
        <f>IF(A642&lt;&gt;"", SUMIF(B1:D1,"&lt;&gt;",B642:D642),"")</f>
        <v/>
      </c>
      <c r="F642" s="2" t="str">
        <f>IF(AND(A642&lt;&gt;"",E642&lt;&gt;""),ROUND(E642,0),"")</f>
        <v/>
      </c>
      <c r="G642" s="2" t="str">
        <f>IF(A642&lt;&gt;"",VLOOKUP(Alunos!A642,Recurso!A3:C1000,3, FALSE),"")</f>
        <v/>
      </c>
      <c r="H642" s="2" t="str">
        <f>IF(OR(A642&lt;&gt;"",G642&lt;&gt;""), SUMIFS(B642:G642,B1:G1,"&lt;&gt;",B2:G2,"&lt;&gt;Exame",B2:G2,"&lt;&gt;exame",B2:G2,"&lt;&gt;Nota",B2:G2,"&lt;&gt;Total"),"")</f>
        <v/>
      </c>
      <c r="I642" s="2" t="str">
        <f>IF(AND(A642&lt;&gt;"",H642&lt;&gt;""),ROUND(H642,0),"")</f>
        <v/>
      </c>
    </row>
    <row r="643" spans="2:9" x14ac:dyDescent="0.3">
      <c r="B643" s="2" t="str">
        <f>IF(A643&lt;&gt;"",VLOOKUP(Alunos!A643,Exame!A3:C1000,3, FALSE),"")</f>
        <v/>
      </c>
      <c r="C643" s="2" t="str">
        <f>IF(A643&lt;&gt;"",VLOOKUP(Alunos!A643,Agrupamentos!A3:B1000,2, FALSE),"")</f>
        <v/>
      </c>
      <c r="D643" s="2" t="str">
        <f>IF(A643&lt;&gt;"",VLOOKUP(Alunos!C643,'TP1'!A3:C1000,3, FALSE),"")</f>
        <v/>
      </c>
      <c r="E643" s="2" t="str">
        <f>IF(A643&lt;&gt;"", SUMIF(B1:D1,"&lt;&gt;",B643:D643),"")</f>
        <v/>
      </c>
      <c r="F643" s="2" t="str">
        <f>IF(AND(A643&lt;&gt;"",E643&lt;&gt;""),ROUND(E643,0),"")</f>
        <v/>
      </c>
      <c r="G643" s="2" t="str">
        <f>IF(A643&lt;&gt;"",VLOOKUP(Alunos!A643,Recurso!A3:C1000,3, FALSE),"")</f>
        <v/>
      </c>
      <c r="H643" s="2" t="str">
        <f>IF(OR(A643&lt;&gt;"",G643&lt;&gt;""), SUMIFS(B643:G643,B1:G1,"&lt;&gt;",B2:G2,"&lt;&gt;Exame",B2:G2,"&lt;&gt;exame",B2:G2,"&lt;&gt;Nota",B2:G2,"&lt;&gt;Total"),"")</f>
        <v/>
      </c>
      <c r="I643" s="2" t="str">
        <f>IF(AND(A643&lt;&gt;"",H643&lt;&gt;""),ROUND(H643,0),"")</f>
        <v/>
      </c>
    </row>
    <row r="644" spans="2:9" x14ac:dyDescent="0.3">
      <c r="B644" s="2" t="str">
        <f>IF(A644&lt;&gt;"",VLOOKUP(Alunos!A644,Exame!A3:C1000,3, FALSE),"")</f>
        <v/>
      </c>
      <c r="C644" s="2" t="str">
        <f>IF(A644&lt;&gt;"",VLOOKUP(Alunos!A644,Agrupamentos!A3:B1000,2, FALSE),"")</f>
        <v/>
      </c>
      <c r="D644" s="2" t="str">
        <f>IF(A644&lt;&gt;"",VLOOKUP(Alunos!C644,'TP1'!A3:C1000,3, FALSE),"")</f>
        <v/>
      </c>
      <c r="E644" s="2" t="str">
        <f>IF(A644&lt;&gt;"", SUMIF(B1:D1,"&lt;&gt;",B644:D644),"")</f>
        <v/>
      </c>
      <c r="F644" s="2" t="str">
        <f>IF(AND(A644&lt;&gt;"",E644&lt;&gt;""),ROUND(E644,0),"")</f>
        <v/>
      </c>
      <c r="G644" s="2" t="str">
        <f>IF(A644&lt;&gt;"",VLOOKUP(Alunos!A644,Recurso!A3:C1000,3, FALSE),"")</f>
        <v/>
      </c>
      <c r="H644" s="2" t="str">
        <f>IF(OR(A644&lt;&gt;"",G644&lt;&gt;""), SUMIFS(B644:G644,B1:G1,"&lt;&gt;",B2:G2,"&lt;&gt;Exame",B2:G2,"&lt;&gt;exame",B2:G2,"&lt;&gt;Nota",B2:G2,"&lt;&gt;Total"),"")</f>
        <v/>
      </c>
      <c r="I644" s="2" t="str">
        <f>IF(AND(A644&lt;&gt;"",H644&lt;&gt;""),ROUND(H644,0),"")</f>
        <v/>
      </c>
    </row>
    <row r="645" spans="2:9" x14ac:dyDescent="0.3">
      <c r="B645" s="2" t="str">
        <f>IF(A645&lt;&gt;"",VLOOKUP(Alunos!A645,Exame!A3:C1000,3, FALSE),"")</f>
        <v/>
      </c>
      <c r="C645" s="2" t="str">
        <f>IF(A645&lt;&gt;"",VLOOKUP(Alunos!A645,Agrupamentos!A3:B1000,2, FALSE),"")</f>
        <v/>
      </c>
      <c r="D645" s="2" t="str">
        <f>IF(A645&lt;&gt;"",VLOOKUP(Alunos!C645,'TP1'!A3:C1000,3, FALSE),"")</f>
        <v/>
      </c>
      <c r="E645" s="2" t="str">
        <f>IF(A645&lt;&gt;"", SUMIF(B1:D1,"&lt;&gt;",B645:D645),"")</f>
        <v/>
      </c>
      <c r="F645" s="2" t="str">
        <f>IF(AND(A645&lt;&gt;"",E645&lt;&gt;""),ROUND(E645,0),"")</f>
        <v/>
      </c>
      <c r="G645" s="2" t="str">
        <f>IF(A645&lt;&gt;"",VLOOKUP(Alunos!A645,Recurso!A3:C1000,3, FALSE),"")</f>
        <v/>
      </c>
      <c r="H645" s="2" t="str">
        <f>IF(OR(A645&lt;&gt;"",G645&lt;&gt;""), SUMIFS(B645:G645,B1:G1,"&lt;&gt;",B2:G2,"&lt;&gt;Exame",B2:G2,"&lt;&gt;exame",B2:G2,"&lt;&gt;Nota",B2:G2,"&lt;&gt;Total"),"")</f>
        <v/>
      </c>
      <c r="I645" s="2" t="str">
        <f>IF(AND(A645&lt;&gt;"",H645&lt;&gt;""),ROUND(H645,0),"")</f>
        <v/>
      </c>
    </row>
    <row r="646" spans="2:9" x14ac:dyDescent="0.3">
      <c r="B646" s="2" t="str">
        <f>IF(A646&lt;&gt;"",VLOOKUP(Alunos!A646,Exame!A3:C1000,3, FALSE),"")</f>
        <v/>
      </c>
      <c r="C646" s="2" t="str">
        <f>IF(A646&lt;&gt;"",VLOOKUP(Alunos!A646,Agrupamentos!A3:B1000,2, FALSE),"")</f>
        <v/>
      </c>
      <c r="D646" s="2" t="str">
        <f>IF(A646&lt;&gt;"",VLOOKUP(Alunos!C646,'TP1'!A3:C1000,3, FALSE),"")</f>
        <v/>
      </c>
      <c r="E646" s="2" t="str">
        <f>IF(A646&lt;&gt;"", SUMIF(B1:D1,"&lt;&gt;",B646:D646),"")</f>
        <v/>
      </c>
      <c r="F646" s="2" t="str">
        <f>IF(AND(A646&lt;&gt;"",E646&lt;&gt;""),ROUND(E646,0),"")</f>
        <v/>
      </c>
      <c r="G646" s="2" t="str">
        <f>IF(A646&lt;&gt;"",VLOOKUP(Alunos!A646,Recurso!A3:C1000,3, FALSE),"")</f>
        <v/>
      </c>
      <c r="H646" s="2" t="str">
        <f>IF(OR(A646&lt;&gt;"",G646&lt;&gt;""), SUMIFS(B646:G646,B1:G1,"&lt;&gt;",B2:G2,"&lt;&gt;Exame",B2:G2,"&lt;&gt;exame",B2:G2,"&lt;&gt;Nota",B2:G2,"&lt;&gt;Total"),"")</f>
        <v/>
      </c>
      <c r="I646" s="2" t="str">
        <f>IF(AND(A646&lt;&gt;"",H646&lt;&gt;""),ROUND(H646,0),"")</f>
        <v/>
      </c>
    </row>
    <row r="647" spans="2:9" x14ac:dyDescent="0.3">
      <c r="B647" s="2" t="str">
        <f>IF(A647&lt;&gt;"",VLOOKUP(Alunos!A647,Exame!A3:C1000,3, FALSE),"")</f>
        <v/>
      </c>
      <c r="C647" s="2" t="str">
        <f>IF(A647&lt;&gt;"",VLOOKUP(Alunos!A647,Agrupamentos!A3:B1000,2, FALSE),"")</f>
        <v/>
      </c>
      <c r="D647" s="2" t="str">
        <f>IF(A647&lt;&gt;"",VLOOKUP(Alunos!C647,'TP1'!A3:C1000,3, FALSE),"")</f>
        <v/>
      </c>
      <c r="E647" s="2" t="str">
        <f>IF(A647&lt;&gt;"", SUMIF(B1:D1,"&lt;&gt;",B647:D647),"")</f>
        <v/>
      </c>
      <c r="F647" s="2" t="str">
        <f>IF(AND(A647&lt;&gt;"",E647&lt;&gt;""),ROUND(E647,0),"")</f>
        <v/>
      </c>
      <c r="G647" s="2" t="str">
        <f>IF(A647&lt;&gt;"",VLOOKUP(Alunos!A647,Recurso!A3:C1000,3, FALSE),"")</f>
        <v/>
      </c>
      <c r="H647" s="2" t="str">
        <f>IF(OR(A647&lt;&gt;"",G647&lt;&gt;""), SUMIFS(B647:G647,B1:G1,"&lt;&gt;",B2:G2,"&lt;&gt;Exame",B2:G2,"&lt;&gt;exame",B2:G2,"&lt;&gt;Nota",B2:G2,"&lt;&gt;Total"),"")</f>
        <v/>
      </c>
      <c r="I647" s="2" t="str">
        <f>IF(AND(A647&lt;&gt;"",H647&lt;&gt;""),ROUND(H647,0),"")</f>
        <v/>
      </c>
    </row>
    <row r="648" spans="2:9" x14ac:dyDescent="0.3">
      <c r="B648" s="2" t="str">
        <f>IF(A648&lt;&gt;"",VLOOKUP(Alunos!A648,Exame!A3:C1000,3, FALSE),"")</f>
        <v/>
      </c>
      <c r="C648" s="2" t="str">
        <f>IF(A648&lt;&gt;"",VLOOKUP(Alunos!A648,Agrupamentos!A3:B1000,2, FALSE),"")</f>
        <v/>
      </c>
      <c r="D648" s="2" t="str">
        <f>IF(A648&lt;&gt;"",VLOOKUP(Alunos!C648,'TP1'!A3:C1000,3, FALSE),"")</f>
        <v/>
      </c>
      <c r="E648" s="2" t="str">
        <f>IF(A648&lt;&gt;"", SUMIF(B1:D1,"&lt;&gt;",B648:D648),"")</f>
        <v/>
      </c>
      <c r="F648" s="2" t="str">
        <f>IF(AND(A648&lt;&gt;"",E648&lt;&gt;""),ROUND(E648,0),"")</f>
        <v/>
      </c>
      <c r="G648" s="2" t="str">
        <f>IF(A648&lt;&gt;"",VLOOKUP(Alunos!A648,Recurso!A3:C1000,3, FALSE),"")</f>
        <v/>
      </c>
      <c r="H648" s="2" t="str">
        <f>IF(OR(A648&lt;&gt;"",G648&lt;&gt;""), SUMIFS(B648:G648,B1:G1,"&lt;&gt;",B2:G2,"&lt;&gt;Exame",B2:G2,"&lt;&gt;exame",B2:G2,"&lt;&gt;Nota",B2:G2,"&lt;&gt;Total"),"")</f>
        <v/>
      </c>
      <c r="I648" s="2" t="str">
        <f>IF(AND(A648&lt;&gt;"",H648&lt;&gt;""),ROUND(H648,0),"")</f>
        <v/>
      </c>
    </row>
    <row r="649" spans="2:9" x14ac:dyDescent="0.3">
      <c r="B649" s="2" t="str">
        <f>IF(A649&lt;&gt;"",VLOOKUP(Alunos!A649,Exame!A3:C1000,3, FALSE),"")</f>
        <v/>
      </c>
      <c r="C649" s="2" t="str">
        <f>IF(A649&lt;&gt;"",VLOOKUP(Alunos!A649,Agrupamentos!A3:B1000,2, FALSE),"")</f>
        <v/>
      </c>
      <c r="D649" s="2" t="str">
        <f>IF(A649&lt;&gt;"",VLOOKUP(Alunos!C649,'TP1'!A3:C1000,3, FALSE),"")</f>
        <v/>
      </c>
      <c r="E649" s="2" t="str">
        <f>IF(A649&lt;&gt;"", SUMIF(B1:D1,"&lt;&gt;",B649:D649),"")</f>
        <v/>
      </c>
      <c r="F649" s="2" t="str">
        <f>IF(AND(A649&lt;&gt;"",E649&lt;&gt;""),ROUND(E649,0),"")</f>
        <v/>
      </c>
      <c r="G649" s="2" t="str">
        <f>IF(A649&lt;&gt;"",VLOOKUP(Alunos!A649,Recurso!A3:C1000,3, FALSE),"")</f>
        <v/>
      </c>
      <c r="H649" s="2" t="str">
        <f>IF(OR(A649&lt;&gt;"",G649&lt;&gt;""), SUMIFS(B649:G649,B1:G1,"&lt;&gt;",B2:G2,"&lt;&gt;Exame",B2:G2,"&lt;&gt;exame",B2:G2,"&lt;&gt;Nota",B2:G2,"&lt;&gt;Total"),"")</f>
        <v/>
      </c>
      <c r="I649" s="2" t="str">
        <f>IF(AND(A649&lt;&gt;"",H649&lt;&gt;""),ROUND(H649,0),"")</f>
        <v/>
      </c>
    </row>
    <row r="650" spans="2:9" x14ac:dyDescent="0.3">
      <c r="B650" s="2" t="str">
        <f>IF(A650&lt;&gt;"",VLOOKUP(Alunos!A650,Exame!A3:C1000,3, FALSE),"")</f>
        <v/>
      </c>
      <c r="C650" s="2" t="str">
        <f>IF(A650&lt;&gt;"",VLOOKUP(Alunos!A650,Agrupamentos!A3:B1000,2, FALSE),"")</f>
        <v/>
      </c>
      <c r="D650" s="2" t="str">
        <f>IF(A650&lt;&gt;"",VLOOKUP(Alunos!C650,'TP1'!A3:C1000,3, FALSE),"")</f>
        <v/>
      </c>
      <c r="E650" s="2" t="str">
        <f>IF(A650&lt;&gt;"", SUMIF(B1:D1,"&lt;&gt;",B650:D650),"")</f>
        <v/>
      </c>
      <c r="F650" s="2" t="str">
        <f>IF(AND(A650&lt;&gt;"",E650&lt;&gt;""),ROUND(E650,0),"")</f>
        <v/>
      </c>
      <c r="G650" s="2" t="str">
        <f>IF(A650&lt;&gt;"",VLOOKUP(Alunos!A650,Recurso!A3:C1000,3, FALSE),"")</f>
        <v/>
      </c>
      <c r="H650" s="2" t="str">
        <f>IF(OR(A650&lt;&gt;"",G650&lt;&gt;""), SUMIFS(B650:G650,B1:G1,"&lt;&gt;",B2:G2,"&lt;&gt;Exame",B2:G2,"&lt;&gt;exame",B2:G2,"&lt;&gt;Nota",B2:G2,"&lt;&gt;Total"),"")</f>
        <v/>
      </c>
      <c r="I650" s="2" t="str">
        <f>IF(AND(A650&lt;&gt;"",H650&lt;&gt;""),ROUND(H650,0),"")</f>
        <v/>
      </c>
    </row>
    <row r="651" spans="2:9" x14ac:dyDescent="0.3">
      <c r="B651" s="2" t="str">
        <f>IF(A651&lt;&gt;"",VLOOKUP(Alunos!A651,Exame!A3:C1000,3, FALSE),"")</f>
        <v/>
      </c>
      <c r="C651" s="2" t="str">
        <f>IF(A651&lt;&gt;"",VLOOKUP(Alunos!A651,Agrupamentos!A3:B1000,2, FALSE),"")</f>
        <v/>
      </c>
      <c r="D651" s="2" t="str">
        <f>IF(A651&lt;&gt;"",VLOOKUP(Alunos!C651,'TP1'!A3:C1000,3, FALSE),"")</f>
        <v/>
      </c>
      <c r="E651" s="2" t="str">
        <f>IF(A651&lt;&gt;"", SUMIF(B1:D1,"&lt;&gt;",B651:D651),"")</f>
        <v/>
      </c>
      <c r="F651" s="2" t="str">
        <f>IF(AND(A651&lt;&gt;"",E651&lt;&gt;""),ROUND(E651,0),"")</f>
        <v/>
      </c>
      <c r="G651" s="2" t="str">
        <f>IF(A651&lt;&gt;"",VLOOKUP(Alunos!A651,Recurso!A3:C1000,3, FALSE),"")</f>
        <v/>
      </c>
      <c r="H651" s="2" t="str">
        <f>IF(OR(A651&lt;&gt;"",G651&lt;&gt;""), SUMIFS(B651:G651,B1:G1,"&lt;&gt;",B2:G2,"&lt;&gt;Exame",B2:G2,"&lt;&gt;exame",B2:G2,"&lt;&gt;Nota",B2:G2,"&lt;&gt;Total"),"")</f>
        <v/>
      </c>
      <c r="I651" s="2" t="str">
        <f>IF(AND(A651&lt;&gt;"",H651&lt;&gt;""),ROUND(H651,0),"")</f>
        <v/>
      </c>
    </row>
    <row r="652" spans="2:9" x14ac:dyDescent="0.3">
      <c r="B652" s="2" t="str">
        <f>IF(A652&lt;&gt;"",VLOOKUP(Alunos!A652,Exame!A3:C1000,3, FALSE),"")</f>
        <v/>
      </c>
      <c r="C652" s="2" t="str">
        <f>IF(A652&lt;&gt;"",VLOOKUP(Alunos!A652,Agrupamentos!A3:B1000,2, FALSE),"")</f>
        <v/>
      </c>
      <c r="D652" s="2" t="str">
        <f>IF(A652&lt;&gt;"",VLOOKUP(Alunos!C652,'TP1'!A3:C1000,3, FALSE),"")</f>
        <v/>
      </c>
      <c r="E652" s="2" t="str">
        <f>IF(A652&lt;&gt;"", SUMIF(B1:D1,"&lt;&gt;",B652:D652),"")</f>
        <v/>
      </c>
      <c r="F652" s="2" t="str">
        <f>IF(AND(A652&lt;&gt;"",E652&lt;&gt;""),ROUND(E652,0),"")</f>
        <v/>
      </c>
      <c r="G652" s="2" t="str">
        <f>IF(A652&lt;&gt;"",VLOOKUP(Alunos!A652,Recurso!A3:C1000,3, FALSE),"")</f>
        <v/>
      </c>
      <c r="H652" s="2" t="str">
        <f>IF(OR(A652&lt;&gt;"",G652&lt;&gt;""), SUMIFS(B652:G652,B1:G1,"&lt;&gt;",B2:G2,"&lt;&gt;Exame",B2:G2,"&lt;&gt;exame",B2:G2,"&lt;&gt;Nota",B2:G2,"&lt;&gt;Total"),"")</f>
        <v/>
      </c>
      <c r="I652" s="2" t="str">
        <f>IF(AND(A652&lt;&gt;"",H652&lt;&gt;""),ROUND(H652,0),"")</f>
        <v/>
      </c>
    </row>
    <row r="653" spans="2:9" x14ac:dyDescent="0.3">
      <c r="B653" s="2" t="str">
        <f>IF(A653&lt;&gt;"",VLOOKUP(Alunos!A653,Exame!A3:C1000,3, FALSE),"")</f>
        <v/>
      </c>
      <c r="C653" s="2" t="str">
        <f>IF(A653&lt;&gt;"",VLOOKUP(Alunos!A653,Agrupamentos!A3:B1000,2, FALSE),"")</f>
        <v/>
      </c>
      <c r="D653" s="2" t="str">
        <f>IF(A653&lt;&gt;"",VLOOKUP(Alunos!C653,'TP1'!A3:C1000,3, FALSE),"")</f>
        <v/>
      </c>
      <c r="E653" s="2" t="str">
        <f>IF(A653&lt;&gt;"", SUMIF(B1:D1,"&lt;&gt;",B653:D653),"")</f>
        <v/>
      </c>
      <c r="F653" s="2" t="str">
        <f>IF(AND(A653&lt;&gt;"",E653&lt;&gt;""),ROUND(E653,0),"")</f>
        <v/>
      </c>
      <c r="G653" s="2" t="str">
        <f>IF(A653&lt;&gt;"",VLOOKUP(Alunos!A653,Recurso!A3:C1000,3, FALSE),"")</f>
        <v/>
      </c>
      <c r="H653" s="2" t="str">
        <f>IF(OR(A653&lt;&gt;"",G653&lt;&gt;""), SUMIFS(B653:G653,B1:G1,"&lt;&gt;",B2:G2,"&lt;&gt;Exame",B2:G2,"&lt;&gt;exame",B2:G2,"&lt;&gt;Nota",B2:G2,"&lt;&gt;Total"),"")</f>
        <v/>
      </c>
      <c r="I653" s="2" t="str">
        <f>IF(AND(A653&lt;&gt;"",H653&lt;&gt;""),ROUND(H653,0),"")</f>
        <v/>
      </c>
    </row>
    <row r="654" spans="2:9" x14ac:dyDescent="0.3">
      <c r="B654" s="2" t="str">
        <f>IF(A654&lt;&gt;"",VLOOKUP(Alunos!A654,Exame!A3:C1000,3, FALSE),"")</f>
        <v/>
      </c>
      <c r="C654" s="2" t="str">
        <f>IF(A654&lt;&gt;"",VLOOKUP(Alunos!A654,Agrupamentos!A3:B1000,2, FALSE),"")</f>
        <v/>
      </c>
      <c r="D654" s="2" t="str">
        <f>IF(A654&lt;&gt;"",VLOOKUP(Alunos!C654,'TP1'!A3:C1000,3, FALSE),"")</f>
        <v/>
      </c>
      <c r="E654" s="2" t="str">
        <f>IF(A654&lt;&gt;"", SUMIF(B1:D1,"&lt;&gt;",B654:D654),"")</f>
        <v/>
      </c>
      <c r="F654" s="2" t="str">
        <f>IF(AND(A654&lt;&gt;"",E654&lt;&gt;""),ROUND(E654,0),"")</f>
        <v/>
      </c>
      <c r="G654" s="2" t="str">
        <f>IF(A654&lt;&gt;"",VLOOKUP(Alunos!A654,Recurso!A3:C1000,3, FALSE),"")</f>
        <v/>
      </c>
      <c r="H654" s="2" t="str">
        <f>IF(OR(A654&lt;&gt;"",G654&lt;&gt;""), SUMIFS(B654:G654,B1:G1,"&lt;&gt;",B2:G2,"&lt;&gt;Exame",B2:G2,"&lt;&gt;exame",B2:G2,"&lt;&gt;Nota",B2:G2,"&lt;&gt;Total"),"")</f>
        <v/>
      </c>
      <c r="I654" s="2" t="str">
        <f>IF(AND(A654&lt;&gt;"",H654&lt;&gt;""),ROUND(H654,0),"")</f>
        <v/>
      </c>
    </row>
    <row r="655" spans="2:9" x14ac:dyDescent="0.3">
      <c r="B655" s="2" t="str">
        <f>IF(A655&lt;&gt;"",VLOOKUP(Alunos!A655,Exame!A3:C1000,3, FALSE),"")</f>
        <v/>
      </c>
      <c r="C655" s="2" t="str">
        <f>IF(A655&lt;&gt;"",VLOOKUP(Alunos!A655,Agrupamentos!A3:B1000,2, FALSE),"")</f>
        <v/>
      </c>
      <c r="D655" s="2" t="str">
        <f>IF(A655&lt;&gt;"",VLOOKUP(Alunos!C655,'TP1'!A3:C1000,3, FALSE),"")</f>
        <v/>
      </c>
      <c r="E655" s="2" t="str">
        <f>IF(A655&lt;&gt;"", SUMIF(B1:D1,"&lt;&gt;",B655:D655),"")</f>
        <v/>
      </c>
      <c r="F655" s="2" t="str">
        <f>IF(AND(A655&lt;&gt;"",E655&lt;&gt;""),ROUND(E655,0),"")</f>
        <v/>
      </c>
      <c r="G655" s="2" t="str">
        <f>IF(A655&lt;&gt;"",VLOOKUP(Alunos!A655,Recurso!A3:C1000,3, FALSE),"")</f>
        <v/>
      </c>
      <c r="H655" s="2" t="str">
        <f>IF(OR(A655&lt;&gt;"",G655&lt;&gt;""), SUMIFS(B655:G655,B1:G1,"&lt;&gt;",B2:G2,"&lt;&gt;Exame",B2:G2,"&lt;&gt;exame",B2:G2,"&lt;&gt;Nota",B2:G2,"&lt;&gt;Total"),"")</f>
        <v/>
      </c>
      <c r="I655" s="2" t="str">
        <f>IF(AND(A655&lt;&gt;"",H655&lt;&gt;""),ROUND(H655,0),"")</f>
        <v/>
      </c>
    </row>
    <row r="656" spans="2:9" x14ac:dyDescent="0.3">
      <c r="B656" s="2" t="str">
        <f>IF(A656&lt;&gt;"",VLOOKUP(Alunos!A656,Exame!A3:C1000,3, FALSE),"")</f>
        <v/>
      </c>
      <c r="C656" s="2" t="str">
        <f>IF(A656&lt;&gt;"",VLOOKUP(Alunos!A656,Agrupamentos!A3:B1000,2, FALSE),"")</f>
        <v/>
      </c>
      <c r="D656" s="2" t="str">
        <f>IF(A656&lt;&gt;"",VLOOKUP(Alunos!C656,'TP1'!A3:C1000,3, FALSE),"")</f>
        <v/>
      </c>
      <c r="E656" s="2" t="str">
        <f>IF(A656&lt;&gt;"", SUMIF(B1:D1,"&lt;&gt;",B656:D656),"")</f>
        <v/>
      </c>
      <c r="F656" s="2" t="str">
        <f>IF(AND(A656&lt;&gt;"",E656&lt;&gt;""),ROUND(E656,0),"")</f>
        <v/>
      </c>
      <c r="G656" s="2" t="str">
        <f>IF(A656&lt;&gt;"",VLOOKUP(Alunos!A656,Recurso!A3:C1000,3, FALSE),"")</f>
        <v/>
      </c>
      <c r="H656" s="2" t="str">
        <f>IF(OR(A656&lt;&gt;"",G656&lt;&gt;""), SUMIFS(B656:G656,B1:G1,"&lt;&gt;",B2:G2,"&lt;&gt;Exame",B2:G2,"&lt;&gt;exame",B2:G2,"&lt;&gt;Nota",B2:G2,"&lt;&gt;Total"),"")</f>
        <v/>
      </c>
      <c r="I656" s="2" t="str">
        <f>IF(AND(A656&lt;&gt;"",H656&lt;&gt;""),ROUND(H656,0),"")</f>
        <v/>
      </c>
    </row>
    <row r="657" spans="2:9" x14ac:dyDescent="0.3">
      <c r="B657" s="2" t="str">
        <f>IF(A657&lt;&gt;"",VLOOKUP(Alunos!A657,Exame!A3:C1000,3, FALSE),"")</f>
        <v/>
      </c>
      <c r="C657" s="2" t="str">
        <f>IF(A657&lt;&gt;"",VLOOKUP(Alunos!A657,Agrupamentos!A3:B1000,2, FALSE),"")</f>
        <v/>
      </c>
      <c r="D657" s="2" t="str">
        <f>IF(A657&lt;&gt;"",VLOOKUP(Alunos!C657,'TP1'!A3:C1000,3, FALSE),"")</f>
        <v/>
      </c>
      <c r="E657" s="2" t="str">
        <f>IF(A657&lt;&gt;"", SUMIF(B1:D1,"&lt;&gt;",B657:D657),"")</f>
        <v/>
      </c>
      <c r="F657" s="2" t="str">
        <f>IF(AND(A657&lt;&gt;"",E657&lt;&gt;""),ROUND(E657,0),"")</f>
        <v/>
      </c>
      <c r="G657" s="2" t="str">
        <f>IF(A657&lt;&gt;"",VLOOKUP(Alunos!A657,Recurso!A3:C1000,3, FALSE),"")</f>
        <v/>
      </c>
      <c r="H657" s="2" t="str">
        <f>IF(OR(A657&lt;&gt;"",G657&lt;&gt;""), SUMIFS(B657:G657,B1:G1,"&lt;&gt;",B2:G2,"&lt;&gt;Exame",B2:G2,"&lt;&gt;exame",B2:G2,"&lt;&gt;Nota",B2:G2,"&lt;&gt;Total"),"")</f>
        <v/>
      </c>
      <c r="I657" s="2" t="str">
        <f>IF(AND(A657&lt;&gt;"",H657&lt;&gt;""),ROUND(H657,0),"")</f>
        <v/>
      </c>
    </row>
    <row r="658" spans="2:9" x14ac:dyDescent="0.3">
      <c r="B658" s="2" t="str">
        <f>IF(A658&lt;&gt;"",VLOOKUP(Alunos!A658,Exame!A3:C1000,3, FALSE),"")</f>
        <v/>
      </c>
      <c r="C658" s="2" t="str">
        <f>IF(A658&lt;&gt;"",VLOOKUP(Alunos!A658,Agrupamentos!A3:B1000,2, FALSE),"")</f>
        <v/>
      </c>
      <c r="D658" s="2" t="str">
        <f>IF(A658&lt;&gt;"",VLOOKUP(Alunos!C658,'TP1'!A3:C1000,3, FALSE),"")</f>
        <v/>
      </c>
      <c r="E658" s="2" t="str">
        <f>IF(A658&lt;&gt;"", SUMIF(B1:D1,"&lt;&gt;",B658:D658),"")</f>
        <v/>
      </c>
      <c r="F658" s="2" t="str">
        <f>IF(AND(A658&lt;&gt;"",E658&lt;&gt;""),ROUND(E658,0),"")</f>
        <v/>
      </c>
      <c r="G658" s="2" t="str">
        <f>IF(A658&lt;&gt;"",VLOOKUP(Alunos!A658,Recurso!A3:C1000,3, FALSE),"")</f>
        <v/>
      </c>
      <c r="H658" s="2" t="str">
        <f>IF(OR(A658&lt;&gt;"",G658&lt;&gt;""), SUMIFS(B658:G658,B1:G1,"&lt;&gt;",B2:G2,"&lt;&gt;Exame",B2:G2,"&lt;&gt;exame",B2:G2,"&lt;&gt;Nota",B2:G2,"&lt;&gt;Total"),"")</f>
        <v/>
      </c>
      <c r="I658" s="2" t="str">
        <f>IF(AND(A658&lt;&gt;"",H658&lt;&gt;""),ROUND(H658,0),"")</f>
        <v/>
      </c>
    </row>
    <row r="659" spans="2:9" x14ac:dyDescent="0.3">
      <c r="B659" s="2" t="str">
        <f>IF(A659&lt;&gt;"",VLOOKUP(Alunos!A659,Exame!A3:C1000,3, FALSE),"")</f>
        <v/>
      </c>
      <c r="C659" s="2" t="str">
        <f>IF(A659&lt;&gt;"",VLOOKUP(Alunos!A659,Agrupamentos!A3:B1000,2, FALSE),"")</f>
        <v/>
      </c>
      <c r="D659" s="2" t="str">
        <f>IF(A659&lt;&gt;"",VLOOKUP(Alunos!C659,'TP1'!A3:C1000,3, FALSE),"")</f>
        <v/>
      </c>
      <c r="E659" s="2" t="str">
        <f>IF(A659&lt;&gt;"", SUMIF(B1:D1,"&lt;&gt;",B659:D659),"")</f>
        <v/>
      </c>
      <c r="F659" s="2" t="str">
        <f>IF(AND(A659&lt;&gt;"",E659&lt;&gt;""),ROUND(E659,0),"")</f>
        <v/>
      </c>
      <c r="G659" s="2" t="str">
        <f>IF(A659&lt;&gt;"",VLOOKUP(Alunos!A659,Recurso!A3:C1000,3, FALSE),"")</f>
        <v/>
      </c>
      <c r="H659" s="2" t="str">
        <f>IF(OR(A659&lt;&gt;"",G659&lt;&gt;""), SUMIFS(B659:G659,B1:G1,"&lt;&gt;",B2:G2,"&lt;&gt;Exame",B2:G2,"&lt;&gt;exame",B2:G2,"&lt;&gt;Nota",B2:G2,"&lt;&gt;Total"),"")</f>
        <v/>
      </c>
      <c r="I659" s="2" t="str">
        <f>IF(AND(A659&lt;&gt;"",H659&lt;&gt;""),ROUND(H659,0),"")</f>
        <v/>
      </c>
    </row>
    <row r="660" spans="2:9" x14ac:dyDescent="0.3">
      <c r="B660" s="2" t="str">
        <f>IF(A660&lt;&gt;"",VLOOKUP(Alunos!A660,Exame!A3:C1000,3, FALSE),"")</f>
        <v/>
      </c>
      <c r="C660" s="2" t="str">
        <f>IF(A660&lt;&gt;"",VLOOKUP(Alunos!A660,Agrupamentos!A3:B1000,2, FALSE),"")</f>
        <v/>
      </c>
      <c r="D660" s="2" t="str">
        <f>IF(A660&lt;&gt;"",VLOOKUP(Alunos!C660,'TP1'!A3:C1000,3, FALSE),"")</f>
        <v/>
      </c>
      <c r="E660" s="2" t="str">
        <f>IF(A660&lt;&gt;"", SUMIF(B1:D1,"&lt;&gt;",B660:D660),"")</f>
        <v/>
      </c>
      <c r="F660" s="2" t="str">
        <f>IF(AND(A660&lt;&gt;"",E660&lt;&gt;""),ROUND(E660,0),"")</f>
        <v/>
      </c>
      <c r="G660" s="2" t="str">
        <f>IF(A660&lt;&gt;"",VLOOKUP(Alunos!A660,Recurso!A3:C1000,3, FALSE),"")</f>
        <v/>
      </c>
      <c r="H660" s="2" t="str">
        <f>IF(OR(A660&lt;&gt;"",G660&lt;&gt;""), SUMIFS(B660:G660,B1:G1,"&lt;&gt;",B2:G2,"&lt;&gt;Exame",B2:G2,"&lt;&gt;exame",B2:G2,"&lt;&gt;Nota",B2:G2,"&lt;&gt;Total"),"")</f>
        <v/>
      </c>
      <c r="I660" s="2" t="str">
        <f>IF(AND(A660&lt;&gt;"",H660&lt;&gt;""),ROUND(H660,0),"")</f>
        <v/>
      </c>
    </row>
    <row r="661" spans="2:9" x14ac:dyDescent="0.3">
      <c r="B661" s="2" t="str">
        <f>IF(A661&lt;&gt;"",VLOOKUP(Alunos!A661,Exame!A3:C1000,3, FALSE),"")</f>
        <v/>
      </c>
      <c r="C661" s="2" t="str">
        <f>IF(A661&lt;&gt;"",VLOOKUP(Alunos!A661,Agrupamentos!A3:B1000,2, FALSE),"")</f>
        <v/>
      </c>
      <c r="D661" s="2" t="str">
        <f>IF(A661&lt;&gt;"",VLOOKUP(Alunos!C661,'TP1'!A3:C1000,3, FALSE),"")</f>
        <v/>
      </c>
      <c r="E661" s="2" t="str">
        <f>IF(A661&lt;&gt;"", SUMIF(B1:D1,"&lt;&gt;",B661:D661),"")</f>
        <v/>
      </c>
      <c r="F661" s="2" t="str">
        <f>IF(AND(A661&lt;&gt;"",E661&lt;&gt;""),ROUND(E661,0),"")</f>
        <v/>
      </c>
      <c r="G661" s="2" t="str">
        <f>IF(A661&lt;&gt;"",VLOOKUP(Alunos!A661,Recurso!A3:C1000,3, FALSE),"")</f>
        <v/>
      </c>
      <c r="H661" s="2" t="str">
        <f>IF(OR(A661&lt;&gt;"",G661&lt;&gt;""), SUMIFS(B661:G661,B1:G1,"&lt;&gt;",B2:G2,"&lt;&gt;Exame",B2:G2,"&lt;&gt;exame",B2:G2,"&lt;&gt;Nota",B2:G2,"&lt;&gt;Total"),"")</f>
        <v/>
      </c>
      <c r="I661" s="2" t="str">
        <f>IF(AND(A661&lt;&gt;"",H661&lt;&gt;""),ROUND(H661,0),"")</f>
        <v/>
      </c>
    </row>
    <row r="662" spans="2:9" x14ac:dyDescent="0.3">
      <c r="B662" s="2" t="str">
        <f>IF(A662&lt;&gt;"",VLOOKUP(Alunos!A662,Exame!A3:C1000,3, FALSE),"")</f>
        <v/>
      </c>
      <c r="C662" s="2" t="str">
        <f>IF(A662&lt;&gt;"",VLOOKUP(Alunos!A662,Agrupamentos!A3:B1000,2, FALSE),"")</f>
        <v/>
      </c>
      <c r="D662" s="2" t="str">
        <f>IF(A662&lt;&gt;"",VLOOKUP(Alunos!C662,'TP1'!A3:C1000,3, FALSE),"")</f>
        <v/>
      </c>
      <c r="E662" s="2" t="str">
        <f>IF(A662&lt;&gt;"", SUMIF(B1:D1,"&lt;&gt;",B662:D662),"")</f>
        <v/>
      </c>
      <c r="F662" s="2" t="str">
        <f>IF(AND(A662&lt;&gt;"",E662&lt;&gt;""),ROUND(E662,0),"")</f>
        <v/>
      </c>
      <c r="G662" s="2" t="str">
        <f>IF(A662&lt;&gt;"",VLOOKUP(Alunos!A662,Recurso!A3:C1000,3, FALSE),"")</f>
        <v/>
      </c>
      <c r="H662" s="2" t="str">
        <f>IF(OR(A662&lt;&gt;"",G662&lt;&gt;""), SUMIFS(B662:G662,B1:G1,"&lt;&gt;",B2:G2,"&lt;&gt;Exame",B2:G2,"&lt;&gt;exame",B2:G2,"&lt;&gt;Nota",B2:G2,"&lt;&gt;Total"),"")</f>
        <v/>
      </c>
      <c r="I662" s="2" t="str">
        <f>IF(AND(A662&lt;&gt;"",H662&lt;&gt;""),ROUND(H662,0),"")</f>
        <v/>
      </c>
    </row>
    <row r="663" spans="2:9" x14ac:dyDescent="0.3">
      <c r="B663" s="2" t="str">
        <f>IF(A663&lt;&gt;"",VLOOKUP(Alunos!A663,Exame!A3:C1000,3, FALSE),"")</f>
        <v/>
      </c>
      <c r="C663" s="2" t="str">
        <f>IF(A663&lt;&gt;"",VLOOKUP(Alunos!A663,Agrupamentos!A3:B1000,2, FALSE),"")</f>
        <v/>
      </c>
      <c r="D663" s="2" t="str">
        <f>IF(A663&lt;&gt;"",VLOOKUP(Alunos!C663,'TP1'!A3:C1000,3, FALSE),"")</f>
        <v/>
      </c>
      <c r="E663" s="2" t="str">
        <f>IF(A663&lt;&gt;"", SUMIF(B1:D1,"&lt;&gt;",B663:D663),"")</f>
        <v/>
      </c>
      <c r="F663" s="2" t="str">
        <f>IF(AND(A663&lt;&gt;"",E663&lt;&gt;""),ROUND(E663,0),"")</f>
        <v/>
      </c>
      <c r="G663" s="2" t="str">
        <f>IF(A663&lt;&gt;"",VLOOKUP(Alunos!A663,Recurso!A3:C1000,3, FALSE),"")</f>
        <v/>
      </c>
      <c r="H663" s="2" t="str">
        <f>IF(OR(A663&lt;&gt;"",G663&lt;&gt;""), SUMIFS(B663:G663,B1:G1,"&lt;&gt;",B2:G2,"&lt;&gt;Exame",B2:G2,"&lt;&gt;exame",B2:G2,"&lt;&gt;Nota",B2:G2,"&lt;&gt;Total"),"")</f>
        <v/>
      </c>
      <c r="I663" s="2" t="str">
        <f>IF(AND(A663&lt;&gt;"",H663&lt;&gt;""),ROUND(H663,0),"")</f>
        <v/>
      </c>
    </row>
    <row r="664" spans="2:9" x14ac:dyDescent="0.3">
      <c r="B664" s="2" t="str">
        <f>IF(A664&lt;&gt;"",VLOOKUP(Alunos!A664,Exame!A3:C1000,3, FALSE),"")</f>
        <v/>
      </c>
      <c r="C664" s="2" t="str">
        <f>IF(A664&lt;&gt;"",VLOOKUP(Alunos!A664,Agrupamentos!A3:B1000,2, FALSE),"")</f>
        <v/>
      </c>
      <c r="D664" s="2" t="str">
        <f>IF(A664&lt;&gt;"",VLOOKUP(Alunos!C664,'TP1'!A3:C1000,3, FALSE),"")</f>
        <v/>
      </c>
      <c r="E664" s="2" t="str">
        <f>IF(A664&lt;&gt;"", SUMIF(B1:D1,"&lt;&gt;",B664:D664),"")</f>
        <v/>
      </c>
      <c r="F664" s="2" t="str">
        <f>IF(AND(A664&lt;&gt;"",E664&lt;&gt;""),ROUND(E664,0),"")</f>
        <v/>
      </c>
      <c r="G664" s="2" t="str">
        <f>IF(A664&lt;&gt;"",VLOOKUP(Alunos!A664,Recurso!A3:C1000,3, FALSE),"")</f>
        <v/>
      </c>
      <c r="H664" s="2" t="str">
        <f>IF(OR(A664&lt;&gt;"",G664&lt;&gt;""), SUMIFS(B664:G664,B1:G1,"&lt;&gt;",B2:G2,"&lt;&gt;Exame",B2:G2,"&lt;&gt;exame",B2:G2,"&lt;&gt;Nota",B2:G2,"&lt;&gt;Total"),"")</f>
        <v/>
      </c>
      <c r="I664" s="2" t="str">
        <f>IF(AND(A664&lt;&gt;"",H664&lt;&gt;""),ROUND(H664,0),"")</f>
        <v/>
      </c>
    </row>
    <row r="665" spans="2:9" x14ac:dyDescent="0.3">
      <c r="B665" s="2" t="str">
        <f>IF(A665&lt;&gt;"",VLOOKUP(Alunos!A665,Exame!A3:C1000,3, FALSE),"")</f>
        <v/>
      </c>
      <c r="C665" s="2" t="str">
        <f>IF(A665&lt;&gt;"",VLOOKUP(Alunos!A665,Agrupamentos!A3:B1000,2, FALSE),"")</f>
        <v/>
      </c>
      <c r="D665" s="2" t="str">
        <f>IF(A665&lt;&gt;"",VLOOKUP(Alunos!C665,'TP1'!A3:C1000,3, FALSE),"")</f>
        <v/>
      </c>
      <c r="E665" s="2" t="str">
        <f>IF(A665&lt;&gt;"", SUMIF(B1:D1,"&lt;&gt;",B665:D665),"")</f>
        <v/>
      </c>
      <c r="F665" s="2" t="str">
        <f>IF(AND(A665&lt;&gt;"",E665&lt;&gt;""),ROUND(E665,0),"")</f>
        <v/>
      </c>
      <c r="G665" s="2" t="str">
        <f>IF(A665&lt;&gt;"",VLOOKUP(Alunos!A665,Recurso!A3:C1000,3, FALSE),"")</f>
        <v/>
      </c>
      <c r="H665" s="2" t="str">
        <f>IF(OR(A665&lt;&gt;"",G665&lt;&gt;""), SUMIFS(B665:G665,B1:G1,"&lt;&gt;",B2:G2,"&lt;&gt;Exame",B2:G2,"&lt;&gt;exame",B2:G2,"&lt;&gt;Nota",B2:G2,"&lt;&gt;Total"),"")</f>
        <v/>
      </c>
      <c r="I665" s="2" t="str">
        <f>IF(AND(A665&lt;&gt;"",H665&lt;&gt;""),ROUND(H665,0),"")</f>
        <v/>
      </c>
    </row>
    <row r="666" spans="2:9" x14ac:dyDescent="0.3">
      <c r="B666" s="2" t="str">
        <f>IF(A666&lt;&gt;"",VLOOKUP(Alunos!A666,Exame!A3:C1000,3, FALSE),"")</f>
        <v/>
      </c>
      <c r="C666" s="2" t="str">
        <f>IF(A666&lt;&gt;"",VLOOKUP(Alunos!A666,Agrupamentos!A3:B1000,2, FALSE),"")</f>
        <v/>
      </c>
      <c r="D666" s="2" t="str">
        <f>IF(A666&lt;&gt;"",VLOOKUP(Alunos!C666,'TP1'!A3:C1000,3, FALSE),"")</f>
        <v/>
      </c>
      <c r="E666" s="2" t="str">
        <f>IF(A666&lt;&gt;"", SUMIF(B1:D1,"&lt;&gt;",B666:D666),"")</f>
        <v/>
      </c>
      <c r="F666" s="2" t="str">
        <f>IF(AND(A666&lt;&gt;"",E666&lt;&gt;""),ROUND(E666,0),"")</f>
        <v/>
      </c>
      <c r="G666" s="2" t="str">
        <f>IF(A666&lt;&gt;"",VLOOKUP(Alunos!A666,Recurso!A3:C1000,3, FALSE),"")</f>
        <v/>
      </c>
      <c r="H666" s="2" t="str">
        <f>IF(OR(A666&lt;&gt;"",G666&lt;&gt;""), SUMIFS(B666:G666,B1:G1,"&lt;&gt;",B2:G2,"&lt;&gt;Exame",B2:G2,"&lt;&gt;exame",B2:G2,"&lt;&gt;Nota",B2:G2,"&lt;&gt;Total"),"")</f>
        <v/>
      </c>
      <c r="I666" s="2" t="str">
        <f>IF(AND(A666&lt;&gt;"",H666&lt;&gt;""),ROUND(H666,0),"")</f>
        <v/>
      </c>
    </row>
    <row r="667" spans="2:9" x14ac:dyDescent="0.3">
      <c r="B667" s="2" t="str">
        <f>IF(A667&lt;&gt;"",VLOOKUP(Alunos!A667,Exame!A3:C1000,3, FALSE),"")</f>
        <v/>
      </c>
      <c r="C667" s="2" t="str">
        <f>IF(A667&lt;&gt;"",VLOOKUP(Alunos!A667,Agrupamentos!A3:B1000,2, FALSE),"")</f>
        <v/>
      </c>
      <c r="D667" s="2" t="str">
        <f>IF(A667&lt;&gt;"",VLOOKUP(Alunos!C667,'TP1'!A3:C1000,3, FALSE),"")</f>
        <v/>
      </c>
      <c r="E667" s="2" t="str">
        <f>IF(A667&lt;&gt;"", SUMIF(B1:D1,"&lt;&gt;",B667:D667),"")</f>
        <v/>
      </c>
      <c r="F667" s="2" t="str">
        <f>IF(AND(A667&lt;&gt;"",E667&lt;&gt;""),ROUND(E667,0),"")</f>
        <v/>
      </c>
      <c r="G667" s="2" t="str">
        <f>IF(A667&lt;&gt;"",VLOOKUP(Alunos!A667,Recurso!A3:C1000,3, FALSE),"")</f>
        <v/>
      </c>
      <c r="H667" s="2" t="str">
        <f>IF(OR(A667&lt;&gt;"",G667&lt;&gt;""), SUMIFS(B667:G667,B1:G1,"&lt;&gt;",B2:G2,"&lt;&gt;Exame",B2:G2,"&lt;&gt;exame",B2:G2,"&lt;&gt;Nota",B2:G2,"&lt;&gt;Total"),"")</f>
        <v/>
      </c>
      <c r="I667" s="2" t="str">
        <f>IF(AND(A667&lt;&gt;"",H667&lt;&gt;""),ROUND(H667,0),"")</f>
        <v/>
      </c>
    </row>
    <row r="668" spans="2:9" x14ac:dyDescent="0.3">
      <c r="B668" s="2" t="str">
        <f>IF(A668&lt;&gt;"",VLOOKUP(Alunos!A668,Exame!A3:C1000,3, FALSE),"")</f>
        <v/>
      </c>
      <c r="C668" s="2" t="str">
        <f>IF(A668&lt;&gt;"",VLOOKUP(Alunos!A668,Agrupamentos!A3:B1000,2, FALSE),"")</f>
        <v/>
      </c>
      <c r="D668" s="2" t="str">
        <f>IF(A668&lt;&gt;"",VLOOKUP(Alunos!C668,'TP1'!A3:C1000,3, FALSE),"")</f>
        <v/>
      </c>
      <c r="E668" s="2" t="str">
        <f>IF(A668&lt;&gt;"", SUMIF(B1:D1,"&lt;&gt;",B668:D668),"")</f>
        <v/>
      </c>
      <c r="F668" s="2" t="str">
        <f>IF(AND(A668&lt;&gt;"",E668&lt;&gt;""),ROUND(E668,0),"")</f>
        <v/>
      </c>
      <c r="G668" s="2" t="str">
        <f>IF(A668&lt;&gt;"",VLOOKUP(Alunos!A668,Recurso!A3:C1000,3, FALSE),"")</f>
        <v/>
      </c>
      <c r="H668" s="2" t="str">
        <f>IF(OR(A668&lt;&gt;"",G668&lt;&gt;""), SUMIFS(B668:G668,B1:G1,"&lt;&gt;",B2:G2,"&lt;&gt;Exame",B2:G2,"&lt;&gt;exame",B2:G2,"&lt;&gt;Nota",B2:G2,"&lt;&gt;Total"),"")</f>
        <v/>
      </c>
      <c r="I668" s="2" t="str">
        <f>IF(AND(A668&lt;&gt;"",H668&lt;&gt;""),ROUND(H668,0),"")</f>
        <v/>
      </c>
    </row>
    <row r="669" spans="2:9" x14ac:dyDescent="0.3">
      <c r="B669" s="2" t="str">
        <f>IF(A669&lt;&gt;"",VLOOKUP(Alunos!A669,Exame!A3:C1000,3, FALSE),"")</f>
        <v/>
      </c>
      <c r="C669" s="2" t="str">
        <f>IF(A669&lt;&gt;"",VLOOKUP(Alunos!A669,Agrupamentos!A3:B1000,2, FALSE),"")</f>
        <v/>
      </c>
      <c r="D669" s="2" t="str">
        <f>IF(A669&lt;&gt;"",VLOOKUP(Alunos!C669,'TP1'!A3:C1000,3, FALSE),"")</f>
        <v/>
      </c>
      <c r="E669" s="2" t="str">
        <f>IF(A669&lt;&gt;"", SUMIF(B1:D1,"&lt;&gt;",B669:D669),"")</f>
        <v/>
      </c>
      <c r="F669" s="2" t="str">
        <f>IF(AND(A669&lt;&gt;"",E669&lt;&gt;""),ROUND(E669,0),"")</f>
        <v/>
      </c>
      <c r="G669" s="2" t="str">
        <f>IF(A669&lt;&gt;"",VLOOKUP(Alunos!A669,Recurso!A3:C1000,3, FALSE),"")</f>
        <v/>
      </c>
      <c r="H669" s="2" t="str">
        <f>IF(OR(A669&lt;&gt;"",G669&lt;&gt;""), SUMIFS(B669:G669,B1:G1,"&lt;&gt;",B2:G2,"&lt;&gt;Exame",B2:G2,"&lt;&gt;exame",B2:G2,"&lt;&gt;Nota",B2:G2,"&lt;&gt;Total"),"")</f>
        <v/>
      </c>
      <c r="I669" s="2" t="str">
        <f>IF(AND(A669&lt;&gt;"",H669&lt;&gt;""),ROUND(H669,0),"")</f>
        <v/>
      </c>
    </row>
    <row r="670" spans="2:9" x14ac:dyDescent="0.3">
      <c r="B670" s="2" t="str">
        <f>IF(A670&lt;&gt;"",VLOOKUP(Alunos!A670,Exame!A3:C1000,3, FALSE),"")</f>
        <v/>
      </c>
      <c r="C670" s="2" t="str">
        <f>IF(A670&lt;&gt;"",VLOOKUP(Alunos!A670,Agrupamentos!A3:B1000,2, FALSE),"")</f>
        <v/>
      </c>
      <c r="D670" s="2" t="str">
        <f>IF(A670&lt;&gt;"",VLOOKUP(Alunos!C670,'TP1'!A3:C1000,3, FALSE),"")</f>
        <v/>
      </c>
      <c r="E670" s="2" t="str">
        <f>IF(A670&lt;&gt;"", SUMIF(B1:D1,"&lt;&gt;",B670:D670),"")</f>
        <v/>
      </c>
      <c r="F670" s="2" t="str">
        <f>IF(AND(A670&lt;&gt;"",E670&lt;&gt;""),ROUND(E670,0),"")</f>
        <v/>
      </c>
      <c r="G670" s="2" t="str">
        <f>IF(A670&lt;&gt;"",VLOOKUP(Alunos!A670,Recurso!A3:C1000,3, FALSE),"")</f>
        <v/>
      </c>
      <c r="H670" s="2" t="str">
        <f>IF(OR(A670&lt;&gt;"",G670&lt;&gt;""), SUMIFS(B670:G670,B1:G1,"&lt;&gt;",B2:G2,"&lt;&gt;Exame",B2:G2,"&lt;&gt;exame",B2:G2,"&lt;&gt;Nota",B2:G2,"&lt;&gt;Total"),"")</f>
        <v/>
      </c>
      <c r="I670" s="2" t="str">
        <f>IF(AND(A670&lt;&gt;"",H670&lt;&gt;""),ROUND(H670,0),"")</f>
        <v/>
      </c>
    </row>
    <row r="671" spans="2:9" x14ac:dyDescent="0.3">
      <c r="B671" s="2" t="str">
        <f>IF(A671&lt;&gt;"",VLOOKUP(Alunos!A671,Exame!A3:C1000,3, FALSE),"")</f>
        <v/>
      </c>
      <c r="C671" s="2" t="str">
        <f>IF(A671&lt;&gt;"",VLOOKUP(Alunos!A671,Agrupamentos!A3:B1000,2, FALSE),"")</f>
        <v/>
      </c>
      <c r="D671" s="2" t="str">
        <f>IF(A671&lt;&gt;"",VLOOKUP(Alunos!C671,'TP1'!A3:C1000,3, FALSE),"")</f>
        <v/>
      </c>
      <c r="E671" s="2" t="str">
        <f>IF(A671&lt;&gt;"", SUMIF(B1:D1,"&lt;&gt;",B671:D671),"")</f>
        <v/>
      </c>
      <c r="F671" s="2" t="str">
        <f>IF(AND(A671&lt;&gt;"",E671&lt;&gt;""),ROUND(E671,0),"")</f>
        <v/>
      </c>
      <c r="G671" s="2" t="str">
        <f>IF(A671&lt;&gt;"",VLOOKUP(Alunos!A671,Recurso!A3:C1000,3, FALSE),"")</f>
        <v/>
      </c>
      <c r="H671" s="2" t="str">
        <f>IF(OR(A671&lt;&gt;"",G671&lt;&gt;""), SUMIFS(B671:G671,B1:G1,"&lt;&gt;",B2:G2,"&lt;&gt;Exame",B2:G2,"&lt;&gt;exame",B2:G2,"&lt;&gt;Nota",B2:G2,"&lt;&gt;Total"),"")</f>
        <v/>
      </c>
      <c r="I671" s="2" t="str">
        <f>IF(AND(A671&lt;&gt;"",H671&lt;&gt;""),ROUND(H671,0),"")</f>
        <v/>
      </c>
    </row>
    <row r="672" spans="2:9" x14ac:dyDescent="0.3">
      <c r="B672" s="2" t="str">
        <f>IF(A672&lt;&gt;"",VLOOKUP(Alunos!A672,Exame!A3:C1000,3, FALSE),"")</f>
        <v/>
      </c>
      <c r="C672" s="2" t="str">
        <f>IF(A672&lt;&gt;"",VLOOKUP(Alunos!A672,Agrupamentos!A3:B1000,2, FALSE),"")</f>
        <v/>
      </c>
      <c r="D672" s="2" t="str">
        <f>IF(A672&lt;&gt;"",VLOOKUP(Alunos!C672,'TP1'!A3:C1000,3, FALSE),"")</f>
        <v/>
      </c>
      <c r="E672" s="2" t="str">
        <f>IF(A672&lt;&gt;"", SUMIF(B1:D1,"&lt;&gt;",B672:D672),"")</f>
        <v/>
      </c>
      <c r="F672" s="2" t="str">
        <f>IF(AND(A672&lt;&gt;"",E672&lt;&gt;""),ROUND(E672,0),"")</f>
        <v/>
      </c>
      <c r="G672" s="2" t="str">
        <f>IF(A672&lt;&gt;"",VLOOKUP(Alunos!A672,Recurso!A3:C1000,3, FALSE),"")</f>
        <v/>
      </c>
      <c r="H672" s="2" t="str">
        <f>IF(OR(A672&lt;&gt;"",G672&lt;&gt;""), SUMIFS(B672:G672,B1:G1,"&lt;&gt;",B2:G2,"&lt;&gt;Exame",B2:G2,"&lt;&gt;exame",B2:G2,"&lt;&gt;Nota",B2:G2,"&lt;&gt;Total"),"")</f>
        <v/>
      </c>
      <c r="I672" s="2" t="str">
        <f>IF(AND(A672&lt;&gt;"",H672&lt;&gt;""),ROUND(H672,0),"")</f>
        <v/>
      </c>
    </row>
    <row r="673" spans="2:9" x14ac:dyDescent="0.3">
      <c r="B673" s="2" t="str">
        <f>IF(A673&lt;&gt;"",VLOOKUP(Alunos!A673,Exame!A3:C1000,3, FALSE),"")</f>
        <v/>
      </c>
      <c r="C673" s="2" t="str">
        <f>IF(A673&lt;&gt;"",VLOOKUP(Alunos!A673,Agrupamentos!A3:B1000,2, FALSE),"")</f>
        <v/>
      </c>
      <c r="D673" s="2" t="str">
        <f>IF(A673&lt;&gt;"",VLOOKUP(Alunos!C673,'TP1'!A3:C1000,3, FALSE),"")</f>
        <v/>
      </c>
      <c r="E673" s="2" t="str">
        <f>IF(A673&lt;&gt;"", SUMIF(B1:D1,"&lt;&gt;",B673:D673),"")</f>
        <v/>
      </c>
      <c r="F673" s="2" t="str">
        <f>IF(AND(A673&lt;&gt;"",E673&lt;&gt;""),ROUND(E673,0),"")</f>
        <v/>
      </c>
      <c r="G673" s="2" t="str">
        <f>IF(A673&lt;&gt;"",VLOOKUP(Alunos!A673,Recurso!A3:C1000,3, FALSE),"")</f>
        <v/>
      </c>
      <c r="H673" s="2" t="str">
        <f>IF(OR(A673&lt;&gt;"",G673&lt;&gt;""), SUMIFS(B673:G673,B1:G1,"&lt;&gt;",B2:G2,"&lt;&gt;Exame",B2:G2,"&lt;&gt;exame",B2:G2,"&lt;&gt;Nota",B2:G2,"&lt;&gt;Total"),"")</f>
        <v/>
      </c>
      <c r="I673" s="2" t="str">
        <f>IF(AND(A673&lt;&gt;"",H673&lt;&gt;""),ROUND(H673,0),"")</f>
        <v/>
      </c>
    </row>
    <row r="674" spans="2:9" x14ac:dyDescent="0.3">
      <c r="B674" s="2" t="str">
        <f>IF(A674&lt;&gt;"",VLOOKUP(Alunos!A674,Exame!A3:C1000,3, FALSE),"")</f>
        <v/>
      </c>
      <c r="C674" s="2" t="str">
        <f>IF(A674&lt;&gt;"",VLOOKUP(Alunos!A674,Agrupamentos!A3:B1000,2, FALSE),"")</f>
        <v/>
      </c>
      <c r="D674" s="2" t="str">
        <f>IF(A674&lt;&gt;"",VLOOKUP(Alunos!C674,'TP1'!A3:C1000,3, FALSE),"")</f>
        <v/>
      </c>
      <c r="E674" s="2" t="str">
        <f>IF(A674&lt;&gt;"", SUMIF(B1:D1,"&lt;&gt;",B674:D674),"")</f>
        <v/>
      </c>
      <c r="F674" s="2" t="str">
        <f>IF(AND(A674&lt;&gt;"",E674&lt;&gt;""),ROUND(E674,0),"")</f>
        <v/>
      </c>
      <c r="G674" s="2" t="str">
        <f>IF(A674&lt;&gt;"",VLOOKUP(Alunos!A674,Recurso!A3:C1000,3, FALSE),"")</f>
        <v/>
      </c>
      <c r="H674" s="2" t="str">
        <f>IF(OR(A674&lt;&gt;"",G674&lt;&gt;""), SUMIFS(B674:G674,B1:G1,"&lt;&gt;",B2:G2,"&lt;&gt;Exame",B2:G2,"&lt;&gt;exame",B2:G2,"&lt;&gt;Nota",B2:G2,"&lt;&gt;Total"),"")</f>
        <v/>
      </c>
      <c r="I674" s="2" t="str">
        <f>IF(AND(A674&lt;&gt;"",H674&lt;&gt;""),ROUND(H674,0),"")</f>
        <v/>
      </c>
    </row>
    <row r="675" spans="2:9" x14ac:dyDescent="0.3">
      <c r="B675" s="2" t="str">
        <f>IF(A675&lt;&gt;"",VLOOKUP(Alunos!A675,Exame!A3:C1000,3, FALSE),"")</f>
        <v/>
      </c>
      <c r="C675" s="2" t="str">
        <f>IF(A675&lt;&gt;"",VLOOKUP(Alunos!A675,Agrupamentos!A3:B1000,2, FALSE),"")</f>
        <v/>
      </c>
      <c r="D675" s="2" t="str">
        <f>IF(A675&lt;&gt;"",VLOOKUP(Alunos!C675,'TP1'!A3:C1000,3, FALSE),"")</f>
        <v/>
      </c>
      <c r="E675" s="2" t="str">
        <f>IF(A675&lt;&gt;"", SUMIF(B1:D1,"&lt;&gt;",B675:D675),"")</f>
        <v/>
      </c>
      <c r="F675" s="2" t="str">
        <f>IF(AND(A675&lt;&gt;"",E675&lt;&gt;""),ROUND(E675,0),"")</f>
        <v/>
      </c>
      <c r="G675" s="2" t="str">
        <f>IF(A675&lt;&gt;"",VLOOKUP(Alunos!A675,Recurso!A3:C1000,3, FALSE),"")</f>
        <v/>
      </c>
      <c r="H675" s="2" t="str">
        <f>IF(OR(A675&lt;&gt;"",G675&lt;&gt;""), SUMIFS(B675:G675,B1:G1,"&lt;&gt;",B2:G2,"&lt;&gt;Exame",B2:G2,"&lt;&gt;exame",B2:G2,"&lt;&gt;Nota",B2:G2,"&lt;&gt;Total"),"")</f>
        <v/>
      </c>
      <c r="I675" s="2" t="str">
        <f>IF(AND(A675&lt;&gt;"",H675&lt;&gt;""),ROUND(H675,0),"")</f>
        <v/>
      </c>
    </row>
    <row r="676" spans="2:9" x14ac:dyDescent="0.3">
      <c r="B676" s="2" t="str">
        <f>IF(A676&lt;&gt;"",VLOOKUP(Alunos!A676,Exame!A3:C1000,3, FALSE),"")</f>
        <v/>
      </c>
      <c r="C676" s="2" t="str">
        <f>IF(A676&lt;&gt;"",VLOOKUP(Alunos!A676,Agrupamentos!A3:B1000,2, FALSE),"")</f>
        <v/>
      </c>
      <c r="D676" s="2" t="str">
        <f>IF(A676&lt;&gt;"",VLOOKUP(Alunos!C676,'TP1'!A3:C1000,3, FALSE),"")</f>
        <v/>
      </c>
      <c r="E676" s="2" t="str">
        <f>IF(A676&lt;&gt;"", SUMIF(B1:D1,"&lt;&gt;",B676:D676),"")</f>
        <v/>
      </c>
      <c r="F676" s="2" t="str">
        <f>IF(AND(A676&lt;&gt;"",E676&lt;&gt;""),ROUND(E676,0),"")</f>
        <v/>
      </c>
      <c r="G676" s="2" t="str">
        <f>IF(A676&lt;&gt;"",VLOOKUP(Alunos!A676,Recurso!A3:C1000,3, FALSE),"")</f>
        <v/>
      </c>
      <c r="H676" s="2" t="str">
        <f>IF(OR(A676&lt;&gt;"",G676&lt;&gt;""), SUMIFS(B676:G676,B1:G1,"&lt;&gt;",B2:G2,"&lt;&gt;Exame",B2:G2,"&lt;&gt;exame",B2:G2,"&lt;&gt;Nota",B2:G2,"&lt;&gt;Total"),"")</f>
        <v/>
      </c>
      <c r="I676" s="2" t="str">
        <f>IF(AND(A676&lt;&gt;"",H676&lt;&gt;""),ROUND(H676,0),"")</f>
        <v/>
      </c>
    </row>
    <row r="677" spans="2:9" x14ac:dyDescent="0.3">
      <c r="B677" s="2" t="str">
        <f>IF(A677&lt;&gt;"",VLOOKUP(Alunos!A677,Exame!A3:C1000,3, FALSE),"")</f>
        <v/>
      </c>
      <c r="C677" s="2" t="str">
        <f>IF(A677&lt;&gt;"",VLOOKUP(Alunos!A677,Agrupamentos!A3:B1000,2, FALSE),"")</f>
        <v/>
      </c>
      <c r="D677" s="2" t="str">
        <f>IF(A677&lt;&gt;"",VLOOKUP(Alunos!C677,'TP1'!A3:C1000,3, FALSE),"")</f>
        <v/>
      </c>
      <c r="E677" s="2" t="str">
        <f>IF(A677&lt;&gt;"", SUMIF(B1:D1,"&lt;&gt;",B677:D677),"")</f>
        <v/>
      </c>
      <c r="F677" s="2" t="str">
        <f>IF(AND(A677&lt;&gt;"",E677&lt;&gt;""),ROUND(E677,0),"")</f>
        <v/>
      </c>
      <c r="G677" s="2" t="str">
        <f>IF(A677&lt;&gt;"",VLOOKUP(Alunos!A677,Recurso!A3:C1000,3, FALSE),"")</f>
        <v/>
      </c>
      <c r="H677" s="2" t="str">
        <f>IF(OR(A677&lt;&gt;"",G677&lt;&gt;""), SUMIFS(B677:G677,B1:G1,"&lt;&gt;",B2:G2,"&lt;&gt;Exame",B2:G2,"&lt;&gt;exame",B2:G2,"&lt;&gt;Nota",B2:G2,"&lt;&gt;Total"),"")</f>
        <v/>
      </c>
      <c r="I677" s="2" t="str">
        <f>IF(AND(A677&lt;&gt;"",H677&lt;&gt;""),ROUND(H677,0),"")</f>
        <v/>
      </c>
    </row>
    <row r="678" spans="2:9" x14ac:dyDescent="0.3">
      <c r="B678" s="2" t="str">
        <f>IF(A678&lt;&gt;"",VLOOKUP(Alunos!A678,Exame!A3:C1000,3, FALSE),"")</f>
        <v/>
      </c>
      <c r="C678" s="2" t="str">
        <f>IF(A678&lt;&gt;"",VLOOKUP(Alunos!A678,Agrupamentos!A3:B1000,2, FALSE),"")</f>
        <v/>
      </c>
      <c r="D678" s="2" t="str">
        <f>IF(A678&lt;&gt;"",VLOOKUP(Alunos!C678,'TP1'!A3:C1000,3, FALSE),"")</f>
        <v/>
      </c>
      <c r="E678" s="2" t="str">
        <f>IF(A678&lt;&gt;"", SUMIF(B1:D1,"&lt;&gt;",B678:D678),"")</f>
        <v/>
      </c>
      <c r="F678" s="2" t="str">
        <f>IF(AND(A678&lt;&gt;"",E678&lt;&gt;""),ROUND(E678,0),"")</f>
        <v/>
      </c>
      <c r="G678" s="2" t="str">
        <f>IF(A678&lt;&gt;"",VLOOKUP(Alunos!A678,Recurso!A3:C1000,3, FALSE),"")</f>
        <v/>
      </c>
      <c r="H678" s="2" t="str">
        <f>IF(OR(A678&lt;&gt;"",G678&lt;&gt;""), SUMIFS(B678:G678,B1:G1,"&lt;&gt;",B2:G2,"&lt;&gt;Exame",B2:G2,"&lt;&gt;exame",B2:G2,"&lt;&gt;Nota",B2:G2,"&lt;&gt;Total"),"")</f>
        <v/>
      </c>
      <c r="I678" s="2" t="str">
        <f>IF(AND(A678&lt;&gt;"",H678&lt;&gt;""),ROUND(H678,0),"")</f>
        <v/>
      </c>
    </row>
    <row r="679" spans="2:9" x14ac:dyDescent="0.3">
      <c r="B679" s="2" t="str">
        <f>IF(A679&lt;&gt;"",VLOOKUP(Alunos!A679,Exame!A3:C1000,3, FALSE),"")</f>
        <v/>
      </c>
      <c r="C679" s="2" t="str">
        <f>IF(A679&lt;&gt;"",VLOOKUP(Alunos!A679,Agrupamentos!A3:B1000,2, FALSE),"")</f>
        <v/>
      </c>
      <c r="D679" s="2" t="str">
        <f>IF(A679&lt;&gt;"",VLOOKUP(Alunos!C679,'TP1'!A3:C1000,3, FALSE),"")</f>
        <v/>
      </c>
      <c r="E679" s="2" t="str">
        <f>IF(A679&lt;&gt;"", SUMIF(B1:D1,"&lt;&gt;",B679:D679),"")</f>
        <v/>
      </c>
      <c r="F679" s="2" t="str">
        <f>IF(AND(A679&lt;&gt;"",E679&lt;&gt;""),ROUND(E679,0),"")</f>
        <v/>
      </c>
      <c r="G679" s="2" t="str">
        <f>IF(A679&lt;&gt;"",VLOOKUP(Alunos!A679,Recurso!A3:C1000,3, FALSE),"")</f>
        <v/>
      </c>
      <c r="H679" s="2" t="str">
        <f>IF(OR(A679&lt;&gt;"",G679&lt;&gt;""), SUMIFS(B679:G679,B1:G1,"&lt;&gt;",B2:G2,"&lt;&gt;Exame",B2:G2,"&lt;&gt;exame",B2:G2,"&lt;&gt;Nota",B2:G2,"&lt;&gt;Total"),"")</f>
        <v/>
      </c>
      <c r="I679" s="2" t="str">
        <f>IF(AND(A679&lt;&gt;"",H679&lt;&gt;""),ROUND(H679,0),"")</f>
        <v/>
      </c>
    </row>
    <row r="680" spans="2:9" x14ac:dyDescent="0.3">
      <c r="B680" s="2" t="str">
        <f>IF(A680&lt;&gt;"",VLOOKUP(Alunos!A680,Exame!A3:C1000,3, FALSE),"")</f>
        <v/>
      </c>
      <c r="C680" s="2" t="str">
        <f>IF(A680&lt;&gt;"",VLOOKUP(Alunos!A680,Agrupamentos!A3:B1000,2, FALSE),"")</f>
        <v/>
      </c>
      <c r="D680" s="2" t="str">
        <f>IF(A680&lt;&gt;"",VLOOKUP(Alunos!C680,'TP1'!A3:C1000,3, FALSE),"")</f>
        <v/>
      </c>
      <c r="E680" s="2" t="str">
        <f>IF(A680&lt;&gt;"", SUMIF(B1:D1,"&lt;&gt;",B680:D680),"")</f>
        <v/>
      </c>
      <c r="F680" s="2" t="str">
        <f>IF(AND(A680&lt;&gt;"",E680&lt;&gt;""),ROUND(E680,0),"")</f>
        <v/>
      </c>
      <c r="G680" s="2" t="str">
        <f>IF(A680&lt;&gt;"",VLOOKUP(Alunos!A680,Recurso!A3:C1000,3, FALSE),"")</f>
        <v/>
      </c>
      <c r="H680" s="2" t="str">
        <f>IF(OR(A680&lt;&gt;"",G680&lt;&gt;""), SUMIFS(B680:G680,B1:G1,"&lt;&gt;",B2:G2,"&lt;&gt;Exame",B2:G2,"&lt;&gt;exame",B2:G2,"&lt;&gt;Nota",B2:G2,"&lt;&gt;Total"),"")</f>
        <v/>
      </c>
      <c r="I680" s="2" t="str">
        <f>IF(AND(A680&lt;&gt;"",H680&lt;&gt;""),ROUND(H680,0),"")</f>
        <v/>
      </c>
    </row>
    <row r="681" spans="2:9" x14ac:dyDescent="0.3">
      <c r="B681" s="2" t="str">
        <f>IF(A681&lt;&gt;"",VLOOKUP(Alunos!A681,Exame!A3:C1000,3, FALSE),"")</f>
        <v/>
      </c>
      <c r="C681" s="2" t="str">
        <f>IF(A681&lt;&gt;"",VLOOKUP(Alunos!A681,Agrupamentos!A3:B1000,2, FALSE),"")</f>
        <v/>
      </c>
      <c r="D681" s="2" t="str">
        <f>IF(A681&lt;&gt;"",VLOOKUP(Alunos!C681,'TP1'!A3:C1000,3, FALSE),"")</f>
        <v/>
      </c>
      <c r="E681" s="2" t="str">
        <f>IF(A681&lt;&gt;"", SUMIF(B1:D1,"&lt;&gt;",B681:D681),"")</f>
        <v/>
      </c>
      <c r="F681" s="2" t="str">
        <f>IF(AND(A681&lt;&gt;"",E681&lt;&gt;""),ROUND(E681,0),"")</f>
        <v/>
      </c>
      <c r="G681" s="2" t="str">
        <f>IF(A681&lt;&gt;"",VLOOKUP(Alunos!A681,Recurso!A3:C1000,3, FALSE),"")</f>
        <v/>
      </c>
      <c r="H681" s="2" t="str">
        <f>IF(OR(A681&lt;&gt;"",G681&lt;&gt;""), SUMIFS(B681:G681,B1:G1,"&lt;&gt;",B2:G2,"&lt;&gt;Exame",B2:G2,"&lt;&gt;exame",B2:G2,"&lt;&gt;Nota",B2:G2,"&lt;&gt;Total"),"")</f>
        <v/>
      </c>
      <c r="I681" s="2" t="str">
        <f>IF(AND(A681&lt;&gt;"",H681&lt;&gt;""),ROUND(H681,0),"")</f>
        <v/>
      </c>
    </row>
    <row r="682" spans="2:9" x14ac:dyDescent="0.3">
      <c r="B682" s="2" t="str">
        <f>IF(A682&lt;&gt;"",VLOOKUP(Alunos!A682,Exame!A3:C1000,3, FALSE),"")</f>
        <v/>
      </c>
      <c r="C682" s="2" t="str">
        <f>IF(A682&lt;&gt;"",VLOOKUP(Alunos!A682,Agrupamentos!A3:B1000,2, FALSE),"")</f>
        <v/>
      </c>
      <c r="D682" s="2" t="str">
        <f>IF(A682&lt;&gt;"",VLOOKUP(Alunos!C682,'TP1'!A3:C1000,3, FALSE),"")</f>
        <v/>
      </c>
      <c r="E682" s="2" t="str">
        <f>IF(A682&lt;&gt;"", SUMIF(B1:D1,"&lt;&gt;",B682:D682),"")</f>
        <v/>
      </c>
      <c r="F682" s="2" t="str">
        <f>IF(AND(A682&lt;&gt;"",E682&lt;&gt;""),ROUND(E682,0),"")</f>
        <v/>
      </c>
      <c r="G682" s="2" t="str">
        <f>IF(A682&lt;&gt;"",VLOOKUP(Alunos!A682,Recurso!A3:C1000,3, FALSE),"")</f>
        <v/>
      </c>
      <c r="H682" s="2" t="str">
        <f>IF(OR(A682&lt;&gt;"",G682&lt;&gt;""), SUMIFS(B682:G682,B1:G1,"&lt;&gt;",B2:G2,"&lt;&gt;Exame",B2:G2,"&lt;&gt;exame",B2:G2,"&lt;&gt;Nota",B2:G2,"&lt;&gt;Total"),"")</f>
        <v/>
      </c>
      <c r="I682" s="2" t="str">
        <f>IF(AND(A682&lt;&gt;"",H682&lt;&gt;""),ROUND(H682,0),"")</f>
        <v/>
      </c>
    </row>
    <row r="683" spans="2:9" x14ac:dyDescent="0.3">
      <c r="B683" s="2" t="str">
        <f>IF(A683&lt;&gt;"",VLOOKUP(Alunos!A683,Exame!A3:C1000,3, FALSE),"")</f>
        <v/>
      </c>
      <c r="C683" s="2" t="str">
        <f>IF(A683&lt;&gt;"",VLOOKUP(Alunos!A683,Agrupamentos!A3:B1000,2, FALSE),"")</f>
        <v/>
      </c>
      <c r="D683" s="2" t="str">
        <f>IF(A683&lt;&gt;"",VLOOKUP(Alunos!C683,'TP1'!A3:C1000,3, FALSE),"")</f>
        <v/>
      </c>
      <c r="E683" s="2" t="str">
        <f>IF(A683&lt;&gt;"", SUMIF(B1:D1,"&lt;&gt;",B683:D683),"")</f>
        <v/>
      </c>
      <c r="F683" s="2" t="str">
        <f>IF(AND(A683&lt;&gt;"",E683&lt;&gt;""),ROUND(E683,0),"")</f>
        <v/>
      </c>
      <c r="G683" s="2" t="str">
        <f>IF(A683&lt;&gt;"",VLOOKUP(Alunos!A683,Recurso!A3:C1000,3, FALSE),"")</f>
        <v/>
      </c>
      <c r="H683" s="2" t="str">
        <f>IF(OR(A683&lt;&gt;"",G683&lt;&gt;""), SUMIFS(B683:G683,B1:G1,"&lt;&gt;",B2:G2,"&lt;&gt;Exame",B2:G2,"&lt;&gt;exame",B2:G2,"&lt;&gt;Nota",B2:G2,"&lt;&gt;Total"),"")</f>
        <v/>
      </c>
      <c r="I683" s="2" t="str">
        <f>IF(AND(A683&lt;&gt;"",H683&lt;&gt;""),ROUND(H683,0),"")</f>
        <v/>
      </c>
    </row>
    <row r="684" spans="2:9" x14ac:dyDescent="0.3">
      <c r="B684" s="2" t="str">
        <f>IF(A684&lt;&gt;"",VLOOKUP(Alunos!A684,Exame!A3:C1000,3, FALSE),"")</f>
        <v/>
      </c>
      <c r="C684" s="2" t="str">
        <f>IF(A684&lt;&gt;"",VLOOKUP(Alunos!A684,Agrupamentos!A3:B1000,2, FALSE),"")</f>
        <v/>
      </c>
      <c r="D684" s="2" t="str">
        <f>IF(A684&lt;&gt;"",VLOOKUP(Alunos!C684,'TP1'!A3:C1000,3, FALSE),"")</f>
        <v/>
      </c>
      <c r="E684" s="2" t="str">
        <f>IF(A684&lt;&gt;"", SUMIF(B1:D1,"&lt;&gt;",B684:D684),"")</f>
        <v/>
      </c>
      <c r="F684" s="2" t="str">
        <f>IF(AND(A684&lt;&gt;"",E684&lt;&gt;""),ROUND(E684,0),"")</f>
        <v/>
      </c>
      <c r="G684" s="2" t="str">
        <f>IF(A684&lt;&gt;"",VLOOKUP(Alunos!A684,Recurso!A3:C1000,3, FALSE),"")</f>
        <v/>
      </c>
      <c r="H684" s="2" t="str">
        <f>IF(OR(A684&lt;&gt;"",G684&lt;&gt;""), SUMIFS(B684:G684,B1:G1,"&lt;&gt;",B2:G2,"&lt;&gt;Exame",B2:G2,"&lt;&gt;exame",B2:G2,"&lt;&gt;Nota",B2:G2,"&lt;&gt;Total"),"")</f>
        <v/>
      </c>
      <c r="I684" s="2" t="str">
        <f>IF(AND(A684&lt;&gt;"",H684&lt;&gt;""),ROUND(H684,0),"")</f>
        <v/>
      </c>
    </row>
    <row r="685" spans="2:9" x14ac:dyDescent="0.3">
      <c r="B685" s="2" t="str">
        <f>IF(A685&lt;&gt;"",VLOOKUP(Alunos!A685,Exame!A3:C1000,3, FALSE),"")</f>
        <v/>
      </c>
      <c r="C685" s="2" t="str">
        <f>IF(A685&lt;&gt;"",VLOOKUP(Alunos!A685,Agrupamentos!A3:B1000,2, FALSE),"")</f>
        <v/>
      </c>
      <c r="D685" s="2" t="str">
        <f>IF(A685&lt;&gt;"",VLOOKUP(Alunos!C685,'TP1'!A3:C1000,3, FALSE),"")</f>
        <v/>
      </c>
      <c r="E685" s="2" t="str">
        <f>IF(A685&lt;&gt;"", SUMIF(B1:D1,"&lt;&gt;",B685:D685),"")</f>
        <v/>
      </c>
      <c r="F685" s="2" t="str">
        <f>IF(AND(A685&lt;&gt;"",E685&lt;&gt;""),ROUND(E685,0),"")</f>
        <v/>
      </c>
      <c r="G685" s="2" t="str">
        <f>IF(A685&lt;&gt;"",VLOOKUP(Alunos!A685,Recurso!A3:C1000,3, FALSE),"")</f>
        <v/>
      </c>
      <c r="H685" s="2" t="str">
        <f>IF(OR(A685&lt;&gt;"",G685&lt;&gt;""), SUMIFS(B685:G685,B1:G1,"&lt;&gt;",B2:G2,"&lt;&gt;Exame",B2:G2,"&lt;&gt;exame",B2:G2,"&lt;&gt;Nota",B2:G2,"&lt;&gt;Total"),"")</f>
        <v/>
      </c>
      <c r="I685" s="2" t="str">
        <f>IF(AND(A685&lt;&gt;"",H685&lt;&gt;""),ROUND(H685,0),"")</f>
        <v/>
      </c>
    </row>
    <row r="686" spans="2:9" x14ac:dyDescent="0.3">
      <c r="B686" s="2" t="str">
        <f>IF(A686&lt;&gt;"",VLOOKUP(Alunos!A686,Exame!A3:C1000,3, FALSE),"")</f>
        <v/>
      </c>
      <c r="C686" s="2" t="str">
        <f>IF(A686&lt;&gt;"",VLOOKUP(Alunos!A686,Agrupamentos!A3:B1000,2, FALSE),"")</f>
        <v/>
      </c>
      <c r="D686" s="2" t="str">
        <f>IF(A686&lt;&gt;"",VLOOKUP(Alunos!C686,'TP1'!A3:C1000,3, FALSE),"")</f>
        <v/>
      </c>
      <c r="E686" s="2" t="str">
        <f>IF(A686&lt;&gt;"", SUMIF(B1:D1,"&lt;&gt;",B686:D686),"")</f>
        <v/>
      </c>
      <c r="F686" s="2" t="str">
        <f>IF(AND(A686&lt;&gt;"",E686&lt;&gt;""),ROUND(E686,0),"")</f>
        <v/>
      </c>
      <c r="G686" s="2" t="str">
        <f>IF(A686&lt;&gt;"",VLOOKUP(Alunos!A686,Recurso!A3:C1000,3, FALSE),"")</f>
        <v/>
      </c>
      <c r="H686" s="2" t="str">
        <f>IF(OR(A686&lt;&gt;"",G686&lt;&gt;""), SUMIFS(B686:G686,B1:G1,"&lt;&gt;",B2:G2,"&lt;&gt;Exame",B2:G2,"&lt;&gt;exame",B2:G2,"&lt;&gt;Nota",B2:G2,"&lt;&gt;Total"),"")</f>
        <v/>
      </c>
      <c r="I686" s="2" t="str">
        <f>IF(AND(A686&lt;&gt;"",H686&lt;&gt;""),ROUND(H686,0),"")</f>
        <v/>
      </c>
    </row>
    <row r="687" spans="2:9" x14ac:dyDescent="0.3">
      <c r="B687" s="2" t="str">
        <f>IF(A687&lt;&gt;"",VLOOKUP(Alunos!A687,Exame!A3:C1000,3, FALSE),"")</f>
        <v/>
      </c>
      <c r="C687" s="2" t="str">
        <f>IF(A687&lt;&gt;"",VLOOKUP(Alunos!A687,Agrupamentos!A3:B1000,2, FALSE),"")</f>
        <v/>
      </c>
      <c r="D687" s="2" t="str">
        <f>IF(A687&lt;&gt;"",VLOOKUP(Alunos!C687,'TP1'!A3:C1000,3, FALSE),"")</f>
        <v/>
      </c>
      <c r="E687" s="2" t="str">
        <f>IF(A687&lt;&gt;"", SUMIF(B1:D1,"&lt;&gt;",B687:D687),"")</f>
        <v/>
      </c>
      <c r="F687" s="2" t="str">
        <f>IF(AND(A687&lt;&gt;"",E687&lt;&gt;""),ROUND(E687,0),"")</f>
        <v/>
      </c>
      <c r="G687" s="2" t="str">
        <f>IF(A687&lt;&gt;"",VLOOKUP(Alunos!A687,Recurso!A3:C1000,3, FALSE),"")</f>
        <v/>
      </c>
      <c r="H687" s="2" t="str">
        <f>IF(OR(A687&lt;&gt;"",G687&lt;&gt;""), SUMIFS(B687:G687,B1:G1,"&lt;&gt;",B2:G2,"&lt;&gt;Exame",B2:G2,"&lt;&gt;exame",B2:G2,"&lt;&gt;Nota",B2:G2,"&lt;&gt;Total"),"")</f>
        <v/>
      </c>
      <c r="I687" s="2" t="str">
        <f>IF(AND(A687&lt;&gt;"",H687&lt;&gt;""),ROUND(H687,0),"")</f>
        <v/>
      </c>
    </row>
    <row r="688" spans="2:9" x14ac:dyDescent="0.3">
      <c r="B688" s="2" t="str">
        <f>IF(A688&lt;&gt;"",VLOOKUP(Alunos!A688,Exame!A3:C1000,3, FALSE),"")</f>
        <v/>
      </c>
      <c r="C688" s="2" t="str">
        <f>IF(A688&lt;&gt;"",VLOOKUP(Alunos!A688,Agrupamentos!A3:B1000,2, FALSE),"")</f>
        <v/>
      </c>
      <c r="D688" s="2" t="str">
        <f>IF(A688&lt;&gt;"",VLOOKUP(Alunos!C688,'TP1'!A3:C1000,3, FALSE),"")</f>
        <v/>
      </c>
      <c r="E688" s="2" t="str">
        <f>IF(A688&lt;&gt;"", SUMIF(B1:D1,"&lt;&gt;",B688:D688),"")</f>
        <v/>
      </c>
      <c r="F688" s="2" t="str">
        <f>IF(AND(A688&lt;&gt;"",E688&lt;&gt;""),ROUND(E688,0),"")</f>
        <v/>
      </c>
      <c r="G688" s="2" t="str">
        <f>IF(A688&lt;&gt;"",VLOOKUP(Alunos!A688,Recurso!A3:C1000,3, FALSE),"")</f>
        <v/>
      </c>
      <c r="H688" s="2" t="str">
        <f>IF(OR(A688&lt;&gt;"",G688&lt;&gt;""), SUMIFS(B688:G688,B1:G1,"&lt;&gt;",B2:G2,"&lt;&gt;Exame",B2:G2,"&lt;&gt;exame",B2:G2,"&lt;&gt;Nota",B2:G2,"&lt;&gt;Total"),"")</f>
        <v/>
      </c>
      <c r="I688" s="2" t="str">
        <f>IF(AND(A688&lt;&gt;"",H688&lt;&gt;""),ROUND(H688,0),"")</f>
        <v/>
      </c>
    </row>
    <row r="689" spans="2:9" x14ac:dyDescent="0.3">
      <c r="B689" s="2" t="str">
        <f>IF(A689&lt;&gt;"",VLOOKUP(Alunos!A689,Exame!A3:C1000,3, FALSE),"")</f>
        <v/>
      </c>
      <c r="C689" s="2" t="str">
        <f>IF(A689&lt;&gt;"",VLOOKUP(Alunos!A689,Agrupamentos!A3:B1000,2, FALSE),"")</f>
        <v/>
      </c>
      <c r="D689" s="2" t="str">
        <f>IF(A689&lt;&gt;"",VLOOKUP(Alunos!C689,'TP1'!A3:C1000,3, FALSE),"")</f>
        <v/>
      </c>
      <c r="E689" s="2" t="str">
        <f>IF(A689&lt;&gt;"", SUMIF(B1:D1,"&lt;&gt;",B689:D689),"")</f>
        <v/>
      </c>
      <c r="F689" s="2" t="str">
        <f>IF(AND(A689&lt;&gt;"",E689&lt;&gt;""),ROUND(E689,0),"")</f>
        <v/>
      </c>
      <c r="G689" s="2" t="str">
        <f>IF(A689&lt;&gt;"",VLOOKUP(Alunos!A689,Recurso!A3:C1000,3, FALSE),"")</f>
        <v/>
      </c>
      <c r="H689" s="2" t="str">
        <f>IF(OR(A689&lt;&gt;"",G689&lt;&gt;""), SUMIFS(B689:G689,B1:G1,"&lt;&gt;",B2:G2,"&lt;&gt;Exame",B2:G2,"&lt;&gt;exame",B2:G2,"&lt;&gt;Nota",B2:G2,"&lt;&gt;Total"),"")</f>
        <v/>
      </c>
      <c r="I689" s="2" t="str">
        <f>IF(AND(A689&lt;&gt;"",H689&lt;&gt;""),ROUND(H689,0),"")</f>
        <v/>
      </c>
    </row>
    <row r="690" spans="2:9" x14ac:dyDescent="0.3">
      <c r="B690" s="2" t="str">
        <f>IF(A690&lt;&gt;"",VLOOKUP(Alunos!A690,Exame!A3:C1000,3, FALSE),"")</f>
        <v/>
      </c>
      <c r="C690" s="2" t="str">
        <f>IF(A690&lt;&gt;"",VLOOKUP(Alunos!A690,Agrupamentos!A3:B1000,2, FALSE),"")</f>
        <v/>
      </c>
      <c r="D690" s="2" t="str">
        <f>IF(A690&lt;&gt;"",VLOOKUP(Alunos!C690,'TP1'!A3:C1000,3, FALSE),"")</f>
        <v/>
      </c>
      <c r="E690" s="2" t="str">
        <f>IF(A690&lt;&gt;"", SUMIF(B1:D1,"&lt;&gt;",B690:D690),"")</f>
        <v/>
      </c>
      <c r="F690" s="2" t="str">
        <f>IF(AND(A690&lt;&gt;"",E690&lt;&gt;""),ROUND(E690,0),"")</f>
        <v/>
      </c>
      <c r="G690" s="2" t="str">
        <f>IF(A690&lt;&gt;"",VLOOKUP(Alunos!A690,Recurso!A3:C1000,3, FALSE),"")</f>
        <v/>
      </c>
      <c r="H690" s="2" t="str">
        <f>IF(OR(A690&lt;&gt;"",G690&lt;&gt;""), SUMIFS(B690:G690,B1:G1,"&lt;&gt;",B2:G2,"&lt;&gt;Exame",B2:G2,"&lt;&gt;exame",B2:G2,"&lt;&gt;Nota",B2:G2,"&lt;&gt;Total"),"")</f>
        <v/>
      </c>
      <c r="I690" s="2" t="str">
        <f>IF(AND(A690&lt;&gt;"",H690&lt;&gt;""),ROUND(H690,0),"")</f>
        <v/>
      </c>
    </row>
    <row r="691" spans="2:9" x14ac:dyDescent="0.3">
      <c r="B691" s="2" t="str">
        <f>IF(A691&lt;&gt;"",VLOOKUP(Alunos!A691,Exame!A3:C1000,3, FALSE),"")</f>
        <v/>
      </c>
      <c r="C691" s="2" t="str">
        <f>IF(A691&lt;&gt;"",VLOOKUP(Alunos!A691,Agrupamentos!A3:B1000,2, FALSE),"")</f>
        <v/>
      </c>
      <c r="D691" s="2" t="str">
        <f>IF(A691&lt;&gt;"",VLOOKUP(Alunos!C691,'TP1'!A3:C1000,3, FALSE),"")</f>
        <v/>
      </c>
      <c r="E691" s="2" t="str">
        <f>IF(A691&lt;&gt;"", SUMIF(B1:D1,"&lt;&gt;",B691:D691),"")</f>
        <v/>
      </c>
      <c r="F691" s="2" t="str">
        <f>IF(AND(A691&lt;&gt;"",E691&lt;&gt;""),ROUND(E691,0),"")</f>
        <v/>
      </c>
      <c r="G691" s="2" t="str">
        <f>IF(A691&lt;&gt;"",VLOOKUP(Alunos!A691,Recurso!A3:C1000,3, FALSE),"")</f>
        <v/>
      </c>
      <c r="H691" s="2" t="str">
        <f>IF(OR(A691&lt;&gt;"",G691&lt;&gt;""), SUMIFS(B691:G691,B1:G1,"&lt;&gt;",B2:G2,"&lt;&gt;Exame",B2:G2,"&lt;&gt;exame",B2:G2,"&lt;&gt;Nota",B2:G2,"&lt;&gt;Total"),"")</f>
        <v/>
      </c>
      <c r="I691" s="2" t="str">
        <f>IF(AND(A691&lt;&gt;"",H691&lt;&gt;""),ROUND(H691,0),"")</f>
        <v/>
      </c>
    </row>
    <row r="692" spans="2:9" x14ac:dyDescent="0.3">
      <c r="B692" s="2" t="str">
        <f>IF(A692&lt;&gt;"",VLOOKUP(Alunos!A692,Exame!A3:C1000,3, FALSE),"")</f>
        <v/>
      </c>
      <c r="C692" s="2" t="str">
        <f>IF(A692&lt;&gt;"",VLOOKUP(Alunos!A692,Agrupamentos!A3:B1000,2, FALSE),"")</f>
        <v/>
      </c>
      <c r="D692" s="2" t="str">
        <f>IF(A692&lt;&gt;"",VLOOKUP(Alunos!C692,'TP1'!A3:C1000,3, FALSE),"")</f>
        <v/>
      </c>
      <c r="E692" s="2" t="str">
        <f>IF(A692&lt;&gt;"", SUMIF(B1:D1,"&lt;&gt;",B692:D692),"")</f>
        <v/>
      </c>
      <c r="F692" s="2" t="str">
        <f>IF(AND(A692&lt;&gt;"",E692&lt;&gt;""),ROUND(E692,0),"")</f>
        <v/>
      </c>
      <c r="G692" s="2" t="str">
        <f>IF(A692&lt;&gt;"",VLOOKUP(Alunos!A692,Recurso!A3:C1000,3, FALSE),"")</f>
        <v/>
      </c>
      <c r="H692" s="2" t="str">
        <f>IF(OR(A692&lt;&gt;"",G692&lt;&gt;""), SUMIFS(B692:G692,B1:G1,"&lt;&gt;",B2:G2,"&lt;&gt;Exame",B2:G2,"&lt;&gt;exame",B2:G2,"&lt;&gt;Nota",B2:G2,"&lt;&gt;Total"),"")</f>
        <v/>
      </c>
      <c r="I692" s="2" t="str">
        <f>IF(AND(A692&lt;&gt;"",H692&lt;&gt;""),ROUND(H692,0),"")</f>
        <v/>
      </c>
    </row>
    <row r="693" spans="2:9" x14ac:dyDescent="0.3">
      <c r="B693" s="2" t="str">
        <f>IF(A693&lt;&gt;"",VLOOKUP(Alunos!A693,Exame!A3:C1000,3, FALSE),"")</f>
        <v/>
      </c>
      <c r="C693" s="2" t="str">
        <f>IF(A693&lt;&gt;"",VLOOKUP(Alunos!A693,Agrupamentos!A3:B1000,2, FALSE),"")</f>
        <v/>
      </c>
      <c r="D693" s="2" t="str">
        <f>IF(A693&lt;&gt;"",VLOOKUP(Alunos!C693,'TP1'!A3:C1000,3, FALSE),"")</f>
        <v/>
      </c>
      <c r="E693" s="2" t="str">
        <f>IF(A693&lt;&gt;"", SUMIF(B1:D1,"&lt;&gt;",B693:D693),"")</f>
        <v/>
      </c>
      <c r="F693" s="2" t="str">
        <f>IF(AND(A693&lt;&gt;"",E693&lt;&gt;""),ROUND(E693,0),"")</f>
        <v/>
      </c>
      <c r="G693" s="2" t="str">
        <f>IF(A693&lt;&gt;"",VLOOKUP(Alunos!A693,Recurso!A3:C1000,3, FALSE),"")</f>
        <v/>
      </c>
      <c r="H693" s="2" t="str">
        <f>IF(OR(A693&lt;&gt;"",G693&lt;&gt;""), SUMIFS(B693:G693,B1:G1,"&lt;&gt;",B2:G2,"&lt;&gt;Exame",B2:G2,"&lt;&gt;exame",B2:G2,"&lt;&gt;Nota",B2:G2,"&lt;&gt;Total"),"")</f>
        <v/>
      </c>
      <c r="I693" s="2" t="str">
        <f>IF(AND(A693&lt;&gt;"",H693&lt;&gt;""),ROUND(H693,0),"")</f>
        <v/>
      </c>
    </row>
    <row r="694" spans="2:9" x14ac:dyDescent="0.3">
      <c r="B694" s="2" t="str">
        <f>IF(A694&lt;&gt;"",VLOOKUP(Alunos!A694,Exame!A3:C1000,3, FALSE),"")</f>
        <v/>
      </c>
      <c r="C694" s="2" t="str">
        <f>IF(A694&lt;&gt;"",VLOOKUP(Alunos!A694,Agrupamentos!A3:B1000,2, FALSE),"")</f>
        <v/>
      </c>
      <c r="D694" s="2" t="str">
        <f>IF(A694&lt;&gt;"",VLOOKUP(Alunos!C694,'TP1'!A3:C1000,3, FALSE),"")</f>
        <v/>
      </c>
      <c r="E694" s="2" t="str">
        <f>IF(A694&lt;&gt;"", SUMIF(B1:D1,"&lt;&gt;",B694:D694),"")</f>
        <v/>
      </c>
      <c r="F694" s="2" t="str">
        <f>IF(AND(A694&lt;&gt;"",E694&lt;&gt;""),ROUND(E694,0),"")</f>
        <v/>
      </c>
      <c r="G694" s="2" t="str">
        <f>IF(A694&lt;&gt;"",VLOOKUP(Alunos!A694,Recurso!A3:C1000,3, FALSE),"")</f>
        <v/>
      </c>
      <c r="H694" s="2" t="str">
        <f>IF(OR(A694&lt;&gt;"",G694&lt;&gt;""), SUMIFS(B694:G694,B1:G1,"&lt;&gt;",B2:G2,"&lt;&gt;Exame",B2:G2,"&lt;&gt;exame",B2:G2,"&lt;&gt;Nota",B2:G2,"&lt;&gt;Total"),"")</f>
        <v/>
      </c>
      <c r="I694" s="2" t="str">
        <f>IF(AND(A694&lt;&gt;"",H694&lt;&gt;""),ROUND(H694,0),"")</f>
        <v/>
      </c>
    </row>
    <row r="695" spans="2:9" x14ac:dyDescent="0.3">
      <c r="B695" s="2" t="str">
        <f>IF(A695&lt;&gt;"",VLOOKUP(Alunos!A695,Exame!A3:C1000,3, FALSE),"")</f>
        <v/>
      </c>
      <c r="C695" s="2" t="str">
        <f>IF(A695&lt;&gt;"",VLOOKUP(Alunos!A695,Agrupamentos!A3:B1000,2, FALSE),"")</f>
        <v/>
      </c>
      <c r="D695" s="2" t="str">
        <f>IF(A695&lt;&gt;"",VLOOKUP(Alunos!C695,'TP1'!A3:C1000,3, FALSE),"")</f>
        <v/>
      </c>
      <c r="E695" s="2" t="str">
        <f>IF(A695&lt;&gt;"", SUMIF(B1:D1,"&lt;&gt;",B695:D695),"")</f>
        <v/>
      </c>
      <c r="F695" s="2" t="str">
        <f>IF(AND(A695&lt;&gt;"",E695&lt;&gt;""),ROUND(E695,0),"")</f>
        <v/>
      </c>
      <c r="G695" s="2" t="str">
        <f>IF(A695&lt;&gt;"",VLOOKUP(Alunos!A695,Recurso!A3:C1000,3, FALSE),"")</f>
        <v/>
      </c>
      <c r="H695" s="2" t="str">
        <f>IF(OR(A695&lt;&gt;"",G695&lt;&gt;""), SUMIFS(B695:G695,B1:G1,"&lt;&gt;",B2:G2,"&lt;&gt;Exame",B2:G2,"&lt;&gt;exame",B2:G2,"&lt;&gt;Nota",B2:G2,"&lt;&gt;Total"),"")</f>
        <v/>
      </c>
      <c r="I695" s="2" t="str">
        <f>IF(AND(A695&lt;&gt;"",H695&lt;&gt;""),ROUND(H695,0),"")</f>
        <v/>
      </c>
    </row>
    <row r="696" spans="2:9" x14ac:dyDescent="0.3">
      <c r="B696" s="2" t="str">
        <f>IF(A696&lt;&gt;"",VLOOKUP(Alunos!A696,Exame!A3:C1000,3, FALSE),"")</f>
        <v/>
      </c>
      <c r="C696" s="2" t="str">
        <f>IF(A696&lt;&gt;"",VLOOKUP(Alunos!A696,Agrupamentos!A3:B1000,2, FALSE),"")</f>
        <v/>
      </c>
      <c r="D696" s="2" t="str">
        <f>IF(A696&lt;&gt;"",VLOOKUP(Alunos!C696,'TP1'!A3:C1000,3, FALSE),"")</f>
        <v/>
      </c>
      <c r="E696" s="2" t="str">
        <f>IF(A696&lt;&gt;"", SUMIF(B1:D1,"&lt;&gt;",B696:D696),"")</f>
        <v/>
      </c>
      <c r="F696" s="2" t="str">
        <f>IF(AND(A696&lt;&gt;"",E696&lt;&gt;""),ROUND(E696,0),"")</f>
        <v/>
      </c>
      <c r="G696" s="2" t="str">
        <f>IF(A696&lt;&gt;"",VLOOKUP(Alunos!A696,Recurso!A3:C1000,3, FALSE),"")</f>
        <v/>
      </c>
      <c r="H696" s="2" t="str">
        <f>IF(OR(A696&lt;&gt;"",G696&lt;&gt;""), SUMIFS(B696:G696,B1:G1,"&lt;&gt;",B2:G2,"&lt;&gt;Exame",B2:G2,"&lt;&gt;exame",B2:G2,"&lt;&gt;Nota",B2:G2,"&lt;&gt;Total"),"")</f>
        <v/>
      </c>
      <c r="I696" s="2" t="str">
        <f>IF(AND(A696&lt;&gt;"",H696&lt;&gt;""),ROUND(H696,0),"")</f>
        <v/>
      </c>
    </row>
    <row r="697" spans="2:9" x14ac:dyDescent="0.3">
      <c r="B697" s="2" t="str">
        <f>IF(A697&lt;&gt;"",VLOOKUP(Alunos!A697,Exame!A3:C1000,3, FALSE),"")</f>
        <v/>
      </c>
      <c r="C697" s="2" t="str">
        <f>IF(A697&lt;&gt;"",VLOOKUP(Alunos!A697,Agrupamentos!A3:B1000,2, FALSE),"")</f>
        <v/>
      </c>
      <c r="D697" s="2" t="str">
        <f>IF(A697&lt;&gt;"",VLOOKUP(Alunos!C697,'TP1'!A3:C1000,3, FALSE),"")</f>
        <v/>
      </c>
      <c r="E697" s="2" t="str">
        <f>IF(A697&lt;&gt;"", SUMIF(B1:D1,"&lt;&gt;",B697:D697),"")</f>
        <v/>
      </c>
      <c r="F697" s="2" t="str">
        <f>IF(AND(A697&lt;&gt;"",E697&lt;&gt;""),ROUND(E697,0),"")</f>
        <v/>
      </c>
      <c r="G697" s="2" t="str">
        <f>IF(A697&lt;&gt;"",VLOOKUP(Alunos!A697,Recurso!A3:C1000,3, FALSE),"")</f>
        <v/>
      </c>
      <c r="H697" s="2" t="str">
        <f>IF(OR(A697&lt;&gt;"",G697&lt;&gt;""), SUMIFS(B697:G697,B1:G1,"&lt;&gt;",B2:G2,"&lt;&gt;Exame",B2:G2,"&lt;&gt;exame",B2:G2,"&lt;&gt;Nota",B2:G2,"&lt;&gt;Total"),"")</f>
        <v/>
      </c>
      <c r="I697" s="2" t="str">
        <f>IF(AND(A697&lt;&gt;"",H697&lt;&gt;""),ROUND(H697,0),"")</f>
        <v/>
      </c>
    </row>
    <row r="698" spans="2:9" x14ac:dyDescent="0.3">
      <c r="B698" s="2" t="str">
        <f>IF(A698&lt;&gt;"",VLOOKUP(Alunos!A698,Exame!A3:C1000,3, FALSE),"")</f>
        <v/>
      </c>
      <c r="C698" s="2" t="str">
        <f>IF(A698&lt;&gt;"",VLOOKUP(Alunos!A698,Agrupamentos!A3:B1000,2, FALSE),"")</f>
        <v/>
      </c>
      <c r="D698" s="2" t="str">
        <f>IF(A698&lt;&gt;"",VLOOKUP(Alunos!C698,'TP1'!A3:C1000,3, FALSE),"")</f>
        <v/>
      </c>
      <c r="E698" s="2" t="str">
        <f>IF(A698&lt;&gt;"", SUMIF(B1:D1,"&lt;&gt;",B698:D698),"")</f>
        <v/>
      </c>
      <c r="F698" s="2" t="str">
        <f>IF(AND(A698&lt;&gt;"",E698&lt;&gt;""),ROUND(E698,0),"")</f>
        <v/>
      </c>
      <c r="G698" s="2" t="str">
        <f>IF(A698&lt;&gt;"",VLOOKUP(Alunos!A698,Recurso!A3:C1000,3, FALSE),"")</f>
        <v/>
      </c>
      <c r="H698" s="2" t="str">
        <f>IF(OR(A698&lt;&gt;"",G698&lt;&gt;""), SUMIFS(B698:G698,B1:G1,"&lt;&gt;",B2:G2,"&lt;&gt;Exame",B2:G2,"&lt;&gt;exame",B2:G2,"&lt;&gt;Nota",B2:G2,"&lt;&gt;Total"),"")</f>
        <v/>
      </c>
      <c r="I698" s="2" t="str">
        <f>IF(AND(A698&lt;&gt;"",H698&lt;&gt;""),ROUND(H698,0),"")</f>
        <v/>
      </c>
    </row>
    <row r="699" spans="2:9" x14ac:dyDescent="0.3">
      <c r="B699" s="2" t="str">
        <f>IF(A699&lt;&gt;"",VLOOKUP(Alunos!A699,Exame!A3:C1000,3, FALSE),"")</f>
        <v/>
      </c>
      <c r="C699" s="2" t="str">
        <f>IF(A699&lt;&gt;"",VLOOKUP(Alunos!A699,Agrupamentos!A3:B1000,2, FALSE),"")</f>
        <v/>
      </c>
      <c r="D699" s="2" t="str">
        <f>IF(A699&lt;&gt;"",VLOOKUP(Alunos!C699,'TP1'!A3:C1000,3, FALSE),"")</f>
        <v/>
      </c>
      <c r="E699" s="2" t="str">
        <f>IF(A699&lt;&gt;"", SUMIF(B1:D1,"&lt;&gt;",B699:D699),"")</f>
        <v/>
      </c>
      <c r="F699" s="2" t="str">
        <f>IF(AND(A699&lt;&gt;"",E699&lt;&gt;""),ROUND(E699,0),"")</f>
        <v/>
      </c>
      <c r="G699" s="2" t="str">
        <f>IF(A699&lt;&gt;"",VLOOKUP(Alunos!A699,Recurso!A3:C1000,3, FALSE),"")</f>
        <v/>
      </c>
      <c r="H699" s="2" t="str">
        <f>IF(OR(A699&lt;&gt;"",G699&lt;&gt;""), SUMIFS(B699:G699,B1:G1,"&lt;&gt;",B2:G2,"&lt;&gt;Exame",B2:G2,"&lt;&gt;exame",B2:G2,"&lt;&gt;Nota",B2:G2,"&lt;&gt;Total"),"")</f>
        <v/>
      </c>
      <c r="I699" s="2" t="str">
        <f>IF(AND(A699&lt;&gt;"",H699&lt;&gt;""),ROUND(H699,0),"")</f>
        <v/>
      </c>
    </row>
    <row r="700" spans="2:9" x14ac:dyDescent="0.3">
      <c r="B700" s="2" t="str">
        <f>IF(A700&lt;&gt;"",VLOOKUP(Alunos!A700,Exame!A3:C1000,3, FALSE),"")</f>
        <v/>
      </c>
      <c r="C700" s="2" t="str">
        <f>IF(A700&lt;&gt;"",VLOOKUP(Alunos!A700,Agrupamentos!A3:B1000,2, FALSE),"")</f>
        <v/>
      </c>
      <c r="D700" s="2" t="str">
        <f>IF(A700&lt;&gt;"",VLOOKUP(Alunos!C700,'TP1'!A3:C1000,3, FALSE),"")</f>
        <v/>
      </c>
      <c r="E700" s="2" t="str">
        <f>IF(A700&lt;&gt;"", SUMIF(B1:D1,"&lt;&gt;",B700:D700),"")</f>
        <v/>
      </c>
      <c r="F700" s="2" t="str">
        <f>IF(AND(A700&lt;&gt;"",E700&lt;&gt;""),ROUND(E700,0),"")</f>
        <v/>
      </c>
      <c r="G700" s="2" t="str">
        <f>IF(A700&lt;&gt;"",VLOOKUP(Alunos!A700,Recurso!A3:C1000,3, FALSE),"")</f>
        <v/>
      </c>
      <c r="H700" s="2" t="str">
        <f>IF(OR(A700&lt;&gt;"",G700&lt;&gt;""), SUMIFS(B700:G700,B1:G1,"&lt;&gt;",B2:G2,"&lt;&gt;Exame",B2:G2,"&lt;&gt;exame",B2:G2,"&lt;&gt;Nota",B2:G2,"&lt;&gt;Total"),"")</f>
        <v/>
      </c>
      <c r="I700" s="2" t="str">
        <f>IF(AND(A700&lt;&gt;"",H700&lt;&gt;""),ROUND(H700,0),"")</f>
        <v/>
      </c>
    </row>
    <row r="701" spans="2:9" x14ac:dyDescent="0.3">
      <c r="B701" s="2" t="str">
        <f>IF(A701&lt;&gt;"",VLOOKUP(Alunos!A701,Exame!A3:C1000,3, FALSE),"")</f>
        <v/>
      </c>
      <c r="C701" s="2" t="str">
        <f>IF(A701&lt;&gt;"",VLOOKUP(Alunos!A701,Agrupamentos!A3:B1000,2, FALSE),"")</f>
        <v/>
      </c>
      <c r="D701" s="2" t="str">
        <f>IF(A701&lt;&gt;"",VLOOKUP(Alunos!C701,'TP1'!A3:C1000,3, FALSE),"")</f>
        <v/>
      </c>
      <c r="E701" s="2" t="str">
        <f>IF(A701&lt;&gt;"", SUMIF(B1:D1,"&lt;&gt;",B701:D701),"")</f>
        <v/>
      </c>
      <c r="F701" s="2" t="str">
        <f>IF(AND(A701&lt;&gt;"",E701&lt;&gt;""),ROUND(E701,0),"")</f>
        <v/>
      </c>
      <c r="G701" s="2" t="str">
        <f>IF(A701&lt;&gt;"",VLOOKUP(Alunos!A701,Recurso!A3:C1000,3, FALSE),"")</f>
        <v/>
      </c>
      <c r="H701" s="2" t="str">
        <f>IF(OR(A701&lt;&gt;"",G701&lt;&gt;""), SUMIFS(B701:G701,B1:G1,"&lt;&gt;",B2:G2,"&lt;&gt;Exame",B2:G2,"&lt;&gt;exame",B2:G2,"&lt;&gt;Nota",B2:G2,"&lt;&gt;Total"),"")</f>
        <v/>
      </c>
      <c r="I701" s="2" t="str">
        <f>IF(AND(A701&lt;&gt;"",H701&lt;&gt;""),ROUND(H701,0),"")</f>
        <v/>
      </c>
    </row>
    <row r="702" spans="2:9" x14ac:dyDescent="0.3">
      <c r="B702" s="2" t="str">
        <f>IF(A702&lt;&gt;"",VLOOKUP(Alunos!A702,Exame!A3:C1000,3, FALSE),"")</f>
        <v/>
      </c>
      <c r="C702" s="2" t="str">
        <f>IF(A702&lt;&gt;"",VLOOKUP(Alunos!A702,Agrupamentos!A3:B1000,2, FALSE),"")</f>
        <v/>
      </c>
      <c r="D702" s="2" t="str">
        <f>IF(A702&lt;&gt;"",VLOOKUP(Alunos!C702,'TP1'!A3:C1000,3, FALSE),"")</f>
        <v/>
      </c>
      <c r="E702" s="2" t="str">
        <f>IF(A702&lt;&gt;"", SUMIF(B1:D1,"&lt;&gt;",B702:D702),"")</f>
        <v/>
      </c>
      <c r="F702" s="2" t="str">
        <f>IF(AND(A702&lt;&gt;"",E702&lt;&gt;""),ROUND(E702,0),"")</f>
        <v/>
      </c>
      <c r="G702" s="2" t="str">
        <f>IF(A702&lt;&gt;"",VLOOKUP(Alunos!A702,Recurso!A3:C1000,3, FALSE),"")</f>
        <v/>
      </c>
      <c r="H702" s="2" t="str">
        <f>IF(OR(A702&lt;&gt;"",G702&lt;&gt;""), SUMIFS(B702:G702,B1:G1,"&lt;&gt;",B2:G2,"&lt;&gt;Exame",B2:G2,"&lt;&gt;exame",B2:G2,"&lt;&gt;Nota",B2:G2,"&lt;&gt;Total"),"")</f>
        <v/>
      </c>
      <c r="I702" s="2" t="str">
        <f>IF(AND(A702&lt;&gt;"",H702&lt;&gt;""),ROUND(H702,0),"")</f>
        <v/>
      </c>
    </row>
    <row r="703" spans="2:9" x14ac:dyDescent="0.3">
      <c r="B703" s="2" t="str">
        <f>IF(A703&lt;&gt;"",VLOOKUP(Alunos!A703,Exame!A3:C1000,3, FALSE),"")</f>
        <v/>
      </c>
      <c r="C703" s="2" t="str">
        <f>IF(A703&lt;&gt;"",VLOOKUP(Alunos!A703,Agrupamentos!A3:B1000,2, FALSE),"")</f>
        <v/>
      </c>
      <c r="D703" s="2" t="str">
        <f>IF(A703&lt;&gt;"",VLOOKUP(Alunos!C703,'TP1'!A3:C1000,3, FALSE),"")</f>
        <v/>
      </c>
      <c r="E703" s="2" t="str">
        <f>IF(A703&lt;&gt;"", SUMIF(B1:D1,"&lt;&gt;",B703:D703),"")</f>
        <v/>
      </c>
      <c r="F703" s="2" t="str">
        <f>IF(AND(A703&lt;&gt;"",E703&lt;&gt;""),ROUND(E703,0),"")</f>
        <v/>
      </c>
      <c r="G703" s="2" t="str">
        <f>IF(A703&lt;&gt;"",VLOOKUP(Alunos!A703,Recurso!A3:C1000,3, FALSE),"")</f>
        <v/>
      </c>
      <c r="H703" s="2" t="str">
        <f>IF(OR(A703&lt;&gt;"",G703&lt;&gt;""), SUMIFS(B703:G703,B1:G1,"&lt;&gt;",B2:G2,"&lt;&gt;Exame",B2:G2,"&lt;&gt;exame",B2:G2,"&lt;&gt;Nota",B2:G2,"&lt;&gt;Total"),"")</f>
        <v/>
      </c>
      <c r="I703" s="2" t="str">
        <f>IF(AND(A703&lt;&gt;"",H703&lt;&gt;""),ROUND(H703,0),"")</f>
        <v/>
      </c>
    </row>
    <row r="704" spans="2:9" x14ac:dyDescent="0.3">
      <c r="B704" s="2" t="str">
        <f>IF(A704&lt;&gt;"",VLOOKUP(Alunos!A704,Exame!A3:C1000,3, FALSE),"")</f>
        <v/>
      </c>
      <c r="C704" s="2" t="str">
        <f>IF(A704&lt;&gt;"",VLOOKUP(Alunos!A704,Agrupamentos!A3:B1000,2, FALSE),"")</f>
        <v/>
      </c>
      <c r="D704" s="2" t="str">
        <f>IF(A704&lt;&gt;"",VLOOKUP(Alunos!C704,'TP1'!A3:C1000,3, FALSE),"")</f>
        <v/>
      </c>
      <c r="E704" s="2" t="str">
        <f>IF(A704&lt;&gt;"", SUMIF(B1:D1,"&lt;&gt;",B704:D704),"")</f>
        <v/>
      </c>
      <c r="F704" s="2" t="str">
        <f>IF(AND(A704&lt;&gt;"",E704&lt;&gt;""),ROUND(E704,0),"")</f>
        <v/>
      </c>
      <c r="G704" s="2" t="str">
        <f>IF(A704&lt;&gt;"",VLOOKUP(Alunos!A704,Recurso!A3:C1000,3, FALSE),"")</f>
        <v/>
      </c>
      <c r="H704" s="2" t="str">
        <f>IF(OR(A704&lt;&gt;"",G704&lt;&gt;""), SUMIFS(B704:G704,B1:G1,"&lt;&gt;",B2:G2,"&lt;&gt;Exame",B2:G2,"&lt;&gt;exame",B2:G2,"&lt;&gt;Nota",B2:G2,"&lt;&gt;Total"),"")</f>
        <v/>
      </c>
      <c r="I704" s="2" t="str">
        <f>IF(AND(A704&lt;&gt;"",H704&lt;&gt;""),ROUND(H704,0),"")</f>
        <v/>
      </c>
    </row>
    <row r="705" spans="2:9" x14ac:dyDescent="0.3">
      <c r="B705" s="2" t="str">
        <f>IF(A705&lt;&gt;"",VLOOKUP(Alunos!A705,Exame!A3:C1000,3, FALSE),"")</f>
        <v/>
      </c>
      <c r="C705" s="2" t="str">
        <f>IF(A705&lt;&gt;"",VLOOKUP(Alunos!A705,Agrupamentos!A3:B1000,2, FALSE),"")</f>
        <v/>
      </c>
      <c r="D705" s="2" t="str">
        <f>IF(A705&lt;&gt;"",VLOOKUP(Alunos!C705,'TP1'!A3:C1000,3, FALSE),"")</f>
        <v/>
      </c>
      <c r="E705" s="2" t="str">
        <f>IF(A705&lt;&gt;"", SUMIF(B1:D1,"&lt;&gt;",B705:D705),"")</f>
        <v/>
      </c>
      <c r="F705" s="2" t="str">
        <f>IF(AND(A705&lt;&gt;"",E705&lt;&gt;""),ROUND(E705,0),"")</f>
        <v/>
      </c>
      <c r="G705" s="2" t="str">
        <f>IF(A705&lt;&gt;"",VLOOKUP(Alunos!A705,Recurso!A3:C1000,3, FALSE),"")</f>
        <v/>
      </c>
      <c r="H705" s="2" t="str">
        <f>IF(OR(A705&lt;&gt;"",G705&lt;&gt;""), SUMIFS(B705:G705,B1:G1,"&lt;&gt;",B2:G2,"&lt;&gt;Exame",B2:G2,"&lt;&gt;exame",B2:G2,"&lt;&gt;Nota",B2:G2,"&lt;&gt;Total"),"")</f>
        <v/>
      </c>
      <c r="I705" s="2" t="str">
        <f>IF(AND(A705&lt;&gt;"",H705&lt;&gt;""),ROUND(H705,0),"")</f>
        <v/>
      </c>
    </row>
    <row r="706" spans="2:9" x14ac:dyDescent="0.3">
      <c r="B706" s="2" t="str">
        <f>IF(A706&lt;&gt;"",VLOOKUP(Alunos!A706,Exame!A3:C1000,3, FALSE),"")</f>
        <v/>
      </c>
      <c r="C706" s="2" t="str">
        <f>IF(A706&lt;&gt;"",VLOOKUP(Alunos!A706,Agrupamentos!A3:B1000,2, FALSE),"")</f>
        <v/>
      </c>
      <c r="D706" s="2" t="str">
        <f>IF(A706&lt;&gt;"",VLOOKUP(Alunos!C706,'TP1'!A3:C1000,3, FALSE),"")</f>
        <v/>
      </c>
      <c r="E706" s="2" t="str">
        <f>IF(A706&lt;&gt;"", SUMIF(B1:D1,"&lt;&gt;",B706:D706),"")</f>
        <v/>
      </c>
      <c r="F706" s="2" t="str">
        <f>IF(AND(A706&lt;&gt;"",E706&lt;&gt;""),ROUND(E706,0),"")</f>
        <v/>
      </c>
      <c r="G706" s="2" t="str">
        <f>IF(A706&lt;&gt;"",VLOOKUP(Alunos!A706,Recurso!A3:C1000,3, FALSE),"")</f>
        <v/>
      </c>
      <c r="H706" s="2" t="str">
        <f>IF(OR(A706&lt;&gt;"",G706&lt;&gt;""), SUMIFS(B706:G706,B1:G1,"&lt;&gt;",B2:G2,"&lt;&gt;Exame",B2:G2,"&lt;&gt;exame",B2:G2,"&lt;&gt;Nota",B2:G2,"&lt;&gt;Total"),"")</f>
        <v/>
      </c>
      <c r="I706" s="2" t="str">
        <f>IF(AND(A706&lt;&gt;"",H706&lt;&gt;""),ROUND(H706,0),"")</f>
        <v/>
      </c>
    </row>
    <row r="707" spans="2:9" x14ac:dyDescent="0.3">
      <c r="B707" s="2" t="str">
        <f>IF(A707&lt;&gt;"",VLOOKUP(Alunos!A707,Exame!A3:C1000,3, FALSE),"")</f>
        <v/>
      </c>
      <c r="C707" s="2" t="str">
        <f>IF(A707&lt;&gt;"",VLOOKUP(Alunos!A707,Agrupamentos!A3:B1000,2, FALSE),"")</f>
        <v/>
      </c>
      <c r="D707" s="2" t="str">
        <f>IF(A707&lt;&gt;"",VLOOKUP(Alunos!C707,'TP1'!A3:C1000,3, FALSE),"")</f>
        <v/>
      </c>
      <c r="E707" s="2" t="str">
        <f>IF(A707&lt;&gt;"", SUMIF(B1:D1,"&lt;&gt;",B707:D707),"")</f>
        <v/>
      </c>
      <c r="F707" s="2" t="str">
        <f>IF(AND(A707&lt;&gt;"",E707&lt;&gt;""),ROUND(E707,0),"")</f>
        <v/>
      </c>
      <c r="G707" s="2" t="str">
        <f>IF(A707&lt;&gt;"",VLOOKUP(Alunos!A707,Recurso!A3:C1000,3, FALSE),"")</f>
        <v/>
      </c>
      <c r="H707" s="2" t="str">
        <f>IF(OR(A707&lt;&gt;"",G707&lt;&gt;""), SUMIFS(B707:G707,B1:G1,"&lt;&gt;",B2:G2,"&lt;&gt;Exame",B2:G2,"&lt;&gt;exame",B2:G2,"&lt;&gt;Nota",B2:G2,"&lt;&gt;Total"),"")</f>
        <v/>
      </c>
      <c r="I707" s="2" t="str">
        <f>IF(AND(A707&lt;&gt;"",H707&lt;&gt;""),ROUND(H707,0),"")</f>
        <v/>
      </c>
    </row>
    <row r="708" spans="2:9" x14ac:dyDescent="0.3">
      <c r="B708" s="2" t="str">
        <f>IF(A708&lt;&gt;"",VLOOKUP(Alunos!A708,Exame!A3:C1000,3, FALSE),"")</f>
        <v/>
      </c>
      <c r="C708" s="2" t="str">
        <f>IF(A708&lt;&gt;"",VLOOKUP(Alunos!A708,Agrupamentos!A3:B1000,2, FALSE),"")</f>
        <v/>
      </c>
      <c r="D708" s="2" t="str">
        <f>IF(A708&lt;&gt;"",VLOOKUP(Alunos!C708,'TP1'!A3:C1000,3, FALSE),"")</f>
        <v/>
      </c>
      <c r="E708" s="2" t="str">
        <f>IF(A708&lt;&gt;"", SUMIF(B1:D1,"&lt;&gt;",B708:D708),"")</f>
        <v/>
      </c>
      <c r="F708" s="2" t="str">
        <f>IF(AND(A708&lt;&gt;"",E708&lt;&gt;""),ROUND(E708,0),"")</f>
        <v/>
      </c>
      <c r="G708" s="2" t="str">
        <f>IF(A708&lt;&gt;"",VLOOKUP(Alunos!A708,Recurso!A3:C1000,3, FALSE),"")</f>
        <v/>
      </c>
      <c r="H708" s="2" t="str">
        <f>IF(OR(A708&lt;&gt;"",G708&lt;&gt;""), SUMIFS(B708:G708,B1:G1,"&lt;&gt;",B2:G2,"&lt;&gt;Exame",B2:G2,"&lt;&gt;exame",B2:G2,"&lt;&gt;Nota",B2:G2,"&lt;&gt;Total"),"")</f>
        <v/>
      </c>
      <c r="I708" s="2" t="str">
        <f>IF(AND(A708&lt;&gt;"",H708&lt;&gt;""),ROUND(H708,0),"")</f>
        <v/>
      </c>
    </row>
    <row r="709" spans="2:9" x14ac:dyDescent="0.3">
      <c r="B709" s="2" t="str">
        <f>IF(A709&lt;&gt;"",VLOOKUP(Alunos!A709,Exame!A3:C1000,3, FALSE),"")</f>
        <v/>
      </c>
      <c r="C709" s="2" t="str">
        <f>IF(A709&lt;&gt;"",VLOOKUP(Alunos!A709,Agrupamentos!A3:B1000,2, FALSE),"")</f>
        <v/>
      </c>
      <c r="D709" s="2" t="str">
        <f>IF(A709&lt;&gt;"",VLOOKUP(Alunos!C709,'TP1'!A3:C1000,3, FALSE),"")</f>
        <v/>
      </c>
      <c r="E709" s="2" t="str">
        <f>IF(A709&lt;&gt;"", SUMIF(B1:D1,"&lt;&gt;",B709:D709),"")</f>
        <v/>
      </c>
      <c r="F709" s="2" t="str">
        <f>IF(AND(A709&lt;&gt;"",E709&lt;&gt;""),ROUND(E709,0),"")</f>
        <v/>
      </c>
      <c r="G709" s="2" t="str">
        <f>IF(A709&lt;&gt;"",VLOOKUP(Alunos!A709,Recurso!A3:C1000,3, FALSE),"")</f>
        <v/>
      </c>
      <c r="H709" s="2" t="str">
        <f>IF(OR(A709&lt;&gt;"",G709&lt;&gt;""), SUMIFS(B709:G709,B1:G1,"&lt;&gt;",B2:G2,"&lt;&gt;Exame",B2:G2,"&lt;&gt;exame",B2:G2,"&lt;&gt;Nota",B2:G2,"&lt;&gt;Total"),"")</f>
        <v/>
      </c>
      <c r="I709" s="2" t="str">
        <f>IF(AND(A709&lt;&gt;"",H709&lt;&gt;""),ROUND(H709,0),"")</f>
        <v/>
      </c>
    </row>
    <row r="710" spans="2:9" x14ac:dyDescent="0.3">
      <c r="B710" s="2" t="str">
        <f>IF(A710&lt;&gt;"",VLOOKUP(Alunos!A710,Exame!A3:C1000,3, FALSE),"")</f>
        <v/>
      </c>
      <c r="C710" s="2" t="str">
        <f>IF(A710&lt;&gt;"",VLOOKUP(Alunos!A710,Agrupamentos!A3:B1000,2, FALSE),"")</f>
        <v/>
      </c>
      <c r="D710" s="2" t="str">
        <f>IF(A710&lt;&gt;"",VLOOKUP(Alunos!C710,'TP1'!A3:C1000,3, FALSE),"")</f>
        <v/>
      </c>
      <c r="E710" s="2" t="str">
        <f>IF(A710&lt;&gt;"", SUMIF(B1:D1,"&lt;&gt;",B710:D710),"")</f>
        <v/>
      </c>
      <c r="F710" s="2" t="str">
        <f>IF(AND(A710&lt;&gt;"",E710&lt;&gt;""),ROUND(E710,0),"")</f>
        <v/>
      </c>
      <c r="G710" s="2" t="str">
        <f>IF(A710&lt;&gt;"",VLOOKUP(Alunos!A710,Recurso!A3:C1000,3, FALSE),"")</f>
        <v/>
      </c>
      <c r="H710" s="2" t="str">
        <f>IF(OR(A710&lt;&gt;"",G710&lt;&gt;""), SUMIFS(B710:G710,B1:G1,"&lt;&gt;",B2:G2,"&lt;&gt;Exame",B2:G2,"&lt;&gt;exame",B2:G2,"&lt;&gt;Nota",B2:G2,"&lt;&gt;Total"),"")</f>
        <v/>
      </c>
      <c r="I710" s="2" t="str">
        <f>IF(AND(A710&lt;&gt;"",H710&lt;&gt;""),ROUND(H710,0),"")</f>
        <v/>
      </c>
    </row>
    <row r="711" spans="2:9" x14ac:dyDescent="0.3">
      <c r="B711" s="2" t="str">
        <f>IF(A711&lt;&gt;"",VLOOKUP(Alunos!A711,Exame!A3:C1000,3, FALSE),"")</f>
        <v/>
      </c>
      <c r="C711" s="2" t="str">
        <f>IF(A711&lt;&gt;"",VLOOKUP(Alunos!A711,Agrupamentos!A3:B1000,2, FALSE),"")</f>
        <v/>
      </c>
      <c r="D711" s="2" t="str">
        <f>IF(A711&lt;&gt;"",VLOOKUP(Alunos!C711,'TP1'!A3:C1000,3, FALSE),"")</f>
        <v/>
      </c>
      <c r="E711" s="2" t="str">
        <f>IF(A711&lt;&gt;"", SUMIF(B1:D1,"&lt;&gt;",B711:D711),"")</f>
        <v/>
      </c>
      <c r="F711" s="2" t="str">
        <f>IF(AND(A711&lt;&gt;"",E711&lt;&gt;""),ROUND(E711,0),"")</f>
        <v/>
      </c>
      <c r="G711" s="2" t="str">
        <f>IF(A711&lt;&gt;"",VLOOKUP(Alunos!A711,Recurso!A3:C1000,3, FALSE),"")</f>
        <v/>
      </c>
      <c r="H711" s="2" t="str">
        <f>IF(OR(A711&lt;&gt;"",G711&lt;&gt;""), SUMIFS(B711:G711,B1:G1,"&lt;&gt;",B2:G2,"&lt;&gt;Exame",B2:G2,"&lt;&gt;exame",B2:G2,"&lt;&gt;Nota",B2:G2,"&lt;&gt;Total"),"")</f>
        <v/>
      </c>
      <c r="I711" s="2" t="str">
        <f>IF(AND(A711&lt;&gt;"",H711&lt;&gt;""),ROUND(H711,0),"")</f>
        <v/>
      </c>
    </row>
    <row r="712" spans="2:9" x14ac:dyDescent="0.3">
      <c r="B712" s="2" t="str">
        <f>IF(A712&lt;&gt;"",VLOOKUP(Alunos!A712,Exame!A3:C1000,3, FALSE),"")</f>
        <v/>
      </c>
      <c r="C712" s="2" t="str">
        <f>IF(A712&lt;&gt;"",VLOOKUP(Alunos!A712,Agrupamentos!A3:B1000,2, FALSE),"")</f>
        <v/>
      </c>
      <c r="D712" s="2" t="str">
        <f>IF(A712&lt;&gt;"",VLOOKUP(Alunos!C712,'TP1'!A3:C1000,3, FALSE),"")</f>
        <v/>
      </c>
      <c r="E712" s="2" t="str">
        <f>IF(A712&lt;&gt;"", SUMIF(B1:D1,"&lt;&gt;",B712:D712),"")</f>
        <v/>
      </c>
      <c r="F712" s="2" t="str">
        <f>IF(AND(A712&lt;&gt;"",E712&lt;&gt;""),ROUND(E712,0),"")</f>
        <v/>
      </c>
      <c r="G712" s="2" t="str">
        <f>IF(A712&lt;&gt;"",VLOOKUP(Alunos!A712,Recurso!A3:C1000,3, FALSE),"")</f>
        <v/>
      </c>
      <c r="H712" s="2" t="str">
        <f>IF(OR(A712&lt;&gt;"",G712&lt;&gt;""), SUMIFS(B712:G712,B1:G1,"&lt;&gt;",B2:G2,"&lt;&gt;Exame",B2:G2,"&lt;&gt;exame",B2:G2,"&lt;&gt;Nota",B2:G2,"&lt;&gt;Total"),"")</f>
        <v/>
      </c>
      <c r="I712" s="2" t="str">
        <f>IF(AND(A712&lt;&gt;"",H712&lt;&gt;""),ROUND(H712,0),"")</f>
        <v/>
      </c>
    </row>
    <row r="713" spans="2:9" x14ac:dyDescent="0.3">
      <c r="B713" s="2" t="str">
        <f>IF(A713&lt;&gt;"",VLOOKUP(Alunos!A713,Exame!A3:C1000,3, FALSE),"")</f>
        <v/>
      </c>
      <c r="C713" s="2" t="str">
        <f>IF(A713&lt;&gt;"",VLOOKUP(Alunos!A713,Agrupamentos!A3:B1000,2, FALSE),"")</f>
        <v/>
      </c>
      <c r="D713" s="2" t="str">
        <f>IF(A713&lt;&gt;"",VLOOKUP(Alunos!C713,'TP1'!A3:C1000,3, FALSE),"")</f>
        <v/>
      </c>
      <c r="E713" s="2" t="str">
        <f>IF(A713&lt;&gt;"", SUMIF(B1:D1,"&lt;&gt;",B713:D713),"")</f>
        <v/>
      </c>
      <c r="F713" s="2" t="str">
        <f>IF(AND(A713&lt;&gt;"",E713&lt;&gt;""),ROUND(E713,0),"")</f>
        <v/>
      </c>
      <c r="G713" s="2" t="str">
        <f>IF(A713&lt;&gt;"",VLOOKUP(Alunos!A713,Recurso!A3:C1000,3, FALSE),"")</f>
        <v/>
      </c>
      <c r="H713" s="2" t="str">
        <f>IF(OR(A713&lt;&gt;"",G713&lt;&gt;""), SUMIFS(B713:G713,B1:G1,"&lt;&gt;",B2:G2,"&lt;&gt;Exame",B2:G2,"&lt;&gt;exame",B2:G2,"&lt;&gt;Nota",B2:G2,"&lt;&gt;Total"),"")</f>
        <v/>
      </c>
      <c r="I713" s="2" t="str">
        <f>IF(AND(A713&lt;&gt;"",H713&lt;&gt;""),ROUND(H713,0),"")</f>
        <v/>
      </c>
    </row>
    <row r="714" spans="2:9" x14ac:dyDescent="0.3">
      <c r="B714" s="2" t="str">
        <f>IF(A714&lt;&gt;"",VLOOKUP(Alunos!A714,Exame!A3:C1000,3, FALSE),"")</f>
        <v/>
      </c>
      <c r="C714" s="2" t="str">
        <f>IF(A714&lt;&gt;"",VLOOKUP(Alunos!A714,Agrupamentos!A3:B1000,2, FALSE),"")</f>
        <v/>
      </c>
      <c r="D714" s="2" t="str">
        <f>IF(A714&lt;&gt;"",VLOOKUP(Alunos!C714,'TP1'!A3:C1000,3, FALSE),"")</f>
        <v/>
      </c>
      <c r="E714" s="2" t="str">
        <f>IF(A714&lt;&gt;"", SUMIF(B1:D1,"&lt;&gt;",B714:D714),"")</f>
        <v/>
      </c>
      <c r="F714" s="2" t="str">
        <f>IF(AND(A714&lt;&gt;"",E714&lt;&gt;""),ROUND(E714,0),"")</f>
        <v/>
      </c>
      <c r="G714" s="2" t="str">
        <f>IF(A714&lt;&gt;"",VLOOKUP(Alunos!A714,Recurso!A3:C1000,3, FALSE),"")</f>
        <v/>
      </c>
      <c r="H714" s="2" t="str">
        <f>IF(OR(A714&lt;&gt;"",G714&lt;&gt;""), SUMIFS(B714:G714,B1:G1,"&lt;&gt;",B2:G2,"&lt;&gt;Exame",B2:G2,"&lt;&gt;exame",B2:G2,"&lt;&gt;Nota",B2:G2,"&lt;&gt;Total"),"")</f>
        <v/>
      </c>
      <c r="I714" s="2" t="str">
        <f>IF(AND(A714&lt;&gt;"",H714&lt;&gt;""),ROUND(H714,0),"")</f>
        <v/>
      </c>
    </row>
    <row r="715" spans="2:9" x14ac:dyDescent="0.3">
      <c r="B715" s="2" t="str">
        <f>IF(A715&lt;&gt;"",VLOOKUP(Alunos!A715,Exame!A3:C1000,3, FALSE),"")</f>
        <v/>
      </c>
      <c r="C715" s="2" t="str">
        <f>IF(A715&lt;&gt;"",VLOOKUP(Alunos!A715,Agrupamentos!A3:B1000,2, FALSE),"")</f>
        <v/>
      </c>
      <c r="D715" s="2" t="str">
        <f>IF(A715&lt;&gt;"",VLOOKUP(Alunos!C715,'TP1'!A3:C1000,3, FALSE),"")</f>
        <v/>
      </c>
      <c r="E715" s="2" t="str">
        <f>IF(A715&lt;&gt;"", SUMIF(B1:D1,"&lt;&gt;",B715:D715),"")</f>
        <v/>
      </c>
      <c r="F715" s="2" t="str">
        <f>IF(AND(A715&lt;&gt;"",E715&lt;&gt;""),ROUND(E715,0),"")</f>
        <v/>
      </c>
      <c r="G715" s="2" t="str">
        <f>IF(A715&lt;&gt;"",VLOOKUP(Alunos!A715,Recurso!A3:C1000,3, FALSE),"")</f>
        <v/>
      </c>
      <c r="H715" s="2" t="str">
        <f>IF(OR(A715&lt;&gt;"",G715&lt;&gt;""), SUMIFS(B715:G715,B1:G1,"&lt;&gt;",B2:G2,"&lt;&gt;Exame",B2:G2,"&lt;&gt;exame",B2:G2,"&lt;&gt;Nota",B2:G2,"&lt;&gt;Total"),"")</f>
        <v/>
      </c>
      <c r="I715" s="2" t="str">
        <f>IF(AND(A715&lt;&gt;"",H715&lt;&gt;""),ROUND(H715,0),"")</f>
        <v/>
      </c>
    </row>
    <row r="716" spans="2:9" x14ac:dyDescent="0.3">
      <c r="B716" s="2" t="str">
        <f>IF(A716&lt;&gt;"",VLOOKUP(Alunos!A716,Exame!A3:C1000,3, FALSE),"")</f>
        <v/>
      </c>
      <c r="C716" s="2" t="str">
        <f>IF(A716&lt;&gt;"",VLOOKUP(Alunos!A716,Agrupamentos!A3:B1000,2, FALSE),"")</f>
        <v/>
      </c>
      <c r="D716" s="2" t="str">
        <f>IF(A716&lt;&gt;"",VLOOKUP(Alunos!C716,'TP1'!A3:C1000,3, FALSE),"")</f>
        <v/>
      </c>
      <c r="E716" s="2" t="str">
        <f>IF(A716&lt;&gt;"", SUMIF(B1:D1,"&lt;&gt;",B716:D716),"")</f>
        <v/>
      </c>
      <c r="F716" s="2" t="str">
        <f>IF(AND(A716&lt;&gt;"",E716&lt;&gt;""),ROUND(E716,0),"")</f>
        <v/>
      </c>
      <c r="G716" s="2" t="str">
        <f>IF(A716&lt;&gt;"",VLOOKUP(Alunos!A716,Recurso!A3:C1000,3, FALSE),"")</f>
        <v/>
      </c>
      <c r="H716" s="2" t="str">
        <f>IF(OR(A716&lt;&gt;"",G716&lt;&gt;""), SUMIFS(B716:G716,B1:G1,"&lt;&gt;",B2:G2,"&lt;&gt;Exame",B2:G2,"&lt;&gt;exame",B2:G2,"&lt;&gt;Nota",B2:G2,"&lt;&gt;Total"),"")</f>
        <v/>
      </c>
      <c r="I716" s="2" t="str">
        <f>IF(AND(A716&lt;&gt;"",H716&lt;&gt;""),ROUND(H716,0),"")</f>
        <v/>
      </c>
    </row>
    <row r="717" spans="2:9" x14ac:dyDescent="0.3">
      <c r="B717" s="2" t="str">
        <f>IF(A717&lt;&gt;"",VLOOKUP(Alunos!A717,Exame!A3:C1000,3, FALSE),"")</f>
        <v/>
      </c>
      <c r="C717" s="2" t="str">
        <f>IF(A717&lt;&gt;"",VLOOKUP(Alunos!A717,Agrupamentos!A3:B1000,2, FALSE),"")</f>
        <v/>
      </c>
      <c r="D717" s="2" t="str">
        <f>IF(A717&lt;&gt;"",VLOOKUP(Alunos!C717,'TP1'!A3:C1000,3, FALSE),"")</f>
        <v/>
      </c>
      <c r="E717" s="2" t="str">
        <f>IF(A717&lt;&gt;"", SUMIF(B1:D1,"&lt;&gt;",B717:D717),"")</f>
        <v/>
      </c>
      <c r="F717" s="2" t="str">
        <f>IF(AND(A717&lt;&gt;"",E717&lt;&gt;""),ROUND(E717,0),"")</f>
        <v/>
      </c>
      <c r="G717" s="2" t="str">
        <f>IF(A717&lt;&gt;"",VLOOKUP(Alunos!A717,Recurso!A3:C1000,3, FALSE),"")</f>
        <v/>
      </c>
      <c r="H717" s="2" t="str">
        <f>IF(OR(A717&lt;&gt;"",G717&lt;&gt;""), SUMIFS(B717:G717,B1:G1,"&lt;&gt;",B2:G2,"&lt;&gt;Exame",B2:G2,"&lt;&gt;exame",B2:G2,"&lt;&gt;Nota",B2:G2,"&lt;&gt;Total"),"")</f>
        <v/>
      </c>
      <c r="I717" s="2" t="str">
        <f>IF(AND(A717&lt;&gt;"",H717&lt;&gt;""),ROUND(H717,0),"")</f>
        <v/>
      </c>
    </row>
    <row r="718" spans="2:9" x14ac:dyDescent="0.3">
      <c r="B718" s="2" t="str">
        <f>IF(A718&lt;&gt;"",VLOOKUP(Alunos!A718,Exame!A3:C1000,3, FALSE),"")</f>
        <v/>
      </c>
      <c r="C718" s="2" t="str">
        <f>IF(A718&lt;&gt;"",VLOOKUP(Alunos!A718,Agrupamentos!A3:B1000,2, FALSE),"")</f>
        <v/>
      </c>
      <c r="D718" s="2" t="str">
        <f>IF(A718&lt;&gt;"",VLOOKUP(Alunos!C718,'TP1'!A3:C1000,3, FALSE),"")</f>
        <v/>
      </c>
      <c r="E718" s="2" t="str">
        <f>IF(A718&lt;&gt;"", SUMIF(B1:D1,"&lt;&gt;",B718:D718),"")</f>
        <v/>
      </c>
      <c r="F718" s="2" t="str">
        <f>IF(AND(A718&lt;&gt;"",E718&lt;&gt;""),ROUND(E718,0),"")</f>
        <v/>
      </c>
      <c r="G718" s="2" t="str">
        <f>IF(A718&lt;&gt;"",VLOOKUP(Alunos!A718,Recurso!A3:C1000,3, FALSE),"")</f>
        <v/>
      </c>
      <c r="H718" s="2" t="str">
        <f>IF(OR(A718&lt;&gt;"",G718&lt;&gt;""), SUMIFS(B718:G718,B1:G1,"&lt;&gt;",B2:G2,"&lt;&gt;Exame",B2:G2,"&lt;&gt;exame",B2:G2,"&lt;&gt;Nota",B2:G2,"&lt;&gt;Total"),"")</f>
        <v/>
      </c>
      <c r="I718" s="2" t="str">
        <f>IF(AND(A718&lt;&gt;"",H718&lt;&gt;""),ROUND(H718,0),"")</f>
        <v/>
      </c>
    </row>
    <row r="719" spans="2:9" x14ac:dyDescent="0.3">
      <c r="B719" s="2" t="str">
        <f>IF(A719&lt;&gt;"",VLOOKUP(Alunos!A719,Exame!A3:C1000,3, FALSE),"")</f>
        <v/>
      </c>
      <c r="C719" s="2" t="str">
        <f>IF(A719&lt;&gt;"",VLOOKUP(Alunos!A719,Agrupamentos!A3:B1000,2, FALSE),"")</f>
        <v/>
      </c>
      <c r="D719" s="2" t="str">
        <f>IF(A719&lt;&gt;"",VLOOKUP(Alunos!C719,'TP1'!A3:C1000,3, FALSE),"")</f>
        <v/>
      </c>
      <c r="E719" s="2" t="str">
        <f>IF(A719&lt;&gt;"", SUMIF(B1:D1,"&lt;&gt;",B719:D719),"")</f>
        <v/>
      </c>
      <c r="F719" s="2" t="str">
        <f>IF(AND(A719&lt;&gt;"",E719&lt;&gt;""),ROUND(E719,0),"")</f>
        <v/>
      </c>
      <c r="G719" s="2" t="str">
        <f>IF(A719&lt;&gt;"",VLOOKUP(Alunos!A719,Recurso!A3:C1000,3, FALSE),"")</f>
        <v/>
      </c>
      <c r="H719" s="2" t="str">
        <f>IF(OR(A719&lt;&gt;"",G719&lt;&gt;""), SUMIFS(B719:G719,B1:G1,"&lt;&gt;",B2:G2,"&lt;&gt;Exame",B2:G2,"&lt;&gt;exame",B2:G2,"&lt;&gt;Nota",B2:G2,"&lt;&gt;Total"),"")</f>
        <v/>
      </c>
      <c r="I719" s="2" t="str">
        <f>IF(AND(A719&lt;&gt;"",H719&lt;&gt;""),ROUND(H719,0),"")</f>
        <v/>
      </c>
    </row>
    <row r="720" spans="2:9" x14ac:dyDescent="0.3">
      <c r="B720" s="2" t="str">
        <f>IF(A720&lt;&gt;"",VLOOKUP(Alunos!A720,Exame!A3:C1000,3, FALSE),"")</f>
        <v/>
      </c>
      <c r="C720" s="2" t="str">
        <f>IF(A720&lt;&gt;"",VLOOKUP(Alunos!A720,Agrupamentos!A3:B1000,2, FALSE),"")</f>
        <v/>
      </c>
      <c r="D720" s="2" t="str">
        <f>IF(A720&lt;&gt;"",VLOOKUP(Alunos!C720,'TP1'!A3:C1000,3, FALSE),"")</f>
        <v/>
      </c>
      <c r="E720" s="2" t="str">
        <f>IF(A720&lt;&gt;"", SUMIF(B1:D1,"&lt;&gt;",B720:D720),"")</f>
        <v/>
      </c>
      <c r="F720" s="2" t="str">
        <f>IF(AND(A720&lt;&gt;"",E720&lt;&gt;""),ROUND(E720,0),"")</f>
        <v/>
      </c>
      <c r="G720" s="2" t="str">
        <f>IF(A720&lt;&gt;"",VLOOKUP(Alunos!A720,Recurso!A3:C1000,3, FALSE),"")</f>
        <v/>
      </c>
      <c r="H720" s="2" t="str">
        <f>IF(OR(A720&lt;&gt;"",G720&lt;&gt;""), SUMIFS(B720:G720,B1:G1,"&lt;&gt;",B2:G2,"&lt;&gt;Exame",B2:G2,"&lt;&gt;exame",B2:G2,"&lt;&gt;Nota",B2:G2,"&lt;&gt;Total"),"")</f>
        <v/>
      </c>
      <c r="I720" s="2" t="str">
        <f>IF(AND(A720&lt;&gt;"",H720&lt;&gt;""),ROUND(H720,0),"")</f>
        <v/>
      </c>
    </row>
    <row r="721" spans="2:9" x14ac:dyDescent="0.3">
      <c r="B721" s="2" t="str">
        <f>IF(A721&lt;&gt;"",VLOOKUP(Alunos!A721,Exame!A3:C1000,3, FALSE),"")</f>
        <v/>
      </c>
      <c r="C721" s="2" t="str">
        <f>IF(A721&lt;&gt;"",VLOOKUP(Alunos!A721,Agrupamentos!A3:B1000,2, FALSE),"")</f>
        <v/>
      </c>
      <c r="D721" s="2" t="str">
        <f>IF(A721&lt;&gt;"",VLOOKUP(Alunos!C721,'TP1'!A3:C1000,3, FALSE),"")</f>
        <v/>
      </c>
      <c r="E721" s="2" t="str">
        <f>IF(A721&lt;&gt;"", SUMIF(B1:D1,"&lt;&gt;",B721:D721),"")</f>
        <v/>
      </c>
      <c r="F721" s="2" t="str">
        <f>IF(AND(A721&lt;&gt;"",E721&lt;&gt;""),ROUND(E721,0),"")</f>
        <v/>
      </c>
      <c r="G721" s="2" t="str">
        <f>IF(A721&lt;&gt;"",VLOOKUP(Alunos!A721,Recurso!A3:C1000,3, FALSE),"")</f>
        <v/>
      </c>
      <c r="H721" s="2" t="str">
        <f>IF(OR(A721&lt;&gt;"",G721&lt;&gt;""), SUMIFS(B721:G721,B1:G1,"&lt;&gt;",B2:G2,"&lt;&gt;Exame",B2:G2,"&lt;&gt;exame",B2:G2,"&lt;&gt;Nota",B2:G2,"&lt;&gt;Total"),"")</f>
        <v/>
      </c>
      <c r="I721" s="2" t="str">
        <f>IF(AND(A721&lt;&gt;"",H721&lt;&gt;""),ROUND(H721,0),"")</f>
        <v/>
      </c>
    </row>
    <row r="722" spans="2:9" x14ac:dyDescent="0.3">
      <c r="B722" s="2" t="str">
        <f>IF(A722&lt;&gt;"",VLOOKUP(Alunos!A722,Exame!A3:C1000,3, FALSE),"")</f>
        <v/>
      </c>
      <c r="C722" s="2" t="str">
        <f>IF(A722&lt;&gt;"",VLOOKUP(Alunos!A722,Agrupamentos!A3:B1000,2, FALSE),"")</f>
        <v/>
      </c>
      <c r="D722" s="2" t="str">
        <f>IF(A722&lt;&gt;"",VLOOKUP(Alunos!C722,'TP1'!A3:C1000,3, FALSE),"")</f>
        <v/>
      </c>
      <c r="E722" s="2" t="str">
        <f>IF(A722&lt;&gt;"", SUMIF(B1:D1,"&lt;&gt;",B722:D722),"")</f>
        <v/>
      </c>
      <c r="F722" s="2" t="str">
        <f>IF(AND(A722&lt;&gt;"",E722&lt;&gt;""),ROUND(E722,0),"")</f>
        <v/>
      </c>
      <c r="G722" s="2" t="str">
        <f>IF(A722&lt;&gt;"",VLOOKUP(Alunos!A722,Recurso!A3:C1000,3, FALSE),"")</f>
        <v/>
      </c>
      <c r="H722" s="2" t="str">
        <f>IF(OR(A722&lt;&gt;"",G722&lt;&gt;""), SUMIFS(B722:G722,B1:G1,"&lt;&gt;",B2:G2,"&lt;&gt;Exame",B2:G2,"&lt;&gt;exame",B2:G2,"&lt;&gt;Nota",B2:G2,"&lt;&gt;Total"),"")</f>
        <v/>
      </c>
      <c r="I722" s="2" t="str">
        <f>IF(AND(A722&lt;&gt;"",H722&lt;&gt;""),ROUND(H722,0),"")</f>
        <v/>
      </c>
    </row>
    <row r="723" spans="2:9" x14ac:dyDescent="0.3">
      <c r="B723" s="2" t="str">
        <f>IF(A723&lt;&gt;"",VLOOKUP(Alunos!A723,Exame!A3:C1000,3, FALSE),"")</f>
        <v/>
      </c>
      <c r="C723" s="2" t="str">
        <f>IF(A723&lt;&gt;"",VLOOKUP(Alunos!A723,Agrupamentos!A3:B1000,2, FALSE),"")</f>
        <v/>
      </c>
      <c r="D723" s="2" t="str">
        <f>IF(A723&lt;&gt;"",VLOOKUP(Alunos!C723,'TP1'!A3:C1000,3, FALSE),"")</f>
        <v/>
      </c>
      <c r="E723" s="2" t="str">
        <f>IF(A723&lt;&gt;"", SUMIF(B1:D1,"&lt;&gt;",B723:D723),"")</f>
        <v/>
      </c>
      <c r="F723" s="2" t="str">
        <f>IF(AND(A723&lt;&gt;"",E723&lt;&gt;""),ROUND(E723,0),"")</f>
        <v/>
      </c>
      <c r="G723" s="2" t="str">
        <f>IF(A723&lt;&gt;"",VLOOKUP(Alunos!A723,Recurso!A3:C1000,3, FALSE),"")</f>
        <v/>
      </c>
      <c r="H723" s="2" t="str">
        <f>IF(OR(A723&lt;&gt;"",G723&lt;&gt;""), SUMIFS(B723:G723,B1:G1,"&lt;&gt;",B2:G2,"&lt;&gt;Exame",B2:G2,"&lt;&gt;exame",B2:G2,"&lt;&gt;Nota",B2:G2,"&lt;&gt;Total"),"")</f>
        <v/>
      </c>
      <c r="I723" s="2" t="str">
        <f>IF(AND(A723&lt;&gt;"",H723&lt;&gt;""),ROUND(H723,0),"")</f>
        <v/>
      </c>
    </row>
    <row r="724" spans="2:9" x14ac:dyDescent="0.3">
      <c r="B724" s="2" t="str">
        <f>IF(A724&lt;&gt;"",VLOOKUP(Alunos!A724,Exame!A3:C1000,3, FALSE),"")</f>
        <v/>
      </c>
      <c r="C724" s="2" t="str">
        <f>IF(A724&lt;&gt;"",VLOOKUP(Alunos!A724,Agrupamentos!A3:B1000,2, FALSE),"")</f>
        <v/>
      </c>
      <c r="D724" s="2" t="str">
        <f>IF(A724&lt;&gt;"",VLOOKUP(Alunos!C724,'TP1'!A3:C1000,3, FALSE),"")</f>
        <v/>
      </c>
      <c r="E724" s="2" t="str">
        <f>IF(A724&lt;&gt;"", SUMIF(B1:D1,"&lt;&gt;",B724:D724),"")</f>
        <v/>
      </c>
      <c r="F724" s="2" t="str">
        <f>IF(AND(A724&lt;&gt;"",E724&lt;&gt;""),ROUND(E724,0),"")</f>
        <v/>
      </c>
      <c r="G724" s="2" t="str">
        <f>IF(A724&lt;&gt;"",VLOOKUP(Alunos!A724,Recurso!A3:C1000,3, FALSE),"")</f>
        <v/>
      </c>
      <c r="H724" s="2" t="str">
        <f>IF(OR(A724&lt;&gt;"",G724&lt;&gt;""), SUMIFS(B724:G724,B1:G1,"&lt;&gt;",B2:G2,"&lt;&gt;Exame",B2:G2,"&lt;&gt;exame",B2:G2,"&lt;&gt;Nota",B2:G2,"&lt;&gt;Total"),"")</f>
        <v/>
      </c>
      <c r="I724" s="2" t="str">
        <f>IF(AND(A724&lt;&gt;"",H724&lt;&gt;""),ROUND(H724,0),"")</f>
        <v/>
      </c>
    </row>
    <row r="725" spans="2:9" x14ac:dyDescent="0.3">
      <c r="B725" s="2" t="str">
        <f>IF(A725&lt;&gt;"",VLOOKUP(Alunos!A725,Exame!A3:C1000,3, FALSE),"")</f>
        <v/>
      </c>
      <c r="C725" s="2" t="str">
        <f>IF(A725&lt;&gt;"",VLOOKUP(Alunos!A725,Agrupamentos!A3:B1000,2, FALSE),"")</f>
        <v/>
      </c>
      <c r="D725" s="2" t="str">
        <f>IF(A725&lt;&gt;"",VLOOKUP(Alunos!C725,'TP1'!A3:C1000,3, FALSE),"")</f>
        <v/>
      </c>
      <c r="E725" s="2" t="str">
        <f>IF(A725&lt;&gt;"", SUMIF(B1:D1,"&lt;&gt;",B725:D725),"")</f>
        <v/>
      </c>
      <c r="F725" s="2" t="str">
        <f>IF(AND(A725&lt;&gt;"",E725&lt;&gt;""),ROUND(E725,0),"")</f>
        <v/>
      </c>
      <c r="G725" s="2" t="str">
        <f>IF(A725&lt;&gt;"",VLOOKUP(Alunos!A725,Recurso!A3:C1000,3, FALSE),"")</f>
        <v/>
      </c>
      <c r="H725" s="2" t="str">
        <f>IF(OR(A725&lt;&gt;"",G725&lt;&gt;""), SUMIFS(B725:G725,B1:G1,"&lt;&gt;",B2:G2,"&lt;&gt;Exame",B2:G2,"&lt;&gt;exame",B2:G2,"&lt;&gt;Nota",B2:G2,"&lt;&gt;Total"),"")</f>
        <v/>
      </c>
      <c r="I725" s="2" t="str">
        <f>IF(AND(A725&lt;&gt;"",H725&lt;&gt;""),ROUND(H725,0),"")</f>
        <v/>
      </c>
    </row>
    <row r="726" spans="2:9" x14ac:dyDescent="0.3">
      <c r="B726" s="2" t="str">
        <f>IF(A726&lt;&gt;"",VLOOKUP(Alunos!A726,Exame!A3:C1000,3, FALSE),"")</f>
        <v/>
      </c>
      <c r="C726" s="2" t="str">
        <f>IF(A726&lt;&gt;"",VLOOKUP(Alunos!A726,Agrupamentos!A3:B1000,2, FALSE),"")</f>
        <v/>
      </c>
      <c r="D726" s="2" t="str">
        <f>IF(A726&lt;&gt;"",VLOOKUP(Alunos!C726,'TP1'!A3:C1000,3, FALSE),"")</f>
        <v/>
      </c>
      <c r="E726" s="2" t="str">
        <f>IF(A726&lt;&gt;"", SUMIF(B1:D1,"&lt;&gt;",B726:D726),"")</f>
        <v/>
      </c>
      <c r="F726" s="2" t="str">
        <f>IF(AND(A726&lt;&gt;"",E726&lt;&gt;""),ROUND(E726,0),"")</f>
        <v/>
      </c>
      <c r="G726" s="2" t="str">
        <f>IF(A726&lt;&gt;"",VLOOKUP(Alunos!A726,Recurso!A3:C1000,3, FALSE),"")</f>
        <v/>
      </c>
      <c r="H726" s="2" t="str">
        <f>IF(OR(A726&lt;&gt;"",G726&lt;&gt;""), SUMIFS(B726:G726,B1:G1,"&lt;&gt;",B2:G2,"&lt;&gt;Exame",B2:G2,"&lt;&gt;exame",B2:G2,"&lt;&gt;Nota",B2:G2,"&lt;&gt;Total"),"")</f>
        <v/>
      </c>
      <c r="I726" s="2" t="str">
        <f>IF(AND(A726&lt;&gt;"",H726&lt;&gt;""),ROUND(H726,0),"")</f>
        <v/>
      </c>
    </row>
    <row r="727" spans="2:9" x14ac:dyDescent="0.3">
      <c r="B727" s="2" t="str">
        <f>IF(A727&lt;&gt;"",VLOOKUP(Alunos!A727,Exame!A3:C1000,3, FALSE),"")</f>
        <v/>
      </c>
      <c r="C727" s="2" t="str">
        <f>IF(A727&lt;&gt;"",VLOOKUP(Alunos!A727,Agrupamentos!A3:B1000,2, FALSE),"")</f>
        <v/>
      </c>
      <c r="D727" s="2" t="str">
        <f>IF(A727&lt;&gt;"",VLOOKUP(Alunos!C727,'TP1'!A3:C1000,3, FALSE),"")</f>
        <v/>
      </c>
      <c r="E727" s="2" t="str">
        <f>IF(A727&lt;&gt;"", SUMIF(B1:D1,"&lt;&gt;",B727:D727),"")</f>
        <v/>
      </c>
      <c r="F727" s="2" t="str">
        <f>IF(AND(A727&lt;&gt;"",E727&lt;&gt;""),ROUND(E727,0),"")</f>
        <v/>
      </c>
      <c r="G727" s="2" t="str">
        <f>IF(A727&lt;&gt;"",VLOOKUP(Alunos!A727,Recurso!A3:C1000,3, FALSE),"")</f>
        <v/>
      </c>
      <c r="H727" s="2" t="str">
        <f>IF(OR(A727&lt;&gt;"",G727&lt;&gt;""), SUMIFS(B727:G727,B1:G1,"&lt;&gt;",B2:G2,"&lt;&gt;Exame",B2:G2,"&lt;&gt;exame",B2:G2,"&lt;&gt;Nota",B2:G2,"&lt;&gt;Total"),"")</f>
        <v/>
      </c>
      <c r="I727" s="2" t="str">
        <f>IF(AND(A727&lt;&gt;"",H727&lt;&gt;""),ROUND(H727,0),"")</f>
        <v/>
      </c>
    </row>
    <row r="728" spans="2:9" x14ac:dyDescent="0.3">
      <c r="B728" s="2" t="str">
        <f>IF(A728&lt;&gt;"",VLOOKUP(Alunos!A728,Exame!A3:C1000,3, FALSE),"")</f>
        <v/>
      </c>
      <c r="C728" s="2" t="str">
        <f>IF(A728&lt;&gt;"",VLOOKUP(Alunos!A728,Agrupamentos!A3:B1000,2, FALSE),"")</f>
        <v/>
      </c>
      <c r="D728" s="2" t="str">
        <f>IF(A728&lt;&gt;"",VLOOKUP(Alunos!C728,'TP1'!A3:C1000,3, FALSE),"")</f>
        <v/>
      </c>
      <c r="E728" s="2" t="str">
        <f>IF(A728&lt;&gt;"", SUMIF(B1:D1,"&lt;&gt;",B728:D728),"")</f>
        <v/>
      </c>
      <c r="F728" s="2" t="str">
        <f>IF(AND(A728&lt;&gt;"",E728&lt;&gt;""),ROUND(E728,0),"")</f>
        <v/>
      </c>
      <c r="G728" s="2" t="str">
        <f>IF(A728&lt;&gt;"",VLOOKUP(Alunos!A728,Recurso!A3:C1000,3, FALSE),"")</f>
        <v/>
      </c>
      <c r="H728" s="2" t="str">
        <f>IF(OR(A728&lt;&gt;"",G728&lt;&gt;""), SUMIFS(B728:G728,B1:G1,"&lt;&gt;",B2:G2,"&lt;&gt;Exame",B2:G2,"&lt;&gt;exame",B2:G2,"&lt;&gt;Nota",B2:G2,"&lt;&gt;Total"),"")</f>
        <v/>
      </c>
      <c r="I728" s="2" t="str">
        <f>IF(AND(A728&lt;&gt;"",H728&lt;&gt;""),ROUND(H728,0),"")</f>
        <v/>
      </c>
    </row>
    <row r="729" spans="2:9" x14ac:dyDescent="0.3">
      <c r="B729" s="2" t="str">
        <f>IF(A729&lt;&gt;"",VLOOKUP(Alunos!A729,Exame!A3:C1000,3, FALSE),"")</f>
        <v/>
      </c>
      <c r="C729" s="2" t="str">
        <f>IF(A729&lt;&gt;"",VLOOKUP(Alunos!A729,Agrupamentos!A3:B1000,2, FALSE),"")</f>
        <v/>
      </c>
      <c r="D729" s="2" t="str">
        <f>IF(A729&lt;&gt;"",VLOOKUP(Alunos!C729,'TP1'!A3:C1000,3, FALSE),"")</f>
        <v/>
      </c>
      <c r="E729" s="2" t="str">
        <f>IF(A729&lt;&gt;"", SUMIF(B1:D1,"&lt;&gt;",B729:D729),"")</f>
        <v/>
      </c>
      <c r="F729" s="2" t="str">
        <f>IF(AND(A729&lt;&gt;"",E729&lt;&gt;""),ROUND(E729,0),"")</f>
        <v/>
      </c>
      <c r="G729" s="2" t="str">
        <f>IF(A729&lt;&gt;"",VLOOKUP(Alunos!A729,Recurso!A3:C1000,3, FALSE),"")</f>
        <v/>
      </c>
      <c r="H729" s="2" t="str">
        <f>IF(OR(A729&lt;&gt;"",G729&lt;&gt;""), SUMIFS(B729:G729,B1:G1,"&lt;&gt;",B2:G2,"&lt;&gt;Exame",B2:G2,"&lt;&gt;exame",B2:G2,"&lt;&gt;Nota",B2:G2,"&lt;&gt;Total"),"")</f>
        <v/>
      </c>
      <c r="I729" s="2" t="str">
        <f>IF(AND(A729&lt;&gt;"",H729&lt;&gt;""),ROUND(H729,0),"")</f>
        <v/>
      </c>
    </row>
    <row r="730" spans="2:9" x14ac:dyDescent="0.3">
      <c r="B730" s="2" t="str">
        <f>IF(A730&lt;&gt;"",VLOOKUP(Alunos!A730,Exame!A3:C1000,3, FALSE),"")</f>
        <v/>
      </c>
      <c r="C730" s="2" t="str">
        <f>IF(A730&lt;&gt;"",VLOOKUP(Alunos!A730,Agrupamentos!A3:B1000,2, FALSE),"")</f>
        <v/>
      </c>
      <c r="D730" s="2" t="str">
        <f>IF(A730&lt;&gt;"",VLOOKUP(Alunos!C730,'TP1'!A3:C1000,3, FALSE),"")</f>
        <v/>
      </c>
      <c r="E730" s="2" t="str">
        <f>IF(A730&lt;&gt;"", SUMIF(B1:D1,"&lt;&gt;",B730:D730),"")</f>
        <v/>
      </c>
      <c r="F730" s="2" t="str">
        <f>IF(AND(A730&lt;&gt;"",E730&lt;&gt;""),ROUND(E730,0),"")</f>
        <v/>
      </c>
      <c r="G730" s="2" t="str">
        <f>IF(A730&lt;&gt;"",VLOOKUP(Alunos!A730,Recurso!A3:C1000,3, FALSE),"")</f>
        <v/>
      </c>
      <c r="H730" s="2" t="str">
        <f>IF(OR(A730&lt;&gt;"",G730&lt;&gt;""), SUMIFS(B730:G730,B1:G1,"&lt;&gt;",B2:G2,"&lt;&gt;Exame",B2:G2,"&lt;&gt;exame",B2:G2,"&lt;&gt;Nota",B2:G2,"&lt;&gt;Total"),"")</f>
        <v/>
      </c>
      <c r="I730" s="2" t="str">
        <f>IF(AND(A730&lt;&gt;"",H730&lt;&gt;""),ROUND(H730,0),"")</f>
        <v/>
      </c>
    </row>
    <row r="731" spans="2:9" x14ac:dyDescent="0.3">
      <c r="B731" s="2" t="str">
        <f>IF(A731&lt;&gt;"",VLOOKUP(Alunos!A731,Exame!A3:C1000,3, FALSE),"")</f>
        <v/>
      </c>
      <c r="C731" s="2" t="str">
        <f>IF(A731&lt;&gt;"",VLOOKUP(Alunos!A731,Agrupamentos!A3:B1000,2, FALSE),"")</f>
        <v/>
      </c>
      <c r="D731" s="2" t="str">
        <f>IF(A731&lt;&gt;"",VLOOKUP(Alunos!C731,'TP1'!A3:C1000,3, FALSE),"")</f>
        <v/>
      </c>
      <c r="E731" s="2" t="str">
        <f>IF(A731&lt;&gt;"", SUMIF(B1:D1,"&lt;&gt;",B731:D731),"")</f>
        <v/>
      </c>
      <c r="F731" s="2" t="str">
        <f>IF(AND(A731&lt;&gt;"",E731&lt;&gt;""),ROUND(E731,0),"")</f>
        <v/>
      </c>
      <c r="G731" s="2" t="str">
        <f>IF(A731&lt;&gt;"",VLOOKUP(Alunos!A731,Recurso!A3:C1000,3, FALSE),"")</f>
        <v/>
      </c>
      <c r="H731" s="2" t="str">
        <f>IF(OR(A731&lt;&gt;"",G731&lt;&gt;""), SUMIFS(B731:G731,B1:G1,"&lt;&gt;",B2:G2,"&lt;&gt;Exame",B2:G2,"&lt;&gt;exame",B2:G2,"&lt;&gt;Nota",B2:G2,"&lt;&gt;Total"),"")</f>
        <v/>
      </c>
      <c r="I731" s="2" t="str">
        <f>IF(AND(A731&lt;&gt;"",H731&lt;&gt;""),ROUND(H731,0),"")</f>
        <v/>
      </c>
    </row>
    <row r="732" spans="2:9" x14ac:dyDescent="0.3">
      <c r="B732" s="2" t="str">
        <f>IF(A732&lt;&gt;"",VLOOKUP(Alunos!A732,Exame!A3:C1000,3, FALSE),"")</f>
        <v/>
      </c>
      <c r="C732" s="2" t="str">
        <f>IF(A732&lt;&gt;"",VLOOKUP(Alunos!A732,Agrupamentos!A3:B1000,2, FALSE),"")</f>
        <v/>
      </c>
      <c r="D732" s="2" t="str">
        <f>IF(A732&lt;&gt;"",VLOOKUP(Alunos!C732,'TP1'!A3:C1000,3, FALSE),"")</f>
        <v/>
      </c>
      <c r="E732" s="2" t="str">
        <f>IF(A732&lt;&gt;"", SUMIF(B1:D1,"&lt;&gt;",B732:D732),"")</f>
        <v/>
      </c>
      <c r="F732" s="2" t="str">
        <f>IF(AND(A732&lt;&gt;"",E732&lt;&gt;""),ROUND(E732,0),"")</f>
        <v/>
      </c>
      <c r="G732" s="2" t="str">
        <f>IF(A732&lt;&gt;"",VLOOKUP(Alunos!A732,Recurso!A3:C1000,3, FALSE),"")</f>
        <v/>
      </c>
      <c r="H732" s="2" t="str">
        <f>IF(OR(A732&lt;&gt;"",G732&lt;&gt;""), SUMIFS(B732:G732,B1:G1,"&lt;&gt;",B2:G2,"&lt;&gt;Exame",B2:G2,"&lt;&gt;exame",B2:G2,"&lt;&gt;Nota",B2:G2,"&lt;&gt;Total"),"")</f>
        <v/>
      </c>
      <c r="I732" s="2" t="str">
        <f>IF(AND(A732&lt;&gt;"",H732&lt;&gt;""),ROUND(H732,0),"")</f>
        <v/>
      </c>
    </row>
    <row r="733" spans="2:9" x14ac:dyDescent="0.3">
      <c r="B733" s="2" t="str">
        <f>IF(A733&lt;&gt;"",VLOOKUP(Alunos!A733,Exame!A3:C1000,3, FALSE),"")</f>
        <v/>
      </c>
      <c r="C733" s="2" t="str">
        <f>IF(A733&lt;&gt;"",VLOOKUP(Alunos!A733,Agrupamentos!A3:B1000,2, FALSE),"")</f>
        <v/>
      </c>
      <c r="D733" s="2" t="str">
        <f>IF(A733&lt;&gt;"",VLOOKUP(Alunos!C733,'TP1'!A3:C1000,3, FALSE),"")</f>
        <v/>
      </c>
      <c r="E733" s="2" t="str">
        <f>IF(A733&lt;&gt;"", SUMIF(B1:D1,"&lt;&gt;",B733:D733),"")</f>
        <v/>
      </c>
      <c r="F733" s="2" t="str">
        <f>IF(AND(A733&lt;&gt;"",E733&lt;&gt;""),ROUND(E733,0),"")</f>
        <v/>
      </c>
      <c r="G733" s="2" t="str">
        <f>IF(A733&lt;&gt;"",VLOOKUP(Alunos!A733,Recurso!A3:C1000,3, FALSE),"")</f>
        <v/>
      </c>
      <c r="H733" s="2" t="str">
        <f>IF(OR(A733&lt;&gt;"",G733&lt;&gt;""), SUMIFS(B733:G733,B1:G1,"&lt;&gt;",B2:G2,"&lt;&gt;Exame",B2:G2,"&lt;&gt;exame",B2:G2,"&lt;&gt;Nota",B2:G2,"&lt;&gt;Total"),"")</f>
        <v/>
      </c>
      <c r="I733" s="2" t="str">
        <f>IF(AND(A733&lt;&gt;"",H733&lt;&gt;""),ROUND(H733,0),"")</f>
        <v/>
      </c>
    </row>
    <row r="734" spans="2:9" x14ac:dyDescent="0.3">
      <c r="B734" s="2" t="str">
        <f>IF(A734&lt;&gt;"",VLOOKUP(Alunos!A734,Exame!A3:C1000,3, FALSE),"")</f>
        <v/>
      </c>
      <c r="C734" s="2" t="str">
        <f>IF(A734&lt;&gt;"",VLOOKUP(Alunos!A734,Agrupamentos!A3:B1000,2, FALSE),"")</f>
        <v/>
      </c>
      <c r="D734" s="2" t="str">
        <f>IF(A734&lt;&gt;"",VLOOKUP(Alunos!C734,'TP1'!A3:C1000,3, FALSE),"")</f>
        <v/>
      </c>
      <c r="E734" s="2" t="str">
        <f>IF(A734&lt;&gt;"", SUMIF(B1:D1,"&lt;&gt;",B734:D734),"")</f>
        <v/>
      </c>
      <c r="F734" s="2" t="str">
        <f>IF(AND(A734&lt;&gt;"",E734&lt;&gt;""),ROUND(E734,0),"")</f>
        <v/>
      </c>
      <c r="G734" s="2" t="str">
        <f>IF(A734&lt;&gt;"",VLOOKUP(Alunos!A734,Recurso!A3:C1000,3, FALSE),"")</f>
        <v/>
      </c>
      <c r="H734" s="2" t="str">
        <f>IF(OR(A734&lt;&gt;"",G734&lt;&gt;""), SUMIFS(B734:G734,B1:G1,"&lt;&gt;",B2:G2,"&lt;&gt;Exame",B2:G2,"&lt;&gt;exame",B2:G2,"&lt;&gt;Nota",B2:G2,"&lt;&gt;Total"),"")</f>
        <v/>
      </c>
      <c r="I734" s="2" t="str">
        <f>IF(AND(A734&lt;&gt;"",H734&lt;&gt;""),ROUND(H734,0),"")</f>
        <v/>
      </c>
    </row>
    <row r="735" spans="2:9" x14ac:dyDescent="0.3">
      <c r="B735" s="2" t="str">
        <f>IF(A735&lt;&gt;"",VLOOKUP(Alunos!A735,Exame!A3:C1000,3, FALSE),"")</f>
        <v/>
      </c>
      <c r="C735" s="2" t="str">
        <f>IF(A735&lt;&gt;"",VLOOKUP(Alunos!A735,Agrupamentos!A3:B1000,2, FALSE),"")</f>
        <v/>
      </c>
      <c r="D735" s="2" t="str">
        <f>IF(A735&lt;&gt;"",VLOOKUP(Alunos!C735,'TP1'!A3:C1000,3, FALSE),"")</f>
        <v/>
      </c>
      <c r="E735" s="2" t="str">
        <f>IF(A735&lt;&gt;"", SUMIF(B1:D1,"&lt;&gt;",B735:D735),"")</f>
        <v/>
      </c>
      <c r="F735" s="2" t="str">
        <f>IF(AND(A735&lt;&gt;"",E735&lt;&gt;""),ROUND(E735,0),"")</f>
        <v/>
      </c>
      <c r="G735" s="2" t="str">
        <f>IF(A735&lt;&gt;"",VLOOKUP(Alunos!A735,Recurso!A3:C1000,3, FALSE),"")</f>
        <v/>
      </c>
      <c r="H735" s="2" t="str">
        <f>IF(OR(A735&lt;&gt;"",G735&lt;&gt;""), SUMIFS(B735:G735,B1:G1,"&lt;&gt;",B2:G2,"&lt;&gt;Exame",B2:G2,"&lt;&gt;exame",B2:G2,"&lt;&gt;Nota",B2:G2,"&lt;&gt;Total"),"")</f>
        <v/>
      </c>
      <c r="I735" s="2" t="str">
        <f>IF(AND(A735&lt;&gt;"",H735&lt;&gt;""),ROUND(H735,0),"")</f>
        <v/>
      </c>
    </row>
    <row r="736" spans="2:9" x14ac:dyDescent="0.3">
      <c r="B736" s="2" t="str">
        <f>IF(A736&lt;&gt;"",VLOOKUP(Alunos!A736,Exame!A3:C1000,3, FALSE),"")</f>
        <v/>
      </c>
      <c r="C736" s="2" t="str">
        <f>IF(A736&lt;&gt;"",VLOOKUP(Alunos!A736,Agrupamentos!A3:B1000,2, FALSE),"")</f>
        <v/>
      </c>
      <c r="D736" s="2" t="str">
        <f>IF(A736&lt;&gt;"",VLOOKUP(Alunos!C736,'TP1'!A3:C1000,3, FALSE),"")</f>
        <v/>
      </c>
      <c r="E736" s="2" t="str">
        <f>IF(A736&lt;&gt;"", SUMIF(B1:D1,"&lt;&gt;",B736:D736),"")</f>
        <v/>
      </c>
      <c r="F736" s="2" t="str">
        <f>IF(AND(A736&lt;&gt;"",E736&lt;&gt;""),ROUND(E736,0),"")</f>
        <v/>
      </c>
      <c r="G736" s="2" t="str">
        <f>IF(A736&lt;&gt;"",VLOOKUP(Alunos!A736,Recurso!A3:C1000,3, FALSE),"")</f>
        <v/>
      </c>
      <c r="H736" s="2" t="str">
        <f>IF(OR(A736&lt;&gt;"",G736&lt;&gt;""), SUMIFS(B736:G736,B1:G1,"&lt;&gt;",B2:G2,"&lt;&gt;Exame",B2:G2,"&lt;&gt;exame",B2:G2,"&lt;&gt;Nota",B2:G2,"&lt;&gt;Total"),"")</f>
        <v/>
      </c>
      <c r="I736" s="2" t="str">
        <f>IF(AND(A736&lt;&gt;"",H736&lt;&gt;""),ROUND(H736,0),"")</f>
        <v/>
      </c>
    </row>
    <row r="737" spans="2:9" x14ac:dyDescent="0.3">
      <c r="B737" s="2" t="str">
        <f>IF(A737&lt;&gt;"",VLOOKUP(Alunos!A737,Exame!A3:C1000,3, FALSE),"")</f>
        <v/>
      </c>
      <c r="C737" s="2" t="str">
        <f>IF(A737&lt;&gt;"",VLOOKUP(Alunos!A737,Agrupamentos!A3:B1000,2, FALSE),"")</f>
        <v/>
      </c>
      <c r="D737" s="2" t="str">
        <f>IF(A737&lt;&gt;"",VLOOKUP(Alunos!C737,'TP1'!A3:C1000,3, FALSE),"")</f>
        <v/>
      </c>
      <c r="E737" s="2" t="str">
        <f>IF(A737&lt;&gt;"", SUMIF(B1:D1,"&lt;&gt;",B737:D737),"")</f>
        <v/>
      </c>
      <c r="F737" s="2" t="str">
        <f>IF(AND(A737&lt;&gt;"",E737&lt;&gt;""),ROUND(E737,0),"")</f>
        <v/>
      </c>
      <c r="G737" s="2" t="str">
        <f>IF(A737&lt;&gt;"",VLOOKUP(Alunos!A737,Recurso!A3:C1000,3, FALSE),"")</f>
        <v/>
      </c>
      <c r="H737" s="2" t="str">
        <f>IF(OR(A737&lt;&gt;"",G737&lt;&gt;""), SUMIFS(B737:G737,B1:G1,"&lt;&gt;",B2:G2,"&lt;&gt;Exame",B2:G2,"&lt;&gt;exame",B2:G2,"&lt;&gt;Nota",B2:G2,"&lt;&gt;Total"),"")</f>
        <v/>
      </c>
      <c r="I737" s="2" t="str">
        <f>IF(AND(A737&lt;&gt;"",H737&lt;&gt;""),ROUND(H737,0),"")</f>
        <v/>
      </c>
    </row>
    <row r="738" spans="2:9" x14ac:dyDescent="0.3">
      <c r="B738" s="2" t="str">
        <f>IF(A738&lt;&gt;"",VLOOKUP(Alunos!A738,Exame!A3:C1000,3, FALSE),"")</f>
        <v/>
      </c>
      <c r="C738" s="2" t="str">
        <f>IF(A738&lt;&gt;"",VLOOKUP(Alunos!A738,Agrupamentos!A3:B1000,2, FALSE),"")</f>
        <v/>
      </c>
      <c r="D738" s="2" t="str">
        <f>IF(A738&lt;&gt;"",VLOOKUP(Alunos!C738,'TP1'!A3:C1000,3, FALSE),"")</f>
        <v/>
      </c>
      <c r="E738" s="2" t="str">
        <f>IF(A738&lt;&gt;"", SUMIF(B1:D1,"&lt;&gt;",B738:D738),"")</f>
        <v/>
      </c>
      <c r="F738" s="2" t="str">
        <f>IF(AND(A738&lt;&gt;"",E738&lt;&gt;""),ROUND(E738,0),"")</f>
        <v/>
      </c>
      <c r="G738" s="2" t="str">
        <f>IF(A738&lt;&gt;"",VLOOKUP(Alunos!A738,Recurso!A3:C1000,3, FALSE),"")</f>
        <v/>
      </c>
      <c r="H738" s="2" t="str">
        <f>IF(OR(A738&lt;&gt;"",G738&lt;&gt;""), SUMIFS(B738:G738,B1:G1,"&lt;&gt;",B2:G2,"&lt;&gt;Exame",B2:G2,"&lt;&gt;exame",B2:G2,"&lt;&gt;Nota",B2:G2,"&lt;&gt;Total"),"")</f>
        <v/>
      </c>
      <c r="I738" s="2" t="str">
        <f>IF(AND(A738&lt;&gt;"",H738&lt;&gt;""),ROUND(H738,0),"")</f>
        <v/>
      </c>
    </row>
    <row r="739" spans="2:9" x14ac:dyDescent="0.3">
      <c r="B739" s="2" t="str">
        <f>IF(A739&lt;&gt;"",VLOOKUP(Alunos!A739,Exame!A3:C1000,3, FALSE),"")</f>
        <v/>
      </c>
      <c r="C739" s="2" t="str">
        <f>IF(A739&lt;&gt;"",VLOOKUP(Alunos!A739,Agrupamentos!A3:B1000,2, FALSE),"")</f>
        <v/>
      </c>
      <c r="D739" s="2" t="str">
        <f>IF(A739&lt;&gt;"",VLOOKUP(Alunos!C739,'TP1'!A3:C1000,3, FALSE),"")</f>
        <v/>
      </c>
      <c r="E739" s="2" t="str">
        <f>IF(A739&lt;&gt;"", SUMIF(B1:D1,"&lt;&gt;",B739:D739),"")</f>
        <v/>
      </c>
      <c r="F739" s="2" t="str">
        <f>IF(AND(A739&lt;&gt;"",E739&lt;&gt;""),ROUND(E739,0),"")</f>
        <v/>
      </c>
      <c r="G739" s="2" t="str">
        <f>IF(A739&lt;&gt;"",VLOOKUP(Alunos!A739,Recurso!A3:C1000,3, FALSE),"")</f>
        <v/>
      </c>
      <c r="H739" s="2" t="str">
        <f>IF(OR(A739&lt;&gt;"",G739&lt;&gt;""), SUMIFS(B739:G739,B1:G1,"&lt;&gt;",B2:G2,"&lt;&gt;Exame",B2:G2,"&lt;&gt;exame",B2:G2,"&lt;&gt;Nota",B2:G2,"&lt;&gt;Total"),"")</f>
        <v/>
      </c>
      <c r="I739" s="2" t="str">
        <f>IF(AND(A739&lt;&gt;"",H739&lt;&gt;""),ROUND(H739,0),"")</f>
        <v/>
      </c>
    </row>
    <row r="740" spans="2:9" x14ac:dyDescent="0.3">
      <c r="B740" s="2" t="str">
        <f>IF(A740&lt;&gt;"",VLOOKUP(Alunos!A740,Exame!A3:C1000,3, FALSE),"")</f>
        <v/>
      </c>
      <c r="C740" s="2" t="str">
        <f>IF(A740&lt;&gt;"",VLOOKUP(Alunos!A740,Agrupamentos!A3:B1000,2, FALSE),"")</f>
        <v/>
      </c>
      <c r="D740" s="2" t="str">
        <f>IF(A740&lt;&gt;"",VLOOKUP(Alunos!C740,'TP1'!A3:C1000,3, FALSE),"")</f>
        <v/>
      </c>
      <c r="E740" s="2" t="str">
        <f>IF(A740&lt;&gt;"", SUMIF(B1:D1,"&lt;&gt;",B740:D740),"")</f>
        <v/>
      </c>
      <c r="F740" s="2" t="str">
        <f>IF(AND(A740&lt;&gt;"",E740&lt;&gt;""),ROUND(E740,0),"")</f>
        <v/>
      </c>
      <c r="G740" s="2" t="str">
        <f>IF(A740&lt;&gt;"",VLOOKUP(Alunos!A740,Recurso!A3:C1000,3, FALSE),"")</f>
        <v/>
      </c>
      <c r="H740" s="2" t="str">
        <f>IF(OR(A740&lt;&gt;"",G740&lt;&gt;""), SUMIFS(B740:G740,B1:G1,"&lt;&gt;",B2:G2,"&lt;&gt;Exame",B2:G2,"&lt;&gt;exame",B2:G2,"&lt;&gt;Nota",B2:G2,"&lt;&gt;Total"),"")</f>
        <v/>
      </c>
      <c r="I740" s="2" t="str">
        <f>IF(AND(A740&lt;&gt;"",H740&lt;&gt;""),ROUND(H740,0),"")</f>
        <v/>
      </c>
    </row>
    <row r="741" spans="2:9" x14ac:dyDescent="0.3">
      <c r="B741" s="2" t="str">
        <f>IF(A741&lt;&gt;"",VLOOKUP(Alunos!A741,Exame!A3:C1000,3, FALSE),"")</f>
        <v/>
      </c>
      <c r="C741" s="2" t="str">
        <f>IF(A741&lt;&gt;"",VLOOKUP(Alunos!A741,Agrupamentos!A3:B1000,2, FALSE),"")</f>
        <v/>
      </c>
      <c r="D741" s="2" t="str">
        <f>IF(A741&lt;&gt;"",VLOOKUP(Alunos!C741,'TP1'!A3:C1000,3, FALSE),"")</f>
        <v/>
      </c>
      <c r="E741" s="2" t="str">
        <f>IF(A741&lt;&gt;"", SUMIF(B1:D1,"&lt;&gt;",B741:D741),"")</f>
        <v/>
      </c>
      <c r="F741" s="2" t="str">
        <f>IF(AND(A741&lt;&gt;"",E741&lt;&gt;""),ROUND(E741,0),"")</f>
        <v/>
      </c>
      <c r="G741" s="2" t="str">
        <f>IF(A741&lt;&gt;"",VLOOKUP(Alunos!A741,Recurso!A3:C1000,3, FALSE),"")</f>
        <v/>
      </c>
      <c r="H741" s="2" t="str">
        <f>IF(OR(A741&lt;&gt;"",G741&lt;&gt;""), SUMIFS(B741:G741,B1:G1,"&lt;&gt;",B2:G2,"&lt;&gt;Exame",B2:G2,"&lt;&gt;exame",B2:G2,"&lt;&gt;Nota",B2:G2,"&lt;&gt;Total"),"")</f>
        <v/>
      </c>
      <c r="I741" s="2" t="str">
        <f>IF(AND(A741&lt;&gt;"",H741&lt;&gt;""),ROUND(H741,0),"")</f>
        <v/>
      </c>
    </row>
    <row r="742" spans="2:9" x14ac:dyDescent="0.3">
      <c r="B742" s="2" t="str">
        <f>IF(A742&lt;&gt;"",VLOOKUP(Alunos!A742,Exame!A3:C1000,3, FALSE),"")</f>
        <v/>
      </c>
      <c r="C742" s="2" t="str">
        <f>IF(A742&lt;&gt;"",VLOOKUP(Alunos!A742,Agrupamentos!A3:B1000,2, FALSE),"")</f>
        <v/>
      </c>
      <c r="D742" s="2" t="str">
        <f>IF(A742&lt;&gt;"",VLOOKUP(Alunos!C742,'TP1'!A3:C1000,3, FALSE),"")</f>
        <v/>
      </c>
      <c r="E742" s="2" t="str">
        <f>IF(A742&lt;&gt;"", SUMIF(B1:D1,"&lt;&gt;",B742:D742),"")</f>
        <v/>
      </c>
      <c r="F742" s="2" t="str">
        <f>IF(AND(A742&lt;&gt;"",E742&lt;&gt;""),ROUND(E742,0),"")</f>
        <v/>
      </c>
      <c r="G742" s="2" t="str">
        <f>IF(A742&lt;&gt;"",VLOOKUP(Alunos!A742,Recurso!A3:C1000,3, FALSE),"")</f>
        <v/>
      </c>
      <c r="H742" s="2" t="str">
        <f>IF(OR(A742&lt;&gt;"",G742&lt;&gt;""), SUMIFS(B742:G742,B1:G1,"&lt;&gt;",B2:G2,"&lt;&gt;Exame",B2:G2,"&lt;&gt;exame",B2:G2,"&lt;&gt;Nota",B2:G2,"&lt;&gt;Total"),"")</f>
        <v/>
      </c>
      <c r="I742" s="2" t="str">
        <f>IF(AND(A742&lt;&gt;"",H742&lt;&gt;""),ROUND(H742,0),"")</f>
        <v/>
      </c>
    </row>
    <row r="743" spans="2:9" x14ac:dyDescent="0.3">
      <c r="B743" s="2" t="str">
        <f>IF(A743&lt;&gt;"",VLOOKUP(Alunos!A743,Exame!A3:C1000,3, FALSE),"")</f>
        <v/>
      </c>
      <c r="C743" s="2" t="str">
        <f>IF(A743&lt;&gt;"",VLOOKUP(Alunos!A743,Agrupamentos!A3:B1000,2, FALSE),"")</f>
        <v/>
      </c>
      <c r="D743" s="2" t="str">
        <f>IF(A743&lt;&gt;"",VLOOKUP(Alunos!C743,'TP1'!A3:C1000,3, FALSE),"")</f>
        <v/>
      </c>
      <c r="E743" s="2" t="str">
        <f>IF(A743&lt;&gt;"", SUMIF(B1:D1,"&lt;&gt;",B743:D743),"")</f>
        <v/>
      </c>
      <c r="F743" s="2" t="str">
        <f>IF(AND(A743&lt;&gt;"",E743&lt;&gt;""),ROUND(E743,0),"")</f>
        <v/>
      </c>
      <c r="G743" s="2" t="str">
        <f>IF(A743&lt;&gt;"",VLOOKUP(Alunos!A743,Recurso!A3:C1000,3, FALSE),"")</f>
        <v/>
      </c>
      <c r="H743" s="2" t="str">
        <f>IF(OR(A743&lt;&gt;"",G743&lt;&gt;""), SUMIFS(B743:G743,B1:G1,"&lt;&gt;",B2:G2,"&lt;&gt;Exame",B2:G2,"&lt;&gt;exame",B2:G2,"&lt;&gt;Nota",B2:G2,"&lt;&gt;Total"),"")</f>
        <v/>
      </c>
      <c r="I743" s="2" t="str">
        <f>IF(AND(A743&lt;&gt;"",H743&lt;&gt;""),ROUND(H743,0),"")</f>
        <v/>
      </c>
    </row>
    <row r="744" spans="2:9" x14ac:dyDescent="0.3">
      <c r="B744" s="2" t="str">
        <f>IF(A744&lt;&gt;"",VLOOKUP(Alunos!A744,Exame!A3:C1000,3, FALSE),"")</f>
        <v/>
      </c>
      <c r="C744" s="2" t="str">
        <f>IF(A744&lt;&gt;"",VLOOKUP(Alunos!A744,Agrupamentos!A3:B1000,2, FALSE),"")</f>
        <v/>
      </c>
      <c r="D744" s="2" t="str">
        <f>IF(A744&lt;&gt;"",VLOOKUP(Alunos!C744,'TP1'!A3:C1000,3, FALSE),"")</f>
        <v/>
      </c>
      <c r="E744" s="2" t="str">
        <f>IF(A744&lt;&gt;"", SUMIF(B1:D1,"&lt;&gt;",B744:D744),"")</f>
        <v/>
      </c>
      <c r="F744" s="2" t="str">
        <f>IF(AND(A744&lt;&gt;"",E744&lt;&gt;""),ROUND(E744,0),"")</f>
        <v/>
      </c>
      <c r="G744" s="2" t="str">
        <f>IF(A744&lt;&gt;"",VLOOKUP(Alunos!A744,Recurso!A3:C1000,3, FALSE),"")</f>
        <v/>
      </c>
      <c r="H744" s="2" t="str">
        <f>IF(OR(A744&lt;&gt;"",G744&lt;&gt;""), SUMIFS(B744:G744,B1:G1,"&lt;&gt;",B2:G2,"&lt;&gt;Exame",B2:G2,"&lt;&gt;exame",B2:G2,"&lt;&gt;Nota",B2:G2,"&lt;&gt;Total"),"")</f>
        <v/>
      </c>
      <c r="I744" s="2" t="str">
        <f>IF(AND(A744&lt;&gt;"",H744&lt;&gt;""),ROUND(H744,0),"")</f>
        <v/>
      </c>
    </row>
    <row r="745" spans="2:9" x14ac:dyDescent="0.3">
      <c r="B745" s="2" t="str">
        <f>IF(A745&lt;&gt;"",VLOOKUP(Alunos!A745,Exame!A3:C1000,3, FALSE),"")</f>
        <v/>
      </c>
      <c r="C745" s="2" t="str">
        <f>IF(A745&lt;&gt;"",VLOOKUP(Alunos!A745,Agrupamentos!A3:B1000,2, FALSE),"")</f>
        <v/>
      </c>
      <c r="D745" s="2" t="str">
        <f>IF(A745&lt;&gt;"",VLOOKUP(Alunos!C745,'TP1'!A3:C1000,3, FALSE),"")</f>
        <v/>
      </c>
      <c r="E745" s="2" t="str">
        <f>IF(A745&lt;&gt;"", SUMIF(B1:D1,"&lt;&gt;",B745:D745),"")</f>
        <v/>
      </c>
      <c r="F745" s="2" t="str">
        <f>IF(AND(A745&lt;&gt;"",E745&lt;&gt;""),ROUND(E745,0),"")</f>
        <v/>
      </c>
      <c r="G745" s="2" t="str">
        <f>IF(A745&lt;&gt;"",VLOOKUP(Alunos!A745,Recurso!A3:C1000,3, FALSE),"")</f>
        <v/>
      </c>
      <c r="H745" s="2" t="str">
        <f>IF(OR(A745&lt;&gt;"",G745&lt;&gt;""), SUMIFS(B745:G745,B1:G1,"&lt;&gt;",B2:G2,"&lt;&gt;Exame",B2:G2,"&lt;&gt;exame",B2:G2,"&lt;&gt;Nota",B2:G2,"&lt;&gt;Total"),"")</f>
        <v/>
      </c>
      <c r="I745" s="2" t="str">
        <f>IF(AND(A745&lt;&gt;"",H745&lt;&gt;""),ROUND(H745,0),"")</f>
        <v/>
      </c>
    </row>
    <row r="746" spans="2:9" x14ac:dyDescent="0.3">
      <c r="B746" s="2" t="str">
        <f>IF(A746&lt;&gt;"",VLOOKUP(Alunos!A746,Exame!A3:C1000,3, FALSE),"")</f>
        <v/>
      </c>
      <c r="C746" s="2" t="str">
        <f>IF(A746&lt;&gt;"",VLOOKUP(Alunos!A746,Agrupamentos!A3:B1000,2, FALSE),"")</f>
        <v/>
      </c>
      <c r="D746" s="2" t="str">
        <f>IF(A746&lt;&gt;"",VLOOKUP(Alunos!C746,'TP1'!A3:C1000,3, FALSE),"")</f>
        <v/>
      </c>
      <c r="E746" s="2" t="str">
        <f>IF(A746&lt;&gt;"", SUMIF(B1:D1,"&lt;&gt;",B746:D746),"")</f>
        <v/>
      </c>
      <c r="F746" s="2" t="str">
        <f>IF(AND(A746&lt;&gt;"",E746&lt;&gt;""),ROUND(E746,0),"")</f>
        <v/>
      </c>
      <c r="G746" s="2" t="str">
        <f>IF(A746&lt;&gt;"",VLOOKUP(Alunos!A746,Recurso!A3:C1000,3, FALSE),"")</f>
        <v/>
      </c>
      <c r="H746" s="2" t="str">
        <f>IF(OR(A746&lt;&gt;"",G746&lt;&gt;""), SUMIFS(B746:G746,B1:G1,"&lt;&gt;",B2:G2,"&lt;&gt;Exame",B2:G2,"&lt;&gt;exame",B2:G2,"&lt;&gt;Nota",B2:G2,"&lt;&gt;Total"),"")</f>
        <v/>
      </c>
      <c r="I746" s="2" t="str">
        <f>IF(AND(A746&lt;&gt;"",H746&lt;&gt;""),ROUND(H746,0),"")</f>
        <v/>
      </c>
    </row>
    <row r="747" spans="2:9" x14ac:dyDescent="0.3">
      <c r="B747" s="2" t="str">
        <f>IF(A747&lt;&gt;"",VLOOKUP(Alunos!A747,Exame!A3:C1000,3, FALSE),"")</f>
        <v/>
      </c>
      <c r="C747" s="2" t="str">
        <f>IF(A747&lt;&gt;"",VLOOKUP(Alunos!A747,Agrupamentos!A3:B1000,2, FALSE),"")</f>
        <v/>
      </c>
      <c r="D747" s="2" t="str">
        <f>IF(A747&lt;&gt;"",VLOOKUP(Alunos!C747,'TP1'!A3:C1000,3, FALSE),"")</f>
        <v/>
      </c>
      <c r="E747" s="2" t="str">
        <f>IF(A747&lt;&gt;"", SUMIF(B1:D1,"&lt;&gt;",B747:D747),"")</f>
        <v/>
      </c>
      <c r="F747" s="2" t="str">
        <f>IF(AND(A747&lt;&gt;"",E747&lt;&gt;""),ROUND(E747,0),"")</f>
        <v/>
      </c>
      <c r="G747" s="2" t="str">
        <f>IF(A747&lt;&gt;"",VLOOKUP(Alunos!A747,Recurso!A3:C1000,3, FALSE),"")</f>
        <v/>
      </c>
      <c r="H747" s="2" t="str">
        <f>IF(OR(A747&lt;&gt;"",G747&lt;&gt;""), SUMIFS(B747:G747,B1:G1,"&lt;&gt;",B2:G2,"&lt;&gt;Exame",B2:G2,"&lt;&gt;exame",B2:G2,"&lt;&gt;Nota",B2:G2,"&lt;&gt;Total"),"")</f>
        <v/>
      </c>
      <c r="I747" s="2" t="str">
        <f>IF(AND(A747&lt;&gt;"",H747&lt;&gt;""),ROUND(H747,0),"")</f>
        <v/>
      </c>
    </row>
    <row r="748" spans="2:9" x14ac:dyDescent="0.3">
      <c r="B748" s="2" t="str">
        <f>IF(A748&lt;&gt;"",VLOOKUP(Alunos!A748,Exame!A3:C1000,3, FALSE),"")</f>
        <v/>
      </c>
      <c r="C748" s="2" t="str">
        <f>IF(A748&lt;&gt;"",VLOOKUP(Alunos!A748,Agrupamentos!A3:B1000,2, FALSE),"")</f>
        <v/>
      </c>
      <c r="D748" s="2" t="str">
        <f>IF(A748&lt;&gt;"",VLOOKUP(Alunos!C748,'TP1'!A3:C1000,3, FALSE),"")</f>
        <v/>
      </c>
      <c r="E748" s="2" t="str">
        <f>IF(A748&lt;&gt;"", SUMIF(B1:D1,"&lt;&gt;",B748:D748),"")</f>
        <v/>
      </c>
      <c r="F748" s="2" t="str">
        <f>IF(AND(A748&lt;&gt;"",E748&lt;&gt;""),ROUND(E748,0),"")</f>
        <v/>
      </c>
      <c r="G748" s="2" t="str">
        <f>IF(A748&lt;&gt;"",VLOOKUP(Alunos!A748,Recurso!A3:C1000,3, FALSE),"")</f>
        <v/>
      </c>
      <c r="H748" s="2" t="str">
        <f>IF(OR(A748&lt;&gt;"",G748&lt;&gt;""), SUMIFS(B748:G748,B1:G1,"&lt;&gt;",B2:G2,"&lt;&gt;Exame",B2:G2,"&lt;&gt;exame",B2:G2,"&lt;&gt;Nota",B2:G2,"&lt;&gt;Total"),"")</f>
        <v/>
      </c>
      <c r="I748" s="2" t="str">
        <f>IF(AND(A748&lt;&gt;"",H748&lt;&gt;""),ROUND(H748,0),"")</f>
        <v/>
      </c>
    </row>
    <row r="749" spans="2:9" x14ac:dyDescent="0.3">
      <c r="B749" s="2" t="str">
        <f>IF(A749&lt;&gt;"",VLOOKUP(Alunos!A749,Exame!A3:C1000,3, FALSE),"")</f>
        <v/>
      </c>
      <c r="C749" s="2" t="str">
        <f>IF(A749&lt;&gt;"",VLOOKUP(Alunos!A749,Agrupamentos!A3:B1000,2, FALSE),"")</f>
        <v/>
      </c>
      <c r="D749" s="2" t="str">
        <f>IF(A749&lt;&gt;"",VLOOKUP(Alunos!C749,'TP1'!A3:C1000,3, FALSE),"")</f>
        <v/>
      </c>
      <c r="E749" s="2" t="str">
        <f>IF(A749&lt;&gt;"", SUMIF(B1:D1,"&lt;&gt;",B749:D749),"")</f>
        <v/>
      </c>
      <c r="F749" s="2" t="str">
        <f>IF(AND(A749&lt;&gt;"",E749&lt;&gt;""),ROUND(E749,0),"")</f>
        <v/>
      </c>
      <c r="G749" s="2" t="str">
        <f>IF(A749&lt;&gt;"",VLOOKUP(Alunos!A749,Recurso!A3:C1000,3, FALSE),"")</f>
        <v/>
      </c>
      <c r="H749" s="2" t="str">
        <f>IF(OR(A749&lt;&gt;"",G749&lt;&gt;""), SUMIFS(B749:G749,B1:G1,"&lt;&gt;",B2:G2,"&lt;&gt;Exame",B2:G2,"&lt;&gt;exame",B2:G2,"&lt;&gt;Nota",B2:G2,"&lt;&gt;Total"),"")</f>
        <v/>
      </c>
      <c r="I749" s="2" t="str">
        <f>IF(AND(A749&lt;&gt;"",H749&lt;&gt;""),ROUND(H749,0),"")</f>
        <v/>
      </c>
    </row>
    <row r="750" spans="2:9" x14ac:dyDescent="0.3">
      <c r="B750" s="2" t="str">
        <f>IF(A750&lt;&gt;"",VLOOKUP(Alunos!A750,Exame!A3:C1000,3, FALSE),"")</f>
        <v/>
      </c>
      <c r="C750" s="2" t="str">
        <f>IF(A750&lt;&gt;"",VLOOKUP(Alunos!A750,Agrupamentos!A3:B1000,2, FALSE),"")</f>
        <v/>
      </c>
      <c r="D750" s="2" t="str">
        <f>IF(A750&lt;&gt;"",VLOOKUP(Alunos!C750,'TP1'!A3:C1000,3, FALSE),"")</f>
        <v/>
      </c>
      <c r="E750" s="2" t="str">
        <f>IF(A750&lt;&gt;"", SUMIF(B1:D1,"&lt;&gt;",B750:D750),"")</f>
        <v/>
      </c>
      <c r="F750" s="2" t="str">
        <f>IF(AND(A750&lt;&gt;"",E750&lt;&gt;""),ROUND(E750,0),"")</f>
        <v/>
      </c>
      <c r="G750" s="2" t="str">
        <f>IF(A750&lt;&gt;"",VLOOKUP(Alunos!A750,Recurso!A3:C1000,3, FALSE),"")</f>
        <v/>
      </c>
      <c r="H750" s="2" t="str">
        <f>IF(OR(A750&lt;&gt;"",G750&lt;&gt;""), SUMIFS(B750:G750,B1:G1,"&lt;&gt;",B2:G2,"&lt;&gt;Exame",B2:G2,"&lt;&gt;exame",B2:G2,"&lt;&gt;Nota",B2:G2,"&lt;&gt;Total"),"")</f>
        <v/>
      </c>
      <c r="I750" s="2" t="str">
        <f>IF(AND(A750&lt;&gt;"",H750&lt;&gt;""),ROUND(H750,0),"")</f>
        <v/>
      </c>
    </row>
    <row r="751" spans="2:9" x14ac:dyDescent="0.3">
      <c r="B751" s="2" t="str">
        <f>IF(A751&lt;&gt;"",VLOOKUP(Alunos!A751,Exame!A3:C1000,3, FALSE),"")</f>
        <v/>
      </c>
      <c r="C751" s="2" t="str">
        <f>IF(A751&lt;&gt;"",VLOOKUP(Alunos!A751,Agrupamentos!A3:B1000,2, FALSE),"")</f>
        <v/>
      </c>
      <c r="D751" s="2" t="str">
        <f>IF(A751&lt;&gt;"",VLOOKUP(Alunos!C751,'TP1'!A3:C1000,3, FALSE),"")</f>
        <v/>
      </c>
      <c r="E751" s="2" t="str">
        <f>IF(A751&lt;&gt;"", SUMIF(B1:D1,"&lt;&gt;",B751:D751),"")</f>
        <v/>
      </c>
      <c r="F751" s="2" t="str">
        <f>IF(AND(A751&lt;&gt;"",E751&lt;&gt;""),ROUND(E751,0),"")</f>
        <v/>
      </c>
      <c r="G751" s="2" t="str">
        <f>IF(A751&lt;&gt;"",VLOOKUP(Alunos!A751,Recurso!A3:C1000,3, FALSE),"")</f>
        <v/>
      </c>
      <c r="H751" s="2" t="str">
        <f>IF(OR(A751&lt;&gt;"",G751&lt;&gt;""), SUMIFS(B751:G751,B1:G1,"&lt;&gt;",B2:G2,"&lt;&gt;Exame",B2:G2,"&lt;&gt;exame",B2:G2,"&lt;&gt;Nota",B2:G2,"&lt;&gt;Total"),"")</f>
        <v/>
      </c>
      <c r="I751" s="2" t="str">
        <f>IF(AND(A751&lt;&gt;"",H751&lt;&gt;""),ROUND(H751,0),"")</f>
        <v/>
      </c>
    </row>
    <row r="752" spans="2:9" x14ac:dyDescent="0.3">
      <c r="B752" s="2" t="str">
        <f>IF(A752&lt;&gt;"",VLOOKUP(Alunos!A752,Exame!A3:C1000,3, FALSE),"")</f>
        <v/>
      </c>
      <c r="C752" s="2" t="str">
        <f>IF(A752&lt;&gt;"",VLOOKUP(Alunos!A752,Agrupamentos!A3:B1000,2, FALSE),"")</f>
        <v/>
      </c>
      <c r="D752" s="2" t="str">
        <f>IF(A752&lt;&gt;"",VLOOKUP(Alunos!C752,'TP1'!A3:C1000,3, FALSE),"")</f>
        <v/>
      </c>
      <c r="E752" s="2" t="str">
        <f>IF(A752&lt;&gt;"", SUMIF(B1:D1,"&lt;&gt;",B752:D752),"")</f>
        <v/>
      </c>
      <c r="F752" s="2" t="str">
        <f>IF(AND(A752&lt;&gt;"",E752&lt;&gt;""),ROUND(E752,0),"")</f>
        <v/>
      </c>
      <c r="G752" s="2" t="str">
        <f>IF(A752&lt;&gt;"",VLOOKUP(Alunos!A752,Recurso!A3:C1000,3, FALSE),"")</f>
        <v/>
      </c>
      <c r="H752" s="2" t="str">
        <f>IF(OR(A752&lt;&gt;"",G752&lt;&gt;""), SUMIFS(B752:G752,B1:G1,"&lt;&gt;",B2:G2,"&lt;&gt;Exame",B2:G2,"&lt;&gt;exame",B2:G2,"&lt;&gt;Nota",B2:G2,"&lt;&gt;Total"),"")</f>
        <v/>
      </c>
      <c r="I752" s="2" t="str">
        <f>IF(AND(A752&lt;&gt;"",H752&lt;&gt;""),ROUND(H752,0),"")</f>
        <v/>
      </c>
    </row>
    <row r="753" spans="2:9" x14ac:dyDescent="0.3">
      <c r="B753" s="2" t="str">
        <f>IF(A753&lt;&gt;"",VLOOKUP(Alunos!A753,Exame!A3:C1000,3, FALSE),"")</f>
        <v/>
      </c>
      <c r="C753" s="2" t="str">
        <f>IF(A753&lt;&gt;"",VLOOKUP(Alunos!A753,Agrupamentos!A3:B1000,2, FALSE),"")</f>
        <v/>
      </c>
      <c r="D753" s="2" t="str">
        <f>IF(A753&lt;&gt;"",VLOOKUP(Alunos!C753,'TP1'!A3:C1000,3, FALSE),"")</f>
        <v/>
      </c>
      <c r="E753" s="2" t="str">
        <f>IF(A753&lt;&gt;"", SUMIF(B1:D1,"&lt;&gt;",B753:D753),"")</f>
        <v/>
      </c>
      <c r="F753" s="2" t="str">
        <f>IF(AND(A753&lt;&gt;"",E753&lt;&gt;""),ROUND(E753,0),"")</f>
        <v/>
      </c>
      <c r="G753" s="2" t="str">
        <f>IF(A753&lt;&gt;"",VLOOKUP(Alunos!A753,Recurso!A3:C1000,3, FALSE),"")</f>
        <v/>
      </c>
      <c r="H753" s="2" t="str">
        <f>IF(OR(A753&lt;&gt;"",G753&lt;&gt;""), SUMIFS(B753:G753,B1:G1,"&lt;&gt;",B2:G2,"&lt;&gt;Exame",B2:G2,"&lt;&gt;exame",B2:G2,"&lt;&gt;Nota",B2:G2,"&lt;&gt;Total"),"")</f>
        <v/>
      </c>
      <c r="I753" s="2" t="str">
        <f>IF(AND(A753&lt;&gt;"",H753&lt;&gt;""),ROUND(H753,0),"")</f>
        <v/>
      </c>
    </row>
    <row r="754" spans="2:9" x14ac:dyDescent="0.3">
      <c r="B754" s="2" t="str">
        <f>IF(A754&lt;&gt;"",VLOOKUP(Alunos!A754,Exame!A3:C1000,3, FALSE),"")</f>
        <v/>
      </c>
      <c r="C754" s="2" t="str">
        <f>IF(A754&lt;&gt;"",VLOOKUP(Alunos!A754,Agrupamentos!A3:B1000,2, FALSE),"")</f>
        <v/>
      </c>
      <c r="D754" s="2" t="str">
        <f>IF(A754&lt;&gt;"",VLOOKUP(Alunos!C754,'TP1'!A3:C1000,3, FALSE),"")</f>
        <v/>
      </c>
      <c r="E754" s="2" t="str">
        <f>IF(A754&lt;&gt;"", SUMIF(B1:D1,"&lt;&gt;",B754:D754),"")</f>
        <v/>
      </c>
      <c r="F754" s="2" t="str">
        <f>IF(AND(A754&lt;&gt;"",E754&lt;&gt;""),ROUND(E754,0),"")</f>
        <v/>
      </c>
      <c r="G754" s="2" t="str">
        <f>IF(A754&lt;&gt;"",VLOOKUP(Alunos!A754,Recurso!A3:C1000,3, FALSE),"")</f>
        <v/>
      </c>
      <c r="H754" s="2" t="str">
        <f>IF(OR(A754&lt;&gt;"",G754&lt;&gt;""), SUMIFS(B754:G754,B1:G1,"&lt;&gt;",B2:G2,"&lt;&gt;Exame",B2:G2,"&lt;&gt;exame",B2:G2,"&lt;&gt;Nota",B2:G2,"&lt;&gt;Total"),"")</f>
        <v/>
      </c>
      <c r="I754" s="2" t="str">
        <f>IF(AND(A754&lt;&gt;"",H754&lt;&gt;""),ROUND(H754,0),"")</f>
        <v/>
      </c>
    </row>
    <row r="755" spans="2:9" x14ac:dyDescent="0.3">
      <c r="B755" s="2" t="str">
        <f>IF(A755&lt;&gt;"",VLOOKUP(Alunos!A755,Exame!A3:C1000,3, FALSE),"")</f>
        <v/>
      </c>
      <c r="C755" s="2" t="str">
        <f>IF(A755&lt;&gt;"",VLOOKUP(Alunos!A755,Agrupamentos!A3:B1000,2, FALSE),"")</f>
        <v/>
      </c>
      <c r="D755" s="2" t="str">
        <f>IF(A755&lt;&gt;"",VLOOKUP(Alunos!C755,'TP1'!A3:C1000,3, FALSE),"")</f>
        <v/>
      </c>
      <c r="E755" s="2" t="str">
        <f>IF(A755&lt;&gt;"", SUMIF(B1:D1,"&lt;&gt;",B755:D755),"")</f>
        <v/>
      </c>
      <c r="F755" s="2" t="str">
        <f>IF(AND(A755&lt;&gt;"",E755&lt;&gt;""),ROUND(E755,0),"")</f>
        <v/>
      </c>
      <c r="G755" s="2" t="str">
        <f>IF(A755&lt;&gt;"",VLOOKUP(Alunos!A755,Recurso!A3:C1000,3, FALSE),"")</f>
        <v/>
      </c>
      <c r="H755" s="2" t="str">
        <f>IF(OR(A755&lt;&gt;"",G755&lt;&gt;""), SUMIFS(B755:G755,B1:G1,"&lt;&gt;",B2:G2,"&lt;&gt;Exame",B2:G2,"&lt;&gt;exame",B2:G2,"&lt;&gt;Nota",B2:G2,"&lt;&gt;Total"),"")</f>
        <v/>
      </c>
      <c r="I755" s="2" t="str">
        <f>IF(AND(A755&lt;&gt;"",H755&lt;&gt;""),ROUND(H755,0),"")</f>
        <v/>
      </c>
    </row>
    <row r="756" spans="2:9" x14ac:dyDescent="0.3">
      <c r="B756" s="2" t="str">
        <f>IF(A756&lt;&gt;"",VLOOKUP(Alunos!A756,Exame!A3:C1000,3, FALSE),"")</f>
        <v/>
      </c>
      <c r="C756" s="2" t="str">
        <f>IF(A756&lt;&gt;"",VLOOKUP(Alunos!A756,Agrupamentos!A3:B1000,2, FALSE),"")</f>
        <v/>
      </c>
      <c r="D756" s="2" t="str">
        <f>IF(A756&lt;&gt;"",VLOOKUP(Alunos!C756,'TP1'!A3:C1000,3, FALSE),"")</f>
        <v/>
      </c>
      <c r="E756" s="2" t="str">
        <f>IF(A756&lt;&gt;"", SUMIF(B1:D1,"&lt;&gt;",B756:D756),"")</f>
        <v/>
      </c>
      <c r="F756" s="2" t="str">
        <f>IF(AND(A756&lt;&gt;"",E756&lt;&gt;""),ROUND(E756,0),"")</f>
        <v/>
      </c>
      <c r="G756" s="2" t="str">
        <f>IF(A756&lt;&gt;"",VLOOKUP(Alunos!A756,Recurso!A3:C1000,3, FALSE),"")</f>
        <v/>
      </c>
      <c r="H756" s="2" t="str">
        <f>IF(OR(A756&lt;&gt;"",G756&lt;&gt;""), SUMIFS(B756:G756,B1:G1,"&lt;&gt;",B2:G2,"&lt;&gt;Exame",B2:G2,"&lt;&gt;exame",B2:G2,"&lt;&gt;Nota",B2:G2,"&lt;&gt;Total"),"")</f>
        <v/>
      </c>
      <c r="I756" s="2" t="str">
        <f>IF(AND(A756&lt;&gt;"",H756&lt;&gt;""),ROUND(H756,0),"")</f>
        <v/>
      </c>
    </row>
    <row r="757" spans="2:9" x14ac:dyDescent="0.3">
      <c r="B757" s="2" t="str">
        <f>IF(A757&lt;&gt;"",VLOOKUP(Alunos!A757,Exame!A3:C1000,3, FALSE),"")</f>
        <v/>
      </c>
      <c r="C757" s="2" t="str">
        <f>IF(A757&lt;&gt;"",VLOOKUP(Alunos!A757,Agrupamentos!A3:B1000,2, FALSE),"")</f>
        <v/>
      </c>
      <c r="D757" s="2" t="str">
        <f>IF(A757&lt;&gt;"",VLOOKUP(Alunos!C757,'TP1'!A3:C1000,3, FALSE),"")</f>
        <v/>
      </c>
      <c r="E757" s="2" t="str">
        <f>IF(A757&lt;&gt;"", SUMIF(B1:D1,"&lt;&gt;",B757:D757),"")</f>
        <v/>
      </c>
      <c r="F757" s="2" t="str">
        <f>IF(AND(A757&lt;&gt;"",E757&lt;&gt;""),ROUND(E757,0),"")</f>
        <v/>
      </c>
      <c r="G757" s="2" t="str">
        <f>IF(A757&lt;&gt;"",VLOOKUP(Alunos!A757,Recurso!A3:C1000,3, FALSE),"")</f>
        <v/>
      </c>
      <c r="H757" s="2" t="str">
        <f>IF(OR(A757&lt;&gt;"",G757&lt;&gt;""), SUMIFS(B757:G757,B1:G1,"&lt;&gt;",B2:G2,"&lt;&gt;Exame",B2:G2,"&lt;&gt;exame",B2:G2,"&lt;&gt;Nota",B2:G2,"&lt;&gt;Total"),"")</f>
        <v/>
      </c>
      <c r="I757" s="2" t="str">
        <f>IF(AND(A757&lt;&gt;"",H757&lt;&gt;""),ROUND(H757,0),"")</f>
        <v/>
      </c>
    </row>
    <row r="758" spans="2:9" x14ac:dyDescent="0.3">
      <c r="B758" s="2" t="str">
        <f>IF(A758&lt;&gt;"",VLOOKUP(Alunos!A758,Exame!A3:C1000,3, FALSE),"")</f>
        <v/>
      </c>
      <c r="C758" s="2" t="str">
        <f>IF(A758&lt;&gt;"",VLOOKUP(Alunos!A758,Agrupamentos!A3:B1000,2, FALSE),"")</f>
        <v/>
      </c>
      <c r="D758" s="2" t="str">
        <f>IF(A758&lt;&gt;"",VLOOKUP(Alunos!C758,'TP1'!A3:C1000,3, FALSE),"")</f>
        <v/>
      </c>
      <c r="E758" s="2" t="str">
        <f>IF(A758&lt;&gt;"", SUMIF(B1:D1,"&lt;&gt;",B758:D758),"")</f>
        <v/>
      </c>
      <c r="F758" s="2" t="str">
        <f>IF(AND(A758&lt;&gt;"",E758&lt;&gt;""),ROUND(E758,0),"")</f>
        <v/>
      </c>
      <c r="G758" s="2" t="str">
        <f>IF(A758&lt;&gt;"",VLOOKUP(Alunos!A758,Recurso!A3:C1000,3, FALSE),"")</f>
        <v/>
      </c>
      <c r="H758" s="2" t="str">
        <f>IF(OR(A758&lt;&gt;"",G758&lt;&gt;""), SUMIFS(B758:G758,B1:G1,"&lt;&gt;",B2:G2,"&lt;&gt;Exame",B2:G2,"&lt;&gt;exame",B2:G2,"&lt;&gt;Nota",B2:G2,"&lt;&gt;Total"),"")</f>
        <v/>
      </c>
      <c r="I758" s="2" t="str">
        <f>IF(AND(A758&lt;&gt;"",H758&lt;&gt;""),ROUND(H758,0),"")</f>
        <v/>
      </c>
    </row>
    <row r="759" spans="2:9" x14ac:dyDescent="0.3">
      <c r="B759" s="2" t="str">
        <f>IF(A759&lt;&gt;"",VLOOKUP(Alunos!A759,Exame!A3:C1000,3, FALSE),"")</f>
        <v/>
      </c>
      <c r="C759" s="2" t="str">
        <f>IF(A759&lt;&gt;"",VLOOKUP(Alunos!A759,Agrupamentos!A3:B1000,2, FALSE),"")</f>
        <v/>
      </c>
      <c r="D759" s="2" t="str">
        <f>IF(A759&lt;&gt;"",VLOOKUP(Alunos!C759,'TP1'!A3:C1000,3, FALSE),"")</f>
        <v/>
      </c>
      <c r="E759" s="2" t="str">
        <f>IF(A759&lt;&gt;"", SUMIF(B1:D1,"&lt;&gt;",B759:D759),"")</f>
        <v/>
      </c>
      <c r="F759" s="2" t="str">
        <f>IF(AND(A759&lt;&gt;"",E759&lt;&gt;""),ROUND(E759,0),"")</f>
        <v/>
      </c>
      <c r="G759" s="2" t="str">
        <f>IF(A759&lt;&gt;"",VLOOKUP(Alunos!A759,Recurso!A3:C1000,3, FALSE),"")</f>
        <v/>
      </c>
      <c r="H759" s="2" t="str">
        <f>IF(OR(A759&lt;&gt;"",G759&lt;&gt;""), SUMIFS(B759:G759,B1:G1,"&lt;&gt;",B2:G2,"&lt;&gt;Exame",B2:G2,"&lt;&gt;exame",B2:G2,"&lt;&gt;Nota",B2:G2,"&lt;&gt;Total"),"")</f>
        <v/>
      </c>
      <c r="I759" s="2" t="str">
        <f>IF(AND(A759&lt;&gt;"",H759&lt;&gt;""),ROUND(H759,0),"")</f>
        <v/>
      </c>
    </row>
    <row r="760" spans="2:9" x14ac:dyDescent="0.3">
      <c r="B760" s="2" t="str">
        <f>IF(A760&lt;&gt;"",VLOOKUP(Alunos!A760,Exame!A3:C1000,3, FALSE),"")</f>
        <v/>
      </c>
      <c r="C760" s="2" t="str">
        <f>IF(A760&lt;&gt;"",VLOOKUP(Alunos!A760,Agrupamentos!A3:B1000,2, FALSE),"")</f>
        <v/>
      </c>
      <c r="D760" s="2" t="str">
        <f>IF(A760&lt;&gt;"",VLOOKUP(Alunos!C760,'TP1'!A3:C1000,3, FALSE),"")</f>
        <v/>
      </c>
      <c r="E760" s="2" t="str">
        <f>IF(A760&lt;&gt;"", SUMIF(B1:D1,"&lt;&gt;",B760:D760),"")</f>
        <v/>
      </c>
      <c r="F760" s="2" t="str">
        <f>IF(AND(A760&lt;&gt;"",E760&lt;&gt;""),ROUND(E760,0),"")</f>
        <v/>
      </c>
      <c r="G760" s="2" t="str">
        <f>IF(A760&lt;&gt;"",VLOOKUP(Alunos!A760,Recurso!A3:C1000,3, FALSE),"")</f>
        <v/>
      </c>
      <c r="H760" s="2" t="str">
        <f>IF(OR(A760&lt;&gt;"",G760&lt;&gt;""), SUMIFS(B760:G760,B1:G1,"&lt;&gt;",B2:G2,"&lt;&gt;Exame",B2:G2,"&lt;&gt;exame",B2:G2,"&lt;&gt;Nota",B2:G2,"&lt;&gt;Total"),"")</f>
        <v/>
      </c>
      <c r="I760" s="2" t="str">
        <f>IF(AND(A760&lt;&gt;"",H760&lt;&gt;""),ROUND(H760,0),"")</f>
        <v/>
      </c>
    </row>
    <row r="761" spans="2:9" x14ac:dyDescent="0.3">
      <c r="B761" s="2" t="str">
        <f>IF(A761&lt;&gt;"",VLOOKUP(Alunos!A761,Exame!A3:C1000,3, FALSE),"")</f>
        <v/>
      </c>
      <c r="C761" s="2" t="str">
        <f>IF(A761&lt;&gt;"",VLOOKUP(Alunos!A761,Agrupamentos!A3:B1000,2, FALSE),"")</f>
        <v/>
      </c>
      <c r="D761" s="2" t="str">
        <f>IF(A761&lt;&gt;"",VLOOKUP(Alunos!C761,'TP1'!A3:C1000,3, FALSE),"")</f>
        <v/>
      </c>
      <c r="E761" s="2" t="str">
        <f>IF(A761&lt;&gt;"", SUMIF(B1:D1,"&lt;&gt;",B761:D761),"")</f>
        <v/>
      </c>
      <c r="F761" s="2" t="str">
        <f>IF(AND(A761&lt;&gt;"",E761&lt;&gt;""),ROUND(E761,0),"")</f>
        <v/>
      </c>
      <c r="G761" s="2" t="str">
        <f>IF(A761&lt;&gt;"",VLOOKUP(Alunos!A761,Recurso!A3:C1000,3, FALSE),"")</f>
        <v/>
      </c>
      <c r="H761" s="2" t="str">
        <f>IF(OR(A761&lt;&gt;"",G761&lt;&gt;""), SUMIFS(B761:G761,B1:G1,"&lt;&gt;",B2:G2,"&lt;&gt;Exame",B2:G2,"&lt;&gt;exame",B2:G2,"&lt;&gt;Nota",B2:G2,"&lt;&gt;Total"),"")</f>
        <v/>
      </c>
      <c r="I761" s="2" t="str">
        <f>IF(AND(A761&lt;&gt;"",H761&lt;&gt;""),ROUND(H761,0),"")</f>
        <v/>
      </c>
    </row>
    <row r="762" spans="2:9" x14ac:dyDescent="0.3">
      <c r="B762" s="2" t="str">
        <f>IF(A762&lt;&gt;"",VLOOKUP(Alunos!A762,Exame!A3:C1000,3, FALSE),"")</f>
        <v/>
      </c>
      <c r="C762" s="2" t="str">
        <f>IF(A762&lt;&gt;"",VLOOKUP(Alunos!A762,Agrupamentos!A3:B1000,2, FALSE),"")</f>
        <v/>
      </c>
      <c r="D762" s="2" t="str">
        <f>IF(A762&lt;&gt;"",VLOOKUP(Alunos!C762,'TP1'!A3:C1000,3, FALSE),"")</f>
        <v/>
      </c>
      <c r="E762" s="2" t="str">
        <f>IF(A762&lt;&gt;"", SUMIF(B1:D1,"&lt;&gt;",B762:D762),"")</f>
        <v/>
      </c>
      <c r="F762" s="2" t="str">
        <f>IF(AND(A762&lt;&gt;"",E762&lt;&gt;""),ROUND(E762,0),"")</f>
        <v/>
      </c>
      <c r="G762" s="2" t="str">
        <f>IF(A762&lt;&gt;"",VLOOKUP(Alunos!A762,Recurso!A3:C1000,3, FALSE),"")</f>
        <v/>
      </c>
      <c r="H762" s="2" t="str">
        <f>IF(OR(A762&lt;&gt;"",G762&lt;&gt;""), SUMIFS(B762:G762,B1:G1,"&lt;&gt;",B2:G2,"&lt;&gt;Exame",B2:G2,"&lt;&gt;exame",B2:G2,"&lt;&gt;Nota",B2:G2,"&lt;&gt;Total"),"")</f>
        <v/>
      </c>
      <c r="I762" s="2" t="str">
        <f>IF(AND(A762&lt;&gt;"",H762&lt;&gt;""),ROUND(H762,0),"")</f>
        <v/>
      </c>
    </row>
    <row r="763" spans="2:9" x14ac:dyDescent="0.3">
      <c r="B763" s="2" t="str">
        <f>IF(A763&lt;&gt;"",VLOOKUP(Alunos!A763,Exame!A3:C1000,3, FALSE),"")</f>
        <v/>
      </c>
      <c r="C763" s="2" t="str">
        <f>IF(A763&lt;&gt;"",VLOOKUP(Alunos!A763,Agrupamentos!A3:B1000,2, FALSE),"")</f>
        <v/>
      </c>
      <c r="D763" s="2" t="str">
        <f>IF(A763&lt;&gt;"",VLOOKUP(Alunos!C763,'TP1'!A3:C1000,3, FALSE),"")</f>
        <v/>
      </c>
      <c r="E763" s="2" t="str">
        <f>IF(A763&lt;&gt;"", SUMIF(B1:D1,"&lt;&gt;",B763:D763),"")</f>
        <v/>
      </c>
      <c r="F763" s="2" t="str">
        <f>IF(AND(A763&lt;&gt;"",E763&lt;&gt;""),ROUND(E763,0),"")</f>
        <v/>
      </c>
      <c r="G763" s="2" t="str">
        <f>IF(A763&lt;&gt;"",VLOOKUP(Alunos!A763,Recurso!A3:C1000,3, FALSE),"")</f>
        <v/>
      </c>
      <c r="H763" s="2" t="str">
        <f>IF(OR(A763&lt;&gt;"",G763&lt;&gt;""), SUMIFS(B763:G763,B1:G1,"&lt;&gt;",B2:G2,"&lt;&gt;Exame",B2:G2,"&lt;&gt;exame",B2:G2,"&lt;&gt;Nota",B2:G2,"&lt;&gt;Total"),"")</f>
        <v/>
      </c>
      <c r="I763" s="2" t="str">
        <f>IF(AND(A763&lt;&gt;"",H763&lt;&gt;""),ROUND(H763,0),"")</f>
        <v/>
      </c>
    </row>
    <row r="764" spans="2:9" x14ac:dyDescent="0.3">
      <c r="B764" s="2" t="str">
        <f>IF(A764&lt;&gt;"",VLOOKUP(Alunos!A764,Exame!A3:C1000,3, FALSE),"")</f>
        <v/>
      </c>
      <c r="C764" s="2" t="str">
        <f>IF(A764&lt;&gt;"",VLOOKUP(Alunos!A764,Agrupamentos!A3:B1000,2, FALSE),"")</f>
        <v/>
      </c>
      <c r="D764" s="2" t="str">
        <f>IF(A764&lt;&gt;"",VLOOKUP(Alunos!C764,'TP1'!A3:C1000,3, FALSE),"")</f>
        <v/>
      </c>
      <c r="E764" s="2" t="str">
        <f>IF(A764&lt;&gt;"", SUMIF(B1:D1,"&lt;&gt;",B764:D764),"")</f>
        <v/>
      </c>
      <c r="F764" s="2" t="str">
        <f>IF(AND(A764&lt;&gt;"",E764&lt;&gt;""),ROUND(E764,0),"")</f>
        <v/>
      </c>
      <c r="G764" s="2" t="str">
        <f>IF(A764&lt;&gt;"",VLOOKUP(Alunos!A764,Recurso!A3:C1000,3, FALSE),"")</f>
        <v/>
      </c>
      <c r="H764" s="2" t="str">
        <f>IF(OR(A764&lt;&gt;"",G764&lt;&gt;""), SUMIFS(B764:G764,B1:G1,"&lt;&gt;",B2:G2,"&lt;&gt;Exame",B2:G2,"&lt;&gt;exame",B2:G2,"&lt;&gt;Nota",B2:G2,"&lt;&gt;Total"),"")</f>
        <v/>
      </c>
      <c r="I764" s="2" t="str">
        <f>IF(AND(A764&lt;&gt;"",H764&lt;&gt;""),ROUND(H764,0),"")</f>
        <v/>
      </c>
    </row>
    <row r="765" spans="2:9" x14ac:dyDescent="0.3">
      <c r="B765" s="2" t="str">
        <f>IF(A765&lt;&gt;"",VLOOKUP(Alunos!A765,Exame!A3:C1000,3, FALSE),"")</f>
        <v/>
      </c>
      <c r="C765" s="2" t="str">
        <f>IF(A765&lt;&gt;"",VLOOKUP(Alunos!A765,Agrupamentos!A3:B1000,2, FALSE),"")</f>
        <v/>
      </c>
      <c r="D765" s="2" t="str">
        <f>IF(A765&lt;&gt;"",VLOOKUP(Alunos!C765,'TP1'!A3:C1000,3, FALSE),"")</f>
        <v/>
      </c>
      <c r="E765" s="2" t="str">
        <f>IF(A765&lt;&gt;"", SUMIF(B1:D1,"&lt;&gt;",B765:D765),"")</f>
        <v/>
      </c>
      <c r="F765" s="2" t="str">
        <f>IF(AND(A765&lt;&gt;"",E765&lt;&gt;""),ROUND(E765,0),"")</f>
        <v/>
      </c>
      <c r="G765" s="2" t="str">
        <f>IF(A765&lt;&gt;"",VLOOKUP(Alunos!A765,Recurso!A3:C1000,3, FALSE),"")</f>
        <v/>
      </c>
      <c r="H765" s="2" t="str">
        <f>IF(OR(A765&lt;&gt;"",G765&lt;&gt;""), SUMIFS(B765:G765,B1:G1,"&lt;&gt;",B2:G2,"&lt;&gt;Exame",B2:G2,"&lt;&gt;exame",B2:G2,"&lt;&gt;Nota",B2:G2,"&lt;&gt;Total"),"")</f>
        <v/>
      </c>
      <c r="I765" s="2" t="str">
        <f>IF(AND(A765&lt;&gt;"",H765&lt;&gt;""),ROUND(H765,0),"")</f>
        <v/>
      </c>
    </row>
    <row r="766" spans="2:9" x14ac:dyDescent="0.3">
      <c r="B766" s="2" t="str">
        <f>IF(A766&lt;&gt;"",VLOOKUP(Alunos!A766,Exame!A3:C1000,3, FALSE),"")</f>
        <v/>
      </c>
      <c r="C766" s="2" t="str">
        <f>IF(A766&lt;&gt;"",VLOOKUP(Alunos!A766,Agrupamentos!A3:B1000,2, FALSE),"")</f>
        <v/>
      </c>
      <c r="D766" s="2" t="str">
        <f>IF(A766&lt;&gt;"",VLOOKUP(Alunos!C766,'TP1'!A3:C1000,3, FALSE),"")</f>
        <v/>
      </c>
      <c r="E766" s="2" t="str">
        <f>IF(A766&lt;&gt;"", SUMIF(B1:D1,"&lt;&gt;",B766:D766),"")</f>
        <v/>
      </c>
      <c r="F766" s="2" t="str">
        <f>IF(AND(A766&lt;&gt;"",E766&lt;&gt;""),ROUND(E766,0),"")</f>
        <v/>
      </c>
      <c r="G766" s="2" t="str">
        <f>IF(A766&lt;&gt;"",VLOOKUP(Alunos!A766,Recurso!A3:C1000,3, FALSE),"")</f>
        <v/>
      </c>
      <c r="H766" s="2" t="str">
        <f>IF(OR(A766&lt;&gt;"",G766&lt;&gt;""), SUMIFS(B766:G766,B1:G1,"&lt;&gt;",B2:G2,"&lt;&gt;Exame",B2:G2,"&lt;&gt;exame",B2:G2,"&lt;&gt;Nota",B2:G2,"&lt;&gt;Total"),"")</f>
        <v/>
      </c>
      <c r="I766" s="2" t="str">
        <f>IF(AND(A766&lt;&gt;"",H766&lt;&gt;""),ROUND(H766,0),"")</f>
        <v/>
      </c>
    </row>
    <row r="767" spans="2:9" x14ac:dyDescent="0.3">
      <c r="B767" s="2" t="str">
        <f>IF(A767&lt;&gt;"",VLOOKUP(Alunos!A767,Exame!A3:C1000,3, FALSE),"")</f>
        <v/>
      </c>
      <c r="C767" s="2" t="str">
        <f>IF(A767&lt;&gt;"",VLOOKUP(Alunos!A767,Agrupamentos!A3:B1000,2, FALSE),"")</f>
        <v/>
      </c>
      <c r="D767" s="2" t="str">
        <f>IF(A767&lt;&gt;"",VLOOKUP(Alunos!C767,'TP1'!A3:C1000,3, FALSE),"")</f>
        <v/>
      </c>
      <c r="E767" s="2" t="str">
        <f>IF(A767&lt;&gt;"", SUMIF(B1:D1,"&lt;&gt;",B767:D767),"")</f>
        <v/>
      </c>
      <c r="F767" s="2" t="str">
        <f>IF(AND(A767&lt;&gt;"",E767&lt;&gt;""),ROUND(E767,0),"")</f>
        <v/>
      </c>
      <c r="G767" s="2" t="str">
        <f>IF(A767&lt;&gt;"",VLOOKUP(Alunos!A767,Recurso!A3:C1000,3, FALSE),"")</f>
        <v/>
      </c>
      <c r="H767" s="2" t="str">
        <f>IF(OR(A767&lt;&gt;"",G767&lt;&gt;""), SUMIFS(B767:G767,B1:G1,"&lt;&gt;",B2:G2,"&lt;&gt;Exame",B2:G2,"&lt;&gt;exame",B2:G2,"&lt;&gt;Nota",B2:G2,"&lt;&gt;Total"),"")</f>
        <v/>
      </c>
      <c r="I767" s="2" t="str">
        <f>IF(AND(A767&lt;&gt;"",H767&lt;&gt;""),ROUND(H767,0),"")</f>
        <v/>
      </c>
    </row>
    <row r="768" spans="2:9" x14ac:dyDescent="0.3">
      <c r="B768" s="2" t="str">
        <f>IF(A768&lt;&gt;"",VLOOKUP(Alunos!A768,Exame!A3:C1000,3, FALSE),"")</f>
        <v/>
      </c>
      <c r="C768" s="2" t="str">
        <f>IF(A768&lt;&gt;"",VLOOKUP(Alunos!A768,Agrupamentos!A3:B1000,2, FALSE),"")</f>
        <v/>
      </c>
      <c r="D768" s="2" t="str">
        <f>IF(A768&lt;&gt;"",VLOOKUP(Alunos!C768,'TP1'!A3:C1000,3, FALSE),"")</f>
        <v/>
      </c>
      <c r="E768" s="2" t="str">
        <f>IF(A768&lt;&gt;"", SUMIF(B1:D1,"&lt;&gt;",B768:D768),"")</f>
        <v/>
      </c>
      <c r="F768" s="2" t="str">
        <f>IF(AND(A768&lt;&gt;"",E768&lt;&gt;""),ROUND(E768,0),"")</f>
        <v/>
      </c>
      <c r="G768" s="2" t="str">
        <f>IF(A768&lt;&gt;"",VLOOKUP(Alunos!A768,Recurso!A3:C1000,3, FALSE),"")</f>
        <v/>
      </c>
      <c r="H768" s="2" t="str">
        <f>IF(OR(A768&lt;&gt;"",G768&lt;&gt;""), SUMIFS(B768:G768,B1:G1,"&lt;&gt;",B2:G2,"&lt;&gt;Exame",B2:G2,"&lt;&gt;exame",B2:G2,"&lt;&gt;Nota",B2:G2,"&lt;&gt;Total"),"")</f>
        <v/>
      </c>
      <c r="I768" s="2" t="str">
        <f>IF(AND(A768&lt;&gt;"",H768&lt;&gt;""),ROUND(H768,0),"")</f>
        <v/>
      </c>
    </row>
    <row r="769" spans="2:9" x14ac:dyDescent="0.3">
      <c r="B769" s="2" t="str">
        <f>IF(A769&lt;&gt;"",VLOOKUP(Alunos!A769,Exame!A3:C1000,3, FALSE),"")</f>
        <v/>
      </c>
      <c r="C769" s="2" t="str">
        <f>IF(A769&lt;&gt;"",VLOOKUP(Alunos!A769,Agrupamentos!A3:B1000,2, FALSE),"")</f>
        <v/>
      </c>
      <c r="D769" s="2" t="str">
        <f>IF(A769&lt;&gt;"",VLOOKUP(Alunos!C769,'TP1'!A3:C1000,3, FALSE),"")</f>
        <v/>
      </c>
      <c r="E769" s="2" t="str">
        <f>IF(A769&lt;&gt;"", SUMIF(B1:D1,"&lt;&gt;",B769:D769),"")</f>
        <v/>
      </c>
      <c r="F769" s="2" t="str">
        <f>IF(AND(A769&lt;&gt;"",E769&lt;&gt;""),ROUND(E769,0),"")</f>
        <v/>
      </c>
      <c r="G769" s="2" t="str">
        <f>IF(A769&lt;&gt;"",VLOOKUP(Alunos!A769,Recurso!A3:C1000,3, FALSE),"")</f>
        <v/>
      </c>
      <c r="H769" s="2" t="str">
        <f>IF(OR(A769&lt;&gt;"",G769&lt;&gt;""), SUMIFS(B769:G769,B1:G1,"&lt;&gt;",B2:G2,"&lt;&gt;Exame",B2:G2,"&lt;&gt;exame",B2:G2,"&lt;&gt;Nota",B2:G2,"&lt;&gt;Total"),"")</f>
        <v/>
      </c>
      <c r="I769" s="2" t="str">
        <f>IF(AND(A769&lt;&gt;"",H769&lt;&gt;""),ROUND(H769,0),"")</f>
        <v/>
      </c>
    </row>
    <row r="770" spans="2:9" x14ac:dyDescent="0.3">
      <c r="B770" s="2" t="str">
        <f>IF(A770&lt;&gt;"",VLOOKUP(Alunos!A770,Exame!A3:C1000,3, FALSE),"")</f>
        <v/>
      </c>
      <c r="C770" s="2" t="str">
        <f>IF(A770&lt;&gt;"",VLOOKUP(Alunos!A770,Agrupamentos!A3:B1000,2, FALSE),"")</f>
        <v/>
      </c>
      <c r="D770" s="2" t="str">
        <f>IF(A770&lt;&gt;"",VLOOKUP(Alunos!C770,'TP1'!A3:C1000,3, FALSE),"")</f>
        <v/>
      </c>
      <c r="E770" s="2" t="str">
        <f>IF(A770&lt;&gt;"", SUMIF(B1:D1,"&lt;&gt;",B770:D770),"")</f>
        <v/>
      </c>
      <c r="F770" s="2" t="str">
        <f>IF(AND(A770&lt;&gt;"",E770&lt;&gt;""),ROUND(E770,0),"")</f>
        <v/>
      </c>
      <c r="G770" s="2" t="str">
        <f>IF(A770&lt;&gt;"",VLOOKUP(Alunos!A770,Recurso!A3:C1000,3, FALSE),"")</f>
        <v/>
      </c>
      <c r="H770" s="2" t="str">
        <f>IF(OR(A770&lt;&gt;"",G770&lt;&gt;""), SUMIFS(B770:G770,B1:G1,"&lt;&gt;",B2:G2,"&lt;&gt;Exame",B2:G2,"&lt;&gt;exame",B2:G2,"&lt;&gt;Nota",B2:G2,"&lt;&gt;Total"),"")</f>
        <v/>
      </c>
      <c r="I770" s="2" t="str">
        <f>IF(AND(A770&lt;&gt;"",H770&lt;&gt;""),ROUND(H770,0),"")</f>
        <v/>
      </c>
    </row>
    <row r="771" spans="2:9" x14ac:dyDescent="0.3">
      <c r="B771" s="2" t="str">
        <f>IF(A771&lt;&gt;"",VLOOKUP(Alunos!A771,Exame!A3:C1000,3, FALSE),"")</f>
        <v/>
      </c>
      <c r="C771" s="2" t="str">
        <f>IF(A771&lt;&gt;"",VLOOKUP(Alunos!A771,Agrupamentos!A3:B1000,2, FALSE),"")</f>
        <v/>
      </c>
      <c r="D771" s="2" t="str">
        <f>IF(A771&lt;&gt;"",VLOOKUP(Alunos!C771,'TP1'!A3:C1000,3, FALSE),"")</f>
        <v/>
      </c>
      <c r="E771" s="2" t="str">
        <f>IF(A771&lt;&gt;"", SUMIF(B1:D1,"&lt;&gt;",B771:D771),"")</f>
        <v/>
      </c>
      <c r="F771" s="2" t="str">
        <f>IF(AND(A771&lt;&gt;"",E771&lt;&gt;""),ROUND(E771,0),"")</f>
        <v/>
      </c>
      <c r="G771" s="2" t="str">
        <f>IF(A771&lt;&gt;"",VLOOKUP(Alunos!A771,Recurso!A3:C1000,3, FALSE),"")</f>
        <v/>
      </c>
      <c r="H771" s="2" t="str">
        <f>IF(OR(A771&lt;&gt;"",G771&lt;&gt;""), SUMIFS(B771:G771,B1:G1,"&lt;&gt;",B2:G2,"&lt;&gt;Exame",B2:G2,"&lt;&gt;exame",B2:G2,"&lt;&gt;Nota",B2:G2,"&lt;&gt;Total"),"")</f>
        <v/>
      </c>
      <c r="I771" s="2" t="str">
        <f>IF(AND(A771&lt;&gt;"",H771&lt;&gt;""),ROUND(H771,0),"")</f>
        <v/>
      </c>
    </row>
    <row r="772" spans="2:9" x14ac:dyDescent="0.3">
      <c r="B772" s="2" t="str">
        <f>IF(A772&lt;&gt;"",VLOOKUP(Alunos!A772,Exame!A3:C1000,3, FALSE),"")</f>
        <v/>
      </c>
      <c r="C772" s="2" t="str">
        <f>IF(A772&lt;&gt;"",VLOOKUP(Alunos!A772,Agrupamentos!A3:B1000,2, FALSE),"")</f>
        <v/>
      </c>
      <c r="D772" s="2" t="str">
        <f>IF(A772&lt;&gt;"",VLOOKUP(Alunos!C772,'TP1'!A3:C1000,3, FALSE),"")</f>
        <v/>
      </c>
      <c r="E772" s="2" t="str">
        <f>IF(A772&lt;&gt;"", SUMIF(B1:D1,"&lt;&gt;",B772:D772),"")</f>
        <v/>
      </c>
      <c r="F772" s="2" t="str">
        <f>IF(AND(A772&lt;&gt;"",E772&lt;&gt;""),ROUND(E772,0),"")</f>
        <v/>
      </c>
      <c r="G772" s="2" t="str">
        <f>IF(A772&lt;&gt;"",VLOOKUP(Alunos!A772,Recurso!A3:C1000,3, FALSE),"")</f>
        <v/>
      </c>
      <c r="H772" s="2" t="str">
        <f>IF(OR(A772&lt;&gt;"",G772&lt;&gt;""), SUMIFS(B772:G772,B1:G1,"&lt;&gt;",B2:G2,"&lt;&gt;Exame",B2:G2,"&lt;&gt;exame",B2:G2,"&lt;&gt;Nota",B2:G2,"&lt;&gt;Total"),"")</f>
        <v/>
      </c>
      <c r="I772" s="2" t="str">
        <f>IF(AND(A772&lt;&gt;"",H772&lt;&gt;""),ROUND(H772,0),"")</f>
        <v/>
      </c>
    </row>
    <row r="773" spans="2:9" x14ac:dyDescent="0.3">
      <c r="B773" s="2" t="str">
        <f>IF(A773&lt;&gt;"",VLOOKUP(Alunos!A773,Exame!A3:C1000,3, FALSE),"")</f>
        <v/>
      </c>
      <c r="C773" s="2" t="str">
        <f>IF(A773&lt;&gt;"",VLOOKUP(Alunos!A773,Agrupamentos!A3:B1000,2, FALSE),"")</f>
        <v/>
      </c>
      <c r="D773" s="2" t="str">
        <f>IF(A773&lt;&gt;"",VLOOKUP(Alunos!C773,'TP1'!A3:C1000,3, FALSE),"")</f>
        <v/>
      </c>
      <c r="E773" s="2" t="str">
        <f>IF(A773&lt;&gt;"", SUMIF(B1:D1,"&lt;&gt;",B773:D773),"")</f>
        <v/>
      </c>
      <c r="F773" s="2" t="str">
        <f>IF(AND(A773&lt;&gt;"",E773&lt;&gt;""),ROUND(E773,0),"")</f>
        <v/>
      </c>
      <c r="G773" s="2" t="str">
        <f>IF(A773&lt;&gt;"",VLOOKUP(Alunos!A773,Recurso!A3:C1000,3, FALSE),"")</f>
        <v/>
      </c>
      <c r="H773" s="2" t="str">
        <f>IF(OR(A773&lt;&gt;"",G773&lt;&gt;""), SUMIFS(B773:G773,B1:G1,"&lt;&gt;",B2:G2,"&lt;&gt;Exame",B2:G2,"&lt;&gt;exame",B2:G2,"&lt;&gt;Nota",B2:G2,"&lt;&gt;Total"),"")</f>
        <v/>
      </c>
      <c r="I773" s="2" t="str">
        <f>IF(AND(A773&lt;&gt;"",H773&lt;&gt;""),ROUND(H773,0),"")</f>
        <v/>
      </c>
    </row>
    <row r="774" spans="2:9" x14ac:dyDescent="0.3">
      <c r="B774" s="2" t="str">
        <f>IF(A774&lt;&gt;"",VLOOKUP(Alunos!A774,Exame!A3:C1000,3, FALSE),"")</f>
        <v/>
      </c>
      <c r="C774" s="2" t="str">
        <f>IF(A774&lt;&gt;"",VLOOKUP(Alunos!A774,Agrupamentos!A3:B1000,2, FALSE),"")</f>
        <v/>
      </c>
      <c r="D774" s="2" t="str">
        <f>IF(A774&lt;&gt;"",VLOOKUP(Alunos!C774,'TP1'!A3:C1000,3, FALSE),"")</f>
        <v/>
      </c>
      <c r="E774" s="2" t="str">
        <f>IF(A774&lt;&gt;"", SUMIF(B1:D1,"&lt;&gt;",B774:D774),"")</f>
        <v/>
      </c>
      <c r="F774" s="2" t="str">
        <f>IF(AND(A774&lt;&gt;"",E774&lt;&gt;""),ROUND(E774,0),"")</f>
        <v/>
      </c>
      <c r="G774" s="2" t="str">
        <f>IF(A774&lt;&gt;"",VLOOKUP(Alunos!A774,Recurso!A3:C1000,3, FALSE),"")</f>
        <v/>
      </c>
      <c r="H774" s="2" t="str">
        <f>IF(OR(A774&lt;&gt;"",G774&lt;&gt;""), SUMIFS(B774:G774,B1:G1,"&lt;&gt;",B2:G2,"&lt;&gt;Exame",B2:G2,"&lt;&gt;exame",B2:G2,"&lt;&gt;Nota",B2:G2,"&lt;&gt;Total"),"")</f>
        <v/>
      </c>
      <c r="I774" s="2" t="str">
        <f>IF(AND(A774&lt;&gt;"",H774&lt;&gt;""),ROUND(H774,0),"")</f>
        <v/>
      </c>
    </row>
    <row r="775" spans="2:9" x14ac:dyDescent="0.3">
      <c r="B775" s="2" t="str">
        <f>IF(A775&lt;&gt;"",VLOOKUP(Alunos!A775,Exame!A3:C1000,3, FALSE),"")</f>
        <v/>
      </c>
      <c r="C775" s="2" t="str">
        <f>IF(A775&lt;&gt;"",VLOOKUP(Alunos!A775,Agrupamentos!A3:B1000,2, FALSE),"")</f>
        <v/>
      </c>
      <c r="D775" s="2" t="str">
        <f>IF(A775&lt;&gt;"",VLOOKUP(Alunos!C775,'TP1'!A3:C1000,3, FALSE),"")</f>
        <v/>
      </c>
      <c r="E775" s="2" t="str">
        <f>IF(A775&lt;&gt;"", SUMIF(B1:D1,"&lt;&gt;",B775:D775),"")</f>
        <v/>
      </c>
      <c r="F775" s="2" t="str">
        <f>IF(AND(A775&lt;&gt;"",E775&lt;&gt;""),ROUND(E775,0),"")</f>
        <v/>
      </c>
      <c r="G775" s="2" t="str">
        <f>IF(A775&lt;&gt;"",VLOOKUP(Alunos!A775,Recurso!A3:C1000,3, FALSE),"")</f>
        <v/>
      </c>
      <c r="H775" s="2" t="str">
        <f>IF(OR(A775&lt;&gt;"",G775&lt;&gt;""), SUMIFS(B775:G775,B1:G1,"&lt;&gt;",B2:G2,"&lt;&gt;Exame",B2:G2,"&lt;&gt;exame",B2:G2,"&lt;&gt;Nota",B2:G2,"&lt;&gt;Total"),"")</f>
        <v/>
      </c>
      <c r="I775" s="2" t="str">
        <f>IF(AND(A775&lt;&gt;"",H775&lt;&gt;""),ROUND(H775,0),"")</f>
        <v/>
      </c>
    </row>
    <row r="776" spans="2:9" x14ac:dyDescent="0.3">
      <c r="B776" s="2" t="str">
        <f>IF(A776&lt;&gt;"",VLOOKUP(Alunos!A776,Exame!A3:C1000,3, FALSE),"")</f>
        <v/>
      </c>
      <c r="C776" s="2" t="str">
        <f>IF(A776&lt;&gt;"",VLOOKUP(Alunos!A776,Agrupamentos!A3:B1000,2, FALSE),"")</f>
        <v/>
      </c>
      <c r="D776" s="2" t="str">
        <f>IF(A776&lt;&gt;"",VLOOKUP(Alunos!C776,'TP1'!A3:C1000,3, FALSE),"")</f>
        <v/>
      </c>
      <c r="E776" s="2" t="str">
        <f>IF(A776&lt;&gt;"", SUMIF(B1:D1,"&lt;&gt;",B776:D776),"")</f>
        <v/>
      </c>
      <c r="F776" s="2" t="str">
        <f>IF(AND(A776&lt;&gt;"",E776&lt;&gt;""),ROUND(E776,0),"")</f>
        <v/>
      </c>
      <c r="G776" s="2" t="str">
        <f>IF(A776&lt;&gt;"",VLOOKUP(Alunos!A776,Recurso!A3:C1000,3, FALSE),"")</f>
        <v/>
      </c>
      <c r="H776" s="2" t="str">
        <f>IF(OR(A776&lt;&gt;"",G776&lt;&gt;""), SUMIFS(B776:G776,B1:G1,"&lt;&gt;",B2:G2,"&lt;&gt;Exame",B2:G2,"&lt;&gt;exame",B2:G2,"&lt;&gt;Nota",B2:G2,"&lt;&gt;Total"),"")</f>
        <v/>
      </c>
      <c r="I776" s="2" t="str">
        <f>IF(AND(A776&lt;&gt;"",H776&lt;&gt;""),ROUND(H776,0),"")</f>
        <v/>
      </c>
    </row>
    <row r="777" spans="2:9" x14ac:dyDescent="0.3">
      <c r="B777" s="2" t="str">
        <f>IF(A777&lt;&gt;"",VLOOKUP(Alunos!A777,Exame!A3:C1000,3, FALSE),"")</f>
        <v/>
      </c>
      <c r="C777" s="2" t="str">
        <f>IF(A777&lt;&gt;"",VLOOKUP(Alunos!A777,Agrupamentos!A3:B1000,2, FALSE),"")</f>
        <v/>
      </c>
      <c r="D777" s="2" t="str">
        <f>IF(A777&lt;&gt;"",VLOOKUP(Alunos!C777,'TP1'!A3:C1000,3, FALSE),"")</f>
        <v/>
      </c>
      <c r="E777" s="2" t="str">
        <f>IF(A777&lt;&gt;"", SUMIF(B1:D1,"&lt;&gt;",B777:D777),"")</f>
        <v/>
      </c>
      <c r="F777" s="2" t="str">
        <f>IF(AND(A777&lt;&gt;"",E777&lt;&gt;""),ROUND(E777,0),"")</f>
        <v/>
      </c>
      <c r="G777" s="2" t="str">
        <f>IF(A777&lt;&gt;"",VLOOKUP(Alunos!A777,Recurso!A3:C1000,3, FALSE),"")</f>
        <v/>
      </c>
      <c r="H777" s="2" t="str">
        <f>IF(OR(A777&lt;&gt;"",G777&lt;&gt;""), SUMIFS(B777:G777,B1:G1,"&lt;&gt;",B2:G2,"&lt;&gt;Exame",B2:G2,"&lt;&gt;exame",B2:G2,"&lt;&gt;Nota",B2:G2,"&lt;&gt;Total"),"")</f>
        <v/>
      </c>
      <c r="I777" s="2" t="str">
        <f>IF(AND(A777&lt;&gt;"",H777&lt;&gt;""),ROUND(H777,0),"")</f>
        <v/>
      </c>
    </row>
    <row r="778" spans="2:9" x14ac:dyDescent="0.3">
      <c r="B778" s="2" t="str">
        <f>IF(A778&lt;&gt;"",VLOOKUP(Alunos!A778,Exame!A3:C1000,3, FALSE),"")</f>
        <v/>
      </c>
      <c r="C778" s="2" t="str">
        <f>IF(A778&lt;&gt;"",VLOOKUP(Alunos!A778,Agrupamentos!A3:B1000,2, FALSE),"")</f>
        <v/>
      </c>
      <c r="D778" s="2" t="str">
        <f>IF(A778&lt;&gt;"",VLOOKUP(Alunos!C778,'TP1'!A3:C1000,3, FALSE),"")</f>
        <v/>
      </c>
      <c r="E778" s="2" t="str">
        <f>IF(A778&lt;&gt;"", SUMIF(B1:D1,"&lt;&gt;",B778:D778),"")</f>
        <v/>
      </c>
      <c r="F778" s="2" t="str">
        <f>IF(AND(A778&lt;&gt;"",E778&lt;&gt;""),ROUND(E778,0),"")</f>
        <v/>
      </c>
      <c r="G778" s="2" t="str">
        <f>IF(A778&lt;&gt;"",VLOOKUP(Alunos!A778,Recurso!A3:C1000,3, FALSE),"")</f>
        <v/>
      </c>
      <c r="H778" s="2" t="str">
        <f>IF(OR(A778&lt;&gt;"",G778&lt;&gt;""), SUMIFS(B778:G778,B1:G1,"&lt;&gt;",B2:G2,"&lt;&gt;Exame",B2:G2,"&lt;&gt;exame",B2:G2,"&lt;&gt;Nota",B2:G2,"&lt;&gt;Total"),"")</f>
        <v/>
      </c>
      <c r="I778" s="2" t="str">
        <f>IF(AND(A778&lt;&gt;"",H778&lt;&gt;""),ROUND(H778,0),"")</f>
        <v/>
      </c>
    </row>
    <row r="779" spans="2:9" x14ac:dyDescent="0.3">
      <c r="B779" s="2" t="str">
        <f>IF(A779&lt;&gt;"",VLOOKUP(Alunos!A779,Exame!A3:C1000,3, FALSE),"")</f>
        <v/>
      </c>
      <c r="C779" s="2" t="str">
        <f>IF(A779&lt;&gt;"",VLOOKUP(Alunos!A779,Agrupamentos!A3:B1000,2, FALSE),"")</f>
        <v/>
      </c>
      <c r="D779" s="2" t="str">
        <f>IF(A779&lt;&gt;"",VLOOKUP(Alunos!C779,'TP1'!A3:C1000,3, FALSE),"")</f>
        <v/>
      </c>
      <c r="E779" s="2" t="str">
        <f>IF(A779&lt;&gt;"", SUMIF(B1:D1,"&lt;&gt;",B779:D779),"")</f>
        <v/>
      </c>
      <c r="F779" s="2" t="str">
        <f>IF(AND(A779&lt;&gt;"",E779&lt;&gt;""),ROUND(E779,0),"")</f>
        <v/>
      </c>
      <c r="G779" s="2" t="str">
        <f>IF(A779&lt;&gt;"",VLOOKUP(Alunos!A779,Recurso!A3:C1000,3, FALSE),"")</f>
        <v/>
      </c>
      <c r="H779" s="2" t="str">
        <f>IF(OR(A779&lt;&gt;"",G779&lt;&gt;""), SUMIFS(B779:G779,B1:G1,"&lt;&gt;",B2:G2,"&lt;&gt;Exame",B2:G2,"&lt;&gt;exame",B2:G2,"&lt;&gt;Nota",B2:G2,"&lt;&gt;Total"),"")</f>
        <v/>
      </c>
      <c r="I779" s="2" t="str">
        <f>IF(AND(A779&lt;&gt;"",H779&lt;&gt;""),ROUND(H779,0),"")</f>
        <v/>
      </c>
    </row>
    <row r="780" spans="2:9" x14ac:dyDescent="0.3">
      <c r="B780" s="2" t="str">
        <f>IF(A780&lt;&gt;"",VLOOKUP(Alunos!A780,Exame!A3:C1000,3, FALSE),"")</f>
        <v/>
      </c>
      <c r="C780" s="2" t="str">
        <f>IF(A780&lt;&gt;"",VLOOKUP(Alunos!A780,Agrupamentos!A3:B1000,2, FALSE),"")</f>
        <v/>
      </c>
      <c r="D780" s="2" t="str">
        <f>IF(A780&lt;&gt;"",VLOOKUP(Alunos!C780,'TP1'!A3:C1000,3, FALSE),"")</f>
        <v/>
      </c>
      <c r="E780" s="2" t="str">
        <f>IF(A780&lt;&gt;"", SUMIF(B1:D1,"&lt;&gt;",B780:D780),"")</f>
        <v/>
      </c>
      <c r="F780" s="2" t="str">
        <f>IF(AND(A780&lt;&gt;"",E780&lt;&gt;""),ROUND(E780,0),"")</f>
        <v/>
      </c>
      <c r="G780" s="2" t="str">
        <f>IF(A780&lt;&gt;"",VLOOKUP(Alunos!A780,Recurso!A3:C1000,3, FALSE),"")</f>
        <v/>
      </c>
      <c r="H780" s="2" t="str">
        <f>IF(OR(A780&lt;&gt;"",G780&lt;&gt;""), SUMIFS(B780:G780,B1:G1,"&lt;&gt;",B2:G2,"&lt;&gt;Exame",B2:G2,"&lt;&gt;exame",B2:G2,"&lt;&gt;Nota",B2:G2,"&lt;&gt;Total"),"")</f>
        <v/>
      </c>
      <c r="I780" s="2" t="str">
        <f>IF(AND(A780&lt;&gt;"",H780&lt;&gt;""),ROUND(H780,0),"")</f>
        <v/>
      </c>
    </row>
    <row r="781" spans="2:9" x14ac:dyDescent="0.3">
      <c r="B781" s="2" t="str">
        <f>IF(A781&lt;&gt;"",VLOOKUP(Alunos!A781,Exame!A3:C1000,3, FALSE),"")</f>
        <v/>
      </c>
      <c r="C781" s="2" t="str">
        <f>IF(A781&lt;&gt;"",VLOOKUP(Alunos!A781,Agrupamentos!A3:B1000,2, FALSE),"")</f>
        <v/>
      </c>
      <c r="D781" s="2" t="str">
        <f>IF(A781&lt;&gt;"",VLOOKUP(Alunos!C781,'TP1'!A3:C1000,3, FALSE),"")</f>
        <v/>
      </c>
      <c r="E781" s="2" t="str">
        <f>IF(A781&lt;&gt;"", SUMIF(B1:D1,"&lt;&gt;",B781:D781),"")</f>
        <v/>
      </c>
      <c r="F781" s="2" t="str">
        <f>IF(AND(A781&lt;&gt;"",E781&lt;&gt;""),ROUND(E781,0),"")</f>
        <v/>
      </c>
      <c r="G781" s="2" t="str">
        <f>IF(A781&lt;&gt;"",VLOOKUP(Alunos!A781,Recurso!A3:C1000,3, FALSE),"")</f>
        <v/>
      </c>
      <c r="H781" s="2" t="str">
        <f>IF(OR(A781&lt;&gt;"",G781&lt;&gt;""), SUMIFS(B781:G781,B1:G1,"&lt;&gt;",B2:G2,"&lt;&gt;Exame",B2:G2,"&lt;&gt;exame",B2:G2,"&lt;&gt;Nota",B2:G2,"&lt;&gt;Total"),"")</f>
        <v/>
      </c>
      <c r="I781" s="2" t="str">
        <f>IF(AND(A781&lt;&gt;"",H781&lt;&gt;""),ROUND(H781,0),"")</f>
        <v/>
      </c>
    </row>
    <row r="782" spans="2:9" x14ac:dyDescent="0.3">
      <c r="B782" s="2" t="str">
        <f>IF(A782&lt;&gt;"",VLOOKUP(Alunos!A782,Exame!A3:C1000,3, FALSE),"")</f>
        <v/>
      </c>
      <c r="C782" s="2" t="str">
        <f>IF(A782&lt;&gt;"",VLOOKUP(Alunos!A782,Agrupamentos!A3:B1000,2, FALSE),"")</f>
        <v/>
      </c>
      <c r="D782" s="2" t="str">
        <f>IF(A782&lt;&gt;"",VLOOKUP(Alunos!C782,'TP1'!A3:C1000,3, FALSE),"")</f>
        <v/>
      </c>
      <c r="E782" s="2" t="str">
        <f>IF(A782&lt;&gt;"", SUMIF(B1:D1,"&lt;&gt;",B782:D782),"")</f>
        <v/>
      </c>
      <c r="F782" s="2" t="str">
        <f>IF(AND(A782&lt;&gt;"",E782&lt;&gt;""),ROUND(E782,0),"")</f>
        <v/>
      </c>
      <c r="G782" s="2" t="str">
        <f>IF(A782&lt;&gt;"",VLOOKUP(Alunos!A782,Recurso!A3:C1000,3, FALSE),"")</f>
        <v/>
      </c>
      <c r="H782" s="2" t="str">
        <f>IF(OR(A782&lt;&gt;"",G782&lt;&gt;""), SUMIFS(B782:G782,B1:G1,"&lt;&gt;",B2:G2,"&lt;&gt;Exame",B2:G2,"&lt;&gt;exame",B2:G2,"&lt;&gt;Nota",B2:G2,"&lt;&gt;Total"),"")</f>
        <v/>
      </c>
      <c r="I782" s="2" t="str">
        <f>IF(AND(A782&lt;&gt;"",H782&lt;&gt;""),ROUND(H782,0),"")</f>
        <v/>
      </c>
    </row>
    <row r="783" spans="2:9" x14ac:dyDescent="0.3">
      <c r="B783" s="2" t="str">
        <f>IF(A783&lt;&gt;"",VLOOKUP(Alunos!A783,Exame!A3:C1000,3, FALSE),"")</f>
        <v/>
      </c>
      <c r="C783" s="2" t="str">
        <f>IF(A783&lt;&gt;"",VLOOKUP(Alunos!A783,Agrupamentos!A3:B1000,2, FALSE),"")</f>
        <v/>
      </c>
      <c r="D783" s="2" t="str">
        <f>IF(A783&lt;&gt;"",VLOOKUP(Alunos!C783,'TP1'!A3:C1000,3, FALSE),"")</f>
        <v/>
      </c>
      <c r="E783" s="2" t="str">
        <f>IF(A783&lt;&gt;"", SUMIF(B1:D1,"&lt;&gt;",B783:D783),"")</f>
        <v/>
      </c>
      <c r="F783" s="2" t="str">
        <f>IF(AND(A783&lt;&gt;"",E783&lt;&gt;""),ROUND(E783,0),"")</f>
        <v/>
      </c>
      <c r="G783" s="2" t="str">
        <f>IF(A783&lt;&gt;"",VLOOKUP(Alunos!A783,Recurso!A3:C1000,3, FALSE),"")</f>
        <v/>
      </c>
      <c r="H783" s="2" t="str">
        <f>IF(OR(A783&lt;&gt;"",G783&lt;&gt;""), SUMIFS(B783:G783,B1:G1,"&lt;&gt;",B2:G2,"&lt;&gt;Exame",B2:G2,"&lt;&gt;exame",B2:G2,"&lt;&gt;Nota",B2:G2,"&lt;&gt;Total"),"")</f>
        <v/>
      </c>
      <c r="I783" s="2" t="str">
        <f>IF(AND(A783&lt;&gt;"",H783&lt;&gt;""),ROUND(H783,0),"")</f>
        <v/>
      </c>
    </row>
    <row r="784" spans="2:9" x14ac:dyDescent="0.3">
      <c r="B784" s="2" t="str">
        <f>IF(A784&lt;&gt;"",VLOOKUP(Alunos!A784,Exame!A3:C1000,3, FALSE),"")</f>
        <v/>
      </c>
      <c r="C784" s="2" t="str">
        <f>IF(A784&lt;&gt;"",VLOOKUP(Alunos!A784,Agrupamentos!A3:B1000,2, FALSE),"")</f>
        <v/>
      </c>
      <c r="D784" s="2" t="str">
        <f>IF(A784&lt;&gt;"",VLOOKUP(Alunos!C784,'TP1'!A3:C1000,3, FALSE),"")</f>
        <v/>
      </c>
      <c r="E784" s="2" t="str">
        <f>IF(A784&lt;&gt;"", SUMIF(B1:D1,"&lt;&gt;",B784:D784),"")</f>
        <v/>
      </c>
      <c r="F784" s="2" t="str">
        <f>IF(AND(A784&lt;&gt;"",E784&lt;&gt;""),ROUND(E784,0),"")</f>
        <v/>
      </c>
      <c r="G784" s="2" t="str">
        <f>IF(A784&lt;&gt;"",VLOOKUP(Alunos!A784,Recurso!A3:C1000,3, FALSE),"")</f>
        <v/>
      </c>
      <c r="H784" s="2" t="str">
        <f>IF(OR(A784&lt;&gt;"",G784&lt;&gt;""), SUMIFS(B784:G784,B1:G1,"&lt;&gt;",B2:G2,"&lt;&gt;Exame",B2:G2,"&lt;&gt;exame",B2:G2,"&lt;&gt;Nota",B2:G2,"&lt;&gt;Total"),"")</f>
        <v/>
      </c>
      <c r="I784" s="2" t="str">
        <f>IF(AND(A784&lt;&gt;"",H784&lt;&gt;""),ROUND(H784,0),"")</f>
        <v/>
      </c>
    </row>
    <row r="785" spans="2:9" x14ac:dyDescent="0.3">
      <c r="B785" s="2" t="str">
        <f>IF(A785&lt;&gt;"",VLOOKUP(Alunos!A785,Exame!A3:C1000,3, FALSE),"")</f>
        <v/>
      </c>
      <c r="C785" s="2" t="str">
        <f>IF(A785&lt;&gt;"",VLOOKUP(Alunos!A785,Agrupamentos!A3:B1000,2, FALSE),"")</f>
        <v/>
      </c>
      <c r="D785" s="2" t="str">
        <f>IF(A785&lt;&gt;"",VLOOKUP(Alunos!C785,'TP1'!A3:C1000,3, FALSE),"")</f>
        <v/>
      </c>
      <c r="E785" s="2" t="str">
        <f>IF(A785&lt;&gt;"", SUMIF(B1:D1,"&lt;&gt;",B785:D785),"")</f>
        <v/>
      </c>
      <c r="F785" s="2" t="str">
        <f>IF(AND(A785&lt;&gt;"",E785&lt;&gt;""),ROUND(E785,0),"")</f>
        <v/>
      </c>
      <c r="G785" s="2" t="str">
        <f>IF(A785&lt;&gt;"",VLOOKUP(Alunos!A785,Recurso!A3:C1000,3, FALSE),"")</f>
        <v/>
      </c>
      <c r="H785" s="2" t="str">
        <f>IF(OR(A785&lt;&gt;"",G785&lt;&gt;""), SUMIFS(B785:G785,B1:G1,"&lt;&gt;",B2:G2,"&lt;&gt;Exame",B2:G2,"&lt;&gt;exame",B2:G2,"&lt;&gt;Nota",B2:G2,"&lt;&gt;Total"),"")</f>
        <v/>
      </c>
      <c r="I785" s="2" t="str">
        <f>IF(AND(A785&lt;&gt;"",H785&lt;&gt;""),ROUND(H785,0),"")</f>
        <v/>
      </c>
    </row>
    <row r="786" spans="2:9" x14ac:dyDescent="0.3">
      <c r="B786" s="2" t="str">
        <f>IF(A786&lt;&gt;"",VLOOKUP(Alunos!A786,Exame!A3:C1000,3, FALSE),"")</f>
        <v/>
      </c>
      <c r="C786" s="2" t="str">
        <f>IF(A786&lt;&gt;"",VLOOKUP(Alunos!A786,Agrupamentos!A3:B1000,2, FALSE),"")</f>
        <v/>
      </c>
      <c r="D786" s="2" t="str">
        <f>IF(A786&lt;&gt;"",VLOOKUP(Alunos!C786,'TP1'!A3:C1000,3, FALSE),"")</f>
        <v/>
      </c>
      <c r="E786" s="2" t="str">
        <f>IF(A786&lt;&gt;"", SUMIF(B1:D1,"&lt;&gt;",B786:D786),"")</f>
        <v/>
      </c>
      <c r="F786" s="2" t="str">
        <f>IF(AND(A786&lt;&gt;"",E786&lt;&gt;""),ROUND(E786,0),"")</f>
        <v/>
      </c>
      <c r="G786" s="2" t="str">
        <f>IF(A786&lt;&gt;"",VLOOKUP(Alunos!A786,Recurso!A3:C1000,3, FALSE),"")</f>
        <v/>
      </c>
      <c r="H786" s="2" t="str">
        <f>IF(OR(A786&lt;&gt;"",G786&lt;&gt;""), SUMIFS(B786:G786,B1:G1,"&lt;&gt;",B2:G2,"&lt;&gt;Exame",B2:G2,"&lt;&gt;exame",B2:G2,"&lt;&gt;Nota",B2:G2,"&lt;&gt;Total"),"")</f>
        <v/>
      </c>
      <c r="I786" s="2" t="str">
        <f>IF(AND(A786&lt;&gt;"",H786&lt;&gt;""),ROUND(H786,0),"")</f>
        <v/>
      </c>
    </row>
    <row r="787" spans="2:9" x14ac:dyDescent="0.3">
      <c r="B787" s="2" t="str">
        <f>IF(A787&lt;&gt;"",VLOOKUP(Alunos!A787,Exame!A3:C1000,3, FALSE),"")</f>
        <v/>
      </c>
      <c r="C787" s="2" t="str">
        <f>IF(A787&lt;&gt;"",VLOOKUP(Alunos!A787,Agrupamentos!A3:B1000,2, FALSE),"")</f>
        <v/>
      </c>
      <c r="D787" s="2" t="str">
        <f>IF(A787&lt;&gt;"",VLOOKUP(Alunos!C787,'TP1'!A3:C1000,3, FALSE),"")</f>
        <v/>
      </c>
      <c r="E787" s="2" t="str">
        <f>IF(A787&lt;&gt;"", SUMIF(B1:D1,"&lt;&gt;",B787:D787),"")</f>
        <v/>
      </c>
      <c r="F787" s="2" t="str">
        <f>IF(AND(A787&lt;&gt;"",E787&lt;&gt;""),ROUND(E787,0),"")</f>
        <v/>
      </c>
      <c r="G787" s="2" t="str">
        <f>IF(A787&lt;&gt;"",VLOOKUP(Alunos!A787,Recurso!A3:C1000,3, FALSE),"")</f>
        <v/>
      </c>
      <c r="H787" s="2" t="str">
        <f>IF(OR(A787&lt;&gt;"",G787&lt;&gt;""), SUMIFS(B787:G787,B1:G1,"&lt;&gt;",B2:G2,"&lt;&gt;Exame",B2:G2,"&lt;&gt;exame",B2:G2,"&lt;&gt;Nota",B2:G2,"&lt;&gt;Total"),"")</f>
        <v/>
      </c>
      <c r="I787" s="2" t="str">
        <f>IF(AND(A787&lt;&gt;"",H787&lt;&gt;""),ROUND(H787,0),"")</f>
        <v/>
      </c>
    </row>
    <row r="788" spans="2:9" x14ac:dyDescent="0.3">
      <c r="B788" s="2" t="str">
        <f>IF(A788&lt;&gt;"",VLOOKUP(Alunos!A788,Exame!A3:C1000,3, FALSE),"")</f>
        <v/>
      </c>
      <c r="C788" s="2" t="str">
        <f>IF(A788&lt;&gt;"",VLOOKUP(Alunos!A788,Agrupamentos!A3:B1000,2, FALSE),"")</f>
        <v/>
      </c>
      <c r="D788" s="2" t="str">
        <f>IF(A788&lt;&gt;"",VLOOKUP(Alunos!C788,'TP1'!A3:C1000,3, FALSE),"")</f>
        <v/>
      </c>
      <c r="E788" s="2" t="str">
        <f>IF(A788&lt;&gt;"", SUMIF(B1:D1,"&lt;&gt;",B788:D788),"")</f>
        <v/>
      </c>
      <c r="F788" s="2" t="str">
        <f>IF(AND(A788&lt;&gt;"",E788&lt;&gt;""),ROUND(E788,0),"")</f>
        <v/>
      </c>
      <c r="G788" s="2" t="str">
        <f>IF(A788&lt;&gt;"",VLOOKUP(Alunos!A788,Recurso!A3:C1000,3, FALSE),"")</f>
        <v/>
      </c>
      <c r="H788" s="2" t="str">
        <f>IF(OR(A788&lt;&gt;"",G788&lt;&gt;""), SUMIFS(B788:G788,B1:G1,"&lt;&gt;",B2:G2,"&lt;&gt;Exame",B2:G2,"&lt;&gt;exame",B2:G2,"&lt;&gt;Nota",B2:G2,"&lt;&gt;Total"),"")</f>
        <v/>
      </c>
      <c r="I788" s="2" t="str">
        <f>IF(AND(A788&lt;&gt;"",H788&lt;&gt;""),ROUND(H788,0),"")</f>
        <v/>
      </c>
    </row>
    <row r="789" spans="2:9" x14ac:dyDescent="0.3">
      <c r="B789" s="2" t="str">
        <f>IF(A789&lt;&gt;"",VLOOKUP(Alunos!A789,Exame!A3:C1000,3, FALSE),"")</f>
        <v/>
      </c>
      <c r="C789" s="2" t="str">
        <f>IF(A789&lt;&gt;"",VLOOKUP(Alunos!A789,Agrupamentos!A3:B1000,2, FALSE),"")</f>
        <v/>
      </c>
      <c r="D789" s="2" t="str">
        <f>IF(A789&lt;&gt;"",VLOOKUP(Alunos!C789,'TP1'!A3:C1000,3, FALSE),"")</f>
        <v/>
      </c>
      <c r="E789" s="2" t="str">
        <f>IF(A789&lt;&gt;"", SUMIF(B1:D1,"&lt;&gt;",B789:D789),"")</f>
        <v/>
      </c>
      <c r="F789" s="2" t="str">
        <f>IF(AND(A789&lt;&gt;"",E789&lt;&gt;""),ROUND(E789,0),"")</f>
        <v/>
      </c>
      <c r="G789" s="2" t="str">
        <f>IF(A789&lt;&gt;"",VLOOKUP(Alunos!A789,Recurso!A3:C1000,3, FALSE),"")</f>
        <v/>
      </c>
      <c r="H789" s="2" t="str">
        <f>IF(OR(A789&lt;&gt;"",G789&lt;&gt;""), SUMIFS(B789:G789,B1:G1,"&lt;&gt;",B2:G2,"&lt;&gt;Exame",B2:G2,"&lt;&gt;exame",B2:G2,"&lt;&gt;Nota",B2:G2,"&lt;&gt;Total"),"")</f>
        <v/>
      </c>
      <c r="I789" s="2" t="str">
        <f>IF(AND(A789&lt;&gt;"",H789&lt;&gt;""),ROUND(H789,0),"")</f>
        <v/>
      </c>
    </row>
    <row r="790" spans="2:9" x14ac:dyDescent="0.3">
      <c r="B790" s="2" t="str">
        <f>IF(A790&lt;&gt;"",VLOOKUP(Alunos!A790,Exame!A3:C1000,3, FALSE),"")</f>
        <v/>
      </c>
      <c r="C790" s="2" t="str">
        <f>IF(A790&lt;&gt;"",VLOOKUP(Alunos!A790,Agrupamentos!A3:B1000,2, FALSE),"")</f>
        <v/>
      </c>
      <c r="D790" s="2" t="str">
        <f>IF(A790&lt;&gt;"",VLOOKUP(Alunos!C790,'TP1'!A3:C1000,3, FALSE),"")</f>
        <v/>
      </c>
      <c r="E790" s="2" t="str">
        <f>IF(A790&lt;&gt;"", SUMIF(B1:D1,"&lt;&gt;",B790:D790),"")</f>
        <v/>
      </c>
      <c r="F790" s="2" t="str">
        <f>IF(AND(A790&lt;&gt;"",E790&lt;&gt;""),ROUND(E790,0),"")</f>
        <v/>
      </c>
      <c r="G790" s="2" t="str">
        <f>IF(A790&lt;&gt;"",VLOOKUP(Alunos!A790,Recurso!A3:C1000,3, FALSE),"")</f>
        <v/>
      </c>
      <c r="H790" s="2" t="str">
        <f>IF(OR(A790&lt;&gt;"",G790&lt;&gt;""), SUMIFS(B790:G790,B1:G1,"&lt;&gt;",B2:G2,"&lt;&gt;Exame",B2:G2,"&lt;&gt;exame",B2:G2,"&lt;&gt;Nota",B2:G2,"&lt;&gt;Total"),"")</f>
        <v/>
      </c>
      <c r="I790" s="2" t="str">
        <f>IF(AND(A790&lt;&gt;"",H790&lt;&gt;""),ROUND(H790,0),"")</f>
        <v/>
      </c>
    </row>
    <row r="791" spans="2:9" x14ac:dyDescent="0.3">
      <c r="B791" s="2" t="str">
        <f>IF(A791&lt;&gt;"",VLOOKUP(Alunos!A791,Exame!A3:C1000,3, FALSE),"")</f>
        <v/>
      </c>
      <c r="C791" s="2" t="str">
        <f>IF(A791&lt;&gt;"",VLOOKUP(Alunos!A791,Agrupamentos!A3:B1000,2, FALSE),"")</f>
        <v/>
      </c>
      <c r="D791" s="2" t="str">
        <f>IF(A791&lt;&gt;"",VLOOKUP(Alunos!C791,'TP1'!A3:C1000,3, FALSE),"")</f>
        <v/>
      </c>
      <c r="E791" s="2" t="str">
        <f>IF(A791&lt;&gt;"", SUMIF(B1:D1,"&lt;&gt;",B791:D791),"")</f>
        <v/>
      </c>
      <c r="F791" s="2" t="str">
        <f>IF(AND(A791&lt;&gt;"",E791&lt;&gt;""),ROUND(E791,0),"")</f>
        <v/>
      </c>
      <c r="G791" s="2" t="str">
        <f>IF(A791&lt;&gt;"",VLOOKUP(Alunos!A791,Recurso!A3:C1000,3, FALSE),"")</f>
        <v/>
      </c>
      <c r="H791" s="2" t="str">
        <f>IF(OR(A791&lt;&gt;"",G791&lt;&gt;""), SUMIFS(B791:G791,B1:G1,"&lt;&gt;",B2:G2,"&lt;&gt;Exame",B2:G2,"&lt;&gt;exame",B2:G2,"&lt;&gt;Nota",B2:G2,"&lt;&gt;Total"),"")</f>
        <v/>
      </c>
      <c r="I791" s="2" t="str">
        <f>IF(AND(A791&lt;&gt;"",H791&lt;&gt;""),ROUND(H791,0),"")</f>
        <v/>
      </c>
    </row>
    <row r="792" spans="2:9" x14ac:dyDescent="0.3">
      <c r="B792" s="2" t="str">
        <f>IF(A792&lt;&gt;"",VLOOKUP(Alunos!A792,Exame!A3:C1000,3, FALSE),"")</f>
        <v/>
      </c>
      <c r="C792" s="2" t="str">
        <f>IF(A792&lt;&gt;"",VLOOKUP(Alunos!A792,Agrupamentos!A3:B1000,2, FALSE),"")</f>
        <v/>
      </c>
      <c r="D792" s="2" t="str">
        <f>IF(A792&lt;&gt;"",VLOOKUP(Alunos!C792,'TP1'!A3:C1000,3, FALSE),"")</f>
        <v/>
      </c>
      <c r="E792" s="2" t="str">
        <f>IF(A792&lt;&gt;"", SUMIF(B1:D1,"&lt;&gt;",B792:D792),"")</f>
        <v/>
      </c>
      <c r="F792" s="2" t="str">
        <f>IF(AND(A792&lt;&gt;"",E792&lt;&gt;""),ROUND(E792,0),"")</f>
        <v/>
      </c>
      <c r="G792" s="2" t="str">
        <f>IF(A792&lt;&gt;"",VLOOKUP(Alunos!A792,Recurso!A3:C1000,3, FALSE),"")</f>
        <v/>
      </c>
      <c r="H792" s="2" t="str">
        <f>IF(OR(A792&lt;&gt;"",G792&lt;&gt;""), SUMIFS(B792:G792,B1:G1,"&lt;&gt;",B2:G2,"&lt;&gt;Exame",B2:G2,"&lt;&gt;exame",B2:G2,"&lt;&gt;Nota",B2:G2,"&lt;&gt;Total"),"")</f>
        <v/>
      </c>
      <c r="I792" s="2" t="str">
        <f>IF(AND(A792&lt;&gt;"",H792&lt;&gt;""),ROUND(H792,0),"")</f>
        <v/>
      </c>
    </row>
    <row r="793" spans="2:9" x14ac:dyDescent="0.3">
      <c r="B793" s="2" t="str">
        <f>IF(A793&lt;&gt;"",VLOOKUP(Alunos!A793,Exame!A3:C1000,3, FALSE),"")</f>
        <v/>
      </c>
      <c r="C793" s="2" t="str">
        <f>IF(A793&lt;&gt;"",VLOOKUP(Alunos!A793,Agrupamentos!A3:B1000,2, FALSE),"")</f>
        <v/>
      </c>
      <c r="D793" s="2" t="str">
        <f>IF(A793&lt;&gt;"",VLOOKUP(Alunos!C793,'TP1'!A3:C1000,3, FALSE),"")</f>
        <v/>
      </c>
      <c r="E793" s="2" t="str">
        <f>IF(A793&lt;&gt;"", SUMIF(B1:D1,"&lt;&gt;",B793:D793),"")</f>
        <v/>
      </c>
      <c r="F793" s="2" t="str">
        <f>IF(AND(A793&lt;&gt;"",E793&lt;&gt;""),ROUND(E793,0),"")</f>
        <v/>
      </c>
      <c r="G793" s="2" t="str">
        <f>IF(A793&lt;&gt;"",VLOOKUP(Alunos!A793,Recurso!A3:C1000,3, FALSE),"")</f>
        <v/>
      </c>
      <c r="H793" s="2" t="str">
        <f>IF(OR(A793&lt;&gt;"",G793&lt;&gt;""), SUMIFS(B793:G793,B1:G1,"&lt;&gt;",B2:G2,"&lt;&gt;Exame",B2:G2,"&lt;&gt;exame",B2:G2,"&lt;&gt;Nota",B2:G2,"&lt;&gt;Total"),"")</f>
        <v/>
      </c>
      <c r="I793" s="2" t="str">
        <f>IF(AND(A793&lt;&gt;"",H793&lt;&gt;""),ROUND(H793,0),"")</f>
        <v/>
      </c>
    </row>
    <row r="794" spans="2:9" x14ac:dyDescent="0.3">
      <c r="B794" s="2" t="str">
        <f>IF(A794&lt;&gt;"",VLOOKUP(Alunos!A794,Exame!A3:C1000,3, FALSE),"")</f>
        <v/>
      </c>
      <c r="C794" s="2" t="str">
        <f>IF(A794&lt;&gt;"",VLOOKUP(Alunos!A794,Agrupamentos!A3:B1000,2, FALSE),"")</f>
        <v/>
      </c>
      <c r="D794" s="2" t="str">
        <f>IF(A794&lt;&gt;"",VLOOKUP(Alunos!C794,'TP1'!A3:C1000,3, FALSE),"")</f>
        <v/>
      </c>
      <c r="E794" s="2" t="str">
        <f>IF(A794&lt;&gt;"", SUMIF(B1:D1,"&lt;&gt;",B794:D794),"")</f>
        <v/>
      </c>
      <c r="F794" s="2" t="str">
        <f>IF(AND(A794&lt;&gt;"",E794&lt;&gt;""),ROUND(E794,0),"")</f>
        <v/>
      </c>
      <c r="G794" s="2" t="str">
        <f>IF(A794&lt;&gt;"",VLOOKUP(Alunos!A794,Recurso!A3:C1000,3, FALSE),"")</f>
        <v/>
      </c>
      <c r="H794" s="2" t="str">
        <f>IF(OR(A794&lt;&gt;"",G794&lt;&gt;""), SUMIFS(B794:G794,B1:G1,"&lt;&gt;",B2:G2,"&lt;&gt;Exame",B2:G2,"&lt;&gt;exame",B2:G2,"&lt;&gt;Nota",B2:G2,"&lt;&gt;Total"),"")</f>
        <v/>
      </c>
      <c r="I794" s="2" t="str">
        <f>IF(AND(A794&lt;&gt;"",H794&lt;&gt;""),ROUND(H794,0),"")</f>
        <v/>
      </c>
    </row>
    <row r="795" spans="2:9" x14ac:dyDescent="0.3">
      <c r="B795" s="2" t="str">
        <f>IF(A795&lt;&gt;"",VLOOKUP(Alunos!A795,Exame!A3:C1000,3, FALSE),"")</f>
        <v/>
      </c>
      <c r="C795" s="2" t="str">
        <f>IF(A795&lt;&gt;"",VLOOKUP(Alunos!A795,Agrupamentos!A3:B1000,2, FALSE),"")</f>
        <v/>
      </c>
      <c r="D795" s="2" t="str">
        <f>IF(A795&lt;&gt;"",VLOOKUP(Alunos!C795,'TP1'!A3:C1000,3, FALSE),"")</f>
        <v/>
      </c>
      <c r="E795" s="2" t="str">
        <f>IF(A795&lt;&gt;"", SUMIF(B1:D1,"&lt;&gt;",B795:D795),"")</f>
        <v/>
      </c>
      <c r="F795" s="2" t="str">
        <f>IF(AND(A795&lt;&gt;"",E795&lt;&gt;""),ROUND(E795,0),"")</f>
        <v/>
      </c>
      <c r="G795" s="2" t="str">
        <f>IF(A795&lt;&gt;"",VLOOKUP(Alunos!A795,Recurso!A3:C1000,3, FALSE),"")</f>
        <v/>
      </c>
      <c r="H795" s="2" t="str">
        <f>IF(OR(A795&lt;&gt;"",G795&lt;&gt;""), SUMIFS(B795:G795,B1:G1,"&lt;&gt;",B2:G2,"&lt;&gt;Exame",B2:G2,"&lt;&gt;exame",B2:G2,"&lt;&gt;Nota",B2:G2,"&lt;&gt;Total"),"")</f>
        <v/>
      </c>
      <c r="I795" s="2" t="str">
        <f>IF(AND(A795&lt;&gt;"",H795&lt;&gt;""),ROUND(H795,0),"")</f>
        <v/>
      </c>
    </row>
    <row r="796" spans="2:9" x14ac:dyDescent="0.3">
      <c r="B796" s="2" t="str">
        <f>IF(A796&lt;&gt;"",VLOOKUP(Alunos!A796,Exame!A3:C1000,3, FALSE),"")</f>
        <v/>
      </c>
      <c r="C796" s="2" t="str">
        <f>IF(A796&lt;&gt;"",VLOOKUP(Alunos!A796,Agrupamentos!A3:B1000,2, FALSE),"")</f>
        <v/>
      </c>
      <c r="D796" s="2" t="str">
        <f>IF(A796&lt;&gt;"",VLOOKUP(Alunos!C796,'TP1'!A3:C1000,3, FALSE),"")</f>
        <v/>
      </c>
      <c r="E796" s="2" t="str">
        <f>IF(A796&lt;&gt;"", SUMIF(B1:D1,"&lt;&gt;",B796:D796),"")</f>
        <v/>
      </c>
      <c r="F796" s="2" t="str">
        <f>IF(AND(A796&lt;&gt;"",E796&lt;&gt;""),ROUND(E796,0),"")</f>
        <v/>
      </c>
      <c r="G796" s="2" t="str">
        <f>IF(A796&lt;&gt;"",VLOOKUP(Alunos!A796,Recurso!A3:C1000,3, FALSE),"")</f>
        <v/>
      </c>
      <c r="H796" s="2" t="str">
        <f>IF(OR(A796&lt;&gt;"",G796&lt;&gt;""), SUMIFS(B796:G796,B1:G1,"&lt;&gt;",B2:G2,"&lt;&gt;Exame",B2:G2,"&lt;&gt;exame",B2:G2,"&lt;&gt;Nota",B2:G2,"&lt;&gt;Total"),"")</f>
        <v/>
      </c>
      <c r="I796" s="2" t="str">
        <f>IF(AND(A796&lt;&gt;"",H796&lt;&gt;""),ROUND(H796,0),"")</f>
        <v/>
      </c>
    </row>
    <row r="797" spans="2:9" x14ac:dyDescent="0.3">
      <c r="B797" s="2" t="str">
        <f>IF(A797&lt;&gt;"",VLOOKUP(Alunos!A797,Exame!A3:C1000,3, FALSE),"")</f>
        <v/>
      </c>
      <c r="C797" s="2" t="str">
        <f>IF(A797&lt;&gt;"",VLOOKUP(Alunos!A797,Agrupamentos!A3:B1000,2, FALSE),"")</f>
        <v/>
      </c>
      <c r="D797" s="2" t="str">
        <f>IF(A797&lt;&gt;"",VLOOKUP(Alunos!C797,'TP1'!A3:C1000,3, FALSE),"")</f>
        <v/>
      </c>
      <c r="E797" s="2" t="str">
        <f>IF(A797&lt;&gt;"", SUMIF(B1:D1,"&lt;&gt;",B797:D797),"")</f>
        <v/>
      </c>
      <c r="F797" s="2" t="str">
        <f>IF(AND(A797&lt;&gt;"",E797&lt;&gt;""),ROUND(E797,0),"")</f>
        <v/>
      </c>
      <c r="G797" s="2" t="str">
        <f>IF(A797&lt;&gt;"",VLOOKUP(Alunos!A797,Recurso!A3:C1000,3, FALSE),"")</f>
        <v/>
      </c>
      <c r="H797" s="2" t="str">
        <f>IF(OR(A797&lt;&gt;"",G797&lt;&gt;""), SUMIFS(B797:G797,B1:G1,"&lt;&gt;",B2:G2,"&lt;&gt;Exame",B2:G2,"&lt;&gt;exame",B2:G2,"&lt;&gt;Nota",B2:G2,"&lt;&gt;Total"),"")</f>
        <v/>
      </c>
      <c r="I797" s="2" t="str">
        <f>IF(AND(A797&lt;&gt;"",H797&lt;&gt;""),ROUND(H797,0),"")</f>
        <v/>
      </c>
    </row>
    <row r="798" spans="2:9" x14ac:dyDescent="0.3">
      <c r="B798" s="2" t="str">
        <f>IF(A798&lt;&gt;"",VLOOKUP(Alunos!A798,Exame!A3:C1000,3, FALSE),"")</f>
        <v/>
      </c>
      <c r="C798" s="2" t="str">
        <f>IF(A798&lt;&gt;"",VLOOKUP(Alunos!A798,Agrupamentos!A3:B1000,2, FALSE),"")</f>
        <v/>
      </c>
      <c r="D798" s="2" t="str">
        <f>IF(A798&lt;&gt;"",VLOOKUP(Alunos!C798,'TP1'!A3:C1000,3, FALSE),"")</f>
        <v/>
      </c>
      <c r="E798" s="2" t="str">
        <f>IF(A798&lt;&gt;"", SUMIF(B1:D1,"&lt;&gt;",B798:D798),"")</f>
        <v/>
      </c>
      <c r="F798" s="2" t="str">
        <f>IF(AND(A798&lt;&gt;"",E798&lt;&gt;""),ROUND(E798,0),"")</f>
        <v/>
      </c>
      <c r="G798" s="2" t="str">
        <f>IF(A798&lt;&gt;"",VLOOKUP(Alunos!A798,Recurso!A3:C1000,3, FALSE),"")</f>
        <v/>
      </c>
      <c r="H798" s="2" t="str">
        <f>IF(OR(A798&lt;&gt;"",G798&lt;&gt;""), SUMIFS(B798:G798,B1:G1,"&lt;&gt;",B2:G2,"&lt;&gt;Exame",B2:G2,"&lt;&gt;exame",B2:G2,"&lt;&gt;Nota",B2:G2,"&lt;&gt;Total"),"")</f>
        <v/>
      </c>
      <c r="I798" s="2" t="str">
        <f>IF(AND(A798&lt;&gt;"",H798&lt;&gt;""),ROUND(H798,0),"")</f>
        <v/>
      </c>
    </row>
    <row r="799" spans="2:9" x14ac:dyDescent="0.3">
      <c r="B799" s="2" t="str">
        <f>IF(A799&lt;&gt;"",VLOOKUP(Alunos!A799,Exame!A3:C1000,3, FALSE),"")</f>
        <v/>
      </c>
      <c r="C799" s="2" t="str">
        <f>IF(A799&lt;&gt;"",VLOOKUP(Alunos!A799,Agrupamentos!A3:B1000,2, FALSE),"")</f>
        <v/>
      </c>
      <c r="D799" s="2" t="str">
        <f>IF(A799&lt;&gt;"",VLOOKUP(Alunos!C799,'TP1'!A3:C1000,3, FALSE),"")</f>
        <v/>
      </c>
      <c r="E799" s="2" t="str">
        <f>IF(A799&lt;&gt;"", SUMIF(B1:D1,"&lt;&gt;",B799:D799),"")</f>
        <v/>
      </c>
      <c r="F799" s="2" t="str">
        <f>IF(AND(A799&lt;&gt;"",E799&lt;&gt;""),ROUND(E799,0),"")</f>
        <v/>
      </c>
      <c r="G799" s="2" t="str">
        <f>IF(A799&lt;&gt;"",VLOOKUP(Alunos!A799,Recurso!A3:C1000,3, FALSE),"")</f>
        <v/>
      </c>
      <c r="H799" s="2" t="str">
        <f>IF(OR(A799&lt;&gt;"",G799&lt;&gt;""), SUMIFS(B799:G799,B1:G1,"&lt;&gt;",B2:G2,"&lt;&gt;Exame",B2:G2,"&lt;&gt;exame",B2:G2,"&lt;&gt;Nota",B2:G2,"&lt;&gt;Total"),"")</f>
        <v/>
      </c>
      <c r="I799" s="2" t="str">
        <f>IF(AND(A799&lt;&gt;"",H799&lt;&gt;""),ROUND(H799,0),"")</f>
        <v/>
      </c>
    </row>
    <row r="800" spans="2:9" x14ac:dyDescent="0.3">
      <c r="B800" s="2" t="str">
        <f>IF(A800&lt;&gt;"",VLOOKUP(Alunos!A800,Exame!A3:C1000,3, FALSE),"")</f>
        <v/>
      </c>
      <c r="C800" s="2" t="str">
        <f>IF(A800&lt;&gt;"",VLOOKUP(Alunos!A800,Agrupamentos!A3:B1000,2, FALSE),"")</f>
        <v/>
      </c>
      <c r="D800" s="2" t="str">
        <f>IF(A800&lt;&gt;"",VLOOKUP(Alunos!C800,'TP1'!A3:C1000,3, FALSE),"")</f>
        <v/>
      </c>
      <c r="E800" s="2" t="str">
        <f>IF(A800&lt;&gt;"", SUMIF(B1:D1,"&lt;&gt;",B800:D800),"")</f>
        <v/>
      </c>
      <c r="F800" s="2" t="str">
        <f>IF(AND(A800&lt;&gt;"",E800&lt;&gt;""),ROUND(E800,0),"")</f>
        <v/>
      </c>
      <c r="G800" s="2" t="str">
        <f>IF(A800&lt;&gt;"",VLOOKUP(Alunos!A800,Recurso!A3:C1000,3, FALSE),"")</f>
        <v/>
      </c>
      <c r="H800" s="2" t="str">
        <f>IF(OR(A800&lt;&gt;"",G800&lt;&gt;""), SUMIFS(B800:G800,B1:G1,"&lt;&gt;",B2:G2,"&lt;&gt;Exame",B2:G2,"&lt;&gt;exame",B2:G2,"&lt;&gt;Nota",B2:G2,"&lt;&gt;Total"),"")</f>
        <v/>
      </c>
      <c r="I800" s="2" t="str">
        <f>IF(AND(A800&lt;&gt;"",H800&lt;&gt;""),ROUND(H800,0),"")</f>
        <v/>
      </c>
    </row>
    <row r="801" spans="2:9" x14ac:dyDescent="0.3">
      <c r="B801" s="2" t="str">
        <f>IF(A801&lt;&gt;"",VLOOKUP(Alunos!A801,Exame!A3:C1000,3, FALSE),"")</f>
        <v/>
      </c>
      <c r="C801" s="2" t="str">
        <f>IF(A801&lt;&gt;"",VLOOKUP(Alunos!A801,Agrupamentos!A3:B1000,2, FALSE),"")</f>
        <v/>
      </c>
      <c r="D801" s="2" t="str">
        <f>IF(A801&lt;&gt;"",VLOOKUP(Alunos!C801,'TP1'!A3:C1000,3, FALSE),"")</f>
        <v/>
      </c>
      <c r="E801" s="2" t="str">
        <f>IF(A801&lt;&gt;"", SUMIF(B1:D1,"&lt;&gt;",B801:D801),"")</f>
        <v/>
      </c>
      <c r="F801" s="2" t="str">
        <f>IF(AND(A801&lt;&gt;"",E801&lt;&gt;""),ROUND(E801,0),"")</f>
        <v/>
      </c>
      <c r="G801" s="2" t="str">
        <f>IF(A801&lt;&gt;"",VLOOKUP(Alunos!A801,Recurso!A3:C1000,3, FALSE),"")</f>
        <v/>
      </c>
      <c r="H801" s="2" t="str">
        <f>IF(OR(A801&lt;&gt;"",G801&lt;&gt;""), SUMIFS(B801:G801,B1:G1,"&lt;&gt;",B2:G2,"&lt;&gt;Exame",B2:G2,"&lt;&gt;exame",B2:G2,"&lt;&gt;Nota",B2:G2,"&lt;&gt;Total"),"")</f>
        <v/>
      </c>
      <c r="I801" s="2" t="str">
        <f>IF(AND(A801&lt;&gt;"",H801&lt;&gt;""),ROUND(H801,0),"")</f>
        <v/>
      </c>
    </row>
    <row r="802" spans="2:9" x14ac:dyDescent="0.3">
      <c r="B802" s="2" t="str">
        <f>IF(A802&lt;&gt;"",VLOOKUP(Alunos!A802,Exame!A3:C1000,3, FALSE),"")</f>
        <v/>
      </c>
      <c r="C802" s="2" t="str">
        <f>IF(A802&lt;&gt;"",VLOOKUP(Alunos!A802,Agrupamentos!A3:B1000,2, FALSE),"")</f>
        <v/>
      </c>
      <c r="D802" s="2" t="str">
        <f>IF(A802&lt;&gt;"",VLOOKUP(Alunos!C802,'TP1'!A3:C1000,3, FALSE),"")</f>
        <v/>
      </c>
      <c r="E802" s="2" t="str">
        <f>IF(A802&lt;&gt;"", SUMIF(B1:D1,"&lt;&gt;",B802:D802),"")</f>
        <v/>
      </c>
      <c r="F802" s="2" t="str">
        <f>IF(AND(A802&lt;&gt;"",E802&lt;&gt;""),ROUND(E802,0),"")</f>
        <v/>
      </c>
      <c r="G802" s="2" t="str">
        <f>IF(A802&lt;&gt;"",VLOOKUP(Alunos!A802,Recurso!A3:C1000,3, FALSE),"")</f>
        <v/>
      </c>
      <c r="H802" s="2" t="str">
        <f>IF(OR(A802&lt;&gt;"",G802&lt;&gt;""), SUMIFS(B802:G802,B1:G1,"&lt;&gt;",B2:G2,"&lt;&gt;Exame",B2:G2,"&lt;&gt;exame",B2:G2,"&lt;&gt;Nota",B2:G2,"&lt;&gt;Total"),"")</f>
        <v/>
      </c>
      <c r="I802" s="2" t="str">
        <f>IF(AND(A802&lt;&gt;"",H802&lt;&gt;""),ROUND(H802,0),"")</f>
        <v/>
      </c>
    </row>
    <row r="803" spans="2:9" x14ac:dyDescent="0.3">
      <c r="B803" s="2" t="str">
        <f>IF(A803&lt;&gt;"",VLOOKUP(Alunos!A803,Exame!A3:C1000,3, FALSE),"")</f>
        <v/>
      </c>
      <c r="C803" s="2" t="str">
        <f>IF(A803&lt;&gt;"",VLOOKUP(Alunos!A803,Agrupamentos!A3:B1000,2, FALSE),"")</f>
        <v/>
      </c>
      <c r="D803" s="2" t="str">
        <f>IF(A803&lt;&gt;"",VLOOKUP(Alunos!C803,'TP1'!A3:C1000,3, FALSE),"")</f>
        <v/>
      </c>
      <c r="E803" s="2" t="str">
        <f>IF(A803&lt;&gt;"", SUMIF(B1:D1,"&lt;&gt;",B803:D803),"")</f>
        <v/>
      </c>
      <c r="F803" s="2" t="str">
        <f>IF(AND(A803&lt;&gt;"",E803&lt;&gt;""),ROUND(E803,0),"")</f>
        <v/>
      </c>
      <c r="G803" s="2" t="str">
        <f>IF(A803&lt;&gt;"",VLOOKUP(Alunos!A803,Recurso!A3:C1000,3, FALSE),"")</f>
        <v/>
      </c>
      <c r="H803" s="2" t="str">
        <f>IF(OR(A803&lt;&gt;"",G803&lt;&gt;""), SUMIFS(B803:G803,B1:G1,"&lt;&gt;",B2:G2,"&lt;&gt;Exame",B2:G2,"&lt;&gt;exame",B2:G2,"&lt;&gt;Nota",B2:G2,"&lt;&gt;Total"),"")</f>
        <v/>
      </c>
      <c r="I803" s="2" t="str">
        <f>IF(AND(A803&lt;&gt;"",H803&lt;&gt;""),ROUND(H803,0),"")</f>
        <v/>
      </c>
    </row>
    <row r="804" spans="2:9" x14ac:dyDescent="0.3">
      <c r="B804" s="2" t="str">
        <f>IF(A804&lt;&gt;"",VLOOKUP(Alunos!A804,Exame!A3:C1000,3, FALSE),"")</f>
        <v/>
      </c>
      <c r="C804" s="2" t="str">
        <f>IF(A804&lt;&gt;"",VLOOKUP(Alunos!A804,Agrupamentos!A3:B1000,2, FALSE),"")</f>
        <v/>
      </c>
      <c r="D804" s="2" t="str">
        <f>IF(A804&lt;&gt;"",VLOOKUP(Alunos!C804,'TP1'!A3:C1000,3, FALSE),"")</f>
        <v/>
      </c>
      <c r="E804" s="2" t="str">
        <f>IF(A804&lt;&gt;"", SUMIF(B1:D1,"&lt;&gt;",B804:D804),"")</f>
        <v/>
      </c>
      <c r="F804" s="2" t="str">
        <f>IF(AND(A804&lt;&gt;"",E804&lt;&gt;""),ROUND(E804,0),"")</f>
        <v/>
      </c>
      <c r="G804" s="2" t="str">
        <f>IF(A804&lt;&gt;"",VLOOKUP(Alunos!A804,Recurso!A3:C1000,3, FALSE),"")</f>
        <v/>
      </c>
      <c r="H804" s="2" t="str">
        <f>IF(OR(A804&lt;&gt;"",G804&lt;&gt;""), SUMIFS(B804:G804,B1:G1,"&lt;&gt;",B2:G2,"&lt;&gt;Exame",B2:G2,"&lt;&gt;exame",B2:G2,"&lt;&gt;Nota",B2:G2,"&lt;&gt;Total"),"")</f>
        <v/>
      </c>
      <c r="I804" s="2" t="str">
        <f>IF(AND(A804&lt;&gt;"",H804&lt;&gt;""),ROUND(H804,0),"")</f>
        <v/>
      </c>
    </row>
    <row r="805" spans="2:9" x14ac:dyDescent="0.3">
      <c r="B805" s="2" t="str">
        <f>IF(A805&lt;&gt;"",VLOOKUP(Alunos!A805,Exame!A3:C1000,3, FALSE),"")</f>
        <v/>
      </c>
      <c r="C805" s="2" t="str">
        <f>IF(A805&lt;&gt;"",VLOOKUP(Alunos!A805,Agrupamentos!A3:B1000,2, FALSE),"")</f>
        <v/>
      </c>
      <c r="D805" s="2" t="str">
        <f>IF(A805&lt;&gt;"",VLOOKUP(Alunos!C805,'TP1'!A3:C1000,3, FALSE),"")</f>
        <v/>
      </c>
      <c r="E805" s="2" t="str">
        <f>IF(A805&lt;&gt;"", SUMIF(B1:D1,"&lt;&gt;",B805:D805),"")</f>
        <v/>
      </c>
      <c r="F805" s="2" t="str">
        <f>IF(AND(A805&lt;&gt;"",E805&lt;&gt;""),ROUND(E805,0),"")</f>
        <v/>
      </c>
      <c r="G805" s="2" t="str">
        <f>IF(A805&lt;&gt;"",VLOOKUP(Alunos!A805,Recurso!A3:C1000,3, FALSE),"")</f>
        <v/>
      </c>
      <c r="H805" s="2" t="str">
        <f>IF(OR(A805&lt;&gt;"",G805&lt;&gt;""), SUMIFS(B805:G805,B1:G1,"&lt;&gt;",B2:G2,"&lt;&gt;Exame",B2:G2,"&lt;&gt;exame",B2:G2,"&lt;&gt;Nota",B2:G2,"&lt;&gt;Total"),"")</f>
        <v/>
      </c>
      <c r="I805" s="2" t="str">
        <f>IF(AND(A805&lt;&gt;"",H805&lt;&gt;""),ROUND(H805,0),"")</f>
        <v/>
      </c>
    </row>
    <row r="806" spans="2:9" x14ac:dyDescent="0.3">
      <c r="B806" s="2" t="str">
        <f>IF(A806&lt;&gt;"",VLOOKUP(Alunos!A806,Exame!A3:C1000,3, FALSE),"")</f>
        <v/>
      </c>
      <c r="C806" s="2" t="str">
        <f>IF(A806&lt;&gt;"",VLOOKUP(Alunos!A806,Agrupamentos!A3:B1000,2, FALSE),"")</f>
        <v/>
      </c>
      <c r="D806" s="2" t="str">
        <f>IF(A806&lt;&gt;"",VLOOKUP(Alunos!C806,'TP1'!A3:C1000,3, FALSE),"")</f>
        <v/>
      </c>
      <c r="E806" s="2" t="str">
        <f>IF(A806&lt;&gt;"", SUMIF(B1:D1,"&lt;&gt;",B806:D806),"")</f>
        <v/>
      </c>
      <c r="F806" s="2" t="str">
        <f>IF(AND(A806&lt;&gt;"",E806&lt;&gt;""),ROUND(E806,0),"")</f>
        <v/>
      </c>
      <c r="G806" s="2" t="str">
        <f>IF(A806&lt;&gt;"",VLOOKUP(Alunos!A806,Recurso!A3:C1000,3, FALSE),"")</f>
        <v/>
      </c>
      <c r="H806" s="2" t="str">
        <f>IF(OR(A806&lt;&gt;"",G806&lt;&gt;""), SUMIFS(B806:G806,B1:G1,"&lt;&gt;",B2:G2,"&lt;&gt;Exame",B2:G2,"&lt;&gt;exame",B2:G2,"&lt;&gt;Nota",B2:G2,"&lt;&gt;Total"),"")</f>
        <v/>
      </c>
      <c r="I806" s="2" t="str">
        <f>IF(AND(A806&lt;&gt;"",H806&lt;&gt;""),ROUND(H806,0),"")</f>
        <v/>
      </c>
    </row>
    <row r="807" spans="2:9" x14ac:dyDescent="0.3">
      <c r="B807" s="2" t="str">
        <f>IF(A807&lt;&gt;"",VLOOKUP(Alunos!A807,Exame!A3:C1000,3, FALSE),"")</f>
        <v/>
      </c>
      <c r="C807" s="2" t="str">
        <f>IF(A807&lt;&gt;"",VLOOKUP(Alunos!A807,Agrupamentos!A3:B1000,2, FALSE),"")</f>
        <v/>
      </c>
      <c r="D807" s="2" t="str">
        <f>IF(A807&lt;&gt;"",VLOOKUP(Alunos!C807,'TP1'!A3:C1000,3, FALSE),"")</f>
        <v/>
      </c>
      <c r="E807" s="2" t="str">
        <f>IF(A807&lt;&gt;"", SUMIF(B1:D1,"&lt;&gt;",B807:D807),"")</f>
        <v/>
      </c>
      <c r="F807" s="2" t="str">
        <f>IF(AND(A807&lt;&gt;"",E807&lt;&gt;""),ROUND(E807,0),"")</f>
        <v/>
      </c>
      <c r="G807" s="2" t="str">
        <f>IF(A807&lt;&gt;"",VLOOKUP(Alunos!A807,Recurso!A3:C1000,3, FALSE),"")</f>
        <v/>
      </c>
      <c r="H807" s="2" t="str">
        <f>IF(OR(A807&lt;&gt;"",G807&lt;&gt;""), SUMIFS(B807:G807,B1:G1,"&lt;&gt;",B2:G2,"&lt;&gt;Exame",B2:G2,"&lt;&gt;exame",B2:G2,"&lt;&gt;Nota",B2:G2,"&lt;&gt;Total"),"")</f>
        <v/>
      </c>
      <c r="I807" s="2" t="str">
        <f>IF(AND(A807&lt;&gt;"",H807&lt;&gt;""),ROUND(H807,0),"")</f>
        <v/>
      </c>
    </row>
    <row r="808" spans="2:9" x14ac:dyDescent="0.3">
      <c r="B808" s="2" t="str">
        <f>IF(A808&lt;&gt;"",VLOOKUP(Alunos!A808,Exame!A3:C1000,3, FALSE),"")</f>
        <v/>
      </c>
      <c r="C808" s="2" t="str">
        <f>IF(A808&lt;&gt;"",VLOOKUP(Alunos!A808,Agrupamentos!A3:B1000,2, FALSE),"")</f>
        <v/>
      </c>
      <c r="D808" s="2" t="str">
        <f>IF(A808&lt;&gt;"",VLOOKUP(Alunos!C808,'TP1'!A3:C1000,3, FALSE),"")</f>
        <v/>
      </c>
      <c r="E808" s="2" t="str">
        <f>IF(A808&lt;&gt;"", SUMIF(B1:D1,"&lt;&gt;",B808:D808),"")</f>
        <v/>
      </c>
      <c r="F808" s="2" t="str">
        <f>IF(AND(A808&lt;&gt;"",E808&lt;&gt;""),ROUND(E808,0),"")</f>
        <v/>
      </c>
      <c r="G808" s="2" t="str">
        <f>IF(A808&lt;&gt;"",VLOOKUP(Alunos!A808,Recurso!A3:C1000,3, FALSE),"")</f>
        <v/>
      </c>
      <c r="H808" s="2" t="str">
        <f>IF(OR(A808&lt;&gt;"",G808&lt;&gt;""), SUMIFS(B808:G808,B1:G1,"&lt;&gt;",B2:G2,"&lt;&gt;Exame",B2:G2,"&lt;&gt;exame",B2:G2,"&lt;&gt;Nota",B2:G2,"&lt;&gt;Total"),"")</f>
        <v/>
      </c>
      <c r="I808" s="2" t="str">
        <f>IF(AND(A808&lt;&gt;"",H808&lt;&gt;""),ROUND(H808,0),"")</f>
        <v/>
      </c>
    </row>
    <row r="809" spans="2:9" x14ac:dyDescent="0.3">
      <c r="B809" s="2" t="str">
        <f>IF(A809&lt;&gt;"",VLOOKUP(Alunos!A809,Exame!A3:C1000,3, FALSE),"")</f>
        <v/>
      </c>
      <c r="C809" s="2" t="str">
        <f>IF(A809&lt;&gt;"",VLOOKUP(Alunos!A809,Agrupamentos!A3:B1000,2, FALSE),"")</f>
        <v/>
      </c>
      <c r="D809" s="2" t="str">
        <f>IF(A809&lt;&gt;"",VLOOKUP(Alunos!C809,'TP1'!A3:C1000,3, FALSE),"")</f>
        <v/>
      </c>
      <c r="E809" s="2" t="str">
        <f>IF(A809&lt;&gt;"", SUMIF(B1:D1,"&lt;&gt;",B809:D809),"")</f>
        <v/>
      </c>
      <c r="F809" s="2" t="str">
        <f>IF(AND(A809&lt;&gt;"",E809&lt;&gt;""),ROUND(E809,0),"")</f>
        <v/>
      </c>
      <c r="G809" s="2" t="str">
        <f>IF(A809&lt;&gt;"",VLOOKUP(Alunos!A809,Recurso!A3:C1000,3, FALSE),"")</f>
        <v/>
      </c>
      <c r="H809" s="2" t="str">
        <f>IF(OR(A809&lt;&gt;"",G809&lt;&gt;""), SUMIFS(B809:G809,B1:G1,"&lt;&gt;",B2:G2,"&lt;&gt;Exame",B2:G2,"&lt;&gt;exame",B2:G2,"&lt;&gt;Nota",B2:G2,"&lt;&gt;Total"),"")</f>
        <v/>
      </c>
      <c r="I809" s="2" t="str">
        <f>IF(AND(A809&lt;&gt;"",H809&lt;&gt;""),ROUND(H809,0),"")</f>
        <v/>
      </c>
    </row>
    <row r="810" spans="2:9" x14ac:dyDescent="0.3">
      <c r="B810" s="2" t="str">
        <f>IF(A810&lt;&gt;"",VLOOKUP(Alunos!A810,Exame!A3:C1000,3, FALSE),"")</f>
        <v/>
      </c>
      <c r="C810" s="2" t="str">
        <f>IF(A810&lt;&gt;"",VLOOKUP(Alunos!A810,Agrupamentos!A3:B1000,2, FALSE),"")</f>
        <v/>
      </c>
      <c r="D810" s="2" t="str">
        <f>IF(A810&lt;&gt;"",VLOOKUP(Alunos!C810,'TP1'!A3:C1000,3, FALSE),"")</f>
        <v/>
      </c>
      <c r="E810" s="2" t="str">
        <f>IF(A810&lt;&gt;"", SUMIF(B1:D1,"&lt;&gt;",B810:D810),"")</f>
        <v/>
      </c>
      <c r="F810" s="2" t="str">
        <f>IF(AND(A810&lt;&gt;"",E810&lt;&gt;""),ROUND(E810,0),"")</f>
        <v/>
      </c>
      <c r="G810" s="2" t="str">
        <f>IF(A810&lt;&gt;"",VLOOKUP(Alunos!A810,Recurso!A3:C1000,3, FALSE),"")</f>
        <v/>
      </c>
      <c r="H810" s="2" t="str">
        <f>IF(OR(A810&lt;&gt;"",G810&lt;&gt;""), SUMIFS(B810:G810,B1:G1,"&lt;&gt;",B2:G2,"&lt;&gt;Exame",B2:G2,"&lt;&gt;exame",B2:G2,"&lt;&gt;Nota",B2:G2,"&lt;&gt;Total"),"")</f>
        <v/>
      </c>
      <c r="I810" s="2" t="str">
        <f>IF(AND(A810&lt;&gt;"",H810&lt;&gt;""),ROUND(H810,0),"")</f>
        <v/>
      </c>
    </row>
    <row r="811" spans="2:9" x14ac:dyDescent="0.3">
      <c r="B811" s="2" t="str">
        <f>IF(A811&lt;&gt;"",VLOOKUP(Alunos!A811,Exame!A3:C1000,3, FALSE),"")</f>
        <v/>
      </c>
      <c r="C811" s="2" t="str">
        <f>IF(A811&lt;&gt;"",VLOOKUP(Alunos!A811,Agrupamentos!A3:B1000,2, FALSE),"")</f>
        <v/>
      </c>
      <c r="D811" s="2" t="str">
        <f>IF(A811&lt;&gt;"",VLOOKUP(Alunos!C811,'TP1'!A3:C1000,3, FALSE),"")</f>
        <v/>
      </c>
      <c r="E811" s="2" t="str">
        <f>IF(A811&lt;&gt;"", SUMIF(B1:D1,"&lt;&gt;",B811:D811),"")</f>
        <v/>
      </c>
      <c r="F811" s="2" t="str">
        <f>IF(AND(A811&lt;&gt;"",E811&lt;&gt;""),ROUND(E811,0),"")</f>
        <v/>
      </c>
      <c r="G811" s="2" t="str">
        <f>IF(A811&lt;&gt;"",VLOOKUP(Alunos!A811,Recurso!A3:C1000,3, FALSE),"")</f>
        <v/>
      </c>
      <c r="H811" s="2" t="str">
        <f>IF(OR(A811&lt;&gt;"",G811&lt;&gt;""), SUMIFS(B811:G811,B1:G1,"&lt;&gt;",B2:G2,"&lt;&gt;Exame",B2:G2,"&lt;&gt;exame",B2:G2,"&lt;&gt;Nota",B2:G2,"&lt;&gt;Total"),"")</f>
        <v/>
      </c>
      <c r="I811" s="2" t="str">
        <f>IF(AND(A811&lt;&gt;"",H811&lt;&gt;""),ROUND(H811,0),"")</f>
        <v/>
      </c>
    </row>
    <row r="812" spans="2:9" x14ac:dyDescent="0.3">
      <c r="B812" s="2" t="str">
        <f>IF(A812&lt;&gt;"",VLOOKUP(Alunos!A812,Exame!A3:C1000,3, FALSE),"")</f>
        <v/>
      </c>
      <c r="C812" s="2" t="str">
        <f>IF(A812&lt;&gt;"",VLOOKUP(Alunos!A812,Agrupamentos!A3:B1000,2, FALSE),"")</f>
        <v/>
      </c>
      <c r="D812" s="2" t="str">
        <f>IF(A812&lt;&gt;"",VLOOKUP(Alunos!C812,'TP1'!A3:C1000,3, FALSE),"")</f>
        <v/>
      </c>
      <c r="E812" s="2" t="str">
        <f>IF(A812&lt;&gt;"", SUMIF(B1:D1,"&lt;&gt;",B812:D812),"")</f>
        <v/>
      </c>
      <c r="F812" s="2" t="str">
        <f>IF(AND(A812&lt;&gt;"",E812&lt;&gt;""),ROUND(E812,0),"")</f>
        <v/>
      </c>
      <c r="G812" s="2" t="str">
        <f>IF(A812&lt;&gt;"",VLOOKUP(Alunos!A812,Recurso!A3:C1000,3, FALSE),"")</f>
        <v/>
      </c>
      <c r="H812" s="2" t="str">
        <f>IF(OR(A812&lt;&gt;"",G812&lt;&gt;""), SUMIFS(B812:G812,B1:G1,"&lt;&gt;",B2:G2,"&lt;&gt;Exame",B2:G2,"&lt;&gt;exame",B2:G2,"&lt;&gt;Nota",B2:G2,"&lt;&gt;Total"),"")</f>
        <v/>
      </c>
      <c r="I812" s="2" t="str">
        <f>IF(AND(A812&lt;&gt;"",H812&lt;&gt;""),ROUND(H812,0),"")</f>
        <v/>
      </c>
    </row>
    <row r="813" spans="2:9" x14ac:dyDescent="0.3">
      <c r="B813" s="2" t="str">
        <f>IF(A813&lt;&gt;"",VLOOKUP(Alunos!A813,Exame!A3:C1000,3, FALSE),"")</f>
        <v/>
      </c>
      <c r="C813" s="2" t="str">
        <f>IF(A813&lt;&gt;"",VLOOKUP(Alunos!A813,Agrupamentos!A3:B1000,2, FALSE),"")</f>
        <v/>
      </c>
      <c r="D813" s="2" t="str">
        <f>IF(A813&lt;&gt;"",VLOOKUP(Alunos!C813,'TP1'!A3:C1000,3, FALSE),"")</f>
        <v/>
      </c>
      <c r="E813" s="2" t="str">
        <f>IF(A813&lt;&gt;"", SUMIF(B1:D1,"&lt;&gt;",B813:D813),"")</f>
        <v/>
      </c>
      <c r="F813" s="2" t="str">
        <f>IF(AND(A813&lt;&gt;"",E813&lt;&gt;""),ROUND(E813,0),"")</f>
        <v/>
      </c>
      <c r="G813" s="2" t="str">
        <f>IF(A813&lt;&gt;"",VLOOKUP(Alunos!A813,Recurso!A3:C1000,3, FALSE),"")</f>
        <v/>
      </c>
      <c r="H813" s="2" t="str">
        <f>IF(OR(A813&lt;&gt;"",G813&lt;&gt;""), SUMIFS(B813:G813,B1:G1,"&lt;&gt;",B2:G2,"&lt;&gt;Exame",B2:G2,"&lt;&gt;exame",B2:G2,"&lt;&gt;Nota",B2:G2,"&lt;&gt;Total"),"")</f>
        <v/>
      </c>
      <c r="I813" s="2" t="str">
        <f>IF(AND(A813&lt;&gt;"",H813&lt;&gt;""),ROUND(H813,0),"")</f>
        <v/>
      </c>
    </row>
    <row r="814" spans="2:9" x14ac:dyDescent="0.3">
      <c r="B814" s="2" t="str">
        <f>IF(A814&lt;&gt;"",VLOOKUP(Alunos!A814,Exame!A3:C1000,3, FALSE),"")</f>
        <v/>
      </c>
      <c r="C814" s="2" t="str">
        <f>IF(A814&lt;&gt;"",VLOOKUP(Alunos!A814,Agrupamentos!A3:B1000,2, FALSE),"")</f>
        <v/>
      </c>
      <c r="D814" s="2" t="str">
        <f>IF(A814&lt;&gt;"",VLOOKUP(Alunos!C814,'TP1'!A3:C1000,3, FALSE),"")</f>
        <v/>
      </c>
      <c r="E814" s="2" t="str">
        <f>IF(A814&lt;&gt;"", SUMIF(B1:D1,"&lt;&gt;",B814:D814),"")</f>
        <v/>
      </c>
      <c r="F814" s="2" t="str">
        <f>IF(AND(A814&lt;&gt;"",E814&lt;&gt;""),ROUND(E814,0),"")</f>
        <v/>
      </c>
      <c r="G814" s="2" t="str">
        <f>IF(A814&lt;&gt;"",VLOOKUP(Alunos!A814,Recurso!A3:C1000,3, FALSE),"")</f>
        <v/>
      </c>
      <c r="H814" s="2" t="str">
        <f>IF(OR(A814&lt;&gt;"",G814&lt;&gt;""), SUMIFS(B814:G814,B1:G1,"&lt;&gt;",B2:G2,"&lt;&gt;Exame",B2:G2,"&lt;&gt;exame",B2:G2,"&lt;&gt;Nota",B2:G2,"&lt;&gt;Total"),"")</f>
        <v/>
      </c>
      <c r="I814" s="2" t="str">
        <f>IF(AND(A814&lt;&gt;"",H814&lt;&gt;""),ROUND(H814,0),"")</f>
        <v/>
      </c>
    </row>
    <row r="815" spans="2:9" x14ac:dyDescent="0.3">
      <c r="B815" s="2" t="str">
        <f>IF(A815&lt;&gt;"",VLOOKUP(Alunos!A815,Exame!A3:C1000,3, FALSE),"")</f>
        <v/>
      </c>
      <c r="C815" s="2" t="str">
        <f>IF(A815&lt;&gt;"",VLOOKUP(Alunos!A815,Agrupamentos!A3:B1000,2, FALSE),"")</f>
        <v/>
      </c>
      <c r="D815" s="2" t="str">
        <f>IF(A815&lt;&gt;"",VLOOKUP(Alunos!C815,'TP1'!A3:C1000,3, FALSE),"")</f>
        <v/>
      </c>
      <c r="E815" s="2" t="str">
        <f>IF(A815&lt;&gt;"", SUMIF(B1:D1,"&lt;&gt;",B815:D815),"")</f>
        <v/>
      </c>
      <c r="F815" s="2" t="str">
        <f>IF(AND(A815&lt;&gt;"",E815&lt;&gt;""),ROUND(E815,0),"")</f>
        <v/>
      </c>
      <c r="G815" s="2" t="str">
        <f>IF(A815&lt;&gt;"",VLOOKUP(Alunos!A815,Recurso!A3:C1000,3, FALSE),"")</f>
        <v/>
      </c>
      <c r="H815" s="2" t="str">
        <f>IF(OR(A815&lt;&gt;"",G815&lt;&gt;""), SUMIFS(B815:G815,B1:G1,"&lt;&gt;",B2:G2,"&lt;&gt;Exame",B2:G2,"&lt;&gt;exame",B2:G2,"&lt;&gt;Nota",B2:G2,"&lt;&gt;Total"),"")</f>
        <v/>
      </c>
      <c r="I815" s="2" t="str">
        <f>IF(AND(A815&lt;&gt;"",H815&lt;&gt;""),ROUND(H815,0),"")</f>
        <v/>
      </c>
    </row>
    <row r="816" spans="2:9" x14ac:dyDescent="0.3">
      <c r="B816" s="2" t="str">
        <f>IF(A816&lt;&gt;"",VLOOKUP(Alunos!A816,Exame!A3:C1000,3, FALSE),"")</f>
        <v/>
      </c>
      <c r="C816" s="2" t="str">
        <f>IF(A816&lt;&gt;"",VLOOKUP(Alunos!A816,Agrupamentos!A3:B1000,2, FALSE),"")</f>
        <v/>
      </c>
      <c r="D816" s="2" t="str">
        <f>IF(A816&lt;&gt;"",VLOOKUP(Alunos!C816,'TP1'!A3:C1000,3, FALSE),"")</f>
        <v/>
      </c>
      <c r="E816" s="2" t="str">
        <f>IF(A816&lt;&gt;"", SUMIF(B1:D1,"&lt;&gt;",B816:D816),"")</f>
        <v/>
      </c>
      <c r="F816" s="2" t="str">
        <f>IF(AND(A816&lt;&gt;"",E816&lt;&gt;""),ROUND(E816,0),"")</f>
        <v/>
      </c>
      <c r="G816" s="2" t="str">
        <f>IF(A816&lt;&gt;"",VLOOKUP(Alunos!A816,Recurso!A3:C1000,3, FALSE),"")</f>
        <v/>
      </c>
      <c r="H816" s="2" t="str">
        <f>IF(OR(A816&lt;&gt;"",G816&lt;&gt;""), SUMIFS(B816:G816,B1:G1,"&lt;&gt;",B2:G2,"&lt;&gt;Exame",B2:G2,"&lt;&gt;exame",B2:G2,"&lt;&gt;Nota",B2:G2,"&lt;&gt;Total"),"")</f>
        <v/>
      </c>
      <c r="I816" s="2" t="str">
        <f>IF(AND(A816&lt;&gt;"",H816&lt;&gt;""),ROUND(H816,0),"")</f>
        <v/>
      </c>
    </row>
    <row r="817" spans="2:9" x14ac:dyDescent="0.3">
      <c r="B817" s="2" t="str">
        <f>IF(A817&lt;&gt;"",VLOOKUP(Alunos!A817,Exame!A3:C1000,3, FALSE),"")</f>
        <v/>
      </c>
      <c r="C817" s="2" t="str">
        <f>IF(A817&lt;&gt;"",VLOOKUP(Alunos!A817,Agrupamentos!A3:B1000,2, FALSE),"")</f>
        <v/>
      </c>
      <c r="D817" s="2" t="str">
        <f>IF(A817&lt;&gt;"",VLOOKUP(Alunos!C817,'TP1'!A3:C1000,3, FALSE),"")</f>
        <v/>
      </c>
      <c r="E817" s="2" t="str">
        <f>IF(A817&lt;&gt;"", SUMIF(B1:D1,"&lt;&gt;",B817:D817),"")</f>
        <v/>
      </c>
      <c r="F817" s="2" t="str">
        <f>IF(AND(A817&lt;&gt;"",E817&lt;&gt;""),ROUND(E817,0),"")</f>
        <v/>
      </c>
      <c r="G817" s="2" t="str">
        <f>IF(A817&lt;&gt;"",VLOOKUP(Alunos!A817,Recurso!A3:C1000,3, FALSE),"")</f>
        <v/>
      </c>
      <c r="H817" s="2" t="str">
        <f>IF(OR(A817&lt;&gt;"",G817&lt;&gt;""), SUMIFS(B817:G817,B1:G1,"&lt;&gt;",B2:G2,"&lt;&gt;Exame",B2:G2,"&lt;&gt;exame",B2:G2,"&lt;&gt;Nota",B2:G2,"&lt;&gt;Total"),"")</f>
        <v/>
      </c>
      <c r="I817" s="2" t="str">
        <f>IF(AND(A817&lt;&gt;"",H817&lt;&gt;""),ROUND(H817,0),"")</f>
        <v/>
      </c>
    </row>
    <row r="818" spans="2:9" x14ac:dyDescent="0.3">
      <c r="B818" s="2" t="str">
        <f>IF(A818&lt;&gt;"",VLOOKUP(Alunos!A818,Exame!A3:C1000,3, FALSE),"")</f>
        <v/>
      </c>
      <c r="C818" s="2" t="str">
        <f>IF(A818&lt;&gt;"",VLOOKUP(Alunos!A818,Agrupamentos!A3:B1000,2, FALSE),"")</f>
        <v/>
      </c>
      <c r="D818" s="2" t="str">
        <f>IF(A818&lt;&gt;"",VLOOKUP(Alunos!C818,'TP1'!A3:C1000,3, FALSE),"")</f>
        <v/>
      </c>
      <c r="E818" s="2" t="str">
        <f>IF(A818&lt;&gt;"", SUMIF(B1:D1,"&lt;&gt;",B818:D818),"")</f>
        <v/>
      </c>
      <c r="F818" s="2" t="str">
        <f>IF(AND(A818&lt;&gt;"",E818&lt;&gt;""),ROUND(E818,0),"")</f>
        <v/>
      </c>
      <c r="G818" s="2" t="str">
        <f>IF(A818&lt;&gt;"",VLOOKUP(Alunos!A818,Recurso!A3:C1000,3, FALSE),"")</f>
        <v/>
      </c>
      <c r="H818" s="2" t="str">
        <f>IF(OR(A818&lt;&gt;"",G818&lt;&gt;""), SUMIFS(B818:G818,B1:G1,"&lt;&gt;",B2:G2,"&lt;&gt;Exame",B2:G2,"&lt;&gt;exame",B2:G2,"&lt;&gt;Nota",B2:G2,"&lt;&gt;Total"),"")</f>
        <v/>
      </c>
      <c r="I818" s="2" t="str">
        <f>IF(AND(A818&lt;&gt;"",H818&lt;&gt;""),ROUND(H818,0),"")</f>
        <v/>
      </c>
    </row>
    <row r="819" spans="2:9" x14ac:dyDescent="0.3">
      <c r="B819" s="2" t="str">
        <f>IF(A819&lt;&gt;"",VLOOKUP(Alunos!A819,Exame!A3:C1000,3, FALSE),"")</f>
        <v/>
      </c>
      <c r="C819" s="2" t="str">
        <f>IF(A819&lt;&gt;"",VLOOKUP(Alunos!A819,Agrupamentos!A3:B1000,2, FALSE),"")</f>
        <v/>
      </c>
      <c r="D819" s="2" t="str">
        <f>IF(A819&lt;&gt;"",VLOOKUP(Alunos!C819,'TP1'!A3:C1000,3, FALSE),"")</f>
        <v/>
      </c>
      <c r="E819" s="2" t="str">
        <f>IF(A819&lt;&gt;"", SUMIF(B1:D1,"&lt;&gt;",B819:D819),"")</f>
        <v/>
      </c>
      <c r="F819" s="2" t="str">
        <f>IF(AND(A819&lt;&gt;"",E819&lt;&gt;""),ROUND(E819,0),"")</f>
        <v/>
      </c>
      <c r="G819" s="2" t="str">
        <f>IF(A819&lt;&gt;"",VLOOKUP(Alunos!A819,Recurso!A3:C1000,3, FALSE),"")</f>
        <v/>
      </c>
      <c r="H819" s="2" t="str">
        <f>IF(OR(A819&lt;&gt;"",G819&lt;&gt;""), SUMIFS(B819:G819,B1:G1,"&lt;&gt;",B2:G2,"&lt;&gt;Exame",B2:G2,"&lt;&gt;exame",B2:G2,"&lt;&gt;Nota",B2:G2,"&lt;&gt;Total"),"")</f>
        <v/>
      </c>
      <c r="I819" s="2" t="str">
        <f>IF(AND(A819&lt;&gt;"",H819&lt;&gt;""),ROUND(H819,0),"")</f>
        <v/>
      </c>
    </row>
    <row r="820" spans="2:9" x14ac:dyDescent="0.3">
      <c r="B820" s="2" t="str">
        <f>IF(A820&lt;&gt;"",VLOOKUP(Alunos!A820,Exame!A3:C1000,3, FALSE),"")</f>
        <v/>
      </c>
      <c r="C820" s="2" t="str">
        <f>IF(A820&lt;&gt;"",VLOOKUP(Alunos!A820,Agrupamentos!A3:B1000,2, FALSE),"")</f>
        <v/>
      </c>
      <c r="D820" s="2" t="str">
        <f>IF(A820&lt;&gt;"",VLOOKUP(Alunos!C820,'TP1'!A3:C1000,3, FALSE),"")</f>
        <v/>
      </c>
      <c r="E820" s="2" t="str">
        <f>IF(A820&lt;&gt;"", SUMIF(B1:D1,"&lt;&gt;",B820:D820),"")</f>
        <v/>
      </c>
      <c r="F820" s="2" t="str">
        <f>IF(AND(A820&lt;&gt;"",E820&lt;&gt;""),ROUND(E820,0),"")</f>
        <v/>
      </c>
      <c r="G820" s="2" t="str">
        <f>IF(A820&lt;&gt;"",VLOOKUP(Alunos!A820,Recurso!A3:C1000,3, FALSE),"")</f>
        <v/>
      </c>
      <c r="H820" s="2" t="str">
        <f>IF(OR(A820&lt;&gt;"",G820&lt;&gt;""), SUMIFS(B820:G820,B1:G1,"&lt;&gt;",B2:G2,"&lt;&gt;Exame",B2:G2,"&lt;&gt;exame",B2:G2,"&lt;&gt;Nota",B2:G2,"&lt;&gt;Total"),"")</f>
        <v/>
      </c>
      <c r="I820" s="2" t="str">
        <f>IF(AND(A820&lt;&gt;"",H820&lt;&gt;""),ROUND(H820,0),"")</f>
        <v/>
      </c>
    </row>
    <row r="821" spans="2:9" x14ac:dyDescent="0.3">
      <c r="B821" s="2" t="str">
        <f>IF(A821&lt;&gt;"",VLOOKUP(Alunos!A821,Exame!A3:C1000,3, FALSE),"")</f>
        <v/>
      </c>
      <c r="C821" s="2" t="str">
        <f>IF(A821&lt;&gt;"",VLOOKUP(Alunos!A821,Agrupamentos!A3:B1000,2, FALSE),"")</f>
        <v/>
      </c>
      <c r="D821" s="2" t="str">
        <f>IF(A821&lt;&gt;"",VLOOKUP(Alunos!C821,'TP1'!A3:C1000,3, FALSE),"")</f>
        <v/>
      </c>
      <c r="E821" s="2" t="str">
        <f>IF(A821&lt;&gt;"", SUMIF(B1:D1,"&lt;&gt;",B821:D821),"")</f>
        <v/>
      </c>
      <c r="F821" s="2" t="str">
        <f>IF(AND(A821&lt;&gt;"",E821&lt;&gt;""),ROUND(E821,0),"")</f>
        <v/>
      </c>
      <c r="G821" s="2" t="str">
        <f>IF(A821&lt;&gt;"",VLOOKUP(Alunos!A821,Recurso!A3:C1000,3, FALSE),"")</f>
        <v/>
      </c>
      <c r="H821" s="2" t="str">
        <f>IF(OR(A821&lt;&gt;"",G821&lt;&gt;""), SUMIFS(B821:G821,B1:G1,"&lt;&gt;",B2:G2,"&lt;&gt;Exame",B2:G2,"&lt;&gt;exame",B2:G2,"&lt;&gt;Nota",B2:G2,"&lt;&gt;Total"),"")</f>
        <v/>
      </c>
      <c r="I821" s="2" t="str">
        <f>IF(AND(A821&lt;&gt;"",H821&lt;&gt;""),ROUND(H821,0),"")</f>
        <v/>
      </c>
    </row>
    <row r="822" spans="2:9" x14ac:dyDescent="0.3">
      <c r="B822" s="2" t="str">
        <f>IF(A822&lt;&gt;"",VLOOKUP(Alunos!A822,Exame!A3:C1000,3, FALSE),"")</f>
        <v/>
      </c>
      <c r="C822" s="2" t="str">
        <f>IF(A822&lt;&gt;"",VLOOKUP(Alunos!A822,Agrupamentos!A3:B1000,2, FALSE),"")</f>
        <v/>
      </c>
      <c r="D822" s="2" t="str">
        <f>IF(A822&lt;&gt;"",VLOOKUP(Alunos!C822,'TP1'!A3:C1000,3, FALSE),"")</f>
        <v/>
      </c>
      <c r="E822" s="2" t="str">
        <f>IF(A822&lt;&gt;"", SUMIF(B1:D1,"&lt;&gt;",B822:D822),"")</f>
        <v/>
      </c>
      <c r="F822" s="2" t="str">
        <f>IF(AND(A822&lt;&gt;"",E822&lt;&gt;""),ROUND(E822,0),"")</f>
        <v/>
      </c>
      <c r="G822" s="2" t="str">
        <f>IF(A822&lt;&gt;"",VLOOKUP(Alunos!A822,Recurso!A3:C1000,3, FALSE),"")</f>
        <v/>
      </c>
      <c r="H822" s="2" t="str">
        <f>IF(OR(A822&lt;&gt;"",G822&lt;&gt;""), SUMIFS(B822:G822,B1:G1,"&lt;&gt;",B2:G2,"&lt;&gt;Exame",B2:G2,"&lt;&gt;exame",B2:G2,"&lt;&gt;Nota",B2:G2,"&lt;&gt;Total"),"")</f>
        <v/>
      </c>
      <c r="I822" s="2" t="str">
        <f>IF(AND(A822&lt;&gt;"",H822&lt;&gt;""),ROUND(H822,0),"")</f>
        <v/>
      </c>
    </row>
    <row r="823" spans="2:9" x14ac:dyDescent="0.3">
      <c r="B823" s="2" t="str">
        <f>IF(A823&lt;&gt;"",VLOOKUP(Alunos!A823,Exame!A3:C1000,3, FALSE),"")</f>
        <v/>
      </c>
      <c r="C823" s="2" t="str">
        <f>IF(A823&lt;&gt;"",VLOOKUP(Alunos!A823,Agrupamentos!A3:B1000,2, FALSE),"")</f>
        <v/>
      </c>
      <c r="D823" s="2" t="str">
        <f>IF(A823&lt;&gt;"",VLOOKUP(Alunos!C823,'TP1'!A3:C1000,3, FALSE),"")</f>
        <v/>
      </c>
      <c r="E823" s="2" t="str">
        <f>IF(A823&lt;&gt;"", SUMIF(B1:D1,"&lt;&gt;",B823:D823),"")</f>
        <v/>
      </c>
      <c r="F823" s="2" t="str">
        <f>IF(AND(A823&lt;&gt;"",E823&lt;&gt;""),ROUND(E823,0),"")</f>
        <v/>
      </c>
      <c r="G823" s="2" t="str">
        <f>IF(A823&lt;&gt;"",VLOOKUP(Alunos!A823,Recurso!A3:C1000,3, FALSE),"")</f>
        <v/>
      </c>
      <c r="H823" s="2" t="str">
        <f>IF(OR(A823&lt;&gt;"",G823&lt;&gt;""), SUMIFS(B823:G823,B1:G1,"&lt;&gt;",B2:G2,"&lt;&gt;Exame",B2:G2,"&lt;&gt;exame",B2:G2,"&lt;&gt;Nota",B2:G2,"&lt;&gt;Total"),"")</f>
        <v/>
      </c>
      <c r="I823" s="2" t="str">
        <f>IF(AND(A823&lt;&gt;"",H823&lt;&gt;""),ROUND(H823,0),"")</f>
        <v/>
      </c>
    </row>
    <row r="824" spans="2:9" x14ac:dyDescent="0.3">
      <c r="B824" s="2" t="str">
        <f>IF(A824&lt;&gt;"",VLOOKUP(Alunos!A824,Exame!A3:C1000,3, FALSE),"")</f>
        <v/>
      </c>
      <c r="C824" s="2" t="str">
        <f>IF(A824&lt;&gt;"",VLOOKUP(Alunos!A824,Agrupamentos!A3:B1000,2, FALSE),"")</f>
        <v/>
      </c>
      <c r="D824" s="2" t="str">
        <f>IF(A824&lt;&gt;"",VLOOKUP(Alunos!C824,'TP1'!A3:C1000,3, FALSE),"")</f>
        <v/>
      </c>
      <c r="E824" s="2" t="str">
        <f>IF(A824&lt;&gt;"", SUMIF(B1:D1,"&lt;&gt;",B824:D824),"")</f>
        <v/>
      </c>
      <c r="F824" s="2" t="str">
        <f>IF(AND(A824&lt;&gt;"",E824&lt;&gt;""),ROUND(E824,0),"")</f>
        <v/>
      </c>
      <c r="G824" s="2" t="str">
        <f>IF(A824&lt;&gt;"",VLOOKUP(Alunos!A824,Recurso!A3:C1000,3, FALSE),"")</f>
        <v/>
      </c>
      <c r="H824" s="2" t="str">
        <f>IF(OR(A824&lt;&gt;"",G824&lt;&gt;""), SUMIFS(B824:G824,B1:G1,"&lt;&gt;",B2:G2,"&lt;&gt;Exame",B2:G2,"&lt;&gt;exame",B2:G2,"&lt;&gt;Nota",B2:G2,"&lt;&gt;Total"),"")</f>
        <v/>
      </c>
      <c r="I824" s="2" t="str">
        <f>IF(AND(A824&lt;&gt;"",H824&lt;&gt;""),ROUND(H824,0),"")</f>
        <v/>
      </c>
    </row>
    <row r="825" spans="2:9" x14ac:dyDescent="0.3">
      <c r="B825" s="2" t="str">
        <f>IF(A825&lt;&gt;"",VLOOKUP(Alunos!A825,Exame!A3:C1000,3, FALSE),"")</f>
        <v/>
      </c>
      <c r="C825" s="2" t="str">
        <f>IF(A825&lt;&gt;"",VLOOKUP(Alunos!A825,Agrupamentos!A3:B1000,2, FALSE),"")</f>
        <v/>
      </c>
      <c r="D825" s="2" t="str">
        <f>IF(A825&lt;&gt;"",VLOOKUP(Alunos!C825,'TP1'!A3:C1000,3, FALSE),"")</f>
        <v/>
      </c>
      <c r="E825" s="2" t="str">
        <f>IF(A825&lt;&gt;"", SUMIF(B1:D1,"&lt;&gt;",B825:D825),"")</f>
        <v/>
      </c>
      <c r="F825" s="2" t="str">
        <f>IF(AND(A825&lt;&gt;"",E825&lt;&gt;""),ROUND(E825,0),"")</f>
        <v/>
      </c>
      <c r="G825" s="2" t="str">
        <f>IF(A825&lt;&gt;"",VLOOKUP(Alunos!A825,Recurso!A3:C1000,3, FALSE),"")</f>
        <v/>
      </c>
      <c r="H825" s="2" t="str">
        <f>IF(OR(A825&lt;&gt;"",G825&lt;&gt;""), SUMIFS(B825:G825,B1:G1,"&lt;&gt;",B2:G2,"&lt;&gt;Exame",B2:G2,"&lt;&gt;exame",B2:G2,"&lt;&gt;Nota",B2:G2,"&lt;&gt;Total"),"")</f>
        <v/>
      </c>
      <c r="I825" s="2" t="str">
        <f>IF(AND(A825&lt;&gt;"",H825&lt;&gt;""),ROUND(H825,0),"")</f>
        <v/>
      </c>
    </row>
    <row r="826" spans="2:9" x14ac:dyDescent="0.3">
      <c r="B826" s="2" t="str">
        <f>IF(A826&lt;&gt;"",VLOOKUP(Alunos!A826,Exame!A3:C1000,3, FALSE),"")</f>
        <v/>
      </c>
      <c r="C826" s="2" t="str">
        <f>IF(A826&lt;&gt;"",VLOOKUP(Alunos!A826,Agrupamentos!A3:B1000,2, FALSE),"")</f>
        <v/>
      </c>
      <c r="D826" s="2" t="str">
        <f>IF(A826&lt;&gt;"",VLOOKUP(Alunos!C826,'TP1'!A3:C1000,3, FALSE),"")</f>
        <v/>
      </c>
      <c r="E826" s="2" t="str">
        <f>IF(A826&lt;&gt;"", SUMIF(B1:D1,"&lt;&gt;",B826:D826),"")</f>
        <v/>
      </c>
      <c r="F826" s="2" t="str">
        <f>IF(AND(A826&lt;&gt;"",E826&lt;&gt;""),ROUND(E826,0),"")</f>
        <v/>
      </c>
      <c r="G826" s="2" t="str">
        <f>IF(A826&lt;&gt;"",VLOOKUP(Alunos!A826,Recurso!A3:C1000,3, FALSE),"")</f>
        <v/>
      </c>
      <c r="H826" s="2" t="str">
        <f>IF(OR(A826&lt;&gt;"",G826&lt;&gt;""), SUMIFS(B826:G826,B1:G1,"&lt;&gt;",B2:G2,"&lt;&gt;Exame",B2:G2,"&lt;&gt;exame",B2:G2,"&lt;&gt;Nota",B2:G2,"&lt;&gt;Total"),"")</f>
        <v/>
      </c>
      <c r="I826" s="2" t="str">
        <f>IF(AND(A826&lt;&gt;"",H826&lt;&gt;""),ROUND(H826,0),"")</f>
        <v/>
      </c>
    </row>
    <row r="827" spans="2:9" x14ac:dyDescent="0.3">
      <c r="B827" s="2" t="str">
        <f>IF(A827&lt;&gt;"",VLOOKUP(Alunos!A827,Exame!A3:C1000,3, FALSE),"")</f>
        <v/>
      </c>
      <c r="C827" s="2" t="str">
        <f>IF(A827&lt;&gt;"",VLOOKUP(Alunos!A827,Agrupamentos!A3:B1000,2, FALSE),"")</f>
        <v/>
      </c>
      <c r="D827" s="2" t="str">
        <f>IF(A827&lt;&gt;"",VLOOKUP(Alunos!C827,'TP1'!A3:C1000,3, FALSE),"")</f>
        <v/>
      </c>
      <c r="E827" s="2" t="str">
        <f>IF(A827&lt;&gt;"", SUMIF(B1:D1,"&lt;&gt;",B827:D827),"")</f>
        <v/>
      </c>
      <c r="F827" s="2" t="str">
        <f>IF(AND(A827&lt;&gt;"",E827&lt;&gt;""),ROUND(E827,0),"")</f>
        <v/>
      </c>
      <c r="G827" s="2" t="str">
        <f>IF(A827&lt;&gt;"",VLOOKUP(Alunos!A827,Recurso!A3:C1000,3, FALSE),"")</f>
        <v/>
      </c>
      <c r="H827" s="2" t="str">
        <f>IF(OR(A827&lt;&gt;"",G827&lt;&gt;""), SUMIFS(B827:G827,B1:G1,"&lt;&gt;",B2:G2,"&lt;&gt;Exame",B2:G2,"&lt;&gt;exame",B2:G2,"&lt;&gt;Nota",B2:G2,"&lt;&gt;Total"),"")</f>
        <v/>
      </c>
      <c r="I827" s="2" t="str">
        <f>IF(AND(A827&lt;&gt;"",H827&lt;&gt;""),ROUND(H827,0),"")</f>
        <v/>
      </c>
    </row>
    <row r="828" spans="2:9" x14ac:dyDescent="0.3">
      <c r="B828" s="2" t="str">
        <f>IF(A828&lt;&gt;"",VLOOKUP(Alunos!A828,Exame!A3:C1000,3, FALSE),"")</f>
        <v/>
      </c>
      <c r="C828" s="2" t="str">
        <f>IF(A828&lt;&gt;"",VLOOKUP(Alunos!A828,Agrupamentos!A3:B1000,2, FALSE),"")</f>
        <v/>
      </c>
      <c r="D828" s="2" t="str">
        <f>IF(A828&lt;&gt;"",VLOOKUP(Alunos!C828,'TP1'!A3:C1000,3, FALSE),"")</f>
        <v/>
      </c>
      <c r="E828" s="2" t="str">
        <f>IF(A828&lt;&gt;"", SUMIF(B1:D1,"&lt;&gt;",B828:D828),"")</f>
        <v/>
      </c>
      <c r="F828" s="2" t="str">
        <f>IF(AND(A828&lt;&gt;"",E828&lt;&gt;""),ROUND(E828,0),"")</f>
        <v/>
      </c>
      <c r="G828" s="2" t="str">
        <f>IF(A828&lt;&gt;"",VLOOKUP(Alunos!A828,Recurso!A3:C1000,3, FALSE),"")</f>
        <v/>
      </c>
      <c r="H828" s="2" t="str">
        <f>IF(OR(A828&lt;&gt;"",G828&lt;&gt;""), SUMIFS(B828:G828,B1:G1,"&lt;&gt;",B2:G2,"&lt;&gt;Exame",B2:G2,"&lt;&gt;exame",B2:G2,"&lt;&gt;Nota",B2:G2,"&lt;&gt;Total"),"")</f>
        <v/>
      </c>
      <c r="I828" s="2" t="str">
        <f>IF(AND(A828&lt;&gt;"",H828&lt;&gt;""),ROUND(H828,0),"")</f>
        <v/>
      </c>
    </row>
    <row r="829" spans="2:9" x14ac:dyDescent="0.3">
      <c r="B829" s="2" t="str">
        <f>IF(A829&lt;&gt;"",VLOOKUP(Alunos!A829,Exame!A3:C1000,3, FALSE),"")</f>
        <v/>
      </c>
      <c r="C829" s="2" t="str">
        <f>IF(A829&lt;&gt;"",VLOOKUP(Alunos!A829,Agrupamentos!A3:B1000,2, FALSE),"")</f>
        <v/>
      </c>
      <c r="D829" s="2" t="str">
        <f>IF(A829&lt;&gt;"",VLOOKUP(Alunos!C829,'TP1'!A3:C1000,3, FALSE),"")</f>
        <v/>
      </c>
      <c r="E829" s="2" t="str">
        <f>IF(A829&lt;&gt;"", SUMIF(B1:D1,"&lt;&gt;",B829:D829),"")</f>
        <v/>
      </c>
      <c r="F829" s="2" t="str">
        <f>IF(AND(A829&lt;&gt;"",E829&lt;&gt;""),ROUND(E829,0),"")</f>
        <v/>
      </c>
      <c r="G829" s="2" t="str">
        <f>IF(A829&lt;&gt;"",VLOOKUP(Alunos!A829,Recurso!A3:C1000,3, FALSE),"")</f>
        <v/>
      </c>
      <c r="H829" s="2" t="str">
        <f>IF(OR(A829&lt;&gt;"",G829&lt;&gt;""), SUMIFS(B829:G829,B1:G1,"&lt;&gt;",B2:G2,"&lt;&gt;Exame",B2:G2,"&lt;&gt;exame",B2:G2,"&lt;&gt;Nota",B2:G2,"&lt;&gt;Total"),"")</f>
        <v/>
      </c>
      <c r="I829" s="2" t="str">
        <f>IF(AND(A829&lt;&gt;"",H829&lt;&gt;""),ROUND(H829,0),"")</f>
        <v/>
      </c>
    </row>
    <row r="830" spans="2:9" x14ac:dyDescent="0.3">
      <c r="B830" s="2" t="str">
        <f>IF(A830&lt;&gt;"",VLOOKUP(Alunos!A830,Exame!A3:C1000,3, FALSE),"")</f>
        <v/>
      </c>
      <c r="C830" s="2" t="str">
        <f>IF(A830&lt;&gt;"",VLOOKUP(Alunos!A830,Agrupamentos!A3:B1000,2, FALSE),"")</f>
        <v/>
      </c>
      <c r="D830" s="2" t="str">
        <f>IF(A830&lt;&gt;"",VLOOKUP(Alunos!C830,'TP1'!A3:C1000,3, FALSE),"")</f>
        <v/>
      </c>
      <c r="E830" s="2" t="str">
        <f>IF(A830&lt;&gt;"", SUMIF(B1:D1,"&lt;&gt;",B830:D830),"")</f>
        <v/>
      </c>
      <c r="F830" s="2" t="str">
        <f>IF(AND(A830&lt;&gt;"",E830&lt;&gt;""),ROUND(E830,0),"")</f>
        <v/>
      </c>
      <c r="G830" s="2" t="str">
        <f>IF(A830&lt;&gt;"",VLOOKUP(Alunos!A830,Recurso!A3:C1000,3, FALSE),"")</f>
        <v/>
      </c>
      <c r="H830" s="2" t="str">
        <f>IF(OR(A830&lt;&gt;"",G830&lt;&gt;""), SUMIFS(B830:G830,B1:G1,"&lt;&gt;",B2:G2,"&lt;&gt;Exame",B2:G2,"&lt;&gt;exame",B2:G2,"&lt;&gt;Nota",B2:G2,"&lt;&gt;Total"),"")</f>
        <v/>
      </c>
      <c r="I830" s="2" t="str">
        <f>IF(AND(A830&lt;&gt;"",H830&lt;&gt;""),ROUND(H830,0),"")</f>
        <v/>
      </c>
    </row>
    <row r="831" spans="2:9" x14ac:dyDescent="0.3">
      <c r="B831" s="2" t="str">
        <f>IF(A831&lt;&gt;"",VLOOKUP(Alunos!A831,Exame!A3:C1000,3, FALSE),"")</f>
        <v/>
      </c>
      <c r="C831" s="2" t="str">
        <f>IF(A831&lt;&gt;"",VLOOKUP(Alunos!A831,Agrupamentos!A3:B1000,2, FALSE),"")</f>
        <v/>
      </c>
      <c r="D831" s="2" t="str">
        <f>IF(A831&lt;&gt;"",VLOOKUP(Alunos!C831,'TP1'!A3:C1000,3, FALSE),"")</f>
        <v/>
      </c>
      <c r="E831" s="2" t="str">
        <f>IF(A831&lt;&gt;"", SUMIF(B1:D1,"&lt;&gt;",B831:D831),"")</f>
        <v/>
      </c>
      <c r="F831" s="2" t="str">
        <f>IF(AND(A831&lt;&gt;"",E831&lt;&gt;""),ROUND(E831,0),"")</f>
        <v/>
      </c>
      <c r="G831" s="2" t="str">
        <f>IF(A831&lt;&gt;"",VLOOKUP(Alunos!A831,Recurso!A3:C1000,3, FALSE),"")</f>
        <v/>
      </c>
      <c r="H831" s="2" t="str">
        <f>IF(OR(A831&lt;&gt;"",G831&lt;&gt;""), SUMIFS(B831:G831,B1:G1,"&lt;&gt;",B2:G2,"&lt;&gt;Exame",B2:G2,"&lt;&gt;exame",B2:G2,"&lt;&gt;Nota",B2:G2,"&lt;&gt;Total"),"")</f>
        <v/>
      </c>
      <c r="I831" s="2" t="str">
        <f>IF(AND(A831&lt;&gt;"",H831&lt;&gt;""),ROUND(H831,0),"")</f>
        <v/>
      </c>
    </row>
    <row r="832" spans="2:9" x14ac:dyDescent="0.3">
      <c r="B832" s="2" t="str">
        <f>IF(A832&lt;&gt;"",VLOOKUP(Alunos!A832,Exame!A3:C1000,3, FALSE),"")</f>
        <v/>
      </c>
      <c r="C832" s="2" t="str">
        <f>IF(A832&lt;&gt;"",VLOOKUP(Alunos!A832,Agrupamentos!A3:B1000,2, FALSE),"")</f>
        <v/>
      </c>
      <c r="D832" s="2" t="str">
        <f>IF(A832&lt;&gt;"",VLOOKUP(Alunos!C832,'TP1'!A3:C1000,3, FALSE),"")</f>
        <v/>
      </c>
      <c r="E832" s="2" t="str">
        <f>IF(A832&lt;&gt;"", SUMIF(B1:D1,"&lt;&gt;",B832:D832),"")</f>
        <v/>
      </c>
      <c r="F832" s="2" t="str">
        <f>IF(AND(A832&lt;&gt;"",E832&lt;&gt;""),ROUND(E832,0),"")</f>
        <v/>
      </c>
      <c r="G832" s="2" t="str">
        <f>IF(A832&lt;&gt;"",VLOOKUP(Alunos!A832,Recurso!A3:C1000,3, FALSE),"")</f>
        <v/>
      </c>
      <c r="H832" s="2" t="str">
        <f>IF(OR(A832&lt;&gt;"",G832&lt;&gt;""), SUMIFS(B832:G832,B1:G1,"&lt;&gt;",B2:G2,"&lt;&gt;Exame",B2:G2,"&lt;&gt;exame",B2:G2,"&lt;&gt;Nota",B2:G2,"&lt;&gt;Total"),"")</f>
        <v/>
      </c>
      <c r="I832" s="2" t="str">
        <f>IF(AND(A832&lt;&gt;"",H832&lt;&gt;""),ROUND(H832,0),"")</f>
        <v/>
      </c>
    </row>
    <row r="833" spans="2:9" x14ac:dyDescent="0.3">
      <c r="B833" s="2" t="str">
        <f>IF(A833&lt;&gt;"",VLOOKUP(Alunos!A833,Exame!A3:C1000,3, FALSE),"")</f>
        <v/>
      </c>
      <c r="C833" s="2" t="str">
        <f>IF(A833&lt;&gt;"",VLOOKUP(Alunos!A833,Agrupamentos!A3:B1000,2, FALSE),"")</f>
        <v/>
      </c>
      <c r="D833" s="2" t="str">
        <f>IF(A833&lt;&gt;"",VLOOKUP(Alunos!C833,'TP1'!A3:C1000,3, FALSE),"")</f>
        <v/>
      </c>
      <c r="E833" s="2" t="str">
        <f>IF(A833&lt;&gt;"", SUMIF(B1:D1,"&lt;&gt;",B833:D833),"")</f>
        <v/>
      </c>
      <c r="F833" s="2" t="str">
        <f>IF(AND(A833&lt;&gt;"",E833&lt;&gt;""),ROUND(E833,0),"")</f>
        <v/>
      </c>
      <c r="G833" s="2" t="str">
        <f>IF(A833&lt;&gt;"",VLOOKUP(Alunos!A833,Recurso!A3:C1000,3, FALSE),"")</f>
        <v/>
      </c>
      <c r="H833" s="2" t="str">
        <f>IF(OR(A833&lt;&gt;"",G833&lt;&gt;""), SUMIFS(B833:G833,B1:G1,"&lt;&gt;",B2:G2,"&lt;&gt;Exame",B2:G2,"&lt;&gt;exame",B2:G2,"&lt;&gt;Nota",B2:G2,"&lt;&gt;Total"),"")</f>
        <v/>
      </c>
      <c r="I833" s="2" t="str">
        <f>IF(AND(A833&lt;&gt;"",H833&lt;&gt;""),ROUND(H833,0),"")</f>
        <v/>
      </c>
    </row>
    <row r="834" spans="2:9" x14ac:dyDescent="0.3">
      <c r="B834" s="2" t="str">
        <f>IF(A834&lt;&gt;"",VLOOKUP(Alunos!A834,Exame!A3:C1000,3, FALSE),"")</f>
        <v/>
      </c>
      <c r="C834" s="2" t="str">
        <f>IF(A834&lt;&gt;"",VLOOKUP(Alunos!A834,Agrupamentos!A3:B1000,2, FALSE),"")</f>
        <v/>
      </c>
      <c r="D834" s="2" t="str">
        <f>IF(A834&lt;&gt;"",VLOOKUP(Alunos!C834,'TP1'!A3:C1000,3, FALSE),"")</f>
        <v/>
      </c>
      <c r="E834" s="2" t="str">
        <f>IF(A834&lt;&gt;"", SUMIF(B1:D1,"&lt;&gt;",B834:D834),"")</f>
        <v/>
      </c>
      <c r="F834" s="2" t="str">
        <f>IF(AND(A834&lt;&gt;"",E834&lt;&gt;""),ROUND(E834,0),"")</f>
        <v/>
      </c>
      <c r="G834" s="2" t="str">
        <f>IF(A834&lt;&gt;"",VLOOKUP(Alunos!A834,Recurso!A3:C1000,3, FALSE),"")</f>
        <v/>
      </c>
      <c r="H834" s="2" t="str">
        <f>IF(OR(A834&lt;&gt;"",G834&lt;&gt;""), SUMIFS(B834:G834,B1:G1,"&lt;&gt;",B2:G2,"&lt;&gt;Exame",B2:G2,"&lt;&gt;exame",B2:G2,"&lt;&gt;Nota",B2:G2,"&lt;&gt;Total"),"")</f>
        <v/>
      </c>
      <c r="I834" s="2" t="str">
        <f>IF(AND(A834&lt;&gt;"",H834&lt;&gt;""),ROUND(H834,0),"")</f>
        <v/>
      </c>
    </row>
    <row r="835" spans="2:9" x14ac:dyDescent="0.3">
      <c r="B835" s="2" t="str">
        <f>IF(A835&lt;&gt;"",VLOOKUP(Alunos!A835,Exame!A3:C1000,3, FALSE),"")</f>
        <v/>
      </c>
      <c r="C835" s="2" t="str">
        <f>IF(A835&lt;&gt;"",VLOOKUP(Alunos!A835,Agrupamentos!A3:B1000,2, FALSE),"")</f>
        <v/>
      </c>
      <c r="D835" s="2" t="str">
        <f>IF(A835&lt;&gt;"",VLOOKUP(Alunos!C835,'TP1'!A3:C1000,3, FALSE),"")</f>
        <v/>
      </c>
      <c r="E835" s="2" t="str">
        <f>IF(A835&lt;&gt;"", SUMIF(B1:D1,"&lt;&gt;",B835:D835),"")</f>
        <v/>
      </c>
      <c r="F835" s="2" t="str">
        <f>IF(AND(A835&lt;&gt;"",E835&lt;&gt;""),ROUND(E835,0),"")</f>
        <v/>
      </c>
      <c r="G835" s="2" t="str">
        <f>IF(A835&lt;&gt;"",VLOOKUP(Alunos!A835,Recurso!A3:C1000,3, FALSE),"")</f>
        <v/>
      </c>
      <c r="H835" s="2" t="str">
        <f>IF(OR(A835&lt;&gt;"",G835&lt;&gt;""), SUMIFS(B835:G835,B1:G1,"&lt;&gt;",B2:G2,"&lt;&gt;Exame",B2:G2,"&lt;&gt;exame",B2:G2,"&lt;&gt;Nota",B2:G2,"&lt;&gt;Total"),"")</f>
        <v/>
      </c>
      <c r="I835" s="2" t="str">
        <f>IF(AND(A835&lt;&gt;"",H835&lt;&gt;""),ROUND(H835,0),"")</f>
        <v/>
      </c>
    </row>
    <row r="836" spans="2:9" x14ac:dyDescent="0.3">
      <c r="B836" s="2" t="str">
        <f>IF(A836&lt;&gt;"",VLOOKUP(Alunos!A836,Exame!A3:C1000,3, FALSE),"")</f>
        <v/>
      </c>
      <c r="C836" s="2" t="str">
        <f>IF(A836&lt;&gt;"",VLOOKUP(Alunos!A836,Agrupamentos!A3:B1000,2, FALSE),"")</f>
        <v/>
      </c>
      <c r="D836" s="2" t="str">
        <f>IF(A836&lt;&gt;"",VLOOKUP(Alunos!C836,'TP1'!A3:C1000,3, FALSE),"")</f>
        <v/>
      </c>
      <c r="E836" s="2" t="str">
        <f>IF(A836&lt;&gt;"", SUMIF(B1:D1,"&lt;&gt;",B836:D836),"")</f>
        <v/>
      </c>
      <c r="F836" s="2" t="str">
        <f>IF(AND(A836&lt;&gt;"",E836&lt;&gt;""),ROUND(E836,0),"")</f>
        <v/>
      </c>
      <c r="G836" s="2" t="str">
        <f>IF(A836&lt;&gt;"",VLOOKUP(Alunos!A836,Recurso!A3:C1000,3, FALSE),"")</f>
        <v/>
      </c>
      <c r="H836" s="2" t="str">
        <f>IF(OR(A836&lt;&gt;"",G836&lt;&gt;""), SUMIFS(B836:G836,B1:G1,"&lt;&gt;",B2:G2,"&lt;&gt;Exame",B2:G2,"&lt;&gt;exame",B2:G2,"&lt;&gt;Nota",B2:G2,"&lt;&gt;Total"),"")</f>
        <v/>
      </c>
      <c r="I836" s="2" t="str">
        <f>IF(AND(A836&lt;&gt;"",H836&lt;&gt;""),ROUND(H836,0),"")</f>
        <v/>
      </c>
    </row>
    <row r="837" spans="2:9" x14ac:dyDescent="0.3">
      <c r="B837" s="2" t="str">
        <f>IF(A837&lt;&gt;"",VLOOKUP(Alunos!A837,Exame!A3:C1000,3, FALSE),"")</f>
        <v/>
      </c>
      <c r="C837" s="2" t="str">
        <f>IF(A837&lt;&gt;"",VLOOKUP(Alunos!A837,Agrupamentos!A3:B1000,2, FALSE),"")</f>
        <v/>
      </c>
      <c r="D837" s="2" t="str">
        <f>IF(A837&lt;&gt;"",VLOOKUP(Alunos!C837,'TP1'!A3:C1000,3, FALSE),"")</f>
        <v/>
      </c>
      <c r="E837" s="2" t="str">
        <f>IF(A837&lt;&gt;"", SUMIF(B1:D1,"&lt;&gt;",B837:D837),"")</f>
        <v/>
      </c>
      <c r="F837" s="2" t="str">
        <f>IF(AND(A837&lt;&gt;"",E837&lt;&gt;""),ROUND(E837,0),"")</f>
        <v/>
      </c>
      <c r="G837" s="2" t="str">
        <f>IF(A837&lt;&gt;"",VLOOKUP(Alunos!A837,Recurso!A3:C1000,3, FALSE),"")</f>
        <v/>
      </c>
      <c r="H837" s="2" t="str">
        <f>IF(OR(A837&lt;&gt;"",G837&lt;&gt;""), SUMIFS(B837:G837,B1:G1,"&lt;&gt;",B2:G2,"&lt;&gt;Exame",B2:G2,"&lt;&gt;exame",B2:G2,"&lt;&gt;Nota",B2:G2,"&lt;&gt;Total"),"")</f>
        <v/>
      </c>
      <c r="I837" s="2" t="str">
        <f>IF(AND(A837&lt;&gt;"",H837&lt;&gt;""),ROUND(H837,0),"")</f>
        <v/>
      </c>
    </row>
    <row r="838" spans="2:9" x14ac:dyDescent="0.3">
      <c r="B838" s="2" t="str">
        <f>IF(A838&lt;&gt;"",VLOOKUP(Alunos!A838,Exame!A3:C1000,3, FALSE),"")</f>
        <v/>
      </c>
      <c r="C838" s="2" t="str">
        <f>IF(A838&lt;&gt;"",VLOOKUP(Alunos!A838,Agrupamentos!A3:B1000,2, FALSE),"")</f>
        <v/>
      </c>
      <c r="D838" s="2" t="str">
        <f>IF(A838&lt;&gt;"",VLOOKUP(Alunos!C838,'TP1'!A3:C1000,3, FALSE),"")</f>
        <v/>
      </c>
      <c r="E838" s="2" t="str">
        <f>IF(A838&lt;&gt;"", SUMIF(B1:D1,"&lt;&gt;",B838:D838),"")</f>
        <v/>
      </c>
      <c r="F838" s="2" t="str">
        <f>IF(AND(A838&lt;&gt;"",E838&lt;&gt;""),ROUND(E838,0),"")</f>
        <v/>
      </c>
      <c r="G838" s="2" t="str">
        <f>IF(A838&lt;&gt;"",VLOOKUP(Alunos!A838,Recurso!A3:C1000,3, FALSE),"")</f>
        <v/>
      </c>
      <c r="H838" s="2" t="str">
        <f>IF(OR(A838&lt;&gt;"",G838&lt;&gt;""), SUMIFS(B838:G838,B1:G1,"&lt;&gt;",B2:G2,"&lt;&gt;Exame",B2:G2,"&lt;&gt;exame",B2:G2,"&lt;&gt;Nota",B2:G2,"&lt;&gt;Total"),"")</f>
        <v/>
      </c>
      <c r="I838" s="2" t="str">
        <f>IF(AND(A838&lt;&gt;"",H838&lt;&gt;""),ROUND(H838,0),"")</f>
        <v/>
      </c>
    </row>
    <row r="839" spans="2:9" x14ac:dyDescent="0.3">
      <c r="B839" s="2" t="str">
        <f>IF(A839&lt;&gt;"",VLOOKUP(Alunos!A839,Exame!A3:C1000,3, FALSE),"")</f>
        <v/>
      </c>
      <c r="C839" s="2" t="str">
        <f>IF(A839&lt;&gt;"",VLOOKUP(Alunos!A839,Agrupamentos!A3:B1000,2, FALSE),"")</f>
        <v/>
      </c>
      <c r="D839" s="2" t="str">
        <f>IF(A839&lt;&gt;"",VLOOKUP(Alunos!C839,'TP1'!A3:C1000,3, FALSE),"")</f>
        <v/>
      </c>
      <c r="E839" s="2" t="str">
        <f>IF(A839&lt;&gt;"", SUMIF(B1:D1,"&lt;&gt;",B839:D839),"")</f>
        <v/>
      </c>
      <c r="F839" s="2" t="str">
        <f>IF(AND(A839&lt;&gt;"",E839&lt;&gt;""),ROUND(E839,0),"")</f>
        <v/>
      </c>
      <c r="G839" s="2" t="str">
        <f>IF(A839&lt;&gt;"",VLOOKUP(Alunos!A839,Recurso!A3:C1000,3, FALSE),"")</f>
        <v/>
      </c>
      <c r="H839" s="2" t="str">
        <f>IF(OR(A839&lt;&gt;"",G839&lt;&gt;""), SUMIFS(B839:G839,B1:G1,"&lt;&gt;",B2:G2,"&lt;&gt;Exame",B2:G2,"&lt;&gt;exame",B2:G2,"&lt;&gt;Nota",B2:G2,"&lt;&gt;Total"),"")</f>
        <v/>
      </c>
      <c r="I839" s="2" t="str">
        <f>IF(AND(A839&lt;&gt;"",H839&lt;&gt;""),ROUND(H839,0),"")</f>
        <v/>
      </c>
    </row>
    <row r="840" spans="2:9" x14ac:dyDescent="0.3">
      <c r="B840" s="2" t="str">
        <f>IF(A840&lt;&gt;"",VLOOKUP(Alunos!A840,Exame!A3:C1000,3, FALSE),"")</f>
        <v/>
      </c>
      <c r="C840" s="2" t="str">
        <f>IF(A840&lt;&gt;"",VLOOKUP(Alunos!A840,Agrupamentos!A3:B1000,2, FALSE),"")</f>
        <v/>
      </c>
      <c r="D840" s="2" t="str">
        <f>IF(A840&lt;&gt;"",VLOOKUP(Alunos!C840,'TP1'!A3:C1000,3, FALSE),"")</f>
        <v/>
      </c>
      <c r="E840" s="2" t="str">
        <f>IF(A840&lt;&gt;"", SUMIF(B1:D1,"&lt;&gt;",B840:D840),"")</f>
        <v/>
      </c>
      <c r="F840" s="2" t="str">
        <f>IF(AND(A840&lt;&gt;"",E840&lt;&gt;""),ROUND(E840,0),"")</f>
        <v/>
      </c>
      <c r="G840" s="2" t="str">
        <f>IF(A840&lt;&gt;"",VLOOKUP(Alunos!A840,Recurso!A3:C1000,3, FALSE),"")</f>
        <v/>
      </c>
      <c r="H840" s="2" t="str">
        <f>IF(OR(A840&lt;&gt;"",G840&lt;&gt;""), SUMIFS(B840:G840,B1:G1,"&lt;&gt;",B2:G2,"&lt;&gt;Exame",B2:G2,"&lt;&gt;exame",B2:G2,"&lt;&gt;Nota",B2:G2,"&lt;&gt;Total"),"")</f>
        <v/>
      </c>
      <c r="I840" s="2" t="str">
        <f>IF(AND(A840&lt;&gt;"",H840&lt;&gt;""),ROUND(H840,0),"")</f>
        <v/>
      </c>
    </row>
    <row r="841" spans="2:9" x14ac:dyDescent="0.3">
      <c r="B841" s="2" t="str">
        <f>IF(A841&lt;&gt;"",VLOOKUP(Alunos!A841,Exame!A3:C1000,3, FALSE),"")</f>
        <v/>
      </c>
      <c r="C841" s="2" t="str">
        <f>IF(A841&lt;&gt;"",VLOOKUP(Alunos!A841,Agrupamentos!A3:B1000,2, FALSE),"")</f>
        <v/>
      </c>
      <c r="D841" s="2" t="str">
        <f>IF(A841&lt;&gt;"",VLOOKUP(Alunos!C841,'TP1'!A3:C1000,3, FALSE),"")</f>
        <v/>
      </c>
      <c r="E841" s="2" t="str">
        <f>IF(A841&lt;&gt;"", SUMIF(B1:D1,"&lt;&gt;",B841:D841),"")</f>
        <v/>
      </c>
      <c r="F841" s="2" t="str">
        <f>IF(AND(A841&lt;&gt;"",E841&lt;&gt;""),ROUND(E841,0),"")</f>
        <v/>
      </c>
      <c r="G841" s="2" t="str">
        <f>IF(A841&lt;&gt;"",VLOOKUP(Alunos!A841,Recurso!A3:C1000,3, FALSE),"")</f>
        <v/>
      </c>
      <c r="H841" s="2" t="str">
        <f>IF(OR(A841&lt;&gt;"",G841&lt;&gt;""), SUMIFS(B841:G841,B1:G1,"&lt;&gt;",B2:G2,"&lt;&gt;Exame",B2:G2,"&lt;&gt;exame",B2:G2,"&lt;&gt;Nota",B2:G2,"&lt;&gt;Total"),"")</f>
        <v/>
      </c>
      <c r="I841" s="2" t="str">
        <f>IF(AND(A841&lt;&gt;"",H841&lt;&gt;""),ROUND(H841,0),"")</f>
        <v/>
      </c>
    </row>
    <row r="842" spans="2:9" x14ac:dyDescent="0.3">
      <c r="B842" s="2" t="str">
        <f>IF(A842&lt;&gt;"",VLOOKUP(Alunos!A842,Exame!A3:C1000,3, FALSE),"")</f>
        <v/>
      </c>
      <c r="C842" s="2" t="str">
        <f>IF(A842&lt;&gt;"",VLOOKUP(Alunos!A842,Agrupamentos!A3:B1000,2, FALSE),"")</f>
        <v/>
      </c>
      <c r="D842" s="2" t="str">
        <f>IF(A842&lt;&gt;"",VLOOKUP(Alunos!C842,'TP1'!A3:C1000,3, FALSE),"")</f>
        <v/>
      </c>
      <c r="E842" s="2" t="str">
        <f>IF(A842&lt;&gt;"", SUMIF(B1:D1,"&lt;&gt;",B842:D842),"")</f>
        <v/>
      </c>
      <c r="F842" s="2" t="str">
        <f>IF(AND(A842&lt;&gt;"",E842&lt;&gt;""),ROUND(E842,0),"")</f>
        <v/>
      </c>
      <c r="G842" s="2" t="str">
        <f>IF(A842&lt;&gt;"",VLOOKUP(Alunos!A842,Recurso!A3:C1000,3, FALSE),"")</f>
        <v/>
      </c>
      <c r="H842" s="2" t="str">
        <f>IF(OR(A842&lt;&gt;"",G842&lt;&gt;""), SUMIFS(B842:G842,B1:G1,"&lt;&gt;",B2:G2,"&lt;&gt;Exame",B2:G2,"&lt;&gt;exame",B2:G2,"&lt;&gt;Nota",B2:G2,"&lt;&gt;Total"),"")</f>
        <v/>
      </c>
      <c r="I842" s="2" t="str">
        <f>IF(AND(A842&lt;&gt;"",H842&lt;&gt;""),ROUND(H842,0),"")</f>
        <v/>
      </c>
    </row>
    <row r="843" spans="2:9" x14ac:dyDescent="0.3">
      <c r="B843" s="2" t="str">
        <f>IF(A843&lt;&gt;"",VLOOKUP(Alunos!A843,Exame!A3:C1000,3, FALSE),"")</f>
        <v/>
      </c>
      <c r="C843" s="2" t="str">
        <f>IF(A843&lt;&gt;"",VLOOKUP(Alunos!A843,Agrupamentos!A3:B1000,2, FALSE),"")</f>
        <v/>
      </c>
      <c r="D843" s="2" t="str">
        <f>IF(A843&lt;&gt;"",VLOOKUP(Alunos!C843,'TP1'!A3:C1000,3, FALSE),"")</f>
        <v/>
      </c>
      <c r="E843" s="2" t="str">
        <f>IF(A843&lt;&gt;"", SUMIF(B1:D1,"&lt;&gt;",B843:D843),"")</f>
        <v/>
      </c>
      <c r="F843" s="2" t="str">
        <f>IF(AND(A843&lt;&gt;"",E843&lt;&gt;""),ROUND(E843,0),"")</f>
        <v/>
      </c>
      <c r="G843" s="2" t="str">
        <f>IF(A843&lt;&gt;"",VLOOKUP(Alunos!A843,Recurso!A3:C1000,3, FALSE),"")</f>
        <v/>
      </c>
      <c r="H843" s="2" t="str">
        <f>IF(OR(A843&lt;&gt;"",G843&lt;&gt;""), SUMIFS(B843:G843,B1:G1,"&lt;&gt;",B2:G2,"&lt;&gt;Exame",B2:G2,"&lt;&gt;exame",B2:G2,"&lt;&gt;Nota",B2:G2,"&lt;&gt;Total"),"")</f>
        <v/>
      </c>
      <c r="I843" s="2" t="str">
        <f>IF(AND(A843&lt;&gt;"",H843&lt;&gt;""),ROUND(H843,0),"")</f>
        <v/>
      </c>
    </row>
    <row r="844" spans="2:9" x14ac:dyDescent="0.3">
      <c r="B844" s="2" t="str">
        <f>IF(A844&lt;&gt;"",VLOOKUP(Alunos!A844,Exame!A3:C1000,3, FALSE),"")</f>
        <v/>
      </c>
      <c r="C844" s="2" t="str">
        <f>IF(A844&lt;&gt;"",VLOOKUP(Alunos!A844,Agrupamentos!A3:B1000,2, FALSE),"")</f>
        <v/>
      </c>
      <c r="D844" s="2" t="str">
        <f>IF(A844&lt;&gt;"",VLOOKUP(Alunos!C844,'TP1'!A3:C1000,3, FALSE),"")</f>
        <v/>
      </c>
      <c r="E844" s="2" t="str">
        <f>IF(A844&lt;&gt;"", SUMIF(B1:D1,"&lt;&gt;",B844:D844),"")</f>
        <v/>
      </c>
      <c r="F844" s="2" t="str">
        <f>IF(AND(A844&lt;&gt;"",E844&lt;&gt;""),ROUND(E844,0),"")</f>
        <v/>
      </c>
      <c r="G844" s="2" t="str">
        <f>IF(A844&lt;&gt;"",VLOOKUP(Alunos!A844,Recurso!A3:C1000,3, FALSE),"")</f>
        <v/>
      </c>
      <c r="H844" s="2" t="str">
        <f>IF(OR(A844&lt;&gt;"",G844&lt;&gt;""), SUMIFS(B844:G844,B1:G1,"&lt;&gt;",B2:G2,"&lt;&gt;Exame",B2:G2,"&lt;&gt;exame",B2:G2,"&lt;&gt;Nota",B2:G2,"&lt;&gt;Total"),"")</f>
        <v/>
      </c>
      <c r="I844" s="2" t="str">
        <f>IF(AND(A844&lt;&gt;"",H844&lt;&gt;""),ROUND(H844,0),"")</f>
        <v/>
      </c>
    </row>
    <row r="845" spans="2:9" x14ac:dyDescent="0.3">
      <c r="B845" s="2" t="str">
        <f>IF(A845&lt;&gt;"",VLOOKUP(Alunos!A845,Exame!A3:C1000,3, FALSE),"")</f>
        <v/>
      </c>
      <c r="C845" s="2" t="str">
        <f>IF(A845&lt;&gt;"",VLOOKUP(Alunos!A845,Agrupamentos!A3:B1000,2, FALSE),"")</f>
        <v/>
      </c>
      <c r="D845" s="2" t="str">
        <f>IF(A845&lt;&gt;"",VLOOKUP(Alunos!C845,'TP1'!A3:C1000,3, FALSE),"")</f>
        <v/>
      </c>
      <c r="E845" s="2" t="str">
        <f>IF(A845&lt;&gt;"", SUMIF(B1:D1,"&lt;&gt;",B845:D845),"")</f>
        <v/>
      </c>
      <c r="F845" s="2" t="str">
        <f>IF(AND(A845&lt;&gt;"",E845&lt;&gt;""),ROUND(E845,0),"")</f>
        <v/>
      </c>
      <c r="G845" s="2" t="str">
        <f>IF(A845&lt;&gt;"",VLOOKUP(Alunos!A845,Recurso!A3:C1000,3, FALSE),"")</f>
        <v/>
      </c>
      <c r="H845" s="2" t="str">
        <f>IF(OR(A845&lt;&gt;"",G845&lt;&gt;""), SUMIFS(B845:G845,B1:G1,"&lt;&gt;",B2:G2,"&lt;&gt;Exame",B2:G2,"&lt;&gt;exame",B2:G2,"&lt;&gt;Nota",B2:G2,"&lt;&gt;Total"),"")</f>
        <v/>
      </c>
      <c r="I845" s="2" t="str">
        <f>IF(AND(A845&lt;&gt;"",H845&lt;&gt;""),ROUND(H845,0),"")</f>
        <v/>
      </c>
    </row>
    <row r="846" spans="2:9" x14ac:dyDescent="0.3">
      <c r="B846" s="2" t="str">
        <f>IF(A846&lt;&gt;"",VLOOKUP(Alunos!A846,Exame!A3:C1000,3, FALSE),"")</f>
        <v/>
      </c>
      <c r="C846" s="2" t="str">
        <f>IF(A846&lt;&gt;"",VLOOKUP(Alunos!A846,Agrupamentos!A3:B1000,2, FALSE),"")</f>
        <v/>
      </c>
      <c r="D846" s="2" t="str">
        <f>IF(A846&lt;&gt;"",VLOOKUP(Alunos!C846,'TP1'!A3:C1000,3, FALSE),"")</f>
        <v/>
      </c>
      <c r="E846" s="2" t="str">
        <f>IF(A846&lt;&gt;"", SUMIF(B1:D1,"&lt;&gt;",B846:D846),"")</f>
        <v/>
      </c>
      <c r="F846" s="2" t="str">
        <f>IF(AND(A846&lt;&gt;"",E846&lt;&gt;""),ROUND(E846,0),"")</f>
        <v/>
      </c>
      <c r="G846" s="2" t="str">
        <f>IF(A846&lt;&gt;"",VLOOKUP(Alunos!A846,Recurso!A3:C1000,3, FALSE),"")</f>
        <v/>
      </c>
      <c r="H846" s="2" t="str">
        <f>IF(OR(A846&lt;&gt;"",G846&lt;&gt;""), SUMIFS(B846:G846,B1:G1,"&lt;&gt;",B2:G2,"&lt;&gt;Exame",B2:G2,"&lt;&gt;exame",B2:G2,"&lt;&gt;Nota",B2:G2,"&lt;&gt;Total"),"")</f>
        <v/>
      </c>
      <c r="I846" s="2" t="str">
        <f>IF(AND(A846&lt;&gt;"",H846&lt;&gt;""),ROUND(H846,0),"")</f>
        <v/>
      </c>
    </row>
    <row r="847" spans="2:9" x14ac:dyDescent="0.3">
      <c r="B847" s="2" t="str">
        <f>IF(A847&lt;&gt;"",VLOOKUP(Alunos!A847,Exame!A3:C1000,3, FALSE),"")</f>
        <v/>
      </c>
      <c r="C847" s="2" t="str">
        <f>IF(A847&lt;&gt;"",VLOOKUP(Alunos!A847,Agrupamentos!A3:B1000,2, FALSE),"")</f>
        <v/>
      </c>
      <c r="D847" s="2" t="str">
        <f>IF(A847&lt;&gt;"",VLOOKUP(Alunos!C847,'TP1'!A3:C1000,3, FALSE),"")</f>
        <v/>
      </c>
      <c r="E847" s="2" t="str">
        <f>IF(A847&lt;&gt;"", SUMIF(B1:D1,"&lt;&gt;",B847:D847),"")</f>
        <v/>
      </c>
      <c r="F847" s="2" t="str">
        <f>IF(AND(A847&lt;&gt;"",E847&lt;&gt;""),ROUND(E847,0),"")</f>
        <v/>
      </c>
      <c r="G847" s="2" t="str">
        <f>IF(A847&lt;&gt;"",VLOOKUP(Alunos!A847,Recurso!A3:C1000,3, FALSE),"")</f>
        <v/>
      </c>
      <c r="H847" s="2" t="str">
        <f>IF(OR(A847&lt;&gt;"",G847&lt;&gt;""), SUMIFS(B847:G847,B1:G1,"&lt;&gt;",B2:G2,"&lt;&gt;Exame",B2:G2,"&lt;&gt;exame",B2:G2,"&lt;&gt;Nota",B2:G2,"&lt;&gt;Total"),"")</f>
        <v/>
      </c>
      <c r="I847" s="2" t="str">
        <f>IF(AND(A847&lt;&gt;"",H847&lt;&gt;""),ROUND(H847,0),"")</f>
        <v/>
      </c>
    </row>
    <row r="848" spans="2:9" x14ac:dyDescent="0.3">
      <c r="B848" s="2" t="str">
        <f>IF(A848&lt;&gt;"",VLOOKUP(Alunos!A848,Exame!A3:C1000,3, FALSE),"")</f>
        <v/>
      </c>
      <c r="C848" s="2" t="str">
        <f>IF(A848&lt;&gt;"",VLOOKUP(Alunos!A848,Agrupamentos!A3:B1000,2, FALSE),"")</f>
        <v/>
      </c>
      <c r="D848" s="2" t="str">
        <f>IF(A848&lt;&gt;"",VLOOKUP(Alunos!C848,'TP1'!A3:C1000,3, FALSE),"")</f>
        <v/>
      </c>
      <c r="E848" s="2" t="str">
        <f>IF(A848&lt;&gt;"", SUMIF(B1:D1,"&lt;&gt;",B848:D848),"")</f>
        <v/>
      </c>
      <c r="F848" s="2" t="str">
        <f>IF(AND(A848&lt;&gt;"",E848&lt;&gt;""),ROUND(E848,0),"")</f>
        <v/>
      </c>
      <c r="G848" s="2" t="str">
        <f>IF(A848&lt;&gt;"",VLOOKUP(Alunos!A848,Recurso!A3:C1000,3, FALSE),"")</f>
        <v/>
      </c>
      <c r="H848" s="2" t="str">
        <f>IF(OR(A848&lt;&gt;"",G848&lt;&gt;""), SUMIFS(B848:G848,B1:G1,"&lt;&gt;",B2:G2,"&lt;&gt;Exame",B2:G2,"&lt;&gt;exame",B2:G2,"&lt;&gt;Nota",B2:G2,"&lt;&gt;Total"),"")</f>
        <v/>
      </c>
      <c r="I848" s="2" t="str">
        <f>IF(AND(A848&lt;&gt;"",H848&lt;&gt;""),ROUND(H848,0),"")</f>
        <v/>
      </c>
    </row>
    <row r="849" spans="2:9" x14ac:dyDescent="0.3">
      <c r="B849" s="2" t="str">
        <f>IF(A849&lt;&gt;"",VLOOKUP(Alunos!A849,Exame!A3:C1000,3, FALSE),"")</f>
        <v/>
      </c>
      <c r="C849" s="2" t="str">
        <f>IF(A849&lt;&gt;"",VLOOKUP(Alunos!A849,Agrupamentos!A3:B1000,2, FALSE),"")</f>
        <v/>
      </c>
      <c r="D849" s="2" t="str">
        <f>IF(A849&lt;&gt;"",VLOOKUP(Alunos!C849,'TP1'!A3:C1000,3, FALSE),"")</f>
        <v/>
      </c>
      <c r="E849" s="2" t="str">
        <f>IF(A849&lt;&gt;"", SUMIF(B1:D1,"&lt;&gt;",B849:D849),"")</f>
        <v/>
      </c>
      <c r="F849" s="2" t="str">
        <f>IF(AND(A849&lt;&gt;"",E849&lt;&gt;""),ROUND(E849,0),"")</f>
        <v/>
      </c>
      <c r="G849" s="2" t="str">
        <f>IF(A849&lt;&gt;"",VLOOKUP(Alunos!A849,Recurso!A3:C1000,3, FALSE),"")</f>
        <v/>
      </c>
      <c r="H849" s="2" t="str">
        <f>IF(OR(A849&lt;&gt;"",G849&lt;&gt;""), SUMIFS(B849:G849,B1:G1,"&lt;&gt;",B2:G2,"&lt;&gt;Exame",B2:G2,"&lt;&gt;exame",B2:G2,"&lt;&gt;Nota",B2:G2,"&lt;&gt;Total"),"")</f>
        <v/>
      </c>
      <c r="I849" s="2" t="str">
        <f>IF(AND(A849&lt;&gt;"",H849&lt;&gt;""),ROUND(H849,0),"")</f>
        <v/>
      </c>
    </row>
    <row r="850" spans="2:9" x14ac:dyDescent="0.3">
      <c r="B850" s="2" t="str">
        <f>IF(A850&lt;&gt;"",VLOOKUP(Alunos!A850,Exame!A3:C1000,3, FALSE),"")</f>
        <v/>
      </c>
      <c r="C850" s="2" t="str">
        <f>IF(A850&lt;&gt;"",VLOOKUP(Alunos!A850,Agrupamentos!A3:B1000,2, FALSE),"")</f>
        <v/>
      </c>
      <c r="D850" s="2" t="str">
        <f>IF(A850&lt;&gt;"",VLOOKUP(Alunos!C850,'TP1'!A3:C1000,3, FALSE),"")</f>
        <v/>
      </c>
      <c r="E850" s="2" t="str">
        <f>IF(A850&lt;&gt;"", SUMIF(B1:D1,"&lt;&gt;",B850:D850),"")</f>
        <v/>
      </c>
      <c r="F850" s="2" t="str">
        <f>IF(AND(A850&lt;&gt;"",E850&lt;&gt;""),ROUND(E850,0),"")</f>
        <v/>
      </c>
      <c r="G850" s="2" t="str">
        <f>IF(A850&lt;&gt;"",VLOOKUP(Alunos!A850,Recurso!A3:C1000,3, FALSE),"")</f>
        <v/>
      </c>
      <c r="H850" s="2" t="str">
        <f>IF(OR(A850&lt;&gt;"",G850&lt;&gt;""), SUMIFS(B850:G850,B1:G1,"&lt;&gt;",B2:G2,"&lt;&gt;Exame",B2:G2,"&lt;&gt;exame",B2:G2,"&lt;&gt;Nota",B2:G2,"&lt;&gt;Total"),"")</f>
        <v/>
      </c>
      <c r="I850" s="2" t="str">
        <f>IF(AND(A850&lt;&gt;"",H850&lt;&gt;""),ROUND(H850,0),"")</f>
        <v/>
      </c>
    </row>
    <row r="851" spans="2:9" x14ac:dyDescent="0.3">
      <c r="B851" s="2" t="str">
        <f>IF(A851&lt;&gt;"",VLOOKUP(Alunos!A851,Exame!A3:C1000,3, FALSE),"")</f>
        <v/>
      </c>
      <c r="C851" s="2" t="str">
        <f>IF(A851&lt;&gt;"",VLOOKUP(Alunos!A851,Agrupamentos!A3:B1000,2, FALSE),"")</f>
        <v/>
      </c>
      <c r="D851" s="2" t="str">
        <f>IF(A851&lt;&gt;"",VLOOKUP(Alunos!C851,'TP1'!A3:C1000,3, FALSE),"")</f>
        <v/>
      </c>
      <c r="E851" s="2" t="str">
        <f>IF(A851&lt;&gt;"", SUMIF(B1:D1,"&lt;&gt;",B851:D851),"")</f>
        <v/>
      </c>
      <c r="F851" s="2" t="str">
        <f>IF(AND(A851&lt;&gt;"",E851&lt;&gt;""),ROUND(E851,0),"")</f>
        <v/>
      </c>
      <c r="G851" s="2" t="str">
        <f>IF(A851&lt;&gt;"",VLOOKUP(Alunos!A851,Recurso!A3:C1000,3, FALSE),"")</f>
        <v/>
      </c>
      <c r="H851" s="2" t="str">
        <f>IF(OR(A851&lt;&gt;"",G851&lt;&gt;""), SUMIFS(B851:G851,B1:G1,"&lt;&gt;",B2:G2,"&lt;&gt;Exame",B2:G2,"&lt;&gt;exame",B2:G2,"&lt;&gt;Nota",B2:G2,"&lt;&gt;Total"),"")</f>
        <v/>
      </c>
      <c r="I851" s="2" t="str">
        <f>IF(AND(A851&lt;&gt;"",H851&lt;&gt;""),ROUND(H851,0),"")</f>
        <v/>
      </c>
    </row>
    <row r="852" spans="2:9" x14ac:dyDescent="0.3">
      <c r="B852" s="2" t="str">
        <f>IF(A852&lt;&gt;"",VLOOKUP(Alunos!A852,Exame!A3:C1000,3, FALSE),"")</f>
        <v/>
      </c>
      <c r="C852" s="2" t="str">
        <f>IF(A852&lt;&gt;"",VLOOKUP(Alunos!A852,Agrupamentos!A3:B1000,2, FALSE),"")</f>
        <v/>
      </c>
      <c r="D852" s="2" t="str">
        <f>IF(A852&lt;&gt;"",VLOOKUP(Alunos!C852,'TP1'!A3:C1000,3, FALSE),"")</f>
        <v/>
      </c>
      <c r="E852" s="2" t="str">
        <f>IF(A852&lt;&gt;"", SUMIF(B1:D1,"&lt;&gt;",B852:D852),"")</f>
        <v/>
      </c>
      <c r="F852" s="2" t="str">
        <f>IF(AND(A852&lt;&gt;"",E852&lt;&gt;""),ROUND(E852,0),"")</f>
        <v/>
      </c>
      <c r="G852" s="2" t="str">
        <f>IF(A852&lt;&gt;"",VLOOKUP(Alunos!A852,Recurso!A3:C1000,3, FALSE),"")</f>
        <v/>
      </c>
      <c r="H852" s="2" t="str">
        <f>IF(OR(A852&lt;&gt;"",G852&lt;&gt;""), SUMIFS(B852:G852,B1:G1,"&lt;&gt;",B2:G2,"&lt;&gt;Exame",B2:G2,"&lt;&gt;exame",B2:G2,"&lt;&gt;Nota",B2:G2,"&lt;&gt;Total"),"")</f>
        <v/>
      </c>
      <c r="I852" s="2" t="str">
        <f>IF(AND(A852&lt;&gt;"",H852&lt;&gt;""),ROUND(H852,0),"")</f>
        <v/>
      </c>
    </row>
    <row r="853" spans="2:9" x14ac:dyDescent="0.3">
      <c r="B853" s="2" t="str">
        <f>IF(A853&lt;&gt;"",VLOOKUP(Alunos!A853,Exame!A3:C1000,3, FALSE),"")</f>
        <v/>
      </c>
      <c r="C853" s="2" t="str">
        <f>IF(A853&lt;&gt;"",VLOOKUP(Alunos!A853,Agrupamentos!A3:B1000,2, FALSE),"")</f>
        <v/>
      </c>
      <c r="D853" s="2" t="str">
        <f>IF(A853&lt;&gt;"",VLOOKUP(Alunos!C853,'TP1'!A3:C1000,3, FALSE),"")</f>
        <v/>
      </c>
      <c r="E853" s="2" t="str">
        <f>IF(A853&lt;&gt;"", SUMIF(B1:D1,"&lt;&gt;",B853:D853),"")</f>
        <v/>
      </c>
      <c r="F853" s="2" t="str">
        <f>IF(AND(A853&lt;&gt;"",E853&lt;&gt;""),ROUND(E853,0),"")</f>
        <v/>
      </c>
      <c r="G853" s="2" t="str">
        <f>IF(A853&lt;&gt;"",VLOOKUP(Alunos!A853,Recurso!A3:C1000,3, FALSE),"")</f>
        <v/>
      </c>
      <c r="H853" s="2" t="str">
        <f>IF(OR(A853&lt;&gt;"",G853&lt;&gt;""), SUMIFS(B853:G853,B1:G1,"&lt;&gt;",B2:G2,"&lt;&gt;Exame",B2:G2,"&lt;&gt;exame",B2:G2,"&lt;&gt;Nota",B2:G2,"&lt;&gt;Total"),"")</f>
        <v/>
      </c>
      <c r="I853" s="2" t="str">
        <f>IF(AND(A853&lt;&gt;"",H853&lt;&gt;""),ROUND(H853,0),"")</f>
        <v/>
      </c>
    </row>
    <row r="854" spans="2:9" x14ac:dyDescent="0.3">
      <c r="B854" s="2" t="str">
        <f>IF(A854&lt;&gt;"",VLOOKUP(Alunos!A854,Exame!A3:C1000,3, FALSE),"")</f>
        <v/>
      </c>
      <c r="C854" s="2" t="str">
        <f>IF(A854&lt;&gt;"",VLOOKUP(Alunos!A854,Agrupamentos!A3:B1000,2, FALSE),"")</f>
        <v/>
      </c>
      <c r="D854" s="2" t="str">
        <f>IF(A854&lt;&gt;"",VLOOKUP(Alunos!C854,'TP1'!A3:C1000,3, FALSE),"")</f>
        <v/>
      </c>
      <c r="E854" s="2" t="str">
        <f>IF(A854&lt;&gt;"", SUMIF(B1:D1,"&lt;&gt;",B854:D854),"")</f>
        <v/>
      </c>
      <c r="F854" s="2" t="str">
        <f>IF(AND(A854&lt;&gt;"",E854&lt;&gt;""),ROUND(E854,0),"")</f>
        <v/>
      </c>
      <c r="G854" s="2" t="str">
        <f>IF(A854&lt;&gt;"",VLOOKUP(Alunos!A854,Recurso!A3:C1000,3, FALSE),"")</f>
        <v/>
      </c>
      <c r="H854" s="2" t="str">
        <f>IF(OR(A854&lt;&gt;"",G854&lt;&gt;""), SUMIFS(B854:G854,B1:G1,"&lt;&gt;",B2:G2,"&lt;&gt;Exame",B2:G2,"&lt;&gt;exame",B2:G2,"&lt;&gt;Nota",B2:G2,"&lt;&gt;Total"),"")</f>
        <v/>
      </c>
      <c r="I854" s="2" t="str">
        <f>IF(AND(A854&lt;&gt;"",H854&lt;&gt;""),ROUND(H854,0),"")</f>
        <v/>
      </c>
    </row>
    <row r="855" spans="2:9" x14ac:dyDescent="0.3">
      <c r="B855" s="2" t="str">
        <f>IF(A855&lt;&gt;"",VLOOKUP(Alunos!A855,Exame!A3:C1000,3, FALSE),"")</f>
        <v/>
      </c>
      <c r="C855" s="2" t="str">
        <f>IF(A855&lt;&gt;"",VLOOKUP(Alunos!A855,Agrupamentos!A3:B1000,2, FALSE),"")</f>
        <v/>
      </c>
      <c r="D855" s="2" t="str">
        <f>IF(A855&lt;&gt;"",VLOOKUP(Alunos!C855,'TP1'!A3:C1000,3, FALSE),"")</f>
        <v/>
      </c>
      <c r="E855" s="2" t="str">
        <f>IF(A855&lt;&gt;"", SUMIF(B1:D1,"&lt;&gt;",B855:D855),"")</f>
        <v/>
      </c>
      <c r="F855" s="2" t="str">
        <f>IF(AND(A855&lt;&gt;"",E855&lt;&gt;""),ROUND(E855,0),"")</f>
        <v/>
      </c>
      <c r="G855" s="2" t="str">
        <f>IF(A855&lt;&gt;"",VLOOKUP(Alunos!A855,Recurso!A3:C1000,3, FALSE),"")</f>
        <v/>
      </c>
      <c r="H855" s="2" t="str">
        <f>IF(OR(A855&lt;&gt;"",G855&lt;&gt;""), SUMIFS(B855:G855,B1:G1,"&lt;&gt;",B2:G2,"&lt;&gt;Exame",B2:G2,"&lt;&gt;exame",B2:G2,"&lt;&gt;Nota",B2:G2,"&lt;&gt;Total"),"")</f>
        <v/>
      </c>
      <c r="I855" s="2" t="str">
        <f>IF(AND(A855&lt;&gt;"",H855&lt;&gt;""),ROUND(H855,0),"")</f>
        <v/>
      </c>
    </row>
    <row r="856" spans="2:9" x14ac:dyDescent="0.3">
      <c r="B856" s="2" t="str">
        <f>IF(A856&lt;&gt;"",VLOOKUP(Alunos!A856,Exame!A3:C1000,3, FALSE),"")</f>
        <v/>
      </c>
      <c r="C856" s="2" t="str">
        <f>IF(A856&lt;&gt;"",VLOOKUP(Alunos!A856,Agrupamentos!A3:B1000,2, FALSE),"")</f>
        <v/>
      </c>
      <c r="D856" s="2" t="str">
        <f>IF(A856&lt;&gt;"",VLOOKUP(Alunos!C856,'TP1'!A3:C1000,3, FALSE),"")</f>
        <v/>
      </c>
      <c r="E856" s="2" t="str">
        <f>IF(A856&lt;&gt;"", SUMIF(B1:D1,"&lt;&gt;",B856:D856),"")</f>
        <v/>
      </c>
      <c r="F856" s="2" t="str">
        <f>IF(AND(A856&lt;&gt;"",E856&lt;&gt;""),ROUND(E856,0),"")</f>
        <v/>
      </c>
      <c r="G856" s="2" t="str">
        <f>IF(A856&lt;&gt;"",VLOOKUP(Alunos!A856,Recurso!A3:C1000,3, FALSE),"")</f>
        <v/>
      </c>
      <c r="H856" s="2" t="str">
        <f>IF(OR(A856&lt;&gt;"",G856&lt;&gt;""), SUMIFS(B856:G856,B1:G1,"&lt;&gt;",B2:G2,"&lt;&gt;Exame",B2:G2,"&lt;&gt;exame",B2:G2,"&lt;&gt;Nota",B2:G2,"&lt;&gt;Total"),"")</f>
        <v/>
      </c>
      <c r="I856" s="2" t="str">
        <f>IF(AND(A856&lt;&gt;"",H856&lt;&gt;""),ROUND(H856,0),"")</f>
        <v/>
      </c>
    </row>
    <row r="857" spans="2:9" x14ac:dyDescent="0.3">
      <c r="B857" s="2" t="str">
        <f>IF(A857&lt;&gt;"",VLOOKUP(Alunos!A857,Exame!A3:C1000,3, FALSE),"")</f>
        <v/>
      </c>
      <c r="C857" s="2" t="str">
        <f>IF(A857&lt;&gt;"",VLOOKUP(Alunos!A857,Agrupamentos!A3:B1000,2, FALSE),"")</f>
        <v/>
      </c>
      <c r="D857" s="2" t="str">
        <f>IF(A857&lt;&gt;"",VLOOKUP(Alunos!C857,'TP1'!A3:C1000,3, FALSE),"")</f>
        <v/>
      </c>
      <c r="E857" s="2" t="str">
        <f>IF(A857&lt;&gt;"", SUMIF(B1:D1,"&lt;&gt;",B857:D857),"")</f>
        <v/>
      </c>
      <c r="F857" s="2" t="str">
        <f>IF(AND(A857&lt;&gt;"",E857&lt;&gt;""),ROUND(E857,0),"")</f>
        <v/>
      </c>
      <c r="G857" s="2" t="str">
        <f>IF(A857&lt;&gt;"",VLOOKUP(Alunos!A857,Recurso!A3:C1000,3, FALSE),"")</f>
        <v/>
      </c>
      <c r="H857" s="2" t="str">
        <f>IF(OR(A857&lt;&gt;"",G857&lt;&gt;""), SUMIFS(B857:G857,B1:G1,"&lt;&gt;",B2:G2,"&lt;&gt;Exame",B2:G2,"&lt;&gt;exame",B2:G2,"&lt;&gt;Nota",B2:G2,"&lt;&gt;Total"),"")</f>
        <v/>
      </c>
      <c r="I857" s="2" t="str">
        <f>IF(AND(A857&lt;&gt;"",H857&lt;&gt;""),ROUND(H857,0),"")</f>
        <v/>
      </c>
    </row>
    <row r="858" spans="2:9" x14ac:dyDescent="0.3">
      <c r="B858" s="2" t="str">
        <f>IF(A858&lt;&gt;"",VLOOKUP(Alunos!A858,Exame!A3:C1000,3, FALSE),"")</f>
        <v/>
      </c>
      <c r="C858" s="2" t="str">
        <f>IF(A858&lt;&gt;"",VLOOKUP(Alunos!A858,Agrupamentos!A3:B1000,2, FALSE),"")</f>
        <v/>
      </c>
      <c r="D858" s="2" t="str">
        <f>IF(A858&lt;&gt;"",VLOOKUP(Alunos!C858,'TP1'!A3:C1000,3, FALSE),"")</f>
        <v/>
      </c>
      <c r="E858" s="2" t="str">
        <f>IF(A858&lt;&gt;"", SUMIF(B1:D1,"&lt;&gt;",B858:D858),"")</f>
        <v/>
      </c>
      <c r="F858" s="2" t="str">
        <f>IF(AND(A858&lt;&gt;"",E858&lt;&gt;""),ROUND(E858,0),"")</f>
        <v/>
      </c>
      <c r="G858" s="2" t="str">
        <f>IF(A858&lt;&gt;"",VLOOKUP(Alunos!A858,Recurso!A3:C1000,3, FALSE),"")</f>
        <v/>
      </c>
      <c r="H858" s="2" t="str">
        <f>IF(OR(A858&lt;&gt;"",G858&lt;&gt;""), SUMIFS(B858:G858,B1:G1,"&lt;&gt;",B2:G2,"&lt;&gt;Exame",B2:G2,"&lt;&gt;exame",B2:G2,"&lt;&gt;Nota",B2:G2,"&lt;&gt;Total"),"")</f>
        <v/>
      </c>
      <c r="I858" s="2" t="str">
        <f>IF(AND(A858&lt;&gt;"",H858&lt;&gt;""),ROUND(H858,0),"")</f>
        <v/>
      </c>
    </row>
    <row r="859" spans="2:9" x14ac:dyDescent="0.3">
      <c r="B859" s="2" t="str">
        <f>IF(A859&lt;&gt;"",VLOOKUP(Alunos!A859,Exame!A3:C1000,3, FALSE),"")</f>
        <v/>
      </c>
      <c r="C859" s="2" t="str">
        <f>IF(A859&lt;&gt;"",VLOOKUP(Alunos!A859,Agrupamentos!A3:B1000,2, FALSE),"")</f>
        <v/>
      </c>
      <c r="D859" s="2" t="str">
        <f>IF(A859&lt;&gt;"",VLOOKUP(Alunos!C859,'TP1'!A3:C1000,3, FALSE),"")</f>
        <v/>
      </c>
      <c r="E859" s="2" t="str">
        <f>IF(A859&lt;&gt;"", SUMIF(B1:D1,"&lt;&gt;",B859:D859),"")</f>
        <v/>
      </c>
      <c r="F859" s="2" t="str">
        <f>IF(AND(A859&lt;&gt;"",E859&lt;&gt;""),ROUND(E859,0),"")</f>
        <v/>
      </c>
      <c r="G859" s="2" t="str">
        <f>IF(A859&lt;&gt;"",VLOOKUP(Alunos!A859,Recurso!A3:C1000,3, FALSE),"")</f>
        <v/>
      </c>
      <c r="H859" s="2" t="str">
        <f>IF(OR(A859&lt;&gt;"",G859&lt;&gt;""), SUMIFS(B859:G859,B1:G1,"&lt;&gt;",B2:G2,"&lt;&gt;Exame",B2:G2,"&lt;&gt;exame",B2:G2,"&lt;&gt;Nota",B2:G2,"&lt;&gt;Total"),"")</f>
        <v/>
      </c>
      <c r="I859" s="2" t="str">
        <f>IF(AND(A859&lt;&gt;"",H859&lt;&gt;""),ROUND(H859,0),"")</f>
        <v/>
      </c>
    </row>
    <row r="860" spans="2:9" x14ac:dyDescent="0.3">
      <c r="B860" s="2" t="str">
        <f>IF(A860&lt;&gt;"",VLOOKUP(Alunos!A860,Exame!A3:C1000,3, FALSE),"")</f>
        <v/>
      </c>
      <c r="C860" s="2" t="str">
        <f>IF(A860&lt;&gt;"",VLOOKUP(Alunos!A860,Agrupamentos!A3:B1000,2, FALSE),"")</f>
        <v/>
      </c>
      <c r="D860" s="2" t="str">
        <f>IF(A860&lt;&gt;"",VLOOKUP(Alunos!C860,'TP1'!A3:C1000,3, FALSE),"")</f>
        <v/>
      </c>
      <c r="E860" s="2" t="str">
        <f>IF(A860&lt;&gt;"", SUMIF(B1:D1,"&lt;&gt;",B860:D860),"")</f>
        <v/>
      </c>
      <c r="F860" s="2" t="str">
        <f>IF(AND(A860&lt;&gt;"",E860&lt;&gt;""),ROUND(E860,0),"")</f>
        <v/>
      </c>
      <c r="G860" s="2" t="str">
        <f>IF(A860&lt;&gt;"",VLOOKUP(Alunos!A860,Recurso!A3:C1000,3, FALSE),"")</f>
        <v/>
      </c>
      <c r="H860" s="2" t="str">
        <f>IF(OR(A860&lt;&gt;"",G860&lt;&gt;""), SUMIFS(B860:G860,B1:G1,"&lt;&gt;",B2:G2,"&lt;&gt;Exame",B2:G2,"&lt;&gt;exame",B2:G2,"&lt;&gt;Nota",B2:G2,"&lt;&gt;Total"),"")</f>
        <v/>
      </c>
      <c r="I860" s="2" t="str">
        <f>IF(AND(A860&lt;&gt;"",H860&lt;&gt;""),ROUND(H860,0),"")</f>
        <v/>
      </c>
    </row>
    <row r="861" spans="2:9" x14ac:dyDescent="0.3">
      <c r="B861" s="2" t="str">
        <f>IF(A861&lt;&gt;"",VLOOKUP(Alunos!A861,Exame!A3:C1000,3, FALSE),"")</f>
        <v/>
      </c>
      <c r="C861" s="2" t="str">
        <f>IF(A861&lt;&gt;"",VLOOKUP(Alunos!A861,Agrupamentos!A3:B1000,2, FALSE),"")</f>
        <v/>
      </c>
      <c r="D861" s="2" t="str">
        <f>IF(A861&lt;&gt;"",VLOOKUP(Alunos!C861,'TP1'!A3:C1000,3, FALSE),"")</f>
        <v/>
      </c>
      <c r="E861" s="2" t="str">
        <f>IF(A861&lt;&gt;"", SUMIF(B1:D1,"&lt;&gt;",B861:D861),"")</f>
        <v/>
      </c>
      <c r="F861" s="2" t="str">
        <f>IF(AND(A861&lt;&gt;"",E861&lt;&gt;""),ROUND(E861,0),"")</f>
        <v/>
      </c>
      <c r="G861" s="2" t="str">
        <f>IF(A861&lt;&gt;"",VLOOKUP(Alunos!A861,Recurso!A3:C1000,3, FALSE),"")</f>
        <v/>
      </c>
      <c r="H861" s="2" t="str">
        <f>IF(OR(A861&lt;&gt;"",G861&lt;&gt;""), SUMIFS(B861:G861,B1:G1,"&lt;&gt;",B2:G2,"&lt;&gt;Exame",B2:G2,"&lt;&gt;exame",B2:G2,"&lt;&gt;Nota",B2:G2,"&lt;&gt;Total"),"")</f>
        <v/>
      </c>
      <c r="I861" s="2" t="str">
        <f>IF(AND(A861&lt;&gt;"",H861&lt;&gt;""),ROUND(H861,0),"")</f>
        <v/>
      </c>
    </row>
    <row r="862" spans="2:9" x14ac:dyDescent="0.3">
      <c r="B862" s="2" t="str">
        <f>IF(A862&lt;&gt;"",VLOOKUP(Alunos!A862,Exame!A3:C1000,3, FALSE),"")</f>
        <v/>
      </c>
      <c r="C862" s="2" t="str">
        <f>IF(A862&lt;&gt;"",VLOOKUP(Alunos!A862,Agrupamentos!A3:B1000,2, FALSE),"")</f>
        <v/>
      </c>
      <c r="D862" s="2" t="str">
        <f>IF(A862&lt;&gt;"",VLOOKUP(Alunos!C862,'TP1'!A3:C1000,3, FALSE),"")</f>
        <v/>
      </c>
      <c r="E862" s="2" t="str">
        <f>IF(A862&lt;&gt;"", SUMIF(B1:D1,"&lt;&gt;",B862:D862),"")</f>
        <v/>
      </c>
      <c r="F862" s="2" t="str">
        <f>IF(AND(A862&lt;&gt;"",E862&lt;&gt;""),ROUND(E862,0),"")</f>
        <v/>
      </c>
      <c r="G862" s="2" t="str">
        <f>IF(A862&lt;&gt;"",VLOOKUP(Alunos!A862,Recurso!A3:C1000,3, FALSE),"")</f>
        <v/>
      </c>
      <c r="H862" s="2" t="str">
        <f>IF(OR(A862&lt;&gt;"",G862&lt;&gt;""), SUMIFS(B862:G862,B1:G1,"&lt;&gt;",B2:G2,"&lt;&gt;Exame",B2:G2,"&lt;&gt;exame",B2:G2,"&lt;&gt;Nota",B2:G2,"&lt;&gt;Total"),"")</f>
        <v/>
      </c>
      <c r="I862" s="2" t="str">
        <f>IF(AND(A862&lt;&gt;"",H862&lt;&gt;""),ROUND(H862,0),"")</f>
        <v/>
      </c>
    </row>
    <row r="863" spans="2:9" x14ac:dyDescent="0.3">
      <c r="B863" s="2" t="str">
        <f>IF(A863&lt;&gt;"",VLOOKUP(Alunos!A863,Exame!A3:C1000,3, FALSE),"")</f>
        <v/>
      </c>
      <c r="C863" s="2" t="str">
        <f>IF(A863&lt;&gt;"",VLOOKUP(Alunos!A863,Agrupamentos!A3:B1000,2, FALSE),"")</f>
        <v/>
      </c>
      <c r="D863" s="2" t="str">
        <f>IF(A863&lt;&gt;"",VLOOKUP(Alunos!C863,'TP1'!A3:C1000,3, FALSE),"")</f>
        <v/>
      </c>
      <c r="E863" s="2" t="str">
        <f>IF(A863&lt;&gt;"", SUMIF(B1:D1,"&lt;&gt;",B863:D863),"")</f>
        <v/>
      </c>
      <c r="F863" s="2" t="str">
        <f>IF(AND(A863&lt;&gt;"",E863&lt;&gt;""),ROUND(E863,0),"")</f>
        <v/>
      </c>
      <c r="G863" s="2" t="str">
        <f>IF(A863&lt;&gt;"",VLOOKUP(Alunos!A863,Recurso!A3:C1000,3, FALSE),"")</f>
        <v/>
      </c>
      <c r="H863" s="2" t="str">
        <f>IF(OR(A863&lt;&gt;"",G863&lt;&gt;""), SUMIFS(B863:G863,B1:G1,"&lt;&gt;",B2:G2,"&lt;&gt;Exame",B2:G2,"&lt;&gt;exame",B2:G2,"&lt;&gt;Nota",B2:G2,"&lt;&gt;Total"),"")</f>
        <v/>
      </c>
      <c r="I863" s="2" t="str">
        <f>IF(AND(A863&lt;&gt;"",H863&lt;&gt;""),ROUND(H863,0),"")</f>
        <v/>
      </c>
    </row>
    <row r="864" spans="2:9" x14ac:dyDescent="0.3">
      <c r="B864" s="2" t="str">
        <f>IF(A864&lt;&gt;"",VLOOKUP(Alunos!A864,Exame!A3:C1000,3, FALSE),"")</f>
        <v/>
      </c>
      <c r="C864" s="2" t="str">
        <f>IF(A864&lt;&gt;"",VLOOKUP(Alunos!A864,Agrupamentos!A3:B1000,2, FALSE),"")</f>
        <v/>
      </c>
      <c r="D864" s="2" t="str">
        <f>IF(A864&lt;&gt;"",VLOOKUP(Alunos!C864,'TP1'!A3:C1000,3, FALSE),"")</f>
        <v/>
      </c>
      <c r="E864" s="2" t="str">
        <f>IF(A864&lt;&gt;"", SUMIF(B1:D1,"&lt;&gt;",B864:D864),"")</f>
        <v/>
      </c>
      <c r="F864" s="2" t="str">
        <f>IF(AND(A864&lt;&gt;"",E864&lt;&gt;""),ROUND(E864,0),"")</f>
        <v/>
      </c>
      <c r="G864" s="2" t="str">
        <f>IF(A864&lt;&gt;"",VLOOKUP(Alunos!A864,Recurso!A3:C1000,3, FALSE),"")</f>
        <v/>
      </c>
      <c r="H864" s="2" t="str">
        <f>IF(OR(A864&lt;&gt;"",G864&lt;&gt;""), SUMIFS(B864:G864,B1:G1,"&lt;&gt;",B2:G2,"&lt;&gt;Exame",B2:G2,"&lt;&gt;exame",B2:G2,"&lt;&gt;Nota",B2:G2,"&lt;&gt;Total"),"")</f>
        <v/>
      </c>
      <c r="I864" s="2" t="str">
        <f>IF(AND(A864&lt;&gt;"",H864&lt;&gt;""),ROUND(H864,0),"")</f>
        <v/>
      </c>
    </row>
    <row r="865" spans="2:9" x14ac:dyDescent="0.3">
      <c r="B865" s="2" t="str">
        <f>IF(A865&lt;&gt;"",VLOOKUP(Alunos!A865,Exame!A3:C1000,3, FALSE),"")</f>
        <v/>
      </c>
      <c r="C865" s="2" t="str">
        <f>IF(A865&lt;&gt;"",VLOOKUP(Alunos!A865,Agrupamentos!A3:B1000,2, FALSE),"")</f>
        <v/>
      </c>
      <c r="D865" s="2" t="str">
        <f>IF(A865&lt;&gt;"",VLOOKUP(Alunos!C865,'TP1'!A3:C1000,3, FALSE),"")</f>
        <v/>
      </c>
      <c r="E865" s="2" t="str">
        <f>IF(A865&lt;&gt;"", SUMIF(B1:D1,"&lt;&gt;",B865:D865),"")</f>
        <v/>
      </c>
      <c r="F865" s="2" t="str">
        <f>IF(AND(A865&lt;&gt;"",E865&lt;&gt;""),ROUND(E865,0),"")</f>
        <v/>
      </c>
      <c r="G865" s="2" t="str">
        <f>IF(A865&lt;&gt;"",VLOOKUP(Alunos!A865,Recurso!A3:C1000,3, FALSE),"")</f>
        <v/>
      </c>
      <c r="H865" s="2" t="str">
        <f>IF(OR(A865&lt;&gt;"",G865&lt;&gt;""), SUMIFS(B865:G865,B1:G1,"&lt;&gt;",B2:G2,"&lt;&gt;Exame",B2:G2,"&lt;&gt;exame",B2:G2,"&lt;&gt;Nota",B2:G2,"&lt;&gt;Total"),"")</f>
        <v/>
      </c>
      <c r="I865" s="2" t="str">
        <f>IF(AND(A865&lt;&gt;"",H865&lt;&gt;""),ROUND(H865,0),"")</f>
        <v/>
      </c>
    </row>
    <row r="866" spans="2:9" x14ac:dyDescent="0.3">
      <c r="B866" s="2" t="str">
        <f>IF(A866&lt;&gt;"",VLOOKUP(Alunos!A866,Exame!A3:C1000,3, FALSE),"")</f>
        <v/>
      </c>
      <c r="C866" s="2" t="str">
        <f>IF(A866&lt;&gt;"",VLOOKUP(Alunos!A866,Agrupamentos!A3:B1000,2, FALSE),"")</f>
        <v/>
      </c>
      <c r="D866" s="2" t="str">
        <f>IF(A866&lt;&gt;"",VLOOKUP(Alunos!C866,'TP1'!A3:C1000,3, FALSE),"")</f>
        <v/>
      </c>
      <c r="E866" s="2" t="str">
        <f>IF(A866&lt;&gt;"", SUMIF(B1:D1,"&lt;&gt;",B866:D866),"")</f>
        <v/>
      </c>
      <c r="F866" s="2" t="str">
        <f>IF(AND(A866&lt;&gt;"",E866&lt;&gt;""),ROUND(E866,0),"")</f>
        <v/>
      </c>
      <c r="G866" s="2" t="str">
        <f>IF(A866&lt;&gt;"",VLOOKUP(Alunos!A866,Recurso!A3:C1000,3, FALSE),"")</f>
        <v/>
      </c>
      <c r="H866" s="2" t="str">
        <f>IF(OR(A866&lt;&gt;"",G866&lt;&gt;""), SUMIFS(B866:G866,B1:G1,"&lt;&gt;",B2:G2,"&lt;&gt;Exame",B2:G2,"&lt;&gt;exame",B2:G2,"&lt;&gt;Nota",B2:G2,"&lt;&gt;Total"),"")</f>
        <v/>
      </c>
      <c r="I866" s="2" t="str">
        <f>IF(AND(A866&lt;&gt;"",H866&lt;&gt;""),ROUND(H866,0),"")</f>
        <v/>
      </c>
    </row>
    <row r="867" spans="2:9" x14ac:dyDescent="0.3">
      <c r="B867" s="2" t="str">
        <f>IF(A867&lt;&gt;"",VLOOKUP(Alunos!A867,Exame!A3:C1000,3, FALSE),"")</f>
        <v/>
      </c>
      <c r="C867" s="2" t="str">
        <f>IF(A867&lt;&gt;"",VLOOKUP(Alunos!A867,Agrupamentos!A3:B1000,2, FALSE),"")</f>
        <v/>
      </c>
      <c r="D867" s="2" t="str">
        <f>IF(A867&lt;&gt;"",VLOOKUP(Alunos!C867,'TP1'!A3:C1000,3, FALSE),"")</f>
        <v/>
      </c>
      <c r="E867" s="2" t="str">
        <f>IF(A867&lt;&gt;"", SUMIF(B1:D1,"&lt;&gt;",B867:D867),"")</f>
        <v/>
      </c>
      <c r="F867" s="2" t="str">
        <f>IF(AND(A867&lt;&gt;"",E867&lt;&gt;""),ROUND(E867,0),"")</f>
        <v/>
      </c>
      <c r="G867" s="2" t="str">
        <f>IF(A867&lt;&gt;"",VLOOKUP(Alunos!A867,Recurso!A3:C1000,3, FALSE),"")</f>
        <v/>
      </c>
      <c r="H867" s="2" t="str">
        <f>IF(OR(A867&lt;&gt;"",G867&lt;&gt;""), SUMIFS(B867:G867,B1:G1,"&lt;&gt;",B2:G2,"&lt;&gt;Exame",B2:G2,"&lt;&gt;exame",B2:G2,"&lt;&gt;Nota",B2:G2,"&lt;&gt;Total"),"")</f>
        <v/>
      </c>
      <c r="I867" s="2" t="str">
        <f>IF(AND(A867&lt;&gt;"",H867&lt;&gt;""),ROUND(H867,0),"")</f>
        <v/>
      </c>
    </row>
    <row r="868" spans="2:9" x14ac:dyDescent="0.3">
      <c r="B868" s="2" t="str">
        <f>IF(A868&lt;&gt;"",VLOOKUP(Alunos!A868,Exame!A3:C1000,3, FALSE),"")</f>
        <v/>
      </c>
      <c r="C868" s="2" t="str">
        <f>IF(A868&lt;&gt;"",VLOOKUP(Alunos!A868,Agrupamentos!A3:B1000,2, FALSE),"")</f>
        <v/>
      </c>
      <c r="D868" s="2" t="str">
        <f>IF(A868&lt;&gt;"",VLOOKUP(Alunos!C868,'TP1'!A3:C1000,3, FALSE),"")</f>
        <v/>
      </c>
      <c r="E868" s="2" t="str">
        <f>IF(A868&lt;&gt;"", SUMIF(B1:D1,"&lt;&gt;",B868:D868),"")</f>
        <v/>
      </c>
      <c r="F868" s="2" t="str">
        <f>IF(AND(A868&lt;&gt;"",E868&lt;&gt;""),ROUND(E868,0),"")</f>
        <v/>
      </c>
      <c r="G868" s="2" t="str">
        <f>IF(A868&lt;&gt;"",VLOOKUP(Alunos!A868,Recurso!A3:C1000,3, FALSE),"")</f>
        <v/>
      </c>
      <c r="H868" s="2" t="str">
        <f>IF(OR(A868&lt;&gt;"",G868&lt;&gt;""), SUMIFS(B868:G868,B1:G1,"&lt;&gt;",B2:G2,"&lt;&gt;Exame",B2:G2,"&lt;&gt;exame",B2:G2,"&lt;&gt;Nota",B2:G2,"&lt;&gt;Total"),"")</f>
        <v/>
      </c>
      <c r="I868" s="2" t="str">
        <f>IF(AND(A868&lt;&gt;"",H868&lt;&gt;""),ROUND(H868,0),"")</f>
        <v/>
      </c>
    </row>
    <row r="869" spans="2:9" x14ac:dyDescent="0.3">
      <c r="B869" s="2" t="str">
        <f>IF(A869&lt;&gt;"",VLOOKUP(Alunos!A869,Exame!A3:C1000,3, FALSE),"")</f>
        <v/>
      </c>
      <c r="C869" s="2" t="str">
        <f>IF(A869&lt;&gt;"",VLOOKUP(Alunos!A869,Agrupamentos!A3:B1000,2, FALSE),"")</f>
        <v/>
      </c>
      <c r="D869" s="2" t="str">
        <f>IF(A869&lt;&gt;"",VLOOKUP(Alunos!C869,'TP1'!A3:C1000,3, FALSE),"")</f>
        <v/>
      </c>
      <c r="E869" s="2" t="str">
        <f>IF(A869&lt;&gt;"", SUMIF(B1:D1,"&lt;&gt;",B869:D869),"")</f>
        <v/>
      </c>
      <c r="F869" s="2" t="str">
        <f>IF(AND(A869&lt;&gt;"",E869&lt;&gt;""),ROUND(E869,0),"")</f>
        <v/>
      </c>
      <c r="G869" s="2" t="str">
        <f>IF(A869&lt;&gt;"",VLOOKUP(Alunos!A869,Recurso!A3:C1000,3, FALSE),"")</f>
        <v/>
      </c>
      <c r="H869" s="2" t="str">
        <f>IF(OR(A869&lt;&gt;"",G869&lt;&gt;""), SUMIFS(B869:G869,B1:G1,"&lt;&gt;",B2:G2,"&lt;&gt;Exame",B2:G2,"&lt;&gt;exame",B2:G2,"&lt;&gt;Nota",B2:G2,"&lt;&gt;Total"),"")</f>
        <v/>
      </c>
      <c r="I869" s="2" t="str">
        <f>IF(AND(A869&lt;&gt;"",H869&lt;&gt;""),ROUND(H869,0),"")</f>
        <v/>
      </c>
    </row>
    <row r="870" spans="2:9" x14ac:dyDescent="0.3">
      <c r="B870" s="2" t="str">
        <f>IF(A870&lt;&gt;"",VLOOKUP(Alunos!A870,Exame!A3:C1000,3, FALSE),"")</f>
        <v/>
      </c>
      <c r="C870" s="2" t="str">
        <f>IF(A870&lt;&gt;"",VLOOKUP(Alunos!A870,Agrupamentos!A3:B1000,2, FALSE),"")</f>
        <v/>
      </c>
      <c r="D870" s="2" t="str">
        <f>IF(A870&lt;&gt;"",VLOOKUP(Alunos!C870,'TP1'!A3:C1000,3, FALSE),"")</f>
        <v/>
      </c>
      <c r="E870" s="2" t="str">
        <f>IF(A870&lt;&gt;"", SUMIF(B1:D1,"&lt;&gt;",B870:D870),"")</f>
        <v/>
      </c>
      <c r="F870" s="2" t="str">
        <f>IF(AND(A870&lt;&gt;"",E870&lt;&gt;""),ROUND(E870,0),"")</f>
        <v/>
      </c>
      <c r="G870" s="2" t="str">
        <f>IF(A870&lt;&gt;"",VLOOKUP(Alunos!A870,Recurso!A3:C1000,3, FALSE),"")</f>
        <v/>
      </c>
      <c r="H870" s="2" t="str">
        <f>IF(OR(A870&lt;&gt;"",G870&lt;&gt;""), SUMIFS(B870:G870,B1:G1,"&lt;&gt;",B2:G2,"&lt;&gt;Exame",B2:G2,"&lt;&gt;exame",B2:G2,"&lt;&gt;Nota",B2:G2,"&lt;&gt;Total"),"")</f>
        <v/>
      </c>
      <c r="I870" s="2" t="str">
        <f>IF(AND(A870&lt;&gt;"",H870&lt;&gt;""),ROUND(H870,0),"")</f>
        <v/>
      </c>
    </row>
    <row r="871" spans="2:9" x14ac:dyDescent="0.3">
      <c r="B871" s="2" t="str">
        <f>IF(A871&lt;&gt;"",VLOOKUP(Alunos!A871,Exame!A3:C1000,3, FALSE),"")</f>
        <v/>
      </c>
      <c r="C871" s="2" t="str">
        <f>IF(A871&lt;&gt;"",VLOOKUP(Alunos!A871,Agrupamentos!A3:B1000,2, FALSE),"")</f>
        <v/>
      </c>
      <c r="D871" s="2" t="str">
        <f>IF(A871&lt;&gt;"",VLOOKUP(Alunos!C871,'TP1'!A3:C1000,3, FALSE),"")</f>
        <v/>
      </c>
      <c r="E871" s="2" t="str">
        <f>IF(A871&lt;&gt;"", SUMIF(B1:D1,"&lt;&gt;",B871:D871),"")</f>
        <v/>
      </c>
      <c r="F871" s="2" t="str">
        <f>IF(AND(A871&lt;&gt;"",E871&lt;&gt;""),ROUND(E871,0),"")</f>
        <v/>
      </c>
      <c r="G871" s="2" t="str">
        <f>IF(A871&lt;&gt;"",VLOOKUP(Alunos!A871,Recurso!A3:C1000,3, FALSE),"")</f>
        <v/>
      </c>
      <c r="H871" s="2" t="str">
        <f>IF(OR(A871&lt;&gt;"",G871&lt;&gt;""), SUMIFS(B871:G871,B1:G1,"&lt;&gt;",B2:G2,"&lt;&gt;Exame",B2:G2,"&lt;&gt;exame",B2:G2,"&lt;&gt;Nota",B2:G2,"&lt;&gt;Total"),"")</f>
        <v/>
      </c>
      <c r="I871" s="2" t="str">
        <f>IF(AND(A871&lt;&gt;"",H871&lt;&gt;""),ROUND(H871,0),"")</f>
        <v/>
      </c>
    </row>
    <row r="872" spans="2:9" x14ac:dyDescent="0.3">
      <c r="B872" s="2" t="str">
        <f>IF(A872&lt;&gt;"",VLOOKUP(Alunos!A872,Exame!A3:C1000,3, FALSE),"")</f>
        <v/>
      </c>
      <c r="C872" s="2" t="str">
        <f>IF(A872&lt;&gt;"",VLOOKUP(Alunos!A872,Agrupamentos!A3:B1000,2, FALSE),"")</f>
        <v/>
      </c>
      <c r="D872" s="2" t="str">
        <f>IF(A872&lt;&gt;"",VLOOKUP(Alunos!C872,'TP1'!A3:C1000,3, FALSE),"")</f>
        <v/>
      </c>
      <c r="E872" s="2" t="str">
        <f>IF(A872&lt;&gt;"", SUMIF(B1:D1,"&lt;&gt;",B872:D872),"")</f>
        <v/>
      </c>
      <c r="F872" s="2" t="str">
        <f>IF(AND(A872&lt;&gt;"",E872&lt;&gt;""),ROUND(E872,0),"")</f>
        <v/>
      </c>
      <c r="G872" s="2" t="str">
        <f>IF(A872&lt;&gt;"",VLOOKUP(Alunos!A872,Recurso!A3:C1000,3, FALSE),"")</f>
        <v/>
      </c>
      <c r="H872" s="2" t="str">
        <f>IF(OR(A872&lt;&gt;"",G872&lt;&gt;""), SUMIFS(B872:G872,B1:G1,"&lt;&gt;",B2:G2,"&lt;&gt;Exame",B2:G2,"&lt;&gt;exame",B2:G2,"&lt;&gt;Nota",B2:G2,"&lt;&gt;Total"),"")</f>
        <v/>
      </c>
      <c r="I872" s="2" t="str">
        <f>IF(AND(A872&lt;&gt;"",H872&lt;&gt;""),ROUND(H872,0),"")</f>
        <v/>
      </c>
    </row>
    <row r="873" spans="2:9" x14ac:dyDescent="0.3">
      <c r="B873" s="2" t="str">
        <f>IF(A873&lt;&gt;"",VLOOKUP(Alunos!A873,Exame!A3:C1000,3, FALSE),"")</f>
        <v/>
      </c>
      <c r="C873" s="2" t="str">
        <f>IF(A873&lt;&gt;"",VLOOKUP(Alunos!A873,Agrupamentos!A3:B1000,2, FALSE),"")</f>
        <v/>
      </c>
      <c r="D873" s="2" t="str">
        <f>IF(A873&lt;&gt;"",VLOOKUP(Alunos!C873,'TP1'!A3:C1000,3, FALSE),"")</f>
        <v/>
      </c>
      <c r="E873" s="2" t="str">
        <f>IF(A873&lt;&gt;"", SUMIF(B1:D1,"&lt;&gt;",B873:D873),"")</f>
        <v/>
      </c>
      <c r="F873" s="2" t="str">
        <f>IF(AND(A873&lt;&gt;"",E873&lt;&gt;""),ROUND(E873,0),"")</f>
        <v/>
      </c>
      <c r="G873" s="2" t="str">
        <f>IF(A873&lt;&gt;"",VLOOKUP(Alunos!A873,Recurso!A3:C1000,3, FALSE),"")</f>
        <v/>
      </c>
      <c r="H873" s="2" t="str">
        <f>IF(OR(A873&lt;&gt;"",G873&lt;&gt;""), SUMIFS(B873:G873,B1:G1,"&lt;&gt;",B2:G2,"&lt;&gt;Exame",B2:G2,"&lt;&gt;exame",B2:G2,"&lt;&gt;Nota",B2:G2,"&lt;&gt;Total"),"")</f>
        <v/>
      </c>
      <c r="I873" s="2" t="str">
        <f>IF(AND(A873&lt;&gt;"",H873&lt;&gt;""),ROUND(H873,0),"")</f>
        <v/>
      </c>
    </row>
    <row r="874" spans="2:9" x14ac:dyDescent="0.3">
      <c r="B874" s="2" t="str">
        <f>IF(A874&lt;&gt;"",VLOOKUP(Alunos!A874,Exame!A3:C1000,3, FALSE),"")</f>
        <v/>
      </c>
      <c r="C874" s="2" t="str">
        <f>IF(A874&lt;&gt;"",VLOOKUP(Alunos!A874,Agrupamentos!A3:B1000,2, FALSE),"")</f>
        <v/>
      </c>
      <c r="D874" s="2" t="str">
        <f>IF(A874&lt;&gt;"",VLOOKUP(Alunos!C874,'TP1'!A3:C1000,3, FALSE),"")</f>
        <v/>
      </c>
      <c r="E874" s="2" t="str">
        <f>IF(A874&lt;&gt;"", SUMIF(B1:D1,"&lt;&gt;",B874:D874),"")</f>
        <v/>
      </c>
      <c r="F874" s="2" t="str">
        <f>IF(AND(A874&lt;&gt;"",E874&lt;&gt;""),ROUND(E874,0),"")</f>
        <v/>
      </c>
      <c r="G874" s="2" t="str">
        <f>IF(A874&lt;&gt;"",VLOOKUP(Alunos!A874,Recurso!A3:C1000,3, FALSE),"")</f>
        <v/>
      </c>
      <c r="H874" s="2" t="str">
        <f>IF(OR(A874&lt;&gt;"",G874&lt;&gt;""), SUMIFS(B874:G874,B1:G1,"&lt;&gt;",B2:G2,"&lt;&gt;Exame",B2:G2,"&lt;&gt;exame",B2:G2,"&lt;&gt;Nota",B2:G2,"&lt;&gt;Total"),"")</f>
        <v/>
      </c>
      <c r="I874" s="2" t="str">
        <f>IF(AND(A874&lt;&gt;"",H874&lt;&gt;""),ROUND(H874,0),"")</f>
        <v/>
      </c>
    </row>
    <row r="875" spans="2:9" x14ac:dyDescent="0.3">
      <c r="B875" s="2" t="str">
        <f>IF(A875&lt;&gt;"",VLOOKUP(Alunos!A875,Exame!A3:C1000,3, FALSE),"")</f>
        <v/>
      </c>
      <c r="C875" s="2" t="str">
        <f>IF(A875&lt;&gt;"",VLOOKUP(Alunos!A875,Agrupamentos!A3:B1000,2, FALSE),"")</f>
        <v/>
      </c>
      <c r="D875" s="2" t="str">
        <f>IF(A875&lt;&gt;"",VLOOKUP(Alunos!C875,'TP1'!A3:C1000,3, FALSE),"")</f>
        <v/>
      </c>
      <c r="E875" s="2" t="str">
        <f>IF(A875&lt;&gt;"", SUMIF(B1:D1,"&lt;&gt;",B875:D875),"")</f>
        <v/>
      </c>
      <c r="F875" s="2" t="str">
        <f>IF(AND(A875&lt;&gt;"",E875&lt;&gt;""),ROUND(E875,0),"")</f>
        <v/>
      </c>
      <c r="G875" s="2" t="str">
        <f>IF(A875&lt;&gt;"",VLOOKUP(Alunos!A875,Recurso!A3:C1000,3, FALSE),"")</f>
        <v/>
      </c>
      <c r="H875" s="2" t="str">
        <f>IF(OR(A875&lt;&gt;"",G875&lt;&gt;""), SUMIFS(B875:G875,B1:G1,"&lt;&gt;",B2:G2,"&lt;&gt;Exame",B2:G2,"&lt;&gt;exame",B2:G2,"&lt;&gt;Nota",B2:G2,"&lt;&gt;Total"),"")</f>
        <v/>
      </c>
      <c r="I875" s="2" t="str">
        <f>IF(AND(A875&lt;&gt;"",H875&lt;&gt;""),ROUND(H875,0),"")</f>
        <v/>
      </c>
    </row>
    <row r="876" spans="2:9" x14ac:dyDescent="0.3">
      <c r="B876" s="2" t="str">
        <f>IF(A876&lt;&gt;"",VLOOKUP(Alunos!A876,Exame!A3:C1000,3, FALSE),"")</f>
        <v/>
      </c>
      <c r="C876" s="2" t="str">
        <f>IF(A876&lt;&gt;"",VLOOKUP(Alunos!A876,Agrupamentos!A3:B1000,2, FALSE),"")</f>
        <v/>
      </c>
      <c r="D876" s="2" t="str">
        <f>IF(A876&lt;&gt;"",VLOOKUP(Alunos!C876,'TP1'!A3:C1000,3, FALSE),"")</f>
        <v/>
      </c>
      <c r="E876" s="2" t="str">
        <f>IF(A876&lt;&gt;"", SUMIF(B1:D1,"&lt;&gt;",B876:D876),"")</f>
        <v/>
      </c>
      <c r="F876" s="2" t="str">
        <f>IF(AND(A876&lt;&gt;"",E876&lt;&gt;""),ROUND(E876,0),"")</f>
        <v/>
      </c>
      <c r="G876" s="2" t="str">
        <f>IF(A876&lt;&gt;"",VLOOKUP(Alunos!A876,Recurso!A3:C1000,3, FALSE),"")</f>
        <v/>
      </c>
      <c r="H876" s="2" t="str">
        <f>IF(OR(A876&lt;&gt;"",G876&lt;&gt;""), SUMIFS(B876:G876,B1:G1,"&lt;&gt;",B2:G2,"&lt;&gt;Exame",B2:G2,"&lt;&gt;exame",B2:G2,"&lt;&gt;Nota",B2:G2,"&lt;&gt;Total"),"")</f>
        <v/>
      </c>
      <c r="I876" s="2" t="str">
        <f>IF(AND(A876&lt;&gt;"",H876&lt;&gt;""),ROUND(H876,0),"")</f>
        <v/>
      </c>
    </row>
    <row r="877" spans="2:9" x14ac:dyDescent="0.3">
      <c r="B877" s="2" t="str">
        <f>IF(A877&lt;&gt;"",VLOOKUP(Alunos!A877,Exame!A3:C1000,3, FALSE),"")</f>
        <v/>
      </c>
      <c r="C877" s="2" t="str">
        <f>IF(A877&lt;&gt;"",VLOOKUP(Alunos!A877,Agrupamentos!A3:B1000,2, FALSE),"")</f>
        <v/>
      </c>
      <c r="D877" s="2" t="str">
        <f>IF(A877&lt;&gt;"",VLOOKUP(Alunos!C877,'TP1'!A3:C1000,3, FALSE),"")</f>
        <v/>
      </c>
      <c r="E877" s="2" t="str">
        <f>IF(A877&lt;&gt;"", SUMIF(B1:D1,"&lt;&gt;",B877:D877),"")</f>
        <v/>
      </c>
      <c r="F877" s="2" t="str">
        <f>IF(AND(A877&lt;&gt;"",E877&lt;&gt;""),ROUND(E877,0),"")</f>
        <v/>
      </c>
      <c r="G877" s="2" t="str">
        <f>IF(A877&lt;&gt;"",VLOOKUP(Alunos!A877,Recurso!A3:C1000,3, FALSE),"")</f>
        <v/>
      </c>
      <c r="H877" s="2" t="str">
        <f>IF(OR(A877&lt;&gt;"",G877&lt;&gt;""), SUMIFS(B877:G877,B1:G1,"&lt;&gt;",B2:G2,"&lt;&gt;Exame",B2:G2,"&lt;&gt;exame",B2:G2,"&lt;&gt;Nota",B2:G2,"&lt;&gt;Total"),"")</f>
        <v/>
      </c>
      <c r="I877" s="2" t="str">
        <f>IF(AND(A877&lt;&gt;"",H877&lt;&gt;""),ROUND(H877,0),"")</f>
        <v/>
      </c>
    </row>
    <row r="878" spans="2:9" x14ac:dyDescent="0.3">
      <c r="B878" s="2" t="str">
        <f>IF(A878&lt;&gt;"",VLOOKUP(Alunos!A878,Exame!A3:C1000,3, FALSE),"")</f>
        <v/>
      </c>
      <c r="C878" s="2" t="str">
        <f>IF(A878&lt;&gt;"",VLOOKUP(Alunos!A878,Agrupamentos!A3:B1000,2, FALSE),"")</f>
        <v/>
      </c>
      <c r="D878" s="2" t="str">
        <f>IF(A878&lt;&gt;"",VLOOKUP(Alunos!C878,'TP1'!A3:C1000,3, FALSE),"")</f>
        <v/>
      </c>
      <c r="E878" s="2" t="str">
        <f>IF(A878&lt;&gt;"", SUMIF(B1:D1,"&lt;&gt;",B878:D878),"")</f>
        <v/>
      </c>
      <c r="F878" s="2" t="str">
        <f>IF(AND(A878&lt;&gt;"",E878&lt;&gt;""),ROUND(E878,0),"")</f>
        <v/>
      </c>
      <c r="G878" s="2" t="str">
        <f>IF(A878&lt;&gt;"",VLOOKUP(Alunos!A878,Recurso!A3:C1000,3, FALSE),"")</f>
        <v/>
      </c>
      <c r="H878" s="2" t="str">
        <f>IF(OR(A878&lt;&gt;"",G878&lt;&gt;""), SUMIFS(B878:G878,B1:G1,"&lt;&gt;",B2:G2,"&lt;&gt;Exame",B2:G2,"&lt;&gt;exame",B2:G2,"&lt;&gt;Nota",B2:G2,"&lt;&gt;Total"),"")</f>
        <v/>
      </c>
      <c r="I878" s="2" t="str">
        <f>IF(AND(A878&lt;&gt;"",H878&lt;&gt;""),ROUND(H878,0),"")</f>
        <v/>
      </c>
    </row>
    <row r="879" spans="2:9" x14ac:dyDescent="0.3">
      <c r="B879" s="2" t="str">
        <f>IF(A879&lt;&gt;"",VLOOKUP(Alunos!A879,Exame!A3:C1000,3, FALSE),"")</f>
        <v/>
      </c>
      <c r="C879" s="2" t="str">
        <f>IF(A879&lt;&gt;"",VLOOKUP(Alunos!A879,Agrupamentos!A3:B1000,2, FALSE),"")</f>
        <v/>
      </c>
      <c r="D879" s="2" t="str">
        <f>IF(A879&lt;&gt;"",VLOOKUP(Alunos!C879,'TP1'!A3:C1000,3, FALSE),"")</f>
        <v/>
      </c>
      <c r="E879" s="2" t="str">
        <f>IF(A879&lt;&gt;"", SUMIF(B1:D1,"&lt;&gt;",B879:D879),"")</f>
        <v/>
      </c>
      <c r="F879" s="2" t="str">
        <f>IF(AND(A879&lt;&gt;"",E879&lt;&gt;""),ROUND(E879,0),"")</f>
        <v/>
      </c>
      <c r="G879" s="2" t="str">
        <f>IF(A879&lt;&gt;"",VLOOKUP(Alunos!A879,Recurso!A3:C1000,3, FALSE),"")</f>
        <v/>
      </c>
      <c r="H879" s="2" t="str">
        <f>IF(OR(A879&lt;&gt;"",G879&lt;&gt;""), SUMIFS(B879:G879,B1:G1,"&lt;&gt;",B2:G2,"&lt;&gt;Exame",B2:G2,"&lt;&gt;exame",B2:G2,"&lt;&gt;Nota",B2:G2,"&lt;&gt;Total"),"")</f>
        <v/>
      </c>
      <c r="I879" s="2" t="str">
        <f>IF(AND(A879&lt;&gt;"",H879&lt;&gt;""),ROUND(H879,0),"")</f>
        <v/>
      </c>
    </row>
    <row r="880" spans="2:9" x14ac:dyDescent="0.3">
      <c r="B880" s="2" t="str">
        <f>IF(A880&lt;&gt;"",VLOOKUP(Alunos!A880,Exame!A3:C1000,3, FALSE),"")</f>
        <v/>
      </c>
      <c r="C880" s="2" t="str">
        <f>IF(A880&lt;&gt;"",VLOOKUP(Alunos!A880,Agrupamentos!A3:B1000,2, FALSE),"")</f>
        <v/>
      </c>
      <c r="D880" s="2" t="str">
        <f>IF(A880&lt;&gt;"",VLOOKUP(Alunos!C880,'TP1'!A3:C1000,3, FALSE),"")</f>
        <v/>
      </c>
      <c r="E880" s="2" t="str">
        <f>IF(A880&lt;&gt;"", SUMIF(B1:D1,"&lt;&gt;",B880:D880),"")</f>
        <v/>
      </c>
      <c r="F880" s="2" t="str">
        <f>IF(AND(A880&lt;&gt;"",E880&lt;&gt;""),ROUND(E880,0),"")</f>
        <v/>
      </c>
      <c r="G880" s="2" t="str">
        <f>IF(A880&lt;&gt;"",VLOOKUP(Alunos!A880,Recurso!A3:C1000,3, FALSE),"")</f>
        <v/>
      </c>
      <c r="H880" s="2" t="str">
        <f>IF(OR(A880&lt;&gt;"",G880&lt;&gt;""), SUMIFS(B880:G880,B1:G1,"&lt;&gt;",B2:G2,"&lt;&gt;Exame",B2:G2,"&lt;&gt;exame",B2:G2,"&lt;&gt;Nota",B2:G2,"&lt;&gt;Total"),"")</f>
        <v/>
      </c>
      <c r="I880" s="2" t="str">
        <f>IF(AND(A880&lt;&gt;"",H880&lt;&gt;""),ROUND(H880,0),"")</f>
        <v/>
      </c>
    </row>
    <row r="881" spans="2:9" x14ac:dyDescent="0.3">
      <c r="B881" s="2" t="str">
        <f>IF(A881&lt;&gt;"",VLOOKUP(Alunos!A881,Exame!A3:C1000,3, FALSE),"")</f>
        <v/>
      </c>
      <c r="C881" s="2" t="str">
        <f>IF(A881&lt;&gt;"",VLOOKUP(Alunos!A881,Agrupamentos!A3:B1000,2, FALSE),"")</f>
        <v/>
      </c>
      <c r="D881" s="2" t="str">
        <f>IF(A881&lt;&gt;"",VLOOKUP(Alunos!C881,'TP1'!A3:C1000,3, FALSE),"")</f>
        <v/>
      </c>
      <c r="E881" s="2" t="str">
        <f>IF(A881&lt;&gt;"", SUMIF(B1:D1,"&lt;&gt;",B881:D881),"")</f>
        <v/>
      </c>
      <c r="F881" s="2" t="str">
        <f>IF(AND(A881&lt;&gt;"",E881&lt;&gt;""),ROUND(E881,0),"")</f>
        <v/>
      </c>
      <c r="G881" s="2" t="str">
        <f>IF(A881&lt;&gt;"",VLOOKUP(Alunos!A881,Recurso!A3:C1000,3, FALSE),"")</f>
        <v/>
      </c>
      <c r="H881" s="2" t="str">
        <f>IF(OR(A881&lt;&gt;"",G881&lt;&gt;""), SUMIFS(B881:G881,B1:G1,"&lt;&gt;",B2:G2,"&lt;&gt;Exame",B2:G2,"&lt;&gt;exame",B2:G2,"&lt;&gt;Nota",B2:G2,"&lt;&gt;Total"),"")</f>
        <v/>
      </c>
      <c r="I881" s="2" t="str">
        <f>IF(AND(A881&lt;&gt;"",H881&lt;&gt;""),ROUND(H881,0),"")</f>
        <v/>
      </c>
    </row>
    <row r="882" spans="2:9" x14ac:dyDescent="0.3">
      <c r="B882" s="2" t="str">
        <f>IF(A882&lt;&gt;"",VLOOKUP(Alunos!A882,Exame!A3:C1000,3, FALSE),"")</f>
        <v/>
      </c>
      <c r="C882" s="2" t="str">
        <f>IF(A882&lt;&gt;"",VLOOKUP(Alunos!A882,Agrupamentos!A3:B1000,2, FALSE),"")</f>
        <v/>
      </c>
      <c r="D882" s="2" t="str">
        <f>IF(A882&lt;&gt;"",VLOOKUP(Alunos!C882,'TP1'!A3:C1000,3, FALSE),"")</f>
        <v/>
      </c>
      <c r="E882" s="2" t="str">
        <f>IF(A882&lt;&gt;"", SUMIF(B1:D1,"&lt;&gt;",B882:D882),"")</f>
        <v/>
      </c>
      <c r="F882" s="2" t="str">
        <f>IF(AND(A882&lt;&gt;"",E882&lt;&gt;""),ROUND(E882,0),"")</f>
        <v/>
      </c>
      <c r="G882" s="2" t="str">
        <f>IF(A882&lt;&gt;"",VLOOKUP(Alunos!A882,Recurso!A3:C1000,3, FALSE),"")</f>
        <v/>
      </c>
      <c r="H882" s="2" t="str">
        <f>IF(OR(A882&lt;&gt;"",G882&lt;&gt;""), SUMIFS(B882:G882,B1:G1,"&lt;&gt;",B2:G2,"&lt;&gt;Exame",B2:G2,"&lt;&gt;exame",B2:G2,"&lt;&gt;Nota",B2:G2,"&lt;&gt;Total"),"")</f>
        <v/>
      </c>
      <c r="I882" s="2" t="str">
        <f>IF(AND(A882&lt;&gt;"",H882&lt;&gt;""),ROUND(H882,0),"")</f>
        <v/>
      </c>
    </row>
    <row r="883" spans="2:9" x14ac:dyDescent="0.3">
      <c r="B883" s="2" t="str">
        <f>IF(A883&lt;&gt;"",VLOOKUP(Alunos!A883,Exame!A3:C1000,3, FALSE),"")</f>
        <v/>
      </c>
      <c r="C883" s="2" t="str">
        <f>IF(A883&lt;&gt;"",VLOOKUP(Alunos!A883,Agrupamentos!A3:B1000,2, FALSE),"")</f>
        <v/>
      </c>
      <c r="D883" s="2" t="str">
        <f>IF(A883&lt;&gt;"",VLOOKUP(Alunos!C883,'TP1'!A3:C1000,3, FALSE),"")</f>
        <v/>
      </c>
      <c r="E883" s="2" t="str">
        <f>IF(A883&lt;&gt;"", SUMIF(B1:D1,"&lt;&gt;",B883:D883),"")</f>
        <v/>
      </c>
      <c r="F883" s="2" t="str">
        <f>IF(AND(A883&lt;&gt;"",E883&lt;&gt;""),ROUND(E883,0),"")</f>
        <v/>
      </c>
      <c r="G883" s="2" t="str">
        <f>IF(A883&lt;&gt;"",VLOOKUP(Alunos!A883,Recurso!A3:C1000,3, FALSE),"")</f>
        <v/>
      </c>
      <c r="H883" s="2" t="str">
        <f>IF(OR(A883&lt;&gt;"",G883&lt;&gt;""), SUMIFS(B883:G883,B1:G1,"&lt;&gt;",B2:G2,"&lt;&gt;Exame",B2:G2,"&lt;&gt;exame",B2:G2,"&lt;&gt;Nota",B2:G2,"&lt;&gt;Total"),"")</f>
        <v/>
      </c>
      <c r="I883" s="2" t="str">
        <f>IF(AND(A883&lt;&gt;"",H883&lt;&gt;""),ROUND(H883,0),"")</f>
        <v/>
      </c>
    </row>
    <row r="884" spans="2:9" x14ac:dyDescent="0.3">
      <c r="B884" s="2" t="str">
        <f>IF(A884&lt;&gt;"",VLOOKUP(Alunos!A884,Exame!A3:C1000,3, FALSE),"")</f>
        <v/>
      </c>
      <c r="C884" s="2" t="str">
        <f>IF(A884&lt;&gt;"",VLOOKUP(Alunos!A884,Agrupamentos!A3:B1000,2, FALSE),"")</f>
        <v/>
      </c>
      <c r="D884" s="2" t="str">
        <f>IF(A884&lt;&gt;"",VLOOKUP(Alunos!C884,'TP1'!A3:C1000,3, FALSE),"")</f>
        <v/>
      </c>
      <c r="E884" s="2" t="str">
        <f>IF(A884&lt;&gt;"", SUMIF(B1:D1,"&lt;&gt;",B884:D884),"")</f>
        <v/>
      </c>
      <c r="F884" s="2" t="str">
        <f>IF(AND(A884&lt;&gt;"",E884&lt;&gt;""),ROUND(E884,0),"")</f>
        <v/>
      </c>
      <c r="G884" s="2" t="str">
        <f>IF(A884&lt;&gt;"",VLOOKUP(Alunos!A884,Recurso!A3:C1000,3, FALSE),"")</f>
        <v/>
      </c>
      <c r="H884" s="2" t="str">
        <f>IF(OR(A884&lt;&gt;"",G884&lt;&gt;""), SUMIFS(B884:G884,B1:G1,"&lt;&gt;",B2:G2,"&lt;&gt;Exame",B2:G2,"&lt;&gt;exame",B2:G2,"&lt;&gt;Nota",B2:G2,"&lt;&gt;Total"),"")</f>
        <v/>
      </c>
      <c r="I884" s="2" t="str">
        <f>IF(AND(A884&lt;&gt;"",H884&lt;&gt;""),ROUND(H884,0),"")</f>
        <v/>
      </c>
    </row>
    <row r="885" spans="2:9" x14ac:dyDescent="0.3">
      <c r="B885" s="2" t="str">
        <f>IF(A885&lt;&gt;"",VLOOKUP(Alunos!A885,Exame!A3:C1000,3, FALSE),"")</f>
        <v/>
      </c>
      <c r="C885" s="2" t="str">
        <f>IF(A885&lt;&gt;"",VLOOKUP(Alunos!A885,Agrupamentos!A3:B1000,2, FALSE),"")</f>
        <v/>
      </c>
      <c r="D885" s="2" t="str">
        <f>IF(A885&lt;&gt;"",VLOOKUP(Alunos!C885,'TP1'!A3:C1000,3, FALSE),"")</f>
        <v/>
      </c>
      <c r="E885" s="2" t="str">
        <f>IF(A885&lt;&gt;"", SUMIF(B1:D1,"&lt;&gt;",B885:D885),"")</f>
        <v/>
      </c>
      <c r="F885" s="2" t="str">
        <f>IF(AND(A885&lt;&gt;"",E885&lt;&gt;""),ROUND(E885,0),"")</f>
        <v/>
      </c>
      <c r="G885" s="2" t="str">
        <f>IF(A885&lt;&gt;"",VLOOKUP(Alunos!A885,Recurso!A3:C1000,3, FALSE),"")</f>
        <v/>
      </c>
      <c r="H885" s="2" t="str">
        <f>IF(OR(A885&lt;&gt;"",G885&lt;&gt;""), SUMIFS(B885:G885,B1:G1,"&lt;&gt;",B2:G2,"&lt;&gt;Exame",B2:G2,"&lt;&gt;exame",B2:G2,"&lt;&gt;Nota",B2:G2,"&lt;&gt;Total"),"")</f>
        <v/>
      </c>
      <c r="I885" s="2" t="str">
        <f>IF(AND(A885&lt;&gt;"",H885&lt;&gt;""),ROUND(H885,0),"")</f>
        <v/>
      </c>
    </row>
    <row r="886" spans="2:9" x14ac:dyDescent="0.3">
      <c r="B886" s="2" t="str">
        <f>IF(A886&lt;&gt;"",VLOOKUP(Alunos!A886,Exame!A3:C1000,3, FALSE),"")</f>
        <v/>
      </c>
      <c r="C886" s="2" t="str">
        <f>IF(A886&lt;&gt;"",VLOOKUP(Alunos!A886,Agrupamentos!A3:B1000,2, FALSE),"")</f>
        <v/>
      </c>
      <c r="D886" s="2" t="str">
        <f>IF(A886&lt;&gt;"",VLOOKUP(Alunos!C886,'TP1'!A3:C1000,3, FALSE),"")</f>
        <v/>
      </c>
      <c r="E886" s="2" t="str">
        <f>IF(A886&lt;&gt;"", SUMIF(B1:D1,"&lt;&gt;",B886:D886),"")</f>
        <v/>
      </c>
      <c r="F886" s="2" t="str">
        <f>IF(AND(A886&lt;&gt;"",E886&lt;&gt;""),ROUND(E886,0),"")</f>
        <v/>
      </c>
      <c r="G886" s="2" t="str">
        <f>IF(A886&lt;&gt;"",VLOOKUP(Alunos!A886,Recurso!A3:C1000,3, FALSE),"")</f>
        <v/>
      </c>
      <c r="H886" s="2" t="str">
        <f>IF(OR(A886&lt;&gt;"",G886&lt;&gt;""), SUMIFS(B886:G886,B1:G1,"&lt;&gt;",B2:G2,"&lt;&gt;Exame",B2:G2,"&lt;&gt;exame",B2:G2,"&lt;&gt;Nota",B2:G2,"&lt;&gt;Total"),"")</f>
        <v/>
      </c>
      <c r="I886" s="2" t="str">
        <f>IF(AND(A886&lt;&gt;"",H886&lt;&gt;""),ROUND(H886,0),"")</f>
        <v/>
      </c>
    </row>
    <row r="887" spans="2:9" x14ac:dyDescent="0.3">
      <c r="B887" s="2" t="str">
        <f>IF(A887&lt;&gt;"",VLOOKUP(Alunos!A887,Exame!A3:C1000,3, FALSE),"")</f>
        <v/>
      </c>
      <c r="C887" s="2" t="str">
        <f>IF(A887&lt;&gt;"",VLOOKUP(Alunos!A887,Agrupamentos!A3:B1000,2, FALSE),"")</f>
        <v/>
      </c>
      <c r="D887" s="2" t="str">
        <f>IF(A887&lt;&gt;"",VLOOKUP(Alunos!C887,'TP1'!A3:C1000,3, FALSE),"")</f>
        <v/>
      </c>
      <c r="E887" s="2" t="str">
        <f>IF(A887&lt;&gt;"", SUMIF(B1:D1,"&lt;&gt;",B887:D887),"")</f>
        <v/>
      </c>
      <c r="F887" s="2" t="str">
        <f>IF(AND(A887&lt;&gt;"",E887&lt;&gt;""),ROUND(E887,0),"")</f>
        <v/>
      </c>
      <c r="G887" s="2" t="str">
        <f>IF(A887&lt;&gt;"",VLOOKUP(Alunos!A887,Recurso!A3:C1000,3, FALSE),"")</f>
        <v/>
      </c>
      <c r="H887" s="2" t="str">
        <f>IF(OR(A887&lt;&gt;"",G887&lt;&gt;""), SUMIFS(B887:G887,B1:G1,"&lt;&gt;",B2:G2,"&lt;&gt;Exame",B2:G2,"&lt;&gt;exame",B2:G2,"&lt;&gt;Nota",B2:G2,"&lt;&gt;Total"),"")</f>
        <v/>
      </c>
      <c r="I887" s="2" t="str">
        <f>IF(AND(A887&lt;&gt;"",H887&lt;&gt;""),ROUND(H887,0),"")</f>
        <v/>
      </c>
    </row>
    <row r="888" spans="2:9" x14ac:dyDescent="0.3">
      <c r="B888" s="2" t="str">
        <f>IF(A888&lt;&gt;"",VLOOKUP(Alunos!A888,Exame!A3:C1000,3, FALSE),"")</f>
        <v/>
      </c>
      <c r="C888" s="2" t="str">
        <f>IF(A888&lt;&gt;"",VLOOKUP(Alunos!A888,Agrupamentos!A3:B1000,2, FALSE),"")</f>
        <v/>
      </c>
      <c r="D888" s="2" t="str">
        <f>IF(A888&lt;&gt;"",VLOOKUP(Alunos!C888,'TP1'!A3:C1000,3, FALSE),"")</f>
        <v/>
      </c>
      <c r="E888" s="2" t="str">
        <f>IF(A888&lt;&gt;"", SUMIF(B1:D1,"&lt;&gt;",B888:D888),"")</f>
        <v/>
      </c>
      <c r="F888" s="2" t="str">
        <f>IF(AND(A888&lt;&gt;"",E888&lt;&gt;""),ROUND(E888,0),"")</f>
        <v/>
      </c>
      <c r="G888" s="2" t="str">
        <f>IF(A888&lt;&gt;"",VLOOKUP(Alunos!A888,Recurso!A3:C1000,3, FALSE),"")</f>
        <v/>
      </c>
      <c r="H888" s="2" t="str">
        <f>IF(OR(A888&lt;&gt;"",G888&lt;&gt;""), SUMIFS(B888:G888,B1:G1,"&lt;&gt;",B2:G2,"&lt;&gt;Exame",B2:G2,"&lt;&gt;exame",B2:G2,"&lt;&gt;Nota",B2:G2,"&lt;&gt;Total"),"")</f>
        <v/>
      </c>
      <c r="I888" s="2" t="str">
        <f>IF(AND(A888&lt;&gt;"",H888&lt;&gt;""),ROUND(H888,0),"")</f>
        <v/>
      </c>
    </row>
    <row r="889" spans="2:9" x14ac:dyDescent="0.3">
      <c r="B889" s="2" t="str">
        <f>IF(A889&lt;&gt;"",VLOOKUP(Alunos!A889,Exame!A3:C1000,3, FALSE),"")</f>
        <v/>
      </c>
      <c r="C889" s="2" t="str">
        <f>IF(A889&lt;&gt;"",VLOOKUP(Alunos!A889,Agrupamentos!A3:B1000,2, FALSE),"")</f>
        <v/>
      </c>
      <c r="D889" s="2" t="str">
        <f>IF(A889&lt;&gt;"",VLOOKUP(Alunos!C889,'TP1'!A3:C1000,3, FALSE),"")</f>
        <v/>
      </c>
      <c r="E889" s="2" t="str">
        <f>IF(A889&lt;&gt;"", SUMIF(B1:D1,"&lt;&gt;",B889:D889),"")</f>
        <v/>
      </c>
      <c r="F889" s="2" t="str">
        <f>IF(AND(A889&lt;&gt;"",E889&lt;&gt;""),ROUND(E889,0),"")</f>
        <v/>
      </c>
      <c r="G889" s="2" t="str">
        <f>IF(A889&lt;&gt;"",VLOOKUP(Alunos!A889,Recurso!A3:C1000,3, FALSE),"")</f>
        <v/>
      </c>
      <c r="H889" s="2" t="str">
        <f>IF(OR(A889&lt;&gt;"",G889&lt;&gt;""), SUMIFS(B889:G889,B1:G1,"&lt;&gt;",B2:G2,"&lt;&gt;Exame",B2:G2,"&lt;&gt;exame",B2:G2,"&lt;&gt;Nota",B2:G2,"&lt;&gt;Total"),"")</f>
        <v/>
      </c>
      <c r="I889" s="2" t="str">
        <f>IF(AND(A889&lt;&gt;"",H889&lt;&gt;""),ROUND(H889,0),"")</f>
        <v/>
      </c>
    </row>
    <row r="890" spans="2:9" x14ac:dyDescent="0.3">
      <c r="B890" s="2" t="str">
        <f>IF(A890&lt;&gt;"",VLOOKUP(Alunos!A890,Exame!A3:C1000,3, FALSE),"")</f>
        <v/>
      </c>
      <c r="C890" s="2" t="str">
        <f>IF(A890&lt;&gt;"",VLOOKUP(Alunos!A890,Agrupamentos!A3:B1000,2, FALSE),"")</f>
        <v/>
      </c>
      <c r="D890" s="2" t="str">
        <f>IF(A890&lt;&gt;"",VLOOKUP(Alunos!C890,'TP1'!A3:C1000,3, FALSE),"")</f>
        <v/>
      </c>
      <c r="E890" s="2" t="str">
        <f>IF(A890&lt;&gt;"", SUMIF(B1:D1,"&lt;&gt;",B890:D890),"")</f>
        <v/>
      </c>
      <c r="F890" s="2" t="str">
        <f>IF(AND(A890&lt;&gt;"",E890&lt;&gt;""),ROUND(E890,0),"")</f>
        <v/>
      </c>
      <c r="G890" s="2" t="str">
        <f>IF(A890&lt;&gt;"",VLOOKUP(Alunos!A890,Recurso!A3:C1000,3, FALSE),"")</f>
        <v/>
      </c>
      <c r="H890" s="2" t="str">
        <f>IF(OR(A890&lt;&gt;"",G890&lt;&gt;""), SUMIFS(B890:G890,B1:G1,"&lt;&gt;",B2:G2,"&lt;&gt;Exame",B2:G2,"&lt;&gt;exame",B2:G2,"&lt;&gt;Nota",B2:G2,"&lt;&gt;Total"),"")</f>
        <v/>
      </c>
      <c r="I890" s="2" t="str">
        <f>IF(AND(A890&lt;&gt;"",H890&lt;&gt;""),ROUND(H890,0),"")</f>
        <v/>
      </c>
    </row>
    <row r="891" spans="2:9" x14ac:dyDescent="0.3">
      <c r="B891" s="2" t="str">
        <f>IF(A891&lt;&gt;"",VLOOKUP(Alunos!A891,Exame!A3:C1000,3, FALSE),"")</f>
        <v/>
      </c>
      <c r="C891" s="2" t="str">
        <f>IF(A891&lt;&gt;"",VLOOKUP(Alunos!A891,Agrupamentos!A3:B1000,2, FALSE),"")</f>
        <v/>
      </c>
      <c r="D891" s="2" t="str">
        <f>IF(A891&lt;&gt;"",VLOOKUP(Alunos!C891,'TP1'!A3:C1000,3, FALSE),"")</f>
        <v/>
      </c>
      <c r="E891" s="2" t="str">
        <f>IF(A891&lt;&gt;"", SUMIF(B1:D1,"&lt;&gt;",B891:D891),"")</f>
        <v/>
      </c>
      <c r="F891" s="2" t="str">
        <f>IF(AND(A891&lt;&gt;"",E891&lt;&gt;""),ROUND(E891,0),"")</f>
        <v/>
      </c>
      <c r="G891" s="2" t="str">
        <f>IF(A891&lt;&gt;"",VLOOKUP(Alunos!A891,Recurso!A3:C1000,3, FALSE),"")</f>
        <v/>
      </c>
      <c r="H891" s="2" t="str">
        <f>IF(OR(A891&lt;&gt;"",G891&lt;&gt;""), SUMIFS(B891:G891,B1:G1,"&lt;&gt;",B2:G2,"&lt;&gt;Exame",B2:G2,"&lt;&gt;exame",B2:G2,"&lt;&gt;Nota",B2:G2,"&lt;&gt;Total"),"")</f>
        <v/>
      </c>
      <c r="I891" s="2" t="str">
        <f>IF(AND(A891&lt;&gt;"",H891&lt;&gt;""),ROUND(H891,0),"")</f>
        <v/>
      </c>
    </row>
    <row r="892" spans="2:9" x14ac:dyDescent="0.3">
      <c r="B892" s="2" t="str">
        <f>IF(A892&lt;&gt;"",VLOOKUP(Alunos!A892,Exame!A3:C1000,3, FALSE),"")</f>
        <v/>
      </c>
      <c r="C892" s="2" t="str">
        <f>IF(A892&lt;&gt;"",VLOOKUP(Alunos!A892,Agrupamentos!A3:B1000,2, FALSE),"")</f>
        <v/>
      </c>
      <c r="D892" s="2" t="str">
        <f>IF(A892&lt;&gt;"",VLOOKUP(Alunos!C892,'TP1'!A3:C1000,3, FALSE),"")</f>
        <v/>
      </c>
      <c r="E892" s="2" t="str">
        <f>IF(A892&lt;&gt;"", SUMIF(B1:D1,"&lt;&gt;",B892:D892),"")</f>
        <v/>
      </c>
      <c r="F892" s="2" t="str">
        <f>IF(AND(A892&lt;&gt;"",E892&lt;&gt;""),ROUND(E892,0),"")</f>
        <v/>
      </c>
      <c r="G892" s="2" t="str">
        <f>IF(A892&lt;&gt;"",VLOOKUP(Alunos!A892,Recurso!A3:C1000,3, FALSE),"")</f>
        <v/>
      </c>
      <c r="H892" s="2" t="str">
        <f>IF(OR(A892&lt;&gt;"",G892&lt;&gt;""), SUMIFS(B892:G892,B1:G1,"&lt;&gt;",B2:G2,"&lt;&gt;Exame",B2:G2,"&lt;&gt;exame",B2:G2,"&lt;&gt;Nota",B2:G2,"&lt;&gt;Total"),"")</f>
        <v/>
      </c>
      <c r="I892" s="2" t="str">
        <f>IF(AND(A892&lt;&gt;"",H892&lt;&gt;""),ROUND(H892,0),"")</f>
        <v/>
      </c>
    </row>
    <row r="893" spans="2:9" x14ac:dyDescent="0.3">
      <c r="B893" s="2" t="str">
        <f>IF(A893&lt;&gt;"",VLOOKUP(Alunos!A893,Exame!A3:C1000,3, FALSE),"")</f>
        <v/>
      </c>
      <c r="C893" s="2" t="str">
        <f>IF(A893&lt;&gt;"",VLOOKUP(Alunos!A893,Agrupamentos!A3:B1000,2, FALSE),"")</f>
        <v/>
      </c>
      <c r="D893" s="2" t="str">
        <f>IF(A893&lt;&gt;"",VLOOKUP(Alunos!C893,'TP1'!A3:C1000,3, FALSE),"")</f>
        <v/>
      </c>
      <c r="E893" s="2" t="str">
        <f>IF(A893&lt;&gt;"", SUMIF(B1:D1,"&lt;&gt;",B893:D893),"")</f>
        <v/>
      </c>
      <c r="F893" s="2" t="str">
        <f>IF(AND(A893&lt;&gt;"",E893&lt;&gt;""),ROUND(E893,0),"")</f>
        <v/>
      </c>
      <c r="G893" s="2" t="str">
        <f>IF(A893&lt;&gt;"",VLOOKUP(Alunos!A893,Recurso!A3:C1000,3, FALSE),"")</f>
        <v/>
      </c>
      <c r="H893" s="2" t="str">
        <f>IF(OR(A893&lt;&gt;"",G893&lt;&gt;""), SUMIFS(B893:G893,B1:G1,"&lt;&gt;",B2:G2,"&lt;&gt;Exame",B2:G2,"&lt;&gt;exame",B2:G2,"&lt;&gt;Nota",B2:G2,"&lt;&gt;Total"),"")</f>
        <v/>
      </c>
      <c r="I893" s="2" t="str">
        <f>IF(AND(A893&lt;&gt;"",H893&lt;&gt;""),ROUND(H893,0),"")</f>
        <v/>
      </c>
    </row>
    <row r="894" spans="2:9" x14ac:dyDescent="0.3">
      <c r="B894" s="2" t="str">
        <f>IF(A894&lt;&gt;"",VLOOKUP(Alunos!A894,Exame!A3:C1000,3, FALSE),"")</f>
        <v/>
      </c>
      <c r="C894" s="2" t="str">
        <f>IF(A894&lt;&gt;"",VLOOKUP(Alunos!A894,Agrupamentos!A3:B1000,2, FALSE),"")</f>
        <v/>
      </c>
      <c r="D894" s="2" t="str">
        <f>IF(A894&lt;&gt;"",VLOOKUP(Alunos!C894,'TP1'!A3:C1000,3, FALSE),"")</f>
        <v/>
      </c>
      <c r="E894" s="2" t="str">
        <f>IF(A894&lt;&gt;"", SUMIF(B1:D1,"&lt;&gt;",B894:D894),"")</f>
        <v/>
      </c>
      <c r="F894" s="2" t="str">
        <f>IF(AND(A894&lt;&gt;"",E894&lt;&gt;""),ROUND(E894,0),"")</f>
        <v/>
      </c>
      <c r="G894" s="2" t="str">
        <f>IF(A894&lt;&gt;"",VLOOKUP(Alunos!A894,Recurso!A3:C1000,3, FALSE),"")</f>
        <v/>
      </c>
      <c r="H894" s="2" t="str">
        <f>IF(OR(A894&lt;&gt;"",G894&lt;&gt;""), SUMIFS(B894:G894,B1:G1,"&lt;&gt;",B2:G2,"&lt;&gt;Exame",B2:G2,"&lt;&gt;exame",B2:G2,"&lt;&gt;Nota",B2:G2,"&lt;&gt;Total"),"")</f>
        <v/>
      </c>
      <c r="I894" s="2" t="str">
        <f>IF(AND(A894&lt;&gt;"",H894&lt;&gt;""),ROUND(H894,0),"")</f>
        <v/>
      </c>
    </row>
    <row r="895" spans="2:9" x14ac:dyDescent="0.3">
      <c r="B895" s="2" t="str">
        <f>IF(A895&lt;&gt;"",VLOOKUP(Alunos!A895,Exame!A3:C1000,3, FALSE),"")</f>
        <v/>
      </c>
      <c r="C895" s="2" t="str">
        <f>IF(A895&lt;&gt;"",VLOOKUP(Alunos!A895,Agrupamentos!A3:B1000,2, FALSE),"")</f>
        <v/>
      </c>
      <c r="D895" s="2" t="str">
        <f>IF(A895&lt;&gt;"",VLOOKUP(Alunos!C895,'TP1'!A3:C1000,3, FALSE),"")</f>
        <v/>
      </c>
      <c r="E895" s="2" t="str">
        <f>IF(A895&lt;&gt;"", SUMIF(B1:D1,"&lt;&gt;",B895:D895),"")</f>
        <v/>
      </c>
      <c r="F895" s="2" t="str">
        <f>IF(AND(A895&lt;&gt;"",E895&lt;&gt;""),ROUND(E895,0),"")</f>
        <v/>
      </c>
      <c r="G895" s="2" t="str">
        <f>IF(A895&lt;&gt;"",VLOOKUP(Alunos!A895,Recurso!A3:C1000,3, FALSE),"")</f>
        <v/>
      </c>
      <c r="H895" s="2" t="str">
        <f>IF(OR(A895&lt;&gt;"",G895&lt;&gt;""), SUMIFS(B895:G895,B1:G1,"&lt;&gt;",B2:G2,"&lt;&gt;Exame",B2:G2,"&lt;&gt;exame",B2:G2,"&lt;&gt;Nota",B2:G2,"&lt;&gt;Total"),"")</f>
        <v/>
      </c>
      <c r="I895" s="2" t="str">
        <f>IF(AND(A895&lt;&gt;"",H895&lt;&gt;""),ROUND(H895,0),"")</f>
        <v/>
      </c>
    </row>
    <row r="896" spans="2:9" x14ac:dyDescent="0.3">
      <c r="B896" s="2" t="str">
        <f>IF(A896&lt;&gt;"",VLOOKUP(Alunos!A896,Exame!A3:C1000,3, FALSE),"")</f>
        <v/>
      </c>
      <c r="C896" s="2" t="str">
        <f>IF(A896&lt;&gt;"",VLOOKUP(Alunos!A896,Agrupamentos!A3:B1000,2, FALSE),"")</f>
        <v/>
      </c>
      <c r="D896" s="2" t="str">
        <f>IF(A896&lt;&gt;"",VLOOKUP(Alunos!C896,'TP1'!A3:C1000,3, FALSE),"")</f>
        <v/>
      </c>
      <c r="E896" s="2" t="str">
        <f>IF(A896&lt;&gt;"", SUMIF(B1:D1,"&lt;&gt;",B896:D896),"")</f>
        <v/>
      </c>
      <c r="F896" s="2" t="str">
        <f>IF(AND(A896&lt;&gt;"",E896&lt;&gt;""),ROUND(E896,0),"")</f>
        <v/>
      </c>
      <c r="G896" s="2" t="str">
        <f>IF(A896&lt;&gt;"",VLOOKUP(Alunos!A896,Recurso!A3:C1000,3, FALSE),"")</f>
        <v/>
      </c>
      <c r="H896" s="2" t="str">
        <f>IF(OR(A896&lt;&gt;"",G896&lt;&gt;""), SUMIFS(B896:G896,B1:G1,"&lt;&gt;",B2:G2,"&lt;&gt;Exame",B2:G2,"&lt;&gt;exame",B2:G2,"&lt;&gt;Nota",B2:G2,"&lt;&gt;Total"),"")</f>
        <v/>
      </c>
      <c r="I896" s="2" t="str">
        <f>IF(AND(A896&lt;&gt;"",H896&lt;&gt;""),ROUND(H896,0),"")</f>
        <v/>
      </c>
    </row>
    <row r="897" spans="2:9" x14ac:dyDescent="0.3">
      <c r="B897" s="2" t="str">
        <f>IF(A897&lt;&gt;"",VLOOKUP(Alunos!A897,Exame!A3:C1000,3, FALSE),"")</f>
        <v/>
      </c>
      <c r="C897" s="2" t="str">
        <f>IF(A897&lt;&gt;"",VLOOKUP(Alunos!A897,Agrupamentos!A3:B1000,2, FALSE),"")</f>
        <v/>
      </c>
      <c r="D897" s="2" t="str">
        <f>IF(A897&lt;&gt;"",VLOOKUP(Alunos!C897,'TP1'!A3:C1000,3, FALSE),"")</f>
        <v/>
      </c>
      <c r="E897" s="2" t="str">
        <f>IF(A897&lt;&gt;"", SUMIF(B1:D1,"&lt;&gt;",B897:D897),"")</f>
        <v/>
      </c>
      <c r="F897" s="2" t="str">
        <f>IF(AND(A897&lt;&gt;"",E897&lt;&gt;""),ROUND(E897,0),"")</f>
        <v/>
      </c>
      <c r="G897" s="2" t="str">
        <f>IF(A897&lt;&gt;"",VLOOKUP(Alunos!A897,Recurso!A3:C1000,3, FALSE),"")</f>
        <v/>
      </c>
      <c r="H897" s="2" t="str">
        <f>IF(OR(A897&lt;&gt;"",G897&lt;&gt;""), SUMIFS(B897:G897,B1:G1,"&lt;&gt;",B2:G2,"&lt;&gt;Exame",B2:G2,"&lt;&gt;exame",B2:G2,"&lt;&gt;Nota",B2:G2,"&lt;&gt;Total"),"")</f>
        <v/>
      </c>
      <c r="I897" s="2" t="str">
        <f>IF(AND(A897&lt;&gt;"",H897&lt;&gt;""),ROUND(H897,0),"")</f>
        <v/>
      </c>
    </row>
    <row r="898" spans="2:9" x14ac:dyDescent="0.3">
      <c r="B898" s="2" t="str">
        <f>IF(A898&lt;&gt;"",VLOOKUP(Alunos!A898,Exame!A3:C1000,3, FALSE),"")</f>
        <v/>
      </c>
      <c r="C898" s="2" t="str">
        <f>IF(A898&lt;&gt;"",VLOOKUP(Alunos!A898,Agrupamentos!A3:B1000,2, FALSE),"")</f>
        <v/>
      </c>
      <c r="D898" s="2" t="str">
        <f>IF(A898&lt;&gt;"",VLOOKUP(Alunos!C898,'TP1'!A3:C1000,3, FALSE),"")</f>
        <v/>
      </c>
      <c r="E898" s="2" t="str">
        <f>IF(A898&lt;&gt;"", SUMIF(B1:D1,"&lt;&gt;",B898:D898),"")</f>
        <v/>
      </c>
      <c r="F898" s="2" t="str">
        <f>IF(AND(A898&lt;&gt;"",E898&lt;&gt;""),ROUND(E898,0),"")</f>
        <v/>
      </c>
      <c r="G898" s="2" t="str">
        <f>IF(A898&lt;&gt;"",VLOOKUP(Alunos!A898,Recurso!A3:C1000,3, FALSE),"")</f>
        <v/>
      </c>
      <c r="H898" s="2" t="str">
        <f>IF(OR(A898&lt;&gt;"",G898&lt;&gt;""), SUMIFS(B898:G898,B1:G1,"&lt;&gt;",B2:G2,"&lt;&gt;Exame",B2:G2,"&lt;&gt;exame",B2:G2,"&lt;&gt;Nota",B2:G2,"&lt;&gt;Total"),"")</f>
        <v/>
      </c>
      <c r="I898" s="2" t="str">
        <f>IF(AND(A898&lt;&gt;"",H898&lt;&gt;""),ROUND(H898,0),"")</f>
        <v/>
      </c>
    </row>
    <row r="899" spans="2:9" x14ac:dyDescent="0.3">
      <c r="B899" s="2" t="str">
        <f>IF(A899&lt;&gt;"",VLOOKUP(Alunos!A899,Exame!A3:C1000,3, FALSE),"")</f>
        <v/>
      </c>
      <c r="C899" s="2" t="str">
        <f>IF(A899&lt;&gt;"",VLOOKUP(Alunos!A899,Agrupamentos!A3:B1000,2, FALSE),"")</f>
        <v/>
      </c>
      <c r="D899" s="2" t="str">
        <f>IF(A899&lt;&gt;"",VLOOKUP(Alunos!C899,'TP1'!A3:C1000,3, FALSE),"")</f>
        <v/>
      </c>
      <c r="E899" s="2" t="str">
        <f>IF(A899&lt;&gt;"", SUMIF(B1:D1,"&lt;&gt;",B899:D899),"")</f>
        <v/>
      </c>
      <c r="F899" s="2" t="str">
        <f>IF(AND(A899&lt;&gt;"",E899&lt;&gt;""),ROUND(E899,0),"")</f>
        <v/>
      </c>
      <c r="G899" s="2" t="str">
        <f>IF(A899&lt;&gt;"",VLOOKUP(Alunos!A899,Recurso!A3:C1000,3, FALSE),"")</f>
        <v/>
      </c>
      <c r="H899" s="2" t="str">
        <f>IF(OR(A899&lt;&gt;"",G899&lt;&gt;""), SUMIFS(B899:G899,B1:G1,"&lt;&gt;",B2:G2,"&lt;&gt;Exame",B2:G2,"&lt;&gt;exame",B2:G2,"&lt;&gt;Nota",B2:G2,"&lt;&gt;Total"),"")</f>
        <v/>
      </c>
      <c r="I899" s="2" t="str">
        <f>IF(AND(A899&lt;&gt;"",H899&lt;&gt;""),ROUND(H899,0),"")</f>
        <v/>
      </c>
    </row>
    <row r="900" spans="2:9" x14ac:dyDescent="0.3">
      <c r="B900" s="2" t="str">
        <f>IF(A900&lt;&gt;"",VLOOKUP(Alunos!A900,Exame!A3:C1000,3, FALSE),"")</f>
        <v/>
      </c>
      <c r="C900" s="2" t="str">
        <f>IF(A900&lt;&gt;"",VLOOKUP(Alunos!A900,Agrupamentos!A3:B1000,2, FALSE),"")</f>
        <v/>
      </c>
      <c r="D900" s="2" t="str">
        <f>IF(A900&lt;&gt;"",VLOOKUP(Alunos!C900,'TP1'!A3:C1000,3, FALSE),"")</f>
        <v/>
      </c>
      <c r="E900" s="2" t="str">
        <f>IF(A900&lt;&gt;"", SUMIF(B1:D1,"&lt;&gt;",B900:D900),"")</f>
        <v/>
      </c>
      <c r="F900" s="2" t="str">
        <f>IF(AND(A900&lt;&gt;"",E900&lt;&gt;""),ROUND(E900,0),"")</f>
        <v/>
      </c>
      <c r="G900" s="2" t="str">
        <f>IF(A900&lt;&gt;"",VLOOKUP(Alunos!A900,Recurso!A3:C1000,3, FALSE),"")</f>
        <v/>
      </c>
      <c r="H900" s="2" t="str">
        <f>IF(OR(A900&lt;&gt;"",G900&lt;&gt;""), SUMIFS(B900:G900,B1:G1,"&lt;&gt;",B2:G2,"&lt;&gt;Exame",B2:G2,"&lt;&gt;exame",B2:G2,"&lt;&gt;Nota",B2:G2,"&lt;&gt;Total"),"")</f>
        <v/>
      </c>
      <c r="I900" s="2" t="str">
        <f>IF(AND(A900&lt;&gt;"",H900&lt;&gt;""),ROUND(H900,0),"")</f>
        <v/>
      </c>
    </row>
    <row r="901" spans="2:9" x14ac:dyDescent="0.3">
      <c r="B901" s="2" t="str">
        <f>IF(A901&lt;&gt;"",VLOOKUP(Alunos!A901,Exame!A3:C1000,3, FALSE),"")</f>
        <v/>
      </c>
      <c r="C901" s="2" t="str">
        <f>IF(A901&lt;&gt;"",VLOOKUP(Alunos!A901,Agrupamentos!A3:B1000,2, FALSE),"")</f>
        <v/>
      </c>
      <c r="D901" s="2" t="str">
        <f>IF(A901&lt;&gt;"",VLOOKUP(Alunos!C901,'TP1'!A3:C1000,3, FALSE),"")</f>
        <v/>
      </c>
      <c r="E901" s="2" t="str">
        <f>IF(A901&lt;&gt;"", SUMIF(B1:D1,"&lt;&gt;",B901:D901),"")</f>
        <v/>
      </c>
      <c r="F901" s="2" t="str">
        <f>IF(AND(A901&lt;&gt;"",E901&lt;&gt;""),ROUND(E901,0),"")</f>
        <v/>
      </c>
      <c r="G901" s="2" t="str">
        <f>IF(A901&lt;&gt;"",VLOOKUP(Alunos!A901,Recurso!A3:C1000,3, FALSE),"")</f>
        <v/>
      </c>
      <c r="H901" s="2" t="str">
        <f>IF(OR(A901&lt;&gt;"",G901&lt;&gt;""), SUMIFS(B901:G901,B1:G1,"&lt;&gt;",B2:G2,"&lt;&gt;Exame",B2:G2,"&lt;&gt;exame",B2:G2,"&lt;&gt;Nota",B2:G2,"&lt;&gt;Total"),"")</f>
        <v/>
      </c>
      <c r="I901" s="2" t="str">
        <f>IF(AND(A901&lt;&gt;"",H901&lt;&gt;""),ROUND(H901,0),"")</f>
        <v/>
      </c>
    </row>
    <row r="902" spans="2:9" x14ac:dyDescent="0.3">
      <c r="B902" s="2" t="str">
        <f>IF(A902&lt;&gt;"",VLOOKUP(Alunos!A902,Exame!A3:C1000,3, FALSE),"")</f>
        <v/>
      </c>
      <c r="C902" s="2" t="str">
        <f>IF(A902&lt;&gt;"",VLOOKUP(Alunos!A902,Agrupamentos!A3:B1000,2, FALSE),"")</f>
        <v/>
      </c>
      <c r="D902" s="2" t="str">
        <f>IF(A902&lt;&gt;"",VLOOKUP(Alunos!C902,'TP1'!A3:C1000,3, FALSE),"")</f>
        <v/>
      </c>
      <c r="E902" s="2" t="str">
        <f>IF(A902&lt;&gt;"", SUMIF(B1:D1,"&lt;&gt;",B902:D902),"")</f>
        <v/>
      </c>
      <c r="F902" s="2" t="str">
        <f>IF(AND(A902&lt;&gt;"",E902&lt;&gt;""),ROUND(E902,0),"")</f>
        <v/>
      </c>
      <c r="G902" s="2" t="str">
        <f>IF(A902&lt;&gt;"",VLOOKUP(Alunos!A902,Recurso!A3:C1000,3, FALSE),"")</f>
        <v/>
      </c>
      <c r="H902" s="2" t="str">
        <f>IF(OR(A902&lt;&gt;"",G902&lt;&gt;""), SUMIFS(B902:G902,B1:G1,"&lt;&gt;",B2:G2,"&lt;&gt;Exame",B2:G2,"&lt;&gt;exame",B2:G2,"&lt;&gt;Nota",B2:G2,"&lt;&gt;Total"),"")</f>
        <v/>
      </c>
      <c r="I902" s="2" t="str">
        <f>IF(AND(A902&lt;&gt;"",H902&lt;&gt;""),ROUND(H902,0),"")</f>
        <v/>
      </c>
    </row>
    <row r="903" spans="2:9" x14ac:dyDescent="0.3">
      <c r="B903" s="2" t="str">
        <f>IF(A903&lt;&gt;"",VLOOKUP(Alunos!A903,Exame!A3:C1000,3, FALSE),"")</f>
        <v/>
      </c>
      <c r="C903" s="2" t="str">
        <f>IF(A903&lt;&gt;"",VLOOKUP(Alunos!A903,Agrupamentos!A3:B1000,2, FALSE),"")</f>
        <v/>
      </c>
      <c r="D903" s="2" t="str">
        <f>IF(A903&lt;&gt;"",VLOOKUP(Alunos!C903,'TP1'!A3:C1000,3, FALSE),"")</f>
        <v/>
      </c>
      <c r="E903" s="2" t="str">
        <f>IF(A903&lt;&gt;"", SUMIF(B1:D1,"&lt;&gt;",B903:D903),"")</f>
        <v/>
      </c>
      <c r="F903" s="2" t="str">
        <f>IF(AND(A903&lt;&gt;"",E903&lt;&gt;""),ROUND(E903,0),"")</f>
        <v/>
      </c>
      <c r="G903" s="2" t="str">
        <f>IF(A903&lt;&gt;"",VLOOKUP(Alunos!A903,Recurso!A3:C1000,3, FALSE),"")</f>
        <v/>
      </c>
      <c r="H903" s="2" t="str">
        <f>IF(OR(A903&lt;&gt;"",G903&lt;&gt;""), SUMIFS(B903:G903,B1:G1,"&lt;&gt;",B2:G2,"&lt;&gt;Exame",B2:G2,"&lt;&gt;exame",B2:G2,"&lt;&gt;Nota",B2:G2,"&lt;&gt;Total"),"")</f>
        <v/>
      </c>
      <c r="I903" s="2" t="str">
        <f>IF(AND(A903&lt;&gt;"",H903&lt;&gt;""),ROUND(H903,0),"")</f>
        <v/>
      </c>
    </row>
    <row r="904" spans="2:9" x14ac:dyDescent="0.3">
      <c r="B904" s="2" t="str">
        <f>IF(A904&lt;&gt;"",VLOOKUP(Alunos!A904,Exame!A3:C1000,3, FALSE),"")</f>
        <v/>
      </c>
      <c r="C904" s="2" t="str">
        <f>IF(A904&lt;&gt;"",VLOOKUP(Alunos!A904,Agrupamentos!A3:B1000,2, FALSE),"")</f>
        <v/>
      </c>
      <c r="D904" s="2" t="str">
        <f>IF(A904&lt;&gt;"",VLOOKUP(Alunos!C904,'TP1'!A3:C1000,3, FALSE),"")</f>
        <v/>
      </c>
      <c r="E904" s="2" t="str">
        <f>IF(A904&lt;&gt;"", SUMIF(B1:D1,"&lt;&gt;",B904:D904),"")</f>
        <v/>
      </c>
      <c r="F904" s="2" t="str">
        <f>IF(AND(A904&lt;&gt;"",E904&lt;&gt;""),ROUND(E904,0),"")</f>
        <v/>
      </c>
      <c r="G904" s="2" t="str">
        <f>IF(A904&lt;&gt;"",VLOOKUP(Alunos!A904,Recurso!A3:C1000,3, FALSE),"")</f>
        <v/>
      </c>
      <c r="H904" s="2" t="str">
        <f>IF(OR(A904&lt;&gt;"",G904&lt;&gt;""), SUMIFS(B904:G904,B1:G1,"&lt;&gt;",B2:G2,"&lt;&gt;Exame",B2:G2,"&lt;&gt;exame",B2:G2,"&lt;&gt;Nota",B2:G2,"&lt;&gt;Total"),"")</f>
        <v/>
      </c>
      <c r="I904" s="2" t="str">
        <f>IF(AND(A904&lt;&gt;"",H904&lt;&gt;""),ROUND(H904,0),"")</f>
        <v/>
      </c>
    </row>
    <row r="905" spans="2:9" x14ac:dyDescent="0.3">
      <c r="B905" s="2" t="str">
        <f>IF(A905&lt;&gt;"",VLOOKUP(Alunos!A905,Exame!A3:C1000,3, FALSE),"")</f>
        <v/>
      </c>
      <c r="C905" s="2" t="str">
        <f>IF(A905&lt;&gt;"",VLOOKUP(Alunos!A905,Agrupamentos!A3:B1000,2, FALSE),"")</f>
        <v/>
      </c>
      <c r="D905" s="2" t="str">
        <f>IF(A905&lt;&gt;"",VLOOKUP(Alunos!C905,'TP1'!A3:C1000,3, FALSE),"")</f>
        <v/>
      </c>
      <c r="E905" s="2" t="str">
        <f>IF(A905&lt;&gt;"", SUMIF(B1:D1,"&lt;&gt;",B905:D905),"")</f>
        <v/>
      </c>
      <c r="F905" s="2" t="str">
        <f>IF(AND(A905&lt;&gt;"",E905&lt;&gt;""),ROUND(E905,0),"")</f>
        <v/>
      </c>
      <c r="G905" s="2" t="str">
        <f>IF(A905&lt;&gt;"",VLOOKUP(Alunos!A905,Recurso!A3:C1000,3, FALSE),"")</f>
        <v/>
      </c>
      <c r="H905" s="2" t="str">
        <f>IF(OR(A905&lt;&gt;"",G905&lt;&gt;""), SUMIFS(B905:G905,B1:G1,"&lt;&gt;",B2:G2,"&lt;&gt;Exame",B2:G2,"&lt;&gt;exame",B2:G2,"&lt;&gt;Nota",B2:G2,"&lt;&gt;Total"),"")</f>
        <v/>
      </c>
      <c r="I905" s="2" t="str">
        <f>IF(AND(A905&lt;&gt;"",H905&lt;&gt;""),ROUND(H905,0),"")</f>
        <v/>
      </c>
    </row>
    <row r="906" spans="2:9" x14ac:dyDescent="0.3">
      <c r="B906" s="2" t="str">
        <f>IF(A906&lt;&gt;"",VLOOKUP(Alunos!A906,Exame!A3:C1000,3, FALSE),"")</f>
        <v/>
      </c>
      <c r="C906" s="2" t="str">
        <f>IF(A906&lt;&gt;"",VLOOKUP(Alunos!A906,Agrupamentos!A3:B1000,2, FALSE),"")</f>
        <v/>
      </c>
      <c r="D906" s="2" t="str">
        <f>IF(A906&lt;&gt;"",VLOOKUP(Alunos!C906,'TP1'!A3:C1000,3, FALSE),"")</f>
        <v/>
      </c>
      <c r="E906" s="2" t="str">
        <f>IF(A906&lt;&gt;"", SUMIF(B1:D1,"&lt;&gt;",B906:D906),"")</f>
        <v/>
      </c>
      <c r="F906" s="2" t="str">
        <f>IF(AND(A906&lt;&gt;"",E906&lt;&gt;""),ROUND(E906,0),"")</f>
        <v/>
      </c>
      <c r="G906" s="2" t="str">
        <f>IF(A906&lt;&gt;"",VLOOKUP(Alunos!A906,Recurso!A3:C1000,3, FALSE),"")</f>
        <v/>
      </c>
      <c r="H906" s="2" t="str">
        <f>IF(OR(A906&lt;&gt;"",G906&lt;&gt;""), SUMIFS(B906:G906,B1:G1,"&lt;&gt;",B2:G2,"&lt;&gt;Exame",B2:G2,"&lt;&gt;exame",B2:G2,"&lt;&gt;Nota",B2:G2,"&lt;&gt;Total"),"")</f>
        <v/>
      </c>
      <c r="I906" s="2" t="str">
        <f>IF(AND(A906&lt;&gt;"",H906&lt;&gt;""),ROUND(H906,0),"")</f>
        <v/>
      </c>
    </row>
    <row r="907" spans="2:9" x14ac:dyDescent="0.3">
      <c r="B907" s="2" t="str">
        <f>IF(A907&lt;&gt;"",VLOOKUP(Alunos!A907,Exame!A3:C1000,3, FALSE),"")</f>
        <v/>
      </c>
      <c r="C907" s="2" t="str">
        <f>IF(A907&lt;&gt;"",VLOOKUP(Alunos!A907,Agrupamentos!A3:B1000,2, FALSE),"")</f>
        <v/>
      </c>
      <c r="D907" s="2" t="str">
        <f>IF(A907&lt;&gt;"",VLOOKUP(Alunos!C907,'TP1'!A3:C1000,3, FALSE),"")</f>
        <v/>
      </c>
      <c r="E907" s="2" t="str">
        <f>IF(A907&lt;&gt;"", SUMIF(B1:D1,"&lt;&gt;",B907:D907),"")</f>
        <v/>
      </c>
      <c r="F907" s="2" t="str">
        <f>IF(AND(A907&lt;&gt;"",E907&lt;&gt;""),ROUND(E907,0),"")</f>
        <v/>
      </c>
      <c r="G907" s="2" t="str">
        <f>IF(A907&lt;&gt;"",VLOOKUP(Alunos!A907,Recurso!A3:C1000,3, FALSE),"")</f>
        <v/>
      </c>
      <c r="H907" s="2" t="str">
        <f>IF(OR(A907&lt;&gt;"",G907&lt;&gt;""), SUMIFS(B907:G907,B1:G1,"&lt;&gt;",B2:G2,"&lt;&gt;Exame",B2:G2,"&lt;&gt;exame",B2:G2,"&lt;&gt;Nota",B2:G2,"&lt;&gt;Total"),"")</f>
        <v/>
      </c>
      <c r="I907" s="2" t="str">
        <f>IF(AND(A907&lt;&gt;"",H907&lt;&gt;""),ROUND(H907,0),"")</f>
        <v/>
      </c>
    </row>
    <row r="908" spans="2:9" x14ac:dyDescent="0.3">
      <c r="B908" s="2" t="str">
        <f>IF(A908&lt;&gt;"",VLOOKUP(Alunos!A908,Exame!A3:C1000,3, FALSE),"")</f>
        <v/>
      </c>
      <c r="C908" s="2" t="str">
        <f>IF(A908&lt;&gt;"",VLOOKUP(Alunos!A908,Agrupamentos!A3:B1000,2, FALSE),"")</f>
        <v/>
      </c>
      <c r="D908" s="2" t="str">
        <f>IF(A908&lt;&gt;"",VLOOKUP(Alunos!C908,'TP1'!A3:C1000,3, FALSE),"")</f>
        <v/>
      </c>
      <c r="E908" s="2" t="str">
        <f>IF(A908&lt;&gt;"", SUMIF(B1:D1,"&lt;&gt;",B908:D908),"")</f>
        <v/>
      </c>
      <c r="F908" s="2" t="str">
        <f>IF(AND(A908&lt;&gt;"",E908&lt;&gt;""),ROUND(E908,0),"")</f>
        <v/>
      </c>
      <c r="G908" s="2" t="str">
        <f>IF(A908&lt;&gt;"",VLOOKUP(Alunos!A908,Recurso!A3:C1000,3, FALSE),"")</f>
        <v/>
      </c>
      <c r="H908" s="2" t="str">
        <f>IF(OR(A908&lt;&gt;"",G908&lt;&gt;""), SUMIFS(B908:G908,B1:G1,"&lt;&gt;",B2:G2,"&lt;&gt;Exame",B2:G2,"&lt;&gt;exame",B2:G2,"&lt;&gt;Nota",B2:G2,"&lt;&gt;Total"),"")</f>
        <v/>
      </c>
      <c r="I908" s="2" t="str">
        <f>IF(AND(A908&lt;&gt;"",H908&lt;&gt;""),ROUND(H908,0),"")</f>
        <v/>
      </c>
    </row>
    <row r="909" spans="2:9" x14ac:dyDescent="0.3">
      <c r="B909" s="2" t="str">
        <f>IF(A909&lt;&gt;"",VLOOKUP(Alunos!A909,Exame!A3:C1000,3, FALSE),"")</f>
        <v/>
      </c>
      <c r="C909" s="2" t="str">
        <f>IF(A909&lt;&gt;"",VLOOKUP(Alunos!A909,Agrupamentos!A3:B1000,2, FALSE),"")</f>
        <v/>
      </c>
      <c r="D909" s="2" t="str">
        <f>IF(A909&lt;&gt;"",VLOOKUP(Alunos!C909,'TP1'!A3:C1000,3, FALSE),"")</f>
        <v/>
      </c>
      <c r="E909" s="2" t="str">
        <f>IF(A909&lt;&gt;"", SUMIF(B1:D1,"&lt;&gt;",B909:D909),"")</f>
        <v/>
      </c>
      <c r="F909" s="2" t="str">
        <f>IF(AND(A909&lt;&gt;"",E909&lt;&gt;""),ROUND(E909,0),"")</f>
        <v/>
      </c>
      <c r="G909" s="2" t="str">
        <f>IF(A909&lt;&gt;"",VLOOKUP(Alunos!A909,Recurso!A3:C1000,3, FALSE),"")</f>
        <v/>
      </c>
      <c r="H909" s="2" t="str">
        <f>IF(OR(A909&lt;&gt;"",G909&lt;&gt;""), SUMIFS(B909:G909,B1:G1,"&lt;&gt;",B2:G2,"&lt;&gt;Exame",B2:G2,"&lt;&gt;exame",B2:G2,"&lt;&gt;Nota",B2:G2,"&lt;&gt;Total"),"")</f>
        <v/>
      </c>
      <c r="I909" s="2" t="str">
        <f>IF(AND(A909&lt;&gt;"",H909&lt;&gt;""),ROUND(H909,0),"")</f>
        <v/>
      </c>
    </row>
    <row r="910" spans="2:9" x14ac:dyDescent="0.3">
      <c r="B910" s="2" t="str">
        <f>IF(A910&lt;&gt;"",VLOOKUP(Alunos!A910,Exame!A3:C1000,3, FALSE),"")</f>
        <v/>
      </c>
      <c r="C910" s="2" t="str">
        <f>IF(A910&lt;&gt;"",VLOOKUP(Alunos!A910,Agrupamentos!A3:B1000,2, FALSE),"")</f>
        <v/>
      </c>
      <c r="D910" s="2" t="str">
        <f>IF(A910&lt;&gt;"",VLOOKUP(Alunos!C910,'TP1'!A3:C1000,3, FALSE),"")</f>
        <v/>
      </c>
      <c r="E910" s="2" t="str">
        <f>IF(A910&lt;&gt;"", SUMIF(B1:D1,"&lt;&gt;",B910:D910),"")</f>
        <v/>
      </c>
      <c r="F910" s="2" t="str">
        <f>IF(AND(A910&lt;&gt;"",E910&lt;&gt;""),ROUND(E910,0),"")</f>
        <v/>
      </c>
      <c r="G910" s="2" t="str">
        <f>IF(A910&lt;&gt;"",VLOOKUP(Alunos!A910,Recurso!A3:C1000,3, FALSE),"")</f>
        <v/>
      </c>
      <c r="H910" s="2" t="str">
        <f>IF(OR(A910&lt;&gt;"",G910&lt;&gt;""), SUMIFS(B910:G910,B1:G1,"&lt;&gt;",B2:G2,"&lt;&gt;Exame",B2:G2,"&lt;&gt;exame",B2:G2,"&lt;&gt;Nota",B2:G2,"&lt;&gt;Total"),"")</f>
        <v/>
      </c>
      <c r="I910" s="2" t="str">
        <f>IF(AND(A910&lt;&gt;"",H910&lt;&gt;""),ROUND(H910,0),"")</f>
        <v/>
      </c>
    </row>
    <row r="911" spans="2:9" x14ac:dyDescent="0.3">
      <c r="B911" s="2" t="str">
        <f>IF(A911&lt;&gt;"",VLOOKUP(Alunos!A911,Exame!A3:C1000,3, FALSE),"")</f>
        <v/>
      </c>
      <c r="C911" s="2" t="str">
        <f>IF(A911&lt;&gt;"",VLOOKUP(Alunos!A911,Agrupamentos!A3:B1000,2, FALSE),"")</f>
        <v/>
      </c>
      <c r="D911" s="2" t="str">
        <f>IF(A911&lt;&gt;"",VLOOKUP(Alunos!C911,'TP1'!A3:C1000,3, FALSE),"")</f>
        <v/>
      </c>
      <c r="E911" s="2" t="str">
        <f>IF(A911&lt;&gt;"", SUMIF(B1:D1,"&lt;&gt;",B911:D911),"")</f>
        <v/>
      </c>
      <c r="F911" s="2" t="str">
        <f>IF(AND(A911&lt;&gt;"",E911&lt;&gt;""),ROUND(E911,0),"")</f>
        <v/>
      </c>
      <c r="G911" s="2" t="str">
        <f>IF(A911&lt;&gt;"",VLOOKUP(Alunos!A911,Recurso!A3:C1000,3, FALSE),"")</f>
        <v/>
      </c>
      <c r="H911" s="2" t="str">
        <f>IF(OR(A911&lt;&gt;"",G911&lt;&gt;""), SUMIFS(B911:G911,B1:G1,"&lt;&gt;",B2:G2,"&lt;&gt;Exame",B2:G2,"&lt;&gt;exame",B2:G2,"&lt;&gt;Nota",B2:G2,"&lt;&gt;Total"),"")</f>
        <v/>
      </c>
      <c r="I911" s="2" t="str">
        <f>IF(AND(A911&lt;&gt;"",H911&lt;&gt;""),ROUND(H911,0),"")</f>
        <v/>
      </c>
    </row>
    <row r="912" spans="2:9" x14ac:dyDescent="0.3">
      <c r="B912" s="2" t="str">
        <f>IF(A912&lt;&gt;"",VLOOKUP(Alunos!A912,Exame!A3:C1000,3, FALSE),"")</f>
        <v/>
      </c>
      <c r="C912" s="2" t="str">
        <f>IF(A912&lt;&gt;"",VLOOKUP(Alunos!A912,Agrupamentos!A3:B1000,2, FALSE),"")</f>
        <v/>
      </c>
      <c r="D912" s="2" t="str">
        <f>IF(A912&lt;&gt;"",VLOOKUP(Alunos!C912,'TP1'!A3:C1000,3, FALSE),"")</f>
        <v/>
      </c>
      <c r="E912" s="2" t="str">
        <f>IF(A912&lt;&gt;"", SUMIF(B1:D1,"&lt;&gt;",B912:D912),"")</f>
        <v/>
      </c>
      <c r="F912" s="2" t="str">
        <f>IF(AND(A912&lt;&gt;"",E912&lt;&gt;""),ROUND(E912,0),"")</f>
        <v/>
      </c>
      <c r="G912" s="2" t="str">
        <f>IF(A912&lt;&gt;"",VLOOKUP(Alunos!A912,Recurso!A3:C1000,3, FALSE),"")</f>
        <v/>
      </c>
      <c r="H912" s="2" t="str">
        <f>IF(OR(A912&lt;&gt;"",G912&lt;&gt;""), SUMIFS(B912:G912,B1:G1,"&lt;&gt;",B2:G2,"&lt;&gt;Exame",B2:G2,"&lt;&gt;exame",B2:G2,"&lt;&gt;Nota",B2:G2,"&lt;&gt;Total"),"")</f>
        <v/>
      </c>
      <c r="I912" s="2" t="str">
        <f>IF(AND(A912&lt;&gt;"",H912&lt;&gt;""),ROUND(H912,0),"")</f>
        <v/>
      </c>
    </row>
    <row r="913" spans="2:9" x14ac:dyDescent="0.3">
      <c r="B913" s="2" t="str">
        <f>IF(A913&lt;&gt;"",VLOOKUP(Alunos!A913,Exame!A3:C1000,3, FALSE),"")</f>
        <v/>
      </c>
      <c r="C913" s="2" t="str">
        <f>IF(A913&lt;&gt;"",VLOOKUP(Alunos!A913,Agrupamentos!A3:B1000,2, FALSE),"")</f>
        <v/>
      </c>
      <c r="D913" s="2" t="str">
        <f>IF(A913&lt;&gt;"",VLOOKUP(Alunos!C913,'TP1'!A3:C1000,3, FALSE),"")</f>
        <v/>
      </c>
      <c r="E913" s="2" t="str">
        <f>IF(A913&lt;&gt;"", SUMIF(B1:D1,"&lt;&gt;",B913:D913),"")</f>
        <v/>
      </c>
      <c r="F913" s="2" t="str">
        <f>IF(AND(A913&lt;&gt;"",E913&lt;&gt;""),ROUND(E913,0),"")</f>
        <v/>
      </c>
      <c r="G913" s="2" t="str">
        <f>IF(A913&lt;&gt;"",VLOOKUP(Alunos!A913,Recurso!A3:C1000,3, FALSE),"")</f>
        <v/>
      </c>
      <c r="H913" s="2" t="str">
        <f>IF(OR(A913&lt;&gt;"",G913&lt;&gt;""), SUMIFS(B913:G913,B1:G1,"&lt;&gt;",B2:G2,"&lt;&gt;Exame",B2:G2,"&lt;&gt;exame",B2:G2,"&lt;&gt;Nota",B2:G2,"&lt;&gt;Total"),"")</f>
        <v/>
      </c>
      <c r="I913" s="2" t="str">
        <f>IF(AND(A913&lt;&gt;"",H913&lt;&gt;""),ROUND(H913,0),"")</f>
        <v/>
      </c>
    </row>
    <row r="914" spans="2:9" x14ac:dyDescent="0.3">
      <c r="B914" s="2" t="str">
        <f>IF(A914&lt;&gt;"",VLOOKUP(Alunos!A914,Exame!A3:C1000,3, FALSE),"")</f>
        <v/>
      </c>
      <c r="C914" s="2" t="str">
        <f>IF(A914&lt;&gt;"",VLOOKUP(Alunos!A914,Agrupamentos!A3:B1000,2, FALSE),"")</f>
        <v/>
      </c>
      <c r="D914" s="2" t="str">
        <f>IF(A914&lt;&gt;"",VLOOKUP(Alunos!C914,'TP1'!A3:C1000,3, FALSE),"")</f>
        <v/>
      </c>
      <c r="E914" s="2" t="str">
        <f>IF(A914&lt;&gt;"", SUMIF(B1:D1,"&lt;&gt;",B914:D914),"")</f>
        <v/>
      </c>
      <c r="F914" s="2" t="str">
        <f>IF(AND(A914&lt;&gt;"",E914&lt;&gt;""),ROUND(E914,0),"")</f>
        <v/>
      </c>
      <c r="G914" s="2" t="str">
        <f>IF(A914&lt;&gt;"",VLOOKUP(Alunos!A914,Recurso!A3:C1000,3, FALSE),"")</f>
        <v/>
      </c>
      <c r="H914" s="2" t="str">
        <f>IF(OR(A914&lt;&gt;"",G914&lt;&gt;""), SUMIFS(B914:G914,B1:G1,"&lt;&gt;",B2:G2,"&lt;&gt;Exame",B2:G2,"&lt;&gt;exame",B2:G2,"&lt;&gt;Nota",B2:G2,"&lt;&gt;Total"),"")</f>
        <v/>
      </c>
      <c r="I914" s="2" t="str">
        <f>IF(AND(A914&lt;&gt;"",H914&lt;&gt;""),ROUND(H914,0),"")</f>
        <v/>
      </c>
    </row>
    <row r="915" spans="2:9" x14ac:dyDescent="0.3">
      <c r="B915" s="2" t="str">
        <f>IF(A915&lt;&gt;"",VLOOKUP(Alunos!A915,Exame!A3:C1000,3, FALSE),"")</f>
        <v/>
      </c>
      <c r="C915" s="2" t="str">
        <f>IF(A915&lt;&gt;"",VLOOKUP(Alunos!A915,Agrupamentos!A3:B1000,2, FALSE),"")</f>
        <v/>
      </c>
      <c r="D915" s="2" t="str">
        <f>IF(A915&lt;&gt;"",VLOOKUP(Alunos!C915,'TP1'!A3:C1000,3, FALSE),"")</f>
        <v/>
      </c>
      <c r="E915" s="2" t="str">
        <f>IF(A915&lt;&gt;"", SUMIF(B1:D1,"&lt;&gt;",B915:D915),"")</f>
        <v/>
      </c>
      <c r="F915" s="2" t="str">
        <f>IF(AND(A915&lt;&gt;"",E915&lt;&gt;""),ROUND(E915,0),"")</f>
        <v/>
      </c>
      <c r="G915" s="2" t="str">
        <f>IF(A915&lt;&gt;"",VLOOKUP(Alunos!A915,Recurso!A3:C1000,3, FALSE),"")</f>
        <v/>
      </c>
      <c r="H915" s="2" t="str">
        <f>IF(OR(A915&lt;&gt;"",G915&lt;&gt;""), SUMIFS(B915:G915,B1:G1,"&lt;&gt;",B2:G2,"&lt;&gt;Exame",B2:G2,"&lt;&gt;exame",B2:G2,"&lt;&gt;Nota",B2:G2,"&lt;&gt;Total"),"")</f>
        <v/>
      </c>
      <c r="I915" s="2" t="str">
        <f>IF(AND(A915&lt;&gt;"",H915&lt;&gt;""),ROUND(H915,0),"")</f>
        <v/>
      </c>
    </row>
    <row r="916" spans="2:9" x14ac:dyDescent="0.3">
      <c r="B916" s="2" t="str">
        <f>IF(A916&lt;&gt;"",VLOOKUP(Alunos!A916,Exame!A3:C1000,3, FALSE),"")</f>
        <v/>
      </c>
      <c r="C916" s="2" t="str">
        <f>IF(A916&lt;&gt;"",VLOOKUP(Alunos!A916,Agrupamentos!A3:B1000,2, FALSE),"")</f>
        <v/>
      </c>
      <c r="D916" s="2" t="str">
        <f>IF(A916&lt;&gt;"",VLOOKUP(Alunos!C916,'TP1'!A3:C1000,3, FALSE),"")</f>
        <v/>
      </c>
      <c r="E916" s="2" t="str">
        <f>IF(A916&lt;&gt;"", SUMIF(B1:D1,"&lt;&gt;",B916:D916),"")</f>
        <v/>
      </c>
      <c r="F916" s="2" t="str">
        <f>IF(AND(A916&lt;&gt;"",E916&lt;&gt;""),ROUND(E916,0),"")</f>
        <v/>
      </c>
      <c r="G916" s="2" t="str">
        <f>IF(A916&lt;&gt;"",VLOOKUP(Alunos!A916,Recurso!A3:C1000,3, FALSE),"")</f>
        <v/>
      </c>
      <c r="H916" s="2" t="str">
        <f>IF(OR(A916&lt;&gt;"",G916&lt;&gt;""), SUMIFS(B916:G916,B1:G1,"&lt;&gt;",B2:G2,"&lt;&gt;Exame",B2:G2,"&lt;&gt;exame",B2:G2,"&lt;&gt;Nota",B2:G2,"&lt;&gt;Total"),"")</f>
        <v/>
      </c>
      <c r="I916" s="2" t="str">
        <f>IF(AND(A916&lt;&gt;"",H916&lt;&gt;""),ROUND(H916,0),"")</f>
        <v/>
      </c>
    </row>
    <row r="917" spans="2:9" x14ac:dyDescent="0.3">
      <c r="B917" s="2" t="str">
        <f>IF(A917&lt;&gt;"",VLOOKUP(Alunos!A917,Exame!A3:C1000,3, FALSE),"")</f>
        <v/>
      </c>
      <c r="C917" s="2" t="str">
        <f>IF(A917&lt;&gt;"",VLOOKUP(Alunos!A917,Agrupamentos!A3:B1000,2, FALSE),"")</f>
        <v/>
      </c>
      <c r="D917" s="2" t="str">
        <f>IF(A917&lt;&gt;"",VLOOKUP(Alunos!C917,'TP1'!A3:C1000,3, FALSE),"")</f>
        <v/>
      </c>
      <c r="E917" s="2" t="str">
        <f>IF(A917&lt;&gt;"", SUMIF(B1:D1,"&lt;&gt;",B917:D917),"")</f>
        <v/>
      </c>
      <c r="F917" s="2" t="str">
        <f>IF(AND(A917&lt;&gt;"",E917&lt;&gt;""),ROUND(E917,0),"")</f>
        <v/>
      </c>
      <c r="G917" s="2" t="str">
        <f>IF(A917&lt;&gt;"",VLOOKUP(Alunos!A917,Recurso!A3:C1000,3, FALSE),"")</f>
        <v/>
      </c>
      <c r="H917" s="2" t="str">
        <f>IF(OR(A917&lt;&gt;"",G917&lt;&gt;""), SUMIFS(B917:G917,B1:G1,"&lt;&gt;",B2:G2,"&lt;&gt;Exame",B2:G2,"&lt;&gt;exame",B2:G2,"&lt;&gt;Nota",B2:G2,"&lt;&gt;Total"),"")</f>
        <v/>
      </c>
      <c r="I917" s="2" t="str">
        <f>IF(AND(A917&lt;&gt;"",H917&lt;&gt;""),ROUND(H917,0),"")</f>
        <v/>
      </c>
    </row>
    <row r="918" spans="2:9" x14ac:dyDescent="0.3">
      <c r="B918" s="2" t="str">
        <f>IF(A918&lt;&gt;"",VLOOKUP(Alunos!A918,Exame!A3:C1000,3, FALSE),"")</f>
        <v/>
      </c>
      <c r="C918" s="2" t="str">
        <f>IF(A918&lt;&gt;"",VLOOKUP(Alunos!A918,Agrupamentos!A3:B1000,2, FALSE),"")</f>
        <v/>
      </c>
      <c r="D918" s="2" t="str">
        <f>IF(A918&lt;&gt;"",VLOOKUP(Alunos!C918,'TP1'!A3:C1000,3, FALSE),"")</f>
        <v/>
      </c>
      <c r="E918" s="2" t="str">
        <f>IF(A918&lt;&gt;"", SUMIF(B1:D1,"&lt;&gt;",B918:D918),"")</f>
        <v/>
      </c>
      <c r="F918" s="2" t="str">
        <f>IF(AND(A918&lt;&gt;"",E918&lt;&gt;""),ROUND(E918,0),"")</f>
        <v/>
      </c>
      <c r="G918" s="2" t="str">
        <f>IF(A918&lt;&gt;"",VLOOKUP(Alunos!A918,Recurso!A3:C1000,3, FALSE),"")</f>
        <v/>
      </c>
      <c r="H918" s="2" t="str">
        <f>IF(OR(A918&lt;&gt;"",G918&lt;&gt;""), SUMIFS(B918:G918,B1:G1,"&lt;&gt;",B2:G2,"&lt;&gt;Exame",B2:G2,"&lt;&gt;exame",B2:G2,"&lt;&gt;Nota",B2:G2,"&lt;&gt;Total"),"")</f>
        <v/>
      </c>
      <c r="I918" s="2" t="str">
        <f>IF(AND(A918&lt;&gt;"",H918&lt;&gt;""),ROUND(H918,0),"")</f>
        <v/>
      </c>
    </row>
    <row r="919" spans="2:9" x14ac:dyDescent="0.3">
      <c r="B919" s="2" t="str">
        <f>IF(A919&lt;&gt;"",VLOOKUP(Alunos!A919,Exame!A3:C1000,3, FALSE),"")</f>
        <v/>
      </c>
      <c r="C919" s="2" t="str">
        <f>IF(A919&lt;&gt;"",VLOOKUP(Alunos!A919,Agrupamentos!A3:B1000,2, FALSE),"")</f>
        <v/>
      </c>
      <c r="D919" s="2" t="str">
        <f>IF(A919&lt;&gt;"",VLOOKUP(Alunos!C919,'TP1'!A3:C1000,3, FALSE),"")</f>
        <v/>
      </c>
      <c r="E919" s="2" t="str">
        <f>IF(A919&lt;&gt;"", SUMIF(B1:D1,"&lt;&gt;",B919:D919),"")</f>
        <v/>
      </c>
      <c r="F919" s="2" t="str">
        <f>IF(AND(A919&lt;&gt;"",E919&lt;&gt;""),ROUND(E919,0),"")</f>
        <v/>
      </c>
      <c r="G919" s="2" t="str">
        <f>IF(A919&lt;&gt;"",VLOOKUP(Alunos!A919,Recurso!A3:C1000,3, FALSE),"")</f>
        <v/>
      </c>
      <c r="H919" s="2" t="str">
        <f>IF(OR(A919&lt;&gt;"",G919&lt;&gt;""), SUMIFS(B919:G919,B1:G1,"&lt;&gt;",B2:G2,"&lt;&gt;Exame",B2:G2,"&lt;&gt;exame",B2:G2,"&lt;&gt;Nota",B2:G2,"&lt;&gt;Total"),"")</f>
        <v/>
      </c>
      <c r="I919" s="2" t="str">
        <f>IF(AND(A919&lt;&gt;"",H919&lt;&gt;""),ROUND(H919,0),"")</f>
        <v/>
      </c>
    </row>
    <row r="920" spans="2:9" x14ac:dyDescent="0.3">
      <c r="B920" s="2" t="str">
        <f>IF(A920&lt;&gt;"",VLOOKUP(Alunos!A920,Exame!A3:C1000,3, FALSE),"")</f>
        <v/>
      </c>
      <c r="C920" s="2" t="str">
        <f>IF(A920&lt;&gt;"",VLOOKUP(Alunos!A920,Agrupamentos!A3:B1000,2, FALSE),"")</f>
        <v/>
      </c>
      <c r="D920" s="2" t="str">
        <f>IF(A920&lt;&gt;"",VLOOKUP(Alunos!C920,'TP1'!A3:C1000,3, FALSE),"")</f>
        <v/>
      </c>
      <c r="E920" s="2" t="str">
        <f>IF(A920&lt;&gt;"", SUMIF(B1:D1,"&lt;&gt;",B920:D920),"")</f>
        <v/>
      </c>
      <c r="F920" s="2" t="str">
        <f>IF(AND(A920&lt;&gt;"",E920&lt;&gt;""),ROUND(E920,0),"")</f>
        <v/>
      </c>
      <c r="G920" s="2" t="str">
        <f>IF(A920&lt;&gt;"",VLOOKUP(Alunos!A920,Recurso!A3:C1000,3, FALSE),"")</f>
        <v/>
      </c>
      <c r="H920" s="2" t="str">
        <f>IF(OR(A920&lt;&gt;"",G920&lt;&gt;""), SUMIFS(B920:G920,B1:G1,"&lt;&gt;",B2:G2,"&lt;&gt;Exame",B2:G2,"&lt;&gt;exame",B2:G2,"&lt;&gt;Nota",B2:G2,"&lt;&gt;Total"),"")</f>
        <v/>
      </c>
      <c r="I920" s="2" t="str">
        <f>IF(AND(A920&lt;&gt;"",H920&lt;&gt;""),ROUND(H920,0),"")</f>
        <v/>
      </c>
    </row>
    <row r="921" spans="2:9" x14ac:dyDescent="0.3">
      <c r="B921" s="2" t="str">
        <f>IF(A921&lt;&gt;"",VLOOKUP(Alunos!A921,Exame!A3:C1000,3, FALSE),"")</f>
        <v/>
      </c>
      <c r="C921" s="2" t="str">
        <f>IF(A921&lt;&gt;"",VLOOKUP(Alunos!A921,Agrupamentos!A3:B1000,2, FALSE),"")</f>
        <v/>
      </c>
      <c r="D921" s="2" t="str">
        <f>IF(A921&lt;&gt;"",VLOOKUP(Alunos!C921,'TP1'!A3:C1000,3, FALSE),"")</f>
        <v/>
      </c>
      <c r="E921" s="2" t="str">
        <f>IF(A921&lt;&gt;"", SUMIF(B1:D1,"&lt;&gt;",B921:D921),"")</f>
        <v/>
      </c>
      <c r="F921" s="2" t="str">
        <f>IF(AND(A921&lt;&gt;"",E921&lt;&gt;""),ROUND(E921,0),"")</f>
        <v/>
      </c>
      <c r="G921" s="2" t="str">
        <f>IF(A921&lt;&gt;"",VLOOKUP(Alunos!A921,Recurso!A3:C1000,3, FALSE),"")</f>
        <v/>
      </c>
      <c r="H921" s="2" t="str">
        <f>IF(OR(A921&lt;&gt;"",G921&lt;&gt;""), SUMIFS(B921:G921,B1:G1,"&lt;&gt;",B2:G2,"&lt;&gt;Exame",B2:G2,"&lt;&gt;exame",B2:G2,"&lt;&gt;Nota",B2:G2,"&lt;&gt;Total"),"")</f>
        <v/>
      </c>
      <c r="I921" s="2" t="str">
        <f>IF(AND(A921&lt;&gt;"",H921&lt;&gt;""),ROUND(H921,0),"")</f>
        <v/>
      </c>
    </row>
    <row r="922" spans="2:9" x14ac:dyDescent="0.3">
      <c r="B922" s="2" t="str">
        <f>IF(A922&lt;&gt;"",VLOOKUP(Alunos!A922,Exame!A3:C1000,3, FALSE),"")</f>
        <v/>
      </c>
      <c r="C922" s="2" t="str">
        <f>IF(A922&lt;&gt;"",VLOOKUP(Alunos!A922,Agrupamentos!A3:B1000,2, FALSE),"")</f>
        <v/>
      </c>
      <c r="D922" s="2" t="str">
        <f>IF(A922&lt;&gt;"",VLOOKUP(Alunos!C922,'TP1'!A3:C1000,3, FALSE),"")</f>
        <v/>
      </c>
      <c r="E922" s="2" t="str">
        <f>IF(A922&lt;&gt;"", SUMIF(B1:D1,"&lt;&gt;",B922:D922),"")</f>
        <v/>
      </c>
      <c r="F922" s="2" t="str">
        <f>IF(AND(A922&lt;&gt;"",E922&lt;&gt;""),ROUND(E922,0),"")</f>
        <v/>
      </c>
      <c r="G922" s="2" t="str">
        <f>IF(A922&lt;&gt;"",VLOOKUP(Alunos!A922,Recurso!A3:C1000,3, FALSE),"")</f>
        <v/>
      </c>
      <c r="H922" s="2" t="str">
        <f>IF(OR(A922&lt;&gt;"",G922&lt;&gt;""), SUMIFS(B922:G922,B1:G1,"&lt;&gt;",B2:G2,"&lt;&gt;Exame",B2:G2,"&lt;&gt;exame",B2:G2,"&lt;&gt;Nota",B2:G2,"&lt;&gt;Total"),"")</f>
        <v/>
      </c>
      <c r="I922" s="2" t="str">
        <f>IF(AND(A922&lt;&gt;"",H922&lt;&gt;""),ROUND(H922,0),"")</f>
        <v/>
      </c>
    </row>
    <row r="923" spans="2:9" x14ac:dyDescent="0.3">
      <c r="B923" s="2" t="str">
        <f>IF(A923&lt;&gt;"",VLOOKUP(Alunos!A923,Exame!A3:C1000,3, FALSE),"")</f>
        <v/>
      </c>
      <c r="C923" s="2" t="str">
        <f>IF(A923&lt;&gt;"",VLOOKUP(Alunos!A923,Agrupamentos!A3:B1000,2, FALSE),"")</f>
        <v/>
      </c>
      <c r="D923" s="2" t="str">
        <f>IF(A923&lt;&gt;"",VLOOKUP(Alunos!C923,'TP1'!A3:C1000,3, FALSE),"")</f>
        <v/>
      </c>
      <c r="E923" s="2" t="str">
        <f>IF(A923&lt;&gt;"", SUMIF(B1:D1,"&lt;&gt;",B923:D923),"")</f>
        <v/>
      </c>
      <c r="F923" s="2" t="str">
        <f>IF(AND(A923&lt;&gt;"",E923&lt;&gt;""),ROUND(E923,0),"")</f>
        <v/>
      </c>
      <c r="G923" s="2" t="str">
        <f>IF(A923&lt;&gt;"",VLOOKUP(Alunos!A923,Recurso!A3:C1000,3, FALSE),"")</f>
        <v/>
      </c>
      <c r="H923" s="2" t="str">
        <f>IF(OR(A923&lt;&gt;"",G923&lt;&gt;""), SUMIFS(B923:G923,B1:G1,"&lt;&gt;",B2:G2,"&lt;&gt;Exame",B2:G2,"&lt;&gt;exame",B2:G2,"&lt;&gt;Nota",B2:G2,"&lt;&gt;Total"),"")</f>
        <v/>
      </c>
      <c r="I923" s="2" t="str">
        <f>IF(AND(A923&lt;&gt;"",H923&lt;&gt;""),ROUND(H923,0),"")</f>
        <v/>
      </c>
    </row>
    <row r="924" spans="2:9" x14ac:dyDescent="0.3">
      <c r="B924" s="2" t="str">
        <f>IF(A924&lt;&gt;"",VLOOKUP(Alunos!A924,Exame!A3:C1000,3, FALSE),"")</f>
        <v/>
      </c>
      <c r="C924" s="2" t="str">
        <f>IF(A924&lt;&gt;"",VLOOKUP(Alunos!A924,Agrupamentos!A3:B1000,2, FALSE),"")</f>
        <v/>
      </c>
      <c r="D924" s="2" t="str">
        <f>IF(A924&lt;&gt;"",VLOOKUP(Alunos!C924,'TP1'!A3:C1000,3, FALSE),"")</f>
        <v/>
      </c>
      <c r="E924" s="2" t="str">
        <f>IF(A924&lt;&gt;"", SUMIF(B1:D1,"&lt;&gt;",B924:D924),"")</f>
        <v/>
      </c>
      <c r="F924" s="2" t="str">
        <f>IF(AND(A924&lt;&gt;"",E924&lt;&gt;""),ROUND(E924,0),"")</f>
        <v/>
      </c>
      <c r="G924" s="2" t="str">
        <f>IF(A924&lt;&gt;"",VLOOKUP(Alunos!A924,Recurso!A3:C1000,3, FALSE),"")</f>
        <v/>
      </c>
      <c r="H924" s="2" t="str">
        <f>IF(OR(A924&lt;&gt;"",G924&lt;&gt;""), SUMIFS(B924:G924,B1:G1,"&lt;&gt;",B2:G2,"&lt;&gt;Exame",B2:G2,"&lt;&gt;exame",B2:G2,"&lt;&gt;Nota",B2:G2,"&lt;&gt;Total"),"")</f>
        <v/>
      </c>
      <c r="I924" s="2" t="str">
        <f>IF(AND(A924&lt;&gt;"",H924&lt;&gt;""),ROUND(H924,0),"")</f>
        <v/>
      </c>
    </row>
    <row r="925" spans="2:9" x14ac:dyDescent="0.3">
      <c r="B925" s="2" t="str">
        <f>IF(A925&lt;&gt;"",VLOOKUP(Alunos!A925,Exame!A3:C1000,3, FALSE),"")</f>
        <v/>
      </c>
      <c r="C925" s="2" t="str">
        <f>IF(A925&lt;&gt;"",VLOOKUP(Alunos!A925,Agrupamentos!A3:B1000,2, FALSE),"")</f>
        <v/>
      </c>
      <c r="D925" s="2" t="str">
        <f>IF(A925&lt;&gt;"",VLOOKUP(Alunos!C925,'TP1'!A3:C1000,3, FALSE),"")</f>
        <v/>
      </c>
      <c r="E925" s="2" t="str">
        <f>IF(A925&lt;&gt;"", SUMIF(B1:D1,"&lt;&gt;",B925:D925),"")</f>
        <v/>
      </c>
      <c r="F925" s="2" t="str">
        <f>IF(AND(A925&lt;&gt;"",E925&lt;&gt;""),ROUND(E925,0),"")</f>
        <v/>
      </c>
      <c r="G925" s="2" t="str">
        <f>IF(A925&lt;&gt;"",VLOOKUP(Alunos!A925,Recurso!A3:C1000,3, FALSE),"")</f>
        <v/>
      </c>
      <c r="H925" s="2" t="str">
        <f>IF(OR(A925&lt;&gt;"",G925&lt;&gt;""), SUMIFS(B925:G925,B1:G1,"&lt;&gt;",B2:G2,"&lt;&gt;Exame",B2:G2,"&lt;&gt;exame",B2:G2,"&lt;&gt;Nota",B2:G2,"&lt;&gt;Total"),"")</f>
        <v/>
      </c>
      <c r="I925" s="2" t="str">
        <f>IF(AND(A925&lt;&gt;"",H925&lt;&gt;""),ROUND(H925,0),"")</f>
        <v/>
      </c>
    </row>
    <row r="926" spans="2:9" x14ac:dyDescent="0.3">
      <c r="B926" s="2" t="str">
        <f>IF(A926&lt;&gt;"",VLOOKUP(Alunos!A926,Exame!A3:C1000,3, FALSE),"")</f>
        <v/>
      </c>
      <c r="C926" s="2" t="str">
        <f>IF(A926&lt;&gt;"",VLOOKUP(Alunos!A926,Agrupamentos!A3:B1000,2, FALSE),"")</f>
        <v/>
      </c>
      <c r="D926" s="2" t="str">
        <f>IF(A926&lt;&gt;"",VLOOKUP(Alunos!C926,'TP1'!A3:C1000,3, FALSE),"")</f>
        <v/>
      </c>
      <c r="E926" s="2" t="str">
        <f>IF(A926&lt;&gt;"", SUMIF(B1:D1,"&lt;&gt;",B926:D926),"")</f>
        <v/>
      </c>
      <c r="F926" s="2" t="str">
        <f>IF(AND(A926&lt;&gt;"",E926&lt;&gt;""),ROUND(E926,0),"")</f>
        <v/>
      </c>
      <c r="G926" s="2" t="str">
        <f>IF(A926&lt;&gt;"",VLOOKUP(Alunos!A926,Recurso!A3:C1000,3, FALSE),"")</f>
        <v/>
      </c>
      <c r="H926" s="2" t="str">
        <f>IF(OR(A926&lt;&gt;"",G926&lt;&gt;""), SUMIFS(B926:G926,B1:G1,"&lt;&gt;",B2:G2,"&lt;&gt;Exame",B2:G2,"&lt;&gt;exame",B2:G2,"&lt;&gt;Nota",B2:G2,"&lt;&gt;Total"),"")</f>
        <v/>
      </c>
      <c r="I926" s="2" t="str">
        <f>IF(AND(A926&lt;&gt;"",H926&lt;&gt;""),ROUND(H926,0),"")</f>
        <v/>
      </c>
    </row>
    <row r="927" spans="2:9" x14ac:dyDescent="0.3">
      <c r="B927" s="2" t="str">
        <f>IF(A927&lt;&gt;"",VLOOKUP(Alunos!A927,Exame!A3:C1000,3, FALSE),"")</f>
        <v/>
      </c>
      <c r="C927" s="2" t="str">
        <f>IF(A927&lt;&gt;"",VLOOKUP(Alunos!A927,Agrupamentos!A3:B1000,2, FALSE),"")</f>
        <v/>
      </c>
      <c r="D927" s="2" t="str">
        <f>IF(A927&lt;&gt;"",VLOOKUP(Alunos!C927,'TP1'!A3:C1000,3, FALSE),"")</f>
        <v/>
      </c>
      <c r="E927" s="2" t="str">
        <f>IF(A927&lt;&gt;"", SUMIF(B1:D1,"&lt;&gt;",B927:D927),"")</f>
        <v/>
      </c>
      <c r="F927" s="2" t="str">
        <f>IF(AND(A927&lt;&gt;"",E927&lt;&gt;""),ROUND(E927,0),"")</f>
        <v/>
      </c>
      <c r="G927" s="2" t="str">
        <f>IF(A927&lt;&gt;"",VLOOKUP(Alunos!A927,Recurso!A3:C1000,3, FALSE),"")</f>
        <v/>
      </c>
      <c r="H927" s="2" t="str">
        <f>IF(OR(A927&lt;&gt;"",G927&lt;&gt;""), SUMIFS(B927:G927,B1:G1,"&lt;&gt;",B2:G2,"&lt;&gt;Exame",B2:G2,"&lt;&gt;exame",B2:G2,"&lt;&gt;Nota",B2:G2,"&lt;&gt;Total"),"")</f>
        <v/>
      </c>
      <c r="I927" s="2" t="str">
        <f>IF(AND(A927&lt;&gt;"",H927&lt;&gt;""),ROUND(H927,0),"")</f>
        <v/>
      </c>
    </row>
    <row r="928" spans="2:9" x14ac:dyDescent="0.3">
      <c r="B928" s="2" t="str">
        <f>IF(A928&lt;&gt;"",VLOOKUP(Alunos!A928,Exame!A3:C1000,3, FALSE),"")</f>
        <v/>
      </c>
      <c r="C928" s="2" t="str">
        <f>IF(A928&lt;&gt;"",VLOOKUP(Alunos!A928,Agrupamentos!A3:B1000,2, FALSE),"")</f>
        <v/>
      </c>
      <c r="D928" s="2" t="str">
        <f>IF(A928&lt;&gt;"",VLOOKUP(Alunos!C928,'TP1'!A3:C1000,3, FALSE),"")</f>
        <v/>
      </c>
      <c r="E928" s="2" t="str">
        <f>IF(A928&lt;&gt;"", SUMIF(B1:D1,"&lt;&gt;",B928:D928),"")</f>
        <v/>
      </c>
      <c r="F928" s="2" t="str">
        <f>IF(AND(A928&lt;&gt;"",E928&lt;&gt;""),ROUND(E928,0),"")</f>
        <v/>
      </c>
      <c r="G928" s="2" t="str">
        <f>IF(A928&lt;&gt;"",VLOOKUP(Alunos!A928,Recurso!A3:C1000,3, FALSE),"")</f>
        <v/>
      </c>
      <c r="H928" s="2" t="str">
        <f>IF(OR(A928&lt;&gt;"",G928&lt;&gt;""), SUMIFS(B928:G928,B1:G1,"&lt;&gt;",B2:G2,"&lt;&gt;Exame",B2:G2,"&lt;&gt;exame",B2:G2,"&lt;&gt;Nota",B2:G2,"&lt;&gt;Total"),"")</f>
        <v/>
      </c>
      <c r="I928" s="2" t="str">
        <f>IF(AND(A928&lt;&gt;"",H928&lt;&gt;""),ROUND(H928,0),"")</f>
        <v/>
      </c>
    </row>
    <row r="929" spans="2:9" x14ac:dyDescent="0.3">
      <c r="B929" s="2" t="str">
        <f>IF(A929&lt;&gt;"",VLOOKUP(Alunos!A929,Exame!A3:C1000,3, FALSE),"")</f>
        <v/>
      </c>
      <c r="C929" s="2" t="str">
        <f>IF(A929&lt;&gt;"",VLOOKUP(Alunos!A929,Agrupamentos!A3:B1000,2, FALSE),"")</f>
        <v/>
      </c>
      <c r="D929" s="2" t="str">
        <f>IF(A929&lt;&gt;"",VLOOKUP(Alunos!C929,'TP1'!A3:C1000,3, FALSE),"")</f>
        <v/>
      </c>
      <c r="E929" s="2" t="str">
        <f>IF(A929&lt;&gt;"", SUMIF(B1:D1,"&lt;&gt;",B929:D929),"")</f>
        <v/>
      </c>
      <c r="F929" s="2" t="str">
        <f>IF(AND(A929&lt;&gt;"",E929&lt;&gt;""),ROUND(E929,0),"")</f>
        <v/>
      </c>
      <c r="G929" s="2" t="str">
        <f>IF(A929&lt;&gt;"",VLOOKUP(Alunos!A929,Recurso!A3:C1000,3, FALSE),"")</f>
        <v/>
      </c>
      <c r="H929" s="2" t="str">
        <f>IF(OR(A929&lt;&gt;"",G929&lt;&gt;""), SUMIFS(B929:G929,B1:G1,"&lt;&gt;",B2:G2,"&lt;&gt;Exame",B2:G2,"&lt;&gt;exame",B2:G2,"&lt;&gt;Nota",B2:G2,"&lt;&gt;Total"),"")</f>
        <v/>
      </c>
      <c r="I929" s="2" t="str">
        <f>IF(AND(A929&lt;&gt;"",H929&lt;&gt;""),ROUND(H929,0),"")</f>
        <v/>
      </c>
    </row>
    <row r="930" spans="2:9" x14ac:dyDescent="0.3">
      <c r="B930" s="2" t="str">
        <f>IF(A930&lt;&gt;"",VLOOKUP(Alunos!A930,Exame!A3:C1000,3, FALSE),"")</f>
        <v/>
      </c>
      <c r="C930" s="2" t="str">
        <f>IF(A930&lt;&gt;"",VLOOKUP(Alunos!A930,Agrupamentos!A3:B1000,2, FALSE),"")</f>
        <v/>
      </c>
      <c r="D930" s="2" t="str">
        <f>IF(A930&lt;&gt;"",VLOOKUP(Alunos!C930,'TP1'!A3:C1000,3, FALSE),"")</f>
        <v/>
      </c>
      <c r="E930" s="2" t="str">
        <f>IF(A930&lt;&gt;"", SUMIF(B1:D1,"&lt;&gt;",B930:D930),"")</f>
        <v/>
      </c>
      <c r="F930" s="2" t="str">
        <f>IF(AND(A930&lt;&gt;"",E930&lt;&gt;""),ROUND(E930,0),"")</f>
        <v/>
      </c>
      <c r="G930" s="2" t="str">
        <f>IF(A930&lt;&gt;"",VLOOKUP(Alunos!A930,Recurso!A3:C1000,3, FALSE),"")</f>
        <v/>
      </c>
      <c r="H930" s="2" t="str">
        <f>IF(OR(A930&lt;&gt;"",G930&lt;&gt;""), SUMIFS(B930:G930,B1:G1,"&lt;&gt;",B2:G2,"&lt;&gt;Exame",B2:G2,"&lt;&gt;exame",B2:G2,"&lt;&gt;Nota",B2:G2,"&lt;&gt;Total"),"")</f>
        <v/>
      </c>
      <c r="I930" s="2" t="str">
        <f>IF(AND(A930&lt;&gt;"",H930&lt;&gt;""),ROUND(H930,0),"")</f>
        <v/>
      </c>
    </row>
    <row r="931" spans="2:9" x14ac:dyDescent="0.3">
      <c r="B931" s="2" t="str">
        <f>IF(A931&lt;&gt;"",VLOOKUP(Alunos!A931,Exame!A3:C1000,3, FALSE),"")</f>
        <v/>
      </c>
      <c r="C931" s="2" t="str">
        <f>IF(A931&lt;&gt;"",VLOOKUP(Alunos!A931,Agrupamentos!A3:B1000,2, FALSE),"")</f>
        <v/>
      </c>
      <c r="D931" s="2" t="str">
        <f>IF(A931&lt;&gt;"",VLOOKUP(Alunos!C931,'TP1'!A3:C1000,3, FALSE),"")</f>
        <v/>
      </c>
      <c r="E931" s="2" t="str">
        <f>IF(A931&lt;&gt;"", SUMIF(B1:D1,"&lt;&gt;",B931:D931),"")</f>
        <v/>
      </c>
      <c r="F931" s="2" t="str">
        <f>IF(AND(A931&lt;&gt;"",E931&lt;&gt;""),ROUND(E931,0),"")</f>
        <v/>
      </c>
      <c r="G931" s="2" t="str">
        <f>IF(A931&lt;&gt;"",VLOOKUP(Alunos!A931,Recurso!A3:C1000,3, FALSE),"")</f>
        <v/>
      </c>
      <c r="H931" s="2" t="str">
        <f>IF(OR(A931&lt;&gt;"",G931&lt;&gt;""), SUMIFS(B931:G931,B1:G1,"&lt;&gt;",B2:G2,"&lt;&gt;Exame",B2:G2,"&lt;&gt;exame",B2:G2,"&lt;&gt;Nota",B2:G2,"&lt;&gt;Total"),"")</f>
        <v/>
      </c>
      <c r="I931" s="2" t="str">
        <f>IF(AND(A931&lt;&gt;"",H931&lt;&gt;""),ROUND(H931,0),"")</f>
        <v/>
      </c>
    </row>
    <row r="932" spans="2:9" x14ac:dyDescent="0.3">
      <c r="B932" s="2" t="str">
        <f>IF(A932&lt;&gt;"",VLOOKUP(Alunos!A932,Exame!A3:C1000,3, FALSE),"")</f>
        <v/>
      </c>
      <c r="C932" s="2" t="str">
        <f>IF(A932&lt;&gt;"",VLOOKUP(Alunos!A932,Agrupamentos!A3:B1000,2, FALSE),"")</f>
        <v/>
      </c>
      <c r="D932" s="2" t="str">
        <f>IF(A932&lt;&gt;"",VLOOKUP(Alunos!C932,'TP1'!A3:C1000,3, FALSE),"")</f>
        <v/>
      </c>
      <c r="E932" s="2" t="str">
        <f>IF(A932&lt;&gt;"", SUMIF(B1:D1,"&lt;&gt;",B932:D932),"")</f>
        <v/>
      </c>
      <c r="F932" s="2" t="str">
        <f>IF(AND(A932&lt;&gt;"",E932&lt;&gt;""),ROUND(E932,0),"")</f>
        <v/>
      </c>
      <c r="G932" s="2" t="str">
        <f>IF(A932&lt;&gt;"",VLOOKUP(Alunos!A932,Recurso!A3:C1000,3, FALSE),"")</f>
        <v/>
      </c>
      <c r="H932" s="2" t="str">
        <f>IF(OR(A932&lt;&gt;"",G932&lt;&gt;""), SUMIFS(B932:G932,B1:G1,"&lt;&gt;",B2:G2,"&lt;&gt;Exame",B2:G2,"&lt;&gt;exame",B2:G2,"&lt;&gt;Nota",B2:G2,"&lt;&gt;Total"),"")</f>
        <v/>
      </c>
      <c r="I932" s="2" t="str">
        <f>IF(AND(A932&lt;&gt;"",H932&lt;&gt;""),ROUND(H932,0),"")</f>
        <v/>
      </c>
    </row>
    <row r="933" spans="2:9" x14ac:dyDescent="0.3">
      <c r="B933" s="2" t="str">
        <f>IF(A933&lt;&gt;"",VLOOKUP(Alunos!A933,Exame!A3:C1000,3, FALSE),"")</f>
        <v/>
      </c>
      <c r="C933" s="2" t="str">
        <f>IF(A933&lt;&gt;"",VLOOKUP(Alunos!A933,Agrupamentos!A3:B1000,2, FALSE),"")</f>
        <v/>
      </c>
      <c r="D933" s="2" t="str">
        <f>IF(A933&lt;&gt;"",VLOOKUP(Alunos!C933,'TP1'!A3:C1000,3, FALSE),"")</f>
        <v/>
      </c>
      <c r="E933" s="2" t="str">
        <f>IF(A933&lt;&gt;"", SUMIF(B1:D1,"&lt;&gt;",B933:D933),"")</f>
        <v/>
      </c>
      <c r="F933" s="2" t="str">
        <f>IF(AND(A933&lt;&gt;"",E933&lt;&gt;""),ROUND(E933,0),"")</f>
        <v/>
      </c>
      <c r="G933" s="2" t="str">
        <f>IF(A933&lt;&gt;"",VLOOKUP(Alunos!A933,Recurso!A3:C1000,3, FALSE),"")</f>
        <v/>
      </c>
      <c r="H933" s="2" t="str">
        <f>IF(OR(A933&lt;&gt;"",G933&lt;&gt;""), SUMIFS(B933:G933,B1:G1,"&lt;&gt;",B2:G2,"&lt;&gt;Exame",B2:G2,"&lt;&gt;exame",B2:G2,"&lt;&gt;Nota",B2:G2,"&lt;&gt;Total"),"")</f>
        <v/>
      </c>
      <c r="I933" s="2" t="str">
        <f>IF(AND(A933&lt;&gt;"",H933&lt;&gt;""),ROUND(H933,0),"")</f>
        <v/>
      </c>
    </row>
    <row r="934" spans="2:9" x14ac:dyDescent="0.3">
      <c r="B934" s="2" t="str">
        <f>IF(A934&lt;&gt;"",VLOOKUP(Alunos!A934,Exame!A3:C1000,3, FALSE),"")</f>
        <v/>
      </c>
      <c r="C934" s="2" t="str">
        <f>IF(A934&lt;&gt;"",VLOOKUP(Alunos!A934,Agrupamentos!A3:B1000,2, FALSE),"")</f>
        <v/>
      </c>
      <c r="D934" s="2" t="str">
        <f>IF(A934&lt;&gt;"",VLOOKUP(Alunos!C934,'TP1'!A3:C1000,3, FALSE),"")</f>
        <v/>
      </c>
      <c r="E934" s="2" t="str">
        <f>IF(A934&lt;&gt;"", SUMIF(B1:D1,"&lt;&gt;",B934:D934),"")</f>
        <v/>
      </c>
      <c r="F934" s="2" t="str">
        <f>IF(AND(A934&lt;&gt;"",E934&lt;&gt;""),ROUND(E934,0),"")</f>
        <v/>
      </c>
      <c r="G934" s="2" t="str">
        <f>IF(A934&lt;&gt;"",VLOOKUP(Alunos!A934,Recurso!A3:C1000,3, FALSE),"")</f>
        <v/>
      </c>
      <c r="H934" s="2" t="str">
        <f>IF(OR(A934&lt;&gt;"",G934&lt;&gt;""), SUMIFS(B934:G934,B1:G1,"&lt;&gt;",B2:G2,"&lt;&gt;Exame",B2:G2,"&lt;&gt;exame",B2:G2,"&lt;&gt;Nota",B2:G2,"&lt;&gt;Total"),"")</f>
        <v/>
      </c>
      <c r="I934" s="2" t="str">
        <f>IF(AND(A934&lt;&gt;"",H934&lt;&gt;""),ROUND(H934,0),"")</f>
        <v/>
      </c>
    </row>
    <row r="935" spans="2:9" x14ac:dyDescent="0.3">
      <c r="B935" s="2" t="str">
        <f>IF(A935&lt;&gt;"",VLOOKUP(Alunos!A935,Exame!A3:C1000,3, FALSE),"")</f>
        <v/>
      </c>
      <c r="C935" s="2" t="str">
        <f>IF(A935&lt;&gt;"",VLOOKUP(Alunos!A935,Agrupamentos!A3:B1000,2, FALSE),"")</f>
        <v/>
      </c>
      <c r="D935" s="2" t="str">
        <f>IF(A935&lt;&gt;"",VLOOKUP(Alunos!C935,'TP1'!A3:C1000,3, FALSE),"")</f>
        <v/>
      </c>
      <c r="E935" s="2" t="str">
        <f>IF(A935&lt;&gt;"", SUMIF(B1:D1,"&lt;&gt;",B935:D935),"")</f>
        <v/>
      </c>
      <c r="F935" s="2" t="str">
        <f>IF(AND(A935&lt;&gt;"",E935&lt;&gt;""),ROUND(E935,0),"")</f>
        <v/>
      </c>
      <c r="G935" s="2" t="str">
        <f>IF(A935&lt;&gt;"",VLOOKUP(Alunos!A935,Recurso!A3:C1000,3, FALSE),"")</f>
        <v/>
      </c>
      <c r="H935" s="2" t="str">
        <f>IF(OR(A935&lt;&gt;"",G935&lt;&gt;""), SUMIFS(B935:G935,B1:G1,"&lt;&gt;",B2:G2,"&lt;&gt;Exame",B2:G2,"&lt;&gt;exame",B2:G2,"&lt;&gt;Nota",B2:G2,"&lt;&gt;Total"),"")</f>
        <v/>
      </c>
      <c r="I935" s="2" t="str">
        <f>IF(AND(A935&lt;&gt;"",H935&lt;&gt;""),ROUND(H935,0),"")</f>
        <v/>
      </c>
    </row>
    <row r="936" spans="2:9" x14ac:dyDescent="0.3">
      <c r="B936" s="2" t="str">
        <f>IF(A936&lt;&gt;"",VLOOKUP(Alunos!A936,Exame!A3:C1000,3, FALSE),"")</f>
        <v/>
      </c>
      <c r="C936" s="2" t="str">
        <f>IF(A936&lt;&gt;"",VLOOKUP(Alunos!A936,Agrupamentos!A3:B1000,2, FALSE),"")</f>
        <v/>
      </c>
      <c r="D936" s="2" t="str">
        <f>IF(A936&lt;&gt;"",VLOOKUP(Alunos!C936,'TP1'!A3:C1000,3, FALSE),"")</f>
        <v/>
      </c>
      <c r="E936" s="2" t="str">
        <f>IF(A936&lt;&gt;"", SUMIF(B1:D1,"&lt;&gt;",B936:D936),"")</f>
        <v/>
      </c>
      <c r="F936" s="2" t="str">
        <f>IF(AND(A936&lt;&gt;"",E936&lt;&gt;""),ROUND(E936,0),"")</f>
        <v/>
      </c>
      <c r="G936" s="2" t="str">
        <f>IF(A936&lt;&gt;"",VLOOKUP(Alunos!A936,Recurso!A3:C1000,3, FALSE),"")</f>
        <v/>
      </c>
      <c r="H936" s="2" t="str">
        <f>IF(OR(A936&lt;&gt;"",G936&lt;&gt;""), SUMIFS(B936:G936,B1:G1,"&lt;&gt;",B2:G2,"&lt;&gt;Exame",B2:G2,"&lt;&gt;exame",B2:G2,"&lt;&gt;Nota",B2:G2,"&lt;&gt;Total"),"")</f>
        <v/>
      </c>
      <c r="I936" s="2" t="str">
        <f>IF(AND(A936&lt;&gt;"",H936&lt;&gt;""),ROUND(H936,0),"")</f>
        <v/>
      </c>
    </row>
    <row r="937" spans="2:9" x14ac:dyDescent="0.3">
      <c r="B937" s="2" t="str">
        <f>IF(A937&lt;&gt;"",VLOOKUP(Alunos!A937,Exame!A3:C1000,3, FALSE),"")</f>
        <v/>
      </c>
      <c r="C937" s="2" t="str">
        <f>IF(A937&lt;&gt;"",VLOOKUP(Alunos!A937,Agrupamentos!A3:B1000,2, FALSE),"")</f>
        <v/>
      </c>
      <c r="D937" s="2" t="str">
        <f>IF(A937&lt;&gt;"",VLOOKUP(Alunos!C937,'TP1'!A3:C1000,3, FALSE),"")</f>
        <v/>
      </c>
      <c r="E937" s="2" t="str">
        <f>IF(A937&lt;&gt;"", SUMIF(B1:D1,"&lt;&gt;",B937:D937),"")</f>
        <v/>
      </c>
      <c r="F937" s="2" t="str">
        <f>IF(AND(A937&lt;&gt;"",E937&lt;&gt;""),ROUND(E937,0),"")</f>
        <v/>
      </c>
      <c r="G937" s="2" t="str">
        <f>IF(A937&lt;&gt;"",VLOOKUP(Alunos!A937,Recurso!A3:C1000,3, FALSE),"")</f>
        <v/>
      </c>
      <c r="H937" s="2" t="str">
        <f>IF(OR(A937&lt;&gt;"",G937&lt;&gt;""), SUMIFS(B937:G937,B1:G1,"&lt;&gt;",B2:G2,"&lt;&gt;Exame",B2:G2,"&lt;&gt;exame",B2:G2,"&lt;&gt;Nota",B2:G2,"&lt;&gt;Total"),"")</f>
        <v/>
      </c>
      <c r="I937" s="2" t="str">
        <f>IF(AND(A937&lt;&gt;"",H937&lt;&gt;""),ROUND(H937,0),"")</f>
        <v/>
      </c>
    </row>
    <row r="938" spans="2:9" x14ac:dyDescent="0.3">
      <c r="B938" s="2" t="str">
        <f>IF(A938&lt;&gt;"",VLOOKUP(Alunos!A938,Exame!A3:C1000,3, FALSE),"")</f>
        <v/>
      </c>
      <c r="C938" s="2" t="str">
        <f>IF(A938&lt;&gt;"",VLOOKUP(Alunos!A938,Agrupamentos!A3:B1000,2, FALSE),"")</f>
        <v/>
      </c>
      <c r="D938" s="2" t="str">
        <f>IF(A938&lt;&gt;"",VLOOKUP(Alunos!C938,'TP1'!A3:C1000,3, FALSE),"")</f>
        <v/>
      </c>
      <c r="E938" s="2" t="str">
        <f>IF(A938&lt;&gt;"", SUMIF(B1:D1,"&lt;&gt;",B938:D938),"")</f>
        <v/>
      </c>
      <c r="F938" s="2" t="str">
        <f>IF(AND(A938&lt;&gt;"",E938&lt;&gt;""),ROUND(E938,0),"")</f>
        <v/>
      </c>
      <c r="G938" s="2" t="str">
        <f>IF(A938&lt;&gt;"",VLOOKUP(Alunos!A938,Recurso!A3:C1000,3, FALSE),"")</f>
        <v/>
      </c>
      <c r="H938" s="2" t="str">
        <f>IF(OR(A938&lt;&gt;"",G938&lt;&gt;""), SUMIFS(B938:G938,B1:G1,"&lt;&gt;",B2:G2,"&lt;&gt;Exame",B2:G2,"&lt;&gt;exame",B2:G2,"&lt;&gt;Nota",B2:G2,"&lt;&gt;Total"),"")</f>
        <v/>
      </c>
      <c r="I938" s="2" t="str">
        <f>IF(AND(A938&lt;&gt;"",H938&lt;&gt;""),ROUND(H938,0),"")</f>
        <v/>
      </c>
    </row>
    <row r="939" spans="2:9" x14ac:dyDescent="0.3">
      <c r="B939" s="2" t="str">
        <f>IF(A939&lt;&gt;"",VLOOKUP(Alunos!A939,Exame!A3:C1000,3, FALSE),"")</f>
        <v/>
      </c>
      <c r="C939" s="2" t="str">
        <f>IF(A939&lt;&gt;"",VLOOKUP(Alunos!A939,Agrupamentos!A3:B1000,2, FALSE),"")</f>
        <v/>
      </c>
      <c r="D939" s="2" t="str">
        <f>IF(A939&lt;&gt;"",VLOOKUP(Alunos!C939,'TP1'!A3:C1000,3, FALSE),"")</f>
        <v/>
      </c>
      <c r="E939" s="2" t="str">
        <f>IF(A939&lt;&gt;"", SUMIF(B1:D1,"&lt;&gt;",B939:D939),"")</f>
        <v/>
      </c>
      <c r="F939" s="2" t="str">
        <f>IF(AND(A939&lt;&gt;"",E939&lt;&gt;""),ROUND(E939,0),"")</f>
        <v/>
      </c>
      <c r="G939" s="2" t="str">
        <f>IF(A939&lt;&gt;"",VLOOKUP(Alunos!A939,Recurso!A3:C1000,3, FALSE),"")</f>
        <v/>
      </c>
      <c r="H939" s="2" t="str">
        <f>IF(OR(A939&lt;&gt;"",G939&lt;&gt;""), SUMIFS(B939:G939,B1:G1,"&lt;&gt;",B2:G2,"&lt;&gt;Exame",B2:G2,"&lt;&gt;exame",B2:G2,"&lt;&gt;Nota",B2:G2,"&lt;&gt;Total"),"")</f>
        <v/>
      </c>
      <c r="I939" s="2" t="str">
        <f>IF(AND(A939&lt;&gt;"",H939&lt;&gt;""),ROUND(H939,0),"")</f>
        <v/>
      </c>
    </row>
    <row r="940" spans="2:9" x14ac:dyDescent="0.3">
      <c r="B940" s="2" t="str">
        <f>IF(A940&lt;&gt;"",VLOOKUP(Alunos!A940,Exame!A3:C1000,3, FALSE),"")</f>
        <v/>
      </c>
      <c r="C940" s="2" t="str">
        <f>IF(A940&lt;&gt;"",VLOOKUP(Alunos!A940,Agrupamentos!A3:B1000,2, FALSE),"")</f>
        <v/>
      </c>
      <c r="D940" s="2" t="str">
        <f>IF(A940&lt;&gt;"",VLOOKUP(Alunos!C940,'TP1'!A3:C1000,3, FALSE),"")</f>
        <v/>
      </c>
      <c r="E940" s="2" t="str">
        <f>IF(A940&lt;&gt;"", SUMIF(B1:D1,"&lt;&gt;",B940:D940),"")</f>
        <v/>
      </c>
      <c r="F940" s="2" t="str">
        <f>IF(AND(A940&lt;&gt;"",E940&lt;&gt;""),ROUND(E940,0),"")</f>
        <v/>
      </c>
      <c r="G940" s="2" t="str">
        <f>IF(A940&lt;&gt;"",VLOOKUP(Alunos!A940,Recurso!A3:C1000,3, FALSE),"")</f>
        <v/>
      </c>
      <c r="H940" s="2" t="str">
        <f>IF(OR(A940&lt;&gt;"",G940&lt;&gt;""), SUMIFS(B940:G940,B1:G1,"&lt;&gt;",B2:G2,"&lt;&gt;Exame",B2:G2,"&lt;&gt;exame",B2:G2,"&lt;&gt;Nota",B2:G2,"&lt;&gt;Total"),"")</f>
        <v/>
      </c>
      <c r="I940" s="2" t="str">
        <f>IF(AND(A940&lt;&gt;"",H940&lt;&gt;""),ROUND(H940,0),"")</f>
        <v/>
      </c>
    </row>
    <row r="941" spans="2:9" x14ac:dyDescent="0.3">
      <c r="B941" s="2" t="str">
        <f>IF(A941&lt;&gt;"",VLOOKUP(Alunos!A941,Exame!A3:C1000,3, FALSE),"")</f>
        <v/>
      </c>
      <c r="C941" s="2" t="str">
        <f>IF(A941&lt;&gt;"",VLOOKUP(Alunos!A941,Agrupamentos!A3:B1000,2, FALSE),"")</f>
        <v/>
      </c>
      <c r="D941" s="2" t="str">
        <f>IF(A941&lt;&gt;"",VLOOKUP(Alunos!C941,'TP1'!A3:C1000,3, FALSE),"")</f>
        <v/>
      </c>
      <c r="E941" s="2" t="str">
        <f>IF(A941&lt;&gt;"", SUMIF(B1:D1,"&lt;&gt;",B941:D941),"")</f>
        <v/>
      </c>
      <c r="F941" s="2" t="str">
        <f>IF(AND(A941&lt;&gt;"",E941&lt;&gt;""),ROUND(E941,0),"")</f>
        <v/>
      </c>
      <c r="G941" s="2" t="str">
        <f>IF(A941&lt;&gt;"",VLOOKUP(Alunos!A941,Recurso!A3:C1000,3, FALSE),"")</f>
        <v/>
      </c>
      <c r="H941" s="2" t="str">
        <f>IF(OR(A941&lt;&gt;"",G941&lt;&gt;""), SUMIFS(B941:G941,B1:G1,"&lt;&gt;",B2:G2,"&lt;&gt;Exame",B2:G2,"&lt;&gt;exame",B2:G2,"&lt;&gt;Nota",B2:G2,"&lt;&gt;Total"),"")</f>
        <v/>
      </c>
      <c r="I941" s="2" t="str">
        <f>IF(AND(A941&lt;&gt;"",H941&lt;&gt;""),ROUND(H941,0),"")</f>
        <v/>
      </c>
    </row>
    <row r="942" spans="2:9" x14ac:dyDescent="0.3">
      <c r="B942" s="2" t="str">
        <f>IF(A942&lt;&gt;"",VLOOKUP(Alunos!A942,Exame!A3:C1000,3, FALSE),"")</f>
        <v/>
      </c>
      <c r="C942" s="2" t="str">
        <f>IF(A942&lt;&gt;"",VLOOKUP(Alunos!A942,Agrupamentos!A3:B1000,2, FALSE),"")</f>
        <v/>
      </c>
      <c r="D942" s="2" t="str">
        <f>IF(A942&lt;&gt;"",VLOOKUP(Alunos!C942,'TP1'!A3:C1000,3, FALSE),"")</f>
        <v/>
      </c>
      <c r="E942" s="2" t="str">
        <f>IF(A942&lt;&gt;"", SUMIF(B1:D1,"&lt;&gt;",B942:D942),"")</f>
        <v/>
      </c>
      <c r="F942" s="2" t="str">
        <f>IF(AND(A942&lt;&gt;"",E942&lt;&gt;""),ROUND(E942,0),"")</f>
        <v/>
      </c>
      <c r="G942" s="2" t="str">
        <f>IF(A942&lt;&gt;"",VLOOKUP(Alunos!A942,Recurso!A3:C1000,3, FALSE),"")</f>
        <v/>
      </c>
      <c r="H942" s="2" t="str">
        <f>IF(OR(A942&lt;&gt;"",G942&lt;&gt;""), SUMIFS(B942:G942,B1:G1,"&lt;&gt;",B2:G2,"&lt;&gt;Exame",B2:G2,"&lt;&gt;exame",B2:G2,"&lt;&gt;Nota",B2:G2,"&lt;&gt;Total"),"")</f>
        <v/>
      </c>
      <c r="I942" s="2" t="str">
        <f>IF(AND(A942&lt;&gt;"",H942&lt;&gt;""),ROUND(H942,0),"")</f>
        <v/>
      </c>
    </row>
    <row r="943" spans="2:9" x14ac:dyDescent="0.3">
      <c r="B943" s="2" t="str">
        <f>IF(A943&lt;&gt;"",VLOOKUP(Alunos!A943,Exame!A3:C1000,3, FALSE),"")</f>
        <v/>
      </c>
      <c r="C943" s="2" t="str">
        <f>IF(A943&lt;&gt;"",VLOOKUP(Alunos!A943,Agrupamentos!A3:B1000,2, FALSE),"")</f>
        <v/>
      </c>
      <c r="D943" s="2" t="str">
        <f>IF(A943&lt;&gt;"",VLOOKUP(Alunos!C943,'TP1'!A3:C1000,3, FALSE),"")</f>
        <v/>
      </c>
      <c r="E943" s="2" t="str">
        <f>IF(A943&lt;&gt;"", SUMIF(B1:D1,"&lt;&gt;",B943:D943),"")</f>
        <v/>
      </c>
      <c r="F943" s="2" t="str">
        <f>IF(AND(A943&lt;&gt;"",E943&lt;&gt;""),ROUND(E943,0),"")</f>
        <v/>
      </c>
      <c r="G943" s="2" t="str">
        <f>IF(A943&lt;&gt;"",VLOOKUP(Alunos!A943,Recurso!A3:C1000,3, FALSE),"")</f>
        <v/>
      </c>
      <c r="H943" s="2" t="str">
        <f>IF(OR(A943&lt;&gt;"",G943&lt;&gt;""), SUMIFS(B943:G943,B1:G1,"&lt;&gt;",B2:G2,"&lt;&gt;Exame",B2:G2,"&lt;&gt;exame",B2:G2,"&lt;&gt;Nota",B2:G2,"&lt;&gt;Total"),"")</f>
        <v/>
      </c>
      <c r="I943" s="2" t="str">
        <f>IF(AND(A943&lt;&gt;"",H943&lt;&gt;""),ROUND(H943,0),"")</f>
        <v/>
      </c>
    </row>
    <row r="944" spans="2:9" x14ac:dyDescent="0.3">
      <c r="B944" s="2" t="str">
        <f>IF(A944&lt;&gt;"",VLOOKUP(Alunos!A944,Exame!A3:C1000,3, FALSE),"")</f>
        <v/>
      </c>
      <c r="C944" s="2" t="str">
        <f>IF(A944&lt;&gt;"",VLOOKUP(Alunos!A944,Agrupamentos!A3:B1000,2, FALSE),"")</f>
        <v/>
      </c>
      <c r="D944" s="2" t="str">
        <f>IF(A944&lt;&gt;"",VLOOKUP(Alunos!C944,'TP1'!A3:C1000,3, FALSE),"")</f>
        <v/>
      </c>
      <c r="E944" s="2" t="str">
        <f>IF(A944&lt;&gt;"", SUMIF(B1:D1,"&lt;&gt;",B944:D944),"")</f>
        <v/>
      </c>
      <c r="F944" s="2" t="str">
        <f>IF(AND(A944&lt;&gt;"",E944&lt;&gt;""),ROUND(E944,0),"")</f>
        <v/>
      </c>
      <c r="G944" s="2" t="str">
        <f>IF(A944&lt;&gt;"",VLOOKUP(Alunos!A944,Recurso!A3:C1000,3, FALSE),"")</f>
        <v/>
      </c>
      <c r="H944" s="2" t="str">
        <f>IF(OR(A944&lt;&gt;"",G944&lt;&gt;""), SUMIFS(B944:G944,B1:G1,"&lt;&gt;",B2:G2,"&lt;&gt;Exame",B2:G2,"&lt;&gt;exame",B2:G2,"&lt;&gt;Nota",B2:G2,"&lt;&gt;Total"),"")</f>
        <v/>
      </c>
      <c r="I944" s="2" t="str">
        <f>IF(AND(A944&lt;&gt;"",H944&lt;&gt;""),ROUND(H944,0),"")</f>
        <v/>
      </c>
    </row>
    <row r="945" spans="2:9" x14ac:dyDescent="0.3">
      <c r="B945" s="2" t="str">
        <f>IF(A945&lt;&gt;"",VLOOKUP(Alunos!A945,Exame!A3:C1000,3, FALSE),"")</f>
        <v/>
      </c>
      <c r="C945" s="2" t="str">
        <f>IF(A945&lt;&gt;"",VLOOKUP(Alunos!A945,Agrupamentos!A3:B1000,2, FALSE),"")</f>
        <v/>
      </c>
      <c r="D945" s="2" t="str">
        <f>IF(A945&lt;&gt;"",VLOOKUP(Alunos!C945,'TP1'!A3:C1000,3, FALSE),"")</f>
        <v/>
      </c>
      <c r="E945" s="2" t="str">
        <f>IF(A945&lt;&gt;"", SUMIF(B1:D1,"&lt;&gt;",B945:D945),"")</f>
        <v/>
      </c>
      <c r="F945" s="2" t="str">
        <f>IF(AND(A945&lt;&gt;"",E945&lt;&gt;""),ROUND(E945,0),"")</f>
        <v/>
      </c>
      <c r="G945" s="2" t="str">
        <f>IF(A945&lt;&gt;"",VLOOKUP(Alunos!A945,Recurso!A3:C1000,3, FALSE),"")</f>
        <v/>
      </c>
      <c r="H945" s="2" t="str">
        <f>IF(OR(A945&lt;&gt;"",G945&lt;&gt;""), SUMIFS(B945:G945,B1:G1,"&lt;&gt;",B2:G2,"&lt;&gt;Exame",B2:G2,"&lt;&gt;exame",B2:G2,"&lt;&gt;Nota",B2:G2,"&lt;&gt;Total"),"")</f>
        <v/>
      </c>
      <c r="I945" s="2" t="str">
        <f>IF(AND(A945&lt;&gt;"",H945&lt;&gt;""),ROUND(H945,0),"")</f>
        <v/>
      </c>
    </row>
    <row r="946" spans="2:9" x14ac:dyDescent="0.3">
      <c r="B946" s="2" t="str">
        <f>IF(A946&lt;&gt;"",VLOOKUP(Alunos!A946,Exame!A3:C1000,3, FALSE),"")</f>
        <v/>
      </c>
      <c r="C946" s="2" t="str">
        <f>IF(A946&lt;&gt;"",VLOOKUP(Alunos!A946,Agrupamentos!A3:B1000,2, FALSE),"")</f>
        <v/>
      </c>
      <c r="D946" s="2" t="str">
        <f>IF(A946&lt;&gt;"",VLOOKUP(Alunos!C946,'TP1'!A3:C1000,3, FALSE),"")</f>
        <v/>
      </c>
      <c r="E946" s="2" t="str">
        <f>IF(A946&lt;&gt;"", SUMIF(B1:D1,"&lt;&gt;",B946:D946),"")</f>
        <v/>
      </c>
      <c r="F946" s="2" t="str">
        <f>IF(AND(A946&lt;&gt;"",E946&lt;&gt;""),ROUND(E946,0),"")</f>
        <v/>
      </c>
      <c r="G946" s="2" t="str">
        <f>IF(A946&lt;&gt;"",VLOOKUP(Alunos!A946,Recurso!A3:C1000,3, FALSE),"")</f>
        <v/>
      </c>
      <c r="H946" s="2" t="str">
        <f>IF(OR(A946&lt;&gt;"",G946&lt;&gt;""), SUMIFS(B946:G946,B1:G1,"&lt;&gt;",B2:G2,"&lt;&gt;Exame",B2:G2,"&lt;&gt;exame",B2:G2,"&lt;&gt;Nota",B2:G2,"&lt;&gt;Total"),"")</f>
        <v/>
      </c>
      <c r="I946" s="2" t="str">
        <f>IF(AND(A946&lt;&gt;"",H946&lt;&gt;""),ROUND(H946,0),"")</f>
        <v/>
      </c>
    </row>
    <row r="947" spans="2:9" x14ac:dyDescent="0.3">
      <c r="B947" s="2" t="str">
        <f>IF(A947&lt;&gt;"",VLOOKUP(Alunos!A947,Exame!A3:C1000,3, FALSE),"")</f>
        <v/>
      </c>
      <c r="C947" s="2" t="str">
        <f>IF(A947&lt;&gt;"",VLOOKUP(Alunos!A947,Agrupamentos!A3:B1000,2, FALSE),"")</f>
        <v/>
      </c>
      <c r="D947" s="2" t="str">
        <f>IF(A947&lt;&gt;"",VLOOKUP(Alunos!C947,'TP1'!A3:C1000,3, FALSE),"")</f>
        <v/>
      </c>
      <c r="E947" s="2" t="str">
        <f>IF(A947&lt;&gt;"", SUMIF(B1:D1,"&lt;&gt;",B947:D947),"")</f>
        <v/>
      </c>
      <c r="F947" s="2" t="str">
        <f>IF(AND(A947&lt;&gt;"",E947&lt;&gt;""),ROUND(E947,0),"")</f>
        <v/>
      </c>
      <c r="G947" s="2" t="str">
        <f>IF(A947&lt;&gt;"",VLOOKUP(Alunos!A947,Recurso!A3:C1000,3, FALSE),"")</f>
        <v/>
      </c>
      <c r="H947" s="2" t="str">
        <f>IF(OR(A947&lt;&gt;"",G947&lt;&gt;""), SUMIFS(B947:G947,B1:G1,"&lt;&gt;",B2:G2,"&lt;&gt;Exame",B2:G2,"&lt;&gt;exame",B2:G2,"&lt;&gt;Nota",B2:G2,"&lt;&gt;Total"),"")</f>
        <v/>
      </c>
      <c r="I947" s="2" t="str">
        <f>IF(AND(A947&lt;&gt;"",H947&lt;&gt;""),ROUND(H947,0),"")</f>
        <v/>
      </c>
    </row>
    <row r="948" spans="2:9" x14ac:dyDescent="0.3">
      <c r="B948" s="2" t="str">
        <f>IF(A948&lt;&gt;"",VLOOKUP(Alunos!A948,Exame!A3:C1000,3, FALSE),"")</f>
        <v/>
      </c>
      <c r="C948" s="2" t="str">
        <f>IF(A948&lt;&gt;"",VLOOKUP(Alunos!A948,Agrupamentos!A3:B1000,2, FALSE),"")</f>
        <v/>
      </c>
      <c r="D948" s="2" t="str">
        <f>IF(A948&lt;&gt;"",VLOOKUP(Alunos!C948,'TP1'!A3:C1000,3, FALSE),"")</f>
        <v/>
      </c>
      <c r="E948" s="2" t="str">
        <f>IF(A948&lt;&gt;"", SUMIF(B1:D1,"&lt;&gt;",B948:D948),"")</f>
        <v/>
      </c>
      <c r="F948" s="2" t="str">
        <f>IF(AND(A948&lt;&gt;"",E948&lt;&gt;""),ROUND(E948,0),"")</f>
        <v/>
      </c>
      <c r="G948" s="2" t="str">
        <f>IF(A948&lt;&gt;"",VLOOKUP(Alunos!A948,Recurso!A3:C1000,3, FALSE),"")</f>
        <v/>
      </c>
      <c r="H948" s="2" t="str">
        <f>IF(OR(A948&lt;&gt;"",G948&lt;&gt;""), SUMIFS(B948:G948,B1:G1,"&lt;&gt;",B2:G2,"&lt;&gt;Exame",B2:G2,"&lt;&gt;exame",B2:G2,"&lt;&gt;Nota",B2:G2,"&lt;&gt;Total"),"")</f>
        <v/>
      </c>
      <c r="I948" s="2" t="str">
        <f>IF(AND(A948&lt;&gt;"",H948&lt;&gt;""),ROUND(H948,0),"")</f>
        <v/>
      </c>
    </row>
    <row r="949" spans="2:9" x14ac:dyDescent="0.3">
      <c r="B949" s="2" t="str">
        <f>IF(A949&lt;&gt;"",VLOOKUP(Alunos!A949,Exame!A3:C1000,3, FALSE),"")</f>
        <v/>
      </c>
      <c r="C949" s="2" t="str">
        <f>IF(A949&lt;&gt;"",VLOOKUP(Alunos!A949,Agrupamentos!A3:B1000,2, FALSE),"")</f>
        <v/>
      </c>
      <c r="D949" s="2" t="str">
        <f>IF(A949&lt;&gt;"",VLOOKUP(Alunos!C949,'TP1'!A3:C1000,3, FALSE),"")</f>
        <v/>
      </c>
      <c r="E949" s="2" t="str">
        <f>IF(A949&lt;&gt;"", SUMIF(B1:D1,"&lt;&gt;",B949:D949),"")</f>
        <v/>
      </c>
      <c r="F949" s="2" t="str">
        <f>IF(AND(A949&lt;&gt;"",E949&lt;&gt;""),ROUND(E949,0),"")</f>
        <v/>
      </c>
      <c r="G949" s="2" t="str">
        <f>IF(A949&lt;&gt;"",VLOOKUP(Alunos!A949,Recurso!A3:C1000,3, FALSE),"")</f>
        <v/>
      </c>
      <c r="H949" s="2" t="str">
        <f>IF(OR(A949&lt;&gt;"",G949&lt;&gt;""), SUMIFS(B949:G949,B1:G1,"&lt;&gt;",B2:G2,"&lt;&gt;Exame",B2:G2,"&lt;&gt;exame",B2:G2,"&lt;&gt;Nota",B2:G2,"&lt;&gt;Total"),"")</f>
        <v/>
      </c>
      <c r="I949" s="2" t="str">
        <f>IF(AND(A949&lt;&gt;"",H949&lt;&gt;""),ROUND(H949,0),"")</f>
        <v/>
      </c>
    </row>
    <row r="950" spans="2:9" x14ac:dyDescent="0.3">
      <c r="B950" s="2" t="str">
        <f>IF(A950&lt;&gt;"",VLOOKUP(Alunos!A950,Exame!A3:C1000,3, FALSE),"")</f>
        <v/>
      </c>
      <c r="C950" s="2" t="str">
        <f>IF(A950&lt;&gt;"",VLOOKUP(Alunos!A950,Agrupamentos!A3:B1000,2, FALSE),"")</f>
        <v/>
      </c>
      <c r="D950" s="2" t="str">
        <f>IF(A950&lt;&gt;"",VLOOKUP(Alunos!C950,'TP1'!A3:C1000,3, FALSE),"")</f>
        <v/>
      </c>
      <c r="E950" s="2" t="str">
        <f>IF(A950&lt;&gt;"", SUMIF(B1:D1,"&lt;&gt;",B950:D950),"")</f>
        <v/>
      </c>
      <c r="F950" s="2" t="str">
        <f>IF(AND(A950&lt;&gt;"",E950&lt;&gt;""),ROUND(E950,0),"")</f>
        <v/>
      </c>
      <c r="G950" s="2" t="str">
        <f>IF(A950&lt;&gt;"",VLOOKUP(Alunos!A950,Recurso!A3:C1000,3, FALSE),"")</f>
        <v/>
      </c>
      <c r="H950" s="2" t="str">
        <f>IF(OR(A950&lt;&gt;"",G950&lt;&gt;""), SUMIFS(B950:G950,B1:G1,"&lt;&gt;",B2:G2,"&lt;&gt;Exame",B2:G2,"&lt;&gt;exame",B2:G2,"&lt;&gt;Nota",B2:G2,"&lt;&gt;Total"),"")</f>
        <v/>
      </c>
      <c r="I950" s="2" t="str">
        <f>IF(AND(A950&lt;&gt;"",H950&lt;&gt;""),ROUND(H950,0),"")</f>
        <v/>
      </c>
    </row>
    <row r="951" spans="2:9" x14ac:dyDescent="0.3">
      <c r="B951" s="2" t="str">
        <f>IF(A951&lt;&gt;"",VLOOKUP(Alunos!A951,Exame!A3:C1000,3, FALSE),"")</f>
        <v/>
      </c>
      <c r="C951" s="2" t="str">
        <f>IF(A951&lt;&gt;"",VLOOKUP(Alunos!A951,Agrupamentos!A3:B1000,2, FALSE),"")</f>
        <v/>
      </c>
      <c r="D951" s="2" t="str">
        <f>IF(A951&lt;&gt;"",VLOOKUP(Alunos!C951,'TP1'!A3:C1000,3, FALSE),"")</f>
        <v/>
      </c>
      <c r="E951" s="2" t="str">
        <f>IF(A951&lt;&gt;"", SUMIF(B1:D1,"&lt;&gt;",B951:D951),"")</f>
        <v/>
      </c>
      <c r="F951" s="2" t="str">
        <f>IF(AND(A951&lt;&gt;"",E951&lt;&gt;""),ROUND(E951,0),"")</f>
        <v/>
      </c>
      <c r="G951" s="2" t="str">
        <f>IF(A951&lt;&gt;"",VLOOKUP(Alunos!A951,Recurso!A3:C1000,3, FALSE),"")</f>
        <v/>
      </c>
      <c r="H951" s="2" t="str">
        <f>IF(OR(A951&lt;&gt;"",G951&lt;&gt;""), SUMIFS(B951:G951,B1:G1,"&lt;&gt;",B2:G2,"&lt;&gt;Exame",B2:G2,"&lt;&gt;exame",B2:G2,"&lt;&gt;Nota",B2:G2,"&lt;&gt;Total"),"")</f>
        <v/>
      </c>
      <c r="I951" s="2" t="str">
        <f>IF(AND(A951&lt;&gt;"",H951&lt;&gt;""),ROUND(H951,0),"")</f>
        <v/>
      </c>
    </row>
    <row r="952" spans="2:9" x14ac:dyDescent="0.3">
      <c r="B952" s="2" t="str">
        <f>IF(A952&lt;&gt;"",VLOOKUP(Alunos!A952,Exame!A3:C1000,3, FALSE),"")</f>
        <v/>
      </c>
      <c r="C952" s="2" t="str">
        <f>IF(A952&lt;&gt;"",VLOOKUP(Alunos!A952,Agrupamentos!A3:B1000,2, FALSE),"")</f>
        <v/>
      </c>
      <c r="D952" s="2" t="str">
        <f>IF(A952&lt;&gt;"",VLOOKUP(Alunos!C952,'TP1'!A3:C1000,3, FALSE),"")</f>
        <v/>
      </c>
      <c r="E952" s="2" t="str">
        <f>IF(A952&lt;&gt;"", SUMIF(B1:D1,"&lt;&gt;",B952:D952),"")</f>
        <v/>
      </c>
      <c r="F952" s="2" t="str">
        <f>IF(AND(A952&lt;&gt;"",E952&lt;&gt;""),ROUND(E952,0),"")</f>
        <v/>
      </c>
      <c r="G952" s="2" t="str">
        <f>IF(A952&lt;&gt;"",VLOOKUP(Alunos!A952,Recurso!A3:C1000,3, FALSE),"")</f>
        <v/>
      </c>
      <c r="H952" s="2" t="str">
        <f>IF(OR(A952&lt;&gt;"",G952&lt;&gt;""), SUMIFS(B952:G952,B1:G1,"&lt;&gt;",B2:G2,"&lt;&gt;Exame",B2:G2,"&lt;&gt;exame",B2:G2,"&lt;&gt;Nota",B2:G2,"&lt;&gt;Total"),"")</f>
        <v/>
      </c>
      <c r="I952" s="2" t="str">
        <f>IF(AND(A952&lt;&gt;"",H952&lt;&gt;""),ROUND(H952,0),"")</f>
        <v/>
      </c>
    </row>
    <row r="953" spans="2:9" x14ac:dyDescent="0.3">
      <c r="B953" s="2" t="str">
        <f>IF(A953&lt;&gt;"",VLOOKUP(Alunos!A953,Exame!A3:C1000,3, FALSE),"")</f>
        <v/>
      </c>
      <c r="C953" s="2" t="str">
        <f>IF(A953&lt;&gt;"",VLOOKUP(Alunos!A953,Agrupamentos!A3:B1000,2, FALSE),"")</f>
        <v/>
      </c>
      <c r="D953" s="2" t="str">
        <f>IF(A953&lt;&gt;"",VLOOKUP(Alunos!C953,'TP1'!A3:C1000,3, FALSE),"")</f>
        <v/>
      </c>
      <c r="E953" s="2" t="str">
        <f>IF(A953&lt;&gt;"", SUMIF(B1:D1,"&lt;&gt;",B953:D953),"")</f>
        <v/>
      </c>
      <c r="F953" s="2" t="str">
        <f>IF(AND(A953&lt;&gt;"",E953&lt;&gt;""),ROUND(E953,0),"")</f>
        <v/>
      </c>
      <c r="G953" s="2" t="str">
        <f>IF(A953&lt;&gt;"",VLOOKUP(Alunos!A953,Recurso!A3:C1000,3, FALSE),"")</f>
        <v/>
      </c>
      <c r="H953" s="2" t="str">
        <f>IF(OR(A953&lt;&gt;"",G953&lt;&gt;""), SUMIFS(B953:G953,B1:G1,"&lt;&gt;",B2:G2,"&lt;&gt;Exame",B2:G2,"&lt;&gt;exame",B2:G2,"&lt;&gt;Nota",B2:G2,"&lt;&gt;Total"),"")</f>
        <v/>
      </c>
      <c r="I953" s="2" t="str">
        <f>IF(AND(A953&lt;&gt;"",H953&lt;&gt;""),ROUND(H953,0),"")</f>
        <v/>
      </c>
    </row>
    <row r="954" spans="2:9" x14ac:dyDescent="0.3">
      <c r="B954" s="2" t="str">
        <f>IF(A954&lt;&gt;"",VLOOKUP(Alunos!A954,Exame!A3:C1000,3, FALSE),"")</f>
        <v/>
      </c>
      <c r="C954" s="2" t="str">
        <f>IF(A954&lt;&gt;"",VLOOKUP(Alunos!A954,Agrupamentos!A3:B1000,2, FALSE),"")</f>
        <v/>
      </c>
      <c r="D954" s="2" t="str">
        <f>IF(A954&lt;&gt;"",VLOOKUP(Alunos!C954,'TP1'!A3:C1000,3, FALSE),"")</f>
        <v/>
      </c>
      <c r="E954" s="2" t="str">
        <f>IF(A954&lt;&gt;"", SUMIF(B1:D1,"&lt;&gt;",B954:D954),"")</f>
        <v/>
      </c>
      <c r="F954" s="2" t="str">
        <f>IF(AND(A954&lt;&gt;"",E954&lt;&gt;""),ROUND(E954,0),"")</f>
        <v/>
      </c>
      <c r="G954" s="2" t="str">
        <f>IF(A954&lt;&gt;"",VLOOKUP(Alunos!A954,Recurso!A3:C1000,3, FALSE),"")</f>
        <v/>
      </c>
      <c r="H954" s="2" t="str">
        <f>IF(OR(A954&lt;&gt;"",G954&lt;&gt;""), SUMIFS(B954:G954,B1:G1,"&lt;&gt;",B2:G2,"&lt;&gt;Exame",B2:G2,"&lt;&gt;exame",B2:G2,"&lt;&gt;Nota",B2:G2,"&lt;&gt;Total"),"")</f>
        <v/>
      </c>
      <c r="I954" s="2" t="str">
        <f>IF(AND(A954&lt;&gt;"",H954&lt;&gt;""),ROUND(H954,0),"")</f>
        <v/>
      </c>
    </row>
    <row r="955" spans="2:9" x14ac:dyDescent="0.3">
      <c r="B955" s="2" t="str">
        <f>IF(A955&lt;&gt;"",VLOOKUP(Alunos!A955,Exame!A3:C1000,3, FALSE),"")</f>
        <v/>
      </c>
      <c r="C955" s="2" t="str">
        <f>IF(A955&lt;&gt;"",VLOOKUP(Alunos!A955,Agrupamentos!A3:B1000,2, FALSE),"")</f>
        <v/>
      </c>
      <c r="D955" s="2" t="str">
        <f>IF(A955&lt;&gt;"",VLOOKUP(Alunos!C955,'TP1'!A3:C1000,3, FALSE),"")</f>
        <v/>
      </c>
      <c r="E955" s="2" t="str">
        <f>IF(A955&lt;&gt;"", SUMIF(B1:D1,"&lt;&gt;",B955:D955),"")</f>
        <v/>
      </c>
      <c r="F955" s="2" t="str">
        <f>IF(AND(A955&lt;&gt;"",E955&lt;&gt;""),ROUND(E955,0),"")</f>
        <v/>
      </c>
      <c r="G955" s="2" t="str">
        <f>IF(A955&lt;&gt;"",VLOOKUP(Alunos!A955,Recurso!A3:C1000,3, FALSE),"")</f>
        <v/>
      </c>
      <c r="H955" s="2" t="str">
        <f>IF(OR(A955&lt;&gt;"",G955&lt;&gt;""), SUMIFS(B955:G955,B1:G1,"&lt;&gt;",B2:G2,"&lt;&gt;Exame",B2:G2,"&lt;&gt;exame",B2:G2,"&lt;&gt;Nota",B2:G2,"&lt;&gt;Total"),"")</f>
        <v/>
      </c>
      <c r="I955" s="2" t="str">
        <f>IF(AND(A955&lt;&gt;"",H955&lt;&gt;""),ROUND(H955,0),"")</f>
        <v/>
      </c>
    </row>
    <row r="956" spans="2:9" x14ac:dyDescent="0.3">
      <c r="B956" s="2" t="str">
        <f>IF(A956&lt;&gt;"",VLOOKUP(Alunos!A956,Exame!A3:C1000,3, FALSE),"")</f>
        <v/>
      </c>
      <c r="C956" s="2" t="str">
        <f>IF(A956&lt;&gt;"",VLOOKUP(Alunos!A956,Agrupamentos!A3:B1000,2, FALSE),"")</f>
        <v/>
      </c>
      <c r="D956" s="2" t="str">
        <f>IF(A956&lt;&gt;"",VLOOKUP(Alunos!C956,'TP1'!A3:C1000,3, FALSE),"")</f>
        <v/>
      </c>
      <c r="E956" s="2" t="str">
        <f>IF(A956&lt;&gt;"", SUMIF(B1:D1,"&lt;&gt;",B956:D956),"")</f>
        <v/>
      </c>
      <c r="F956" s="2" t="str">
        <f>IF(AND(A956&lt;&gt;"",E956&lt;&gt;""),ROUND(E956,0),"")</f>
        <v/>
      </c>
      <c r="G956" s="2" t="str">
        <f>IF(A956&lt;&gt;"",VLOOKUP(Alunos!A956,Recurso!A3:C1000,3, FALSE),"")</f>
        <v/>
      </c>
      <c r="H956" s="2" t="str">
        <f>IF(OR(A956&lt;&gt;"",G956&lt;&gt;""), SUMIFS(B956:G956,B1:G1,"&lt;&gt;",B2:G2,"&lt;&gt;Exame",B2:G2,"&lt;&gt;exame",B2:G2,"&lt;&gt;Nota",B2:G2,"&lt;&gt;Total"),"")</f>
        <v/>
      </c>
      <c r="I956" s="2" t="str">
        <f>IF(AND(A956&lt;&gt;"",H956&lt;&gt;""),ROUND(H956,0),"")</f>
        <v/>
      </c>
    </row>
    <row r="957" spans="2:9" x14ac:dyDescent="0.3">
      <c r="B957" s="2" t="str">
        <f>IF(A957&lt;&gt;"",VLOOKUP(Alunos!A957,Exame!A3:C1000,3, FALSE),"")</f>
        <v/>
      </c>
      <c r="C957" s="2" t="str">
        <f>IF(A957&lt;&gt;"",VLOOKUP(Alunos!A957,Agrupamentos!A3:B1000,2, FALSE),"")</f>
        <v/>
      </c>
      <c r="D957" s="2" t="str">
        <f>IF(A957&lt;&gt;"",VLOOKUP(Alunos!C957,'TP1'!A3:C1000,3, FALSE),"")</f>
        <v/>
      </c>
      <c r="E957" s="2" t="str">
        <f>IF(A957&lt;&gt;"", SUMIF(B1:D1,"&lt;&gt;",B957:D957),"")</f>
        <v/>
      </c>
      <c r="F957" s="2" t="str">
        <f>IF(AND(A957&lt;&gt;"",E957&lt;&gt;""),ROUND(E957,0),"")</f>
        <v/>
      </c>
      <c r="G957" s="2" t="str">
        <f>IF(A957&lt;&gt;"",VLOOKUP(Alunos!A957,Recurso!A3:C1000,3, FALSE),"")</f>
        <v/>
      </c>
      <c r="H957" s="2" t="str">
        <f>IF(OR(A957&lt;&gt;"",G957&lt;&gt;""), SUMIFS(B957:G957,B1:G1,"&lt;&gt;",B2:G2,"&lt;&gt;Exame",B2:G2,"&lt;&gt;exame",B2:G2,"&lt;&gt;Nota",B2:G2,"&lt;&gt;Total"),"")</f>
        <v/>
      </c>
      <c r="I957" s="2" t="str">
        <f>IF(AND(A957&lt;&gt;"",H957&lt;&gt;""),ROUND(H957,0),"")</f>
        <v/>
      </c>
    </row>
    <row r="958" spans="2:9" x14ac:dyDescent="0.3">
      <c r="B958" s="2" t="str">
        <f>IF(A958&lt;&gt;"",VLOOKUP(Alunos!A958,Exame!A3:C1000,3, FALSE),"")</f>
        <v/>
      </c>
      <c r="C958" s="2" t="str">
        <f>IF(A958&lt;&gt;"",VLOOKUP(Alunos!A958,Agrupamentos!A3:B1000,2, FALSE),"")</f>
        <v/>
      </c>
      <c r="D958" s="2" t="str">
        <f>IF(A958&lt;&gt;"",VLOOKUP(Alunos!C958,'TP1'!A3:C1000,3, FALSE),"")</f>
        <v/>
      </c>
      <c r="E958" s="2" t="str">
        <f>IF(A958&lt;&gt;"", SUMIF(B1:D1,"&lt;&gt;",B958:D958),"")</f>
        <v/>
      </c>
      <c r="F958" s="2" t="str">
        <f>IF(AND(A958&lt;&gt;"",E958&lt;&gt;""),ROUND(E958,0),"")</f>
        <v/>
      </c>
      <c r="G958" s="2" t="str">
        <f>IF(A958&lt;&gt;"",VLOOKUP(Alunos!A958,Recurso!A3:C1000,3, FALSE),"")</f>
        <v/>
      </c>
      <c r="H958" s="2" t="str">
        <f>IF(OR(A958&lt;&gt;"",G958&lt;&gt;""), SUMIFS(B958:G958,B1:G1,"&lt;&gt;",B2:G2,"&lt;&gt;Exame",B2:G2,"&lt;&gt;exame",B2:G2,"&lt;&gt;Nota",B2:G2,"&lt;&gt;Total"),"")</f>
        <v/>
      </c>
      <c r="I958" s="2" t="str">
        <f>IF(AND(A958&lt;&gt;"",H958&lt;&gt;""),ROUND(H958,0),"")</f>
        <v/>
      </c>
    </row>
    <row r="959" spans="2:9" x14ac:dyDescent="0.3">
      <c r="B959" s="2" t="str">
        <f>IF(A959&lt;&gt;"",VLOOKUP(Alunos!A959,Exame!A3:C1000,3, FALSE),"")</f>
        <v/>
      </c>
      <c r="C959" s="2" t="str">
        <f>IF(A959&lt;&gt;"",VLOOKUP(Alunos!A959,Agrupamentos!A3:B1000,2, FALSE),"")</f>
        <v/>
      </c>
      <c r="D959" s="2" t="str">
        <f>IF(A959&lt;&gt;"",VLOOKUP(Alunos!C959,'TP1'!A3:C1000,3, FALSE),"")</f>
        <v/>
      </c>
      <c r="E959" s="2" t="str">
        <f>IF(A959&lt;&gt;"", SUMIF(B1:D1,"&lt;&gt;",B959:D959),"")</f>
        <v/>
      </c>
      <c r="F959" s="2" t="str">
        <f>IF(AND(A959&lt;&gt;"",E959&lt;&gt;""),ROUND(E959,0),"")</f>
        <v/>
      </c>
      <c r="G959" s="2" t="str">
        <f>IF(A959&lt;&gt;"",VLOOKUP(Alunos!A959,Recurso!A3:C1000,3, FALSE),"")</f>
        <v/>
      </c>
      <c r="H959" s="2" t="str">
        <f>IF(OR(A959&lt;&gt;"",G959&lt;&gt;""), SUMIFS(B959:G959,B1:G1,"&lt;&gt;",B2:G2,"&lt;&gt;Exame",B2:G2,"&lt;&gt;exame",B2:G2,"&lt;&gt;Nota",B2:G2,"&lt;&gt;Total"),"")</f>
        <v/>
      </c>
      <c r="I959" s="2" t="str">
        <f>IF(AND(A959&lt;&gt;"",H959&lt;&gt;""),ROUND(H959,0),"")</f>
        <v/>
      </c>
    </row>
    <row r="960" spans="2:9" x14ac:dyDescent="0.3">
      <c r="B960" s="2" t="str">
        <f>IF(A960&lt;&gt;"",VLOOKUP(Alunos!A960,Exame!A3:C1000,3, FALSE),"")</f>
        <v/>
      </c>
      <c r="C960" s="2" t="str">
        <f>IF(A960&lt;&gt;"",VLOOKUP(Alunos!A960,Agrupamentos!A3:B1000,2, FALSE),"")</f>
        <v/>
      </c>
      <c r="D960" s="2" t="str">
        <f>IF(A960&lt;&gt;"",VLOOKUP(Alunos!C960,'TP1'!A3:C1000,3, FALSE),"")</f>
        <v/>
      </c>
      <c r="E960" s="2" t="str">
        <f>IF(A960&lt;&gt;"", SUMIF(B1:D1,"&lt;&gt;",B960:D960),"")</f>
        <v/>
      </c>
      <c r="F960" s="2" t="str">
        <f>IF(AND(A960&lt;&gt;"",E960&lt;&gt;""),ROUND(E960,0),"")</f>
        <v/>
      </c>
      <c r="G960" s="2" t="str">
        <f>IF(A960&lt;&gt;"",VLOOKUP(Alunos!A960,Recurso!A3:C1000,3, FALSE),"")</f>
        <v/>
      </c>
      <c r="H960" s="2" t="str">
        <f>IF(OR(A960&lt;&gt;"",G960&lt;&gt;""), SUMIFS(B960:G960,B1:G1,"&lt;&gt;",B2:G2,"&lt;&gt;Exame",B2:G2,"&lt;&gt;exame",B2:G2,"&lt;&gt;Nota",B2:G2,"&lt;&gt;Total"),"")</f>
        <v/>
      </c>
      <c r="I960" s="2" t="str">
        <f>IF(AND(A960&lt;&gt;"",H960&lt;&gt;""),ROUND(H960,0),"")</f>
        <v/>
      </c>
    </row>
    <row r="961" spans="2:9" x14ac:dyDescent="0.3">
      <c r="B961" s="2" t="str">
        <f>IF(A961&lt;&gt;"",VLOOKUP(Alunos!A961,Exame!A3:C1000,3, FALSE),"")</f>
        <v/>
      </c>
      <c r="C961" s="2" t="str">
        <f>IF(A961&lt;&gt;"",VLOOKUP(Alunos!A961,Agrupamentos!A3:B1000,2, FALSE),"")</f>
        <v/>
      </c>
      <c r="D961" s="2" t="str">
        <f>IF(A961&lt;&gt;"",VLOOKUP(Alunos!C961,'TP1'!A3:C1000,3, FALSE),"")</f>
        <v/>
      </c>
      <c r="E961" s="2" t="str">
        <f>IF(A961&lt;&gt;"", SUMIF(B1:D1,"&lt;&gt;",B961:D961),"")</f>
        <v/>
      </c>
      <c r="F961" s="2" t="str">
        <f>IF(AND(A961&lt;&gt;"",E961&lt;&gt;""),ROUND(E961,0),"")</f>
        <v/>
      </c>
      <c r="G961" s="2" t="str">
        <f>IF(A961&lt;&gt;"",VLOOKUP(Alunos!A961,Recurso!A3:C1000,3, FALSE),"")</f>
        <v/>
      </c>
      <c r="H961" s="2" t="str">
        <f>IF(OR(A961&lt;&gt;"",G961&lt;&gt;""), SUMIFS(B961:G961,B1:G1,"&lt;&gt;",B2:G2,"&lt;&gt;Exame",B2:G2,"&lt;&gt;exame",B2:G2,"&lt;&gt;Nota",B2:G2,"&lt;&gt;Total"),"")</f>
        <v/>
      </c>
      <c r="I961" s="2" t="str">
        <f>IF(AND(A961&lt;&gt;"",H961&lt;&gt;""),ROUND(H961,0),"")</f>
        <v/>
      </c>
    </row>
    <row r="962" spans="2:9" x14ac:dyDescent="0.3">
      <c r="B962" s="2" t="str">
        <f>IF(A962&lt;&gt;"",VLOOKUP(Alunos!A962,Exame!A3:C1000,3, FALSE),"")</f>
        <v/>
      </c>
      <c r="C962" s="2" t="str">
        <f>IF(A962&lt;&gt;"",VLOOKUP(Alunos!A962,Agrupamentos!A3:B1000,2, FALSE),"")</f>
        <v/>
      </c>
      <c r="D962" s="2" t="str">
        <f>IF(A962&lt;&gt;"",VLOOKUP(Alunos!C962,'TP1'!A3:C1000,3, FALSE),"")</f>
        <v/>
      </c>
      <c r="E962" s="2" t="str">
        <f>IF(A962&lt;&gt;"", SUMIF(B1:D1,"&lt;&gt;",B962:D962),"")</f>
        <v/>
      </c>
      <c r="F962" s="2" t="str">
        <f>IF(AND(A962&lt;&gt;"",E962&lt;&gt;""),ROUND(E962,0),"")</f>
        <v/>
      </c>
      <c r="G962" s="2" t="str">
        <f>IF(A962&lt;&gt;"",VLOOKUP(Alunos!A962,Recurso!A3:C1000,3, FALSE),"")</f>
        <v/>
      </c>
      <c r="H962" s="2" t="str">
        <f>IF(OR(A962&lt;&gt;"",G962&lt;&gt;""), SUMIFS(B962:G962,B1:G1,"&lt;&gt;",B2:G2,"&lt;&gt;Exame",B2:G2,"&lt;&gt;exame",B2:G2,"&lt;&gt;Nota",B2:G2,"&lt;&gt;Total"),"")</f>
        <v/>
      </c>
      <c r="I962" s="2" t="str">
        <f>IF(AND(A962&lt;&gt;"",H962&lt;&gt;""),ROUND(H962,0),"")</f>
        <v/>
      </c>
    </row>
    <row r="963" spans="2:9" x14ac:dyDescent="0.3">
      <c r="B963" s="2" t="str">
        <f>IF(A963&lt;&gt;"",VLOOKUP(Alunos!A963,Exame!A3:C1000,3, FALSE),"")</f>
        <v/>
      </c>
      <c r="C963" s="2" t="str">
        <f>IF(A963&lt;&gt;"",VLOOKUP(Alunos!A963,Agrupamentos!A3:B1000,2, FALSE),"")</f>
        <v/>
      </c>
      <c r="D963" s="2" t="str">
        <f>IF(A963&lt;&gt;"",VLOOKUP(Alunos!C963,'TP1'!A3:C1000,3, FALSE),"")</f>
        <v/>
      </c>
      <c r="E963" s="2" t="str">
        <f>IF(A963&lt;&gt;"", SUMIF(B1:D1,"&lt;&gt;",B963:D963),"")</f>
        <v/>
      </c>
      <c r="F963" s="2" t="str">
        <f>IF(AND(A963&lt;&gt;"",E963&lt;&gt;""),ROUND(E963,0),"")</f>
        <v/>
      </c>
      <c r="G963" s="2" t="str">
        <f>IF(A963&lt;&gt;"",VLOOKUP(Alunos!A963,Recurso!A3:C1000,3, FALSE),"")</f>
        <v/>
      </c>
      <c r="H963" s="2" t="str">
        <f>IF(OR(A963&lt;&gt;"",G963&lt;&gt;""), SUMIFS(B963:G963,B1:G1,"&lt;&gt;",B2:G2,"&lt;&gt;Exame",B2:G2,"&lt;&gt;exame",B2:G2,"&lt;&gt;Nota",B2:G2,"&lt;&gt;Total"),"")</f>
        <v/>
      </c>
      <c r="I963" s="2" t="str">
        <f>IF(AND(A963&lt;&gt;"",H963&lt;&gt;""),ROUND(H963,0),"")</f>
        <v/>
      </c>
    </row>
    <row r="964" spans="2:9" x14ac:dyDescent="0.3">
      <c r="B964" s="2" t="str">
        <f>IF(A964&lt;&gt;"",VLOOKUP(Alunos!A964,Exame!A3:C1000,3, FALSE),"")</f>
        <v/>
      </c>
      <c r="C964" s="2" t="str">
        <f>IF(A964&lt;&gt;"",VLOOKUP(Alunos!A964,Agrupamentos!A3:B1000,2, FALSE),"")</f>
        <v/>
      </c>
      <c r="D964" s="2" t="str">
        <f>IF(A964&lt;&gt;"",VLOOKUP(Alunos!C964,'TP1'!A3:C1000,3, FALSE),"")</f>
        <v/>
      </c>
      <c r="E964" s="2" t="str">
        <f>IF(A964&lt;&gt;"", SUMIF(B1:D1,"&lt;&gt;",B964:D964),"")</f>
        <v/>
      </c>
      <c r="F964" s="2" t="str">
        <f>IF(AND(A964&lt;&gt;"",E964&lt;&gt;""),ROUND(E964,0),"")</f>
        <v/>
      </c>
      <c r="G964" s="2" t="str">
        <f>IF(A964&lt;&gt;"",VLOOKUP(Alunos!A964,Recurso!A3:C1000,3, FALSE),"")</f>
        <v/>
      </c>
      <c r="H964" s="2" t="str">
        <f>IF(OR(A964&lt;&gt;"",G964&lt;&gt;""), SUMIFS(B964:G964,B1:G1,"&lt;&gt;",B2:G2,"&lt;&gt;Exame",B2:G2,"&lt;&gt;exame",B2:G2,"&lt;&gt;Nota",B2:G2,"&lt;&gt;Total"),"")</f>
        <v/>
      </c>
      <c r="I964" s="2" t="str">
        <f>IF(AND(A964&lt;&gt;"",H964&lt;&gt;""),ROUND(H964,0),"")</f>
        <v/>
      </c>
    </row>
    <row r="965" spans="2:9" x14ac:dyDescent="0.3">
      <c r="B965" s="2" t="str">
        <f>IF(A965&lt;&gt;"",VLOOKUP(Alunos!A965,Exame!A3:C1000,3, FALSE),"")</f>
        <v/>
      </c>
      <c r="C965" s="2" t="str">
        <f>IF(A965&lt;&gt;"",VLOOKUP(Alunos!A965,Agrupamentos!A3:B1000,2, FALSE),"")</f>
        <v/>
      </c>
      <c r="D965" s="2" t="str">
        <f>IF(A965&lt;&gt;"",VLOOKUP(Alunos!C965,'TP1'!A3:C1000,3, FALSE),"")</f>
        <v/>
      </c>
      <c r="E965" s="2" t="str">
        <f>IF(A965&lt;&gt;"", SUMIF(B1:D1,"&lt;&gt;",B965:D965),"")</f>
        <v/>
      </c>
      <c r="F965" s="2" t="str">
        <f>IF(AND(A965&lt;&gt;"",E965&lt;&gt;""),ROUND(E965,0),"")</f>
        <v/>
      </c>
      <c r="G965" s="2" t="str">
        <f>IF(A965&lt;&gt;"",VLOOKUP(Alunos!A965,Recurso!A3:C1000,3, FALSE),"")</f>
        <v/>
      </c>
      <c r="H965" s="2" t="str">
        <f>IF(OR(A965&lt;&gt;"",G965&lt;&gt;""), SUMIFS(B965:G965,B1:G1,"&lt;&gt;",B2:G2,"&lt;&gt;Exame",B2:G2,"&lt;&gt;exame",B2:G2,"&lt;&gt;Nota",B2:G2,"&lt;&gt;Total"),"")</f>
        <v/>
      </c>
      <c r="I965" s="2" t="str">
        <f>IF(AND(A965&lt;&gt;"",H965&lt;&gt;""),ROUND(H965,0),"")</f>
        <v/>
      </c>
    </row>
    <row r="966" spans="2:9" x14ac:dyDescent="0.3">
      <c r="B966" s="2" t="str">
        <f>IF(A966&lt;&gt;"",VLOOKUP(Alunos!A966,Exame!A3:C1000,3, FALSE),"")</f>
        <v/>
      </c>
      <c r="C966" s="2" t="str">
        <f>IF(A966&lt;&gt;"",VLOOKUP(Alunos!A966,Agrupamentos!A3:B1000,2, FALSE),"")</f>
        <v/>
      </c>
      <c r="D966" s="2" t="str">
        <f>IF(A966&lt;&gt;"",VLOOKUP(Alunos!C966,'TP1'!A3:C1000,3, FALSE),"")</f>
        <v/>
      </c>
      <c r="E966" s="2" t="str">
        <f>IF(A966&lt;&gt;"", SUMIF(B1:D1,"&lt;&gt;",B966:D966),"")</f>
        <v/>
      </c>
      <c r="F966" s="2" t="str">
        <f>IF(AND(A966&lt;&gt;"",E966&lt;&gt;""),ROUND(E966,0),"")</f>
        <v/>
      </c>
      <c r="G966" s="2" t="str">
        <f>IF(A966&lt;&gt;"",VLOOKUP(Alunos!A966,Recurso!A3:C1000,3, FALSE),"")</f>
        <v/>
      </c>
      <c r="H966" s="2" t="str">
        <f>IF(OR(A966&lt;&gt;"",G966&lt;&gt;""), SUMIFS(B966:G966,B1:G1,"&lt;&gt;",B2:G2,"&lt;&gt;Exame",B2:G2,"&lt;&gt;exame",B2:G2,"&lt;&gt;Nota",B2:G2,"&lt;&gt;Total"),"")</f>
        <v/>
      </c>
      <c r="I966" s="2" t="str">
        <f>IF(AND(A966&lt;&gt;"",H966&lt;&gt;""),ROUND(H966,0),"")</f>
        <v/>
      </c>
    </row>
    <row r="967" spans="2:9" x14ac:dyDescent="0.3">
      <c r="B967" s="2" t="str">
        <f>IF(A967&lt;&gt;"",VLOOKUP(Alunos!A967,Exame!A3:C1000,3, FALSE),"")</f>
        <v/>
      </c>
      <c r="C967" s="2" t="str">
        <f>IF(A967&lt;&gt;"",VLOOKUP(Alunos!A967,Agrupamentos!A3:B1000,2, FALSE),"")</f>
        <v/>
      </c>
      <c r="D967" s="2" t="str">
        <f>IF(A967&lt;&gt;"",VLOOKUP(Alunos!C967,'TP1'!A3:C1000,3, FALSE),"")</f>
        <v/>
      </c>
      <c r="E967" s="2" t="str">
        <f>IF(A967&lt;&gt;"", SUMIF(B1:D1,"&lt;&gt;",B967:D967),"")</f>
        <v/>
      </c>
      <c r="F967" s="2" t="str">
        <f>IF(AND(A967&lt;&gt;"",E967&lt;&gt;""),ROUND(E967,0),"")</f>
        <v/>
      </c>
      <c r="G967" s="2" t="str">
        <f>IF(A967&lt;&gt;"",VLOOKUP(Alunos!A967,Recurso!A3:C1000,3, FALSE),"")</f>
        <v/>
      </c>
      <c r="H967" s="2" t="str">
        <f>IF(OR(A967&lt;&gt;"",G967&lt;&gt;""), SUMIFS(B967:G967,B1:G1,"&lt;&gt;",B2:G2,"&lt;&gt;Exame",B2:G2,"&lt;&gt;exame",B2:G2,"&lt;&gt;Nota",B2:G2,"&lt;&gt;Total"),"")</f>
        <v/>
      </c>
      <c r="I967" s="2" t="str">
        <f>IF(AND(A967&lt;&gt;"",H967&lt;&gt;""),ROUND(H967,0),"")</f>
        <v/>
      </c>
    </row>
    <row r="968" spans="2:9" x14ac:dyDescent="0.3">
      <c r="B968" s="2" t="str">
        <f>IF(A968&lt;&gt;"",VLOOKUP(Alunos!A968,Exame!A3:C1000,3, FALSE),"")</f>
        <v/>
      </c>
      <c r="C968" s="2" t="str">
        <f>IF(A968&lt;&gt;"",VLOOKUP(Alunos!A968,Agrupamentos!A3:B1000,2, FALSE),"")</f>
        <v/>
      </c>
      <c r="D968" s="2" t="str">
        <f>IF(A968&lt;&gt;"",VLOOKUP(Alunos!C968,'TP1'!A3:C1000,3, FALSE),"")</f>
        <v/>
      </c>
      <c r="E968" s="2" t="str">
        <f>IF(A968&lt;&gt;"", SUMIF(B1:D1,"&lt;&gt;",B968:D968),"")</f>
        <v/>
      </c>
      <c r="F968" s="2" t="str">
        <f>IF(AND(A968&lt;&gt;"",E968&lt;&gt;""),ROUND(E968,0),"")</f>
        <v/>
      </c>
      <c r="G968" s="2" t="str">
        <f>IF(A968&lt;&gt;"",VLOOKUP(Alunos!A968,Recurso!A3:C1000,3, FALSE),"")</f>
        <v/>
      </c>
      <c r="H968" s="2" t="str">
        <f>IF(OR(A968&lt;&gt;"",G968&lt;&gt;""), SUMIFS(B968:G968,B1:G1,"&lt;&gt;",B2:G2,"&lt;&gt;Exame",B2:G2,"&lt;&gt;exame",B2:G2,"&lt;&gt;Nota",B2:G2,"&lt;&gt;Total"),"")</f>
        <v/>
      </c>
      <c r="I968" s="2" t="str">
        <f>IF(AND(A968&lt;&gt;"",H968&lt;&gt;""),ROUND(H968,0),"")</f>
        <v/>
      </c>
    </row>
    <row r="969" spans="2:9" x14ac:dyDescent="0.3">
      <c r="B969" s="2" t="str">
        <f>IF(A969&lt;&gt;"",VLOOKUP(Alunos!A969,Exame!A3:C1000,3, FALSE),"")</f>
        <v/>
      </c>
      <c r="C969" s="2" t="str">
        <f>IF(A969&lt;&gt;"",VLOOKUP(Alunos!A969,Agrupamentos!A3:B1000,2, FALSE),"")</f>
        <v/>
      </c>
      <c r="D969" s="2" t="str">
        <f>IF(A969&lt;&gt;"",VLOOKUP(Alunos!C969,'TP1'!A3:C1000,3, FALSE),"")</f>
        <v/>
      </c>
      <c r="E969" s="2" t="str">
        <f>IF(A969&lt;&gt;"", SUMIF(B1:D1,"&lt;&gt;",B969:D969),"")</f>
        <v/>
      </c>
      <c r="F969" s="2" t="str">
        <f>IF(AND(A969&lt;&gt;"",E969&lt;&gt;""),ROUND(E969,0),"")</f>
        <v/>
      </c>
      <c r="G969" s="2" t="str">
        <f>IF(A969&lt;&gt;"",VLOOKUP(Alunos!A969,Recurso!A3:C1000,3, FALSE),"")</f>
        <v/>
      </c>
      <c r="H969" s="2" t="str">
        <f>IF(OR(A969&lt;&gt;"",G969&lt;&gt;""), SUMIFS(B969:G969,B1:G1,"&lt;&gt;",B2:G2,"&lt;&gt;Exame",B2:G2,"&lt;&gt;exame",B2:G2,"&lt;&gt;Nota",B2:G2,"&lt;&gt;Total"),"")</f>
        <v/>
      </c>
      <c r="I969" s="2" t="str">
        <f>IF(AND(A969&lt;&gt;"",H969&lt;&gt;""),ROUND(H969,0),"")</f>
        <v/>
      </c>
    </row>
    <row r="970" spans="2:9" x14ac:dyDescent="0.3">
      <c r="B970" s="2" t="str">
        <f>IF(A970&lt;&gt;"",VLOOKUP(Alunos!A970,Exame!A3:C1000,3, FALSE),"")</f>
        <v/>
      </c>
      <c r="C970" s="2" t="str">
        <f>IF(A970&lt;&gt;"",VLOOKUP(Alunos!A970,Agrupamentos!A3:B1000,2, FALSE),"")</f>
        <v/>
      </c>
      <c r="D970" s="2" t="str">
        <f>IF(A970&lt;&gt;"",VLOOKUP(Alunos!C970,'TP1'!A3:C1000,3, FALSE),"")</f>
        <v/>
      </c>
      <c r="E970" s="2" t="str">
        <f>IF(A970&lt;&gt;"", SUMIF(B1:D1,"&lt;&gt;",B970:D970),"")</f>
        <v/>
      </c>
      <c r="F970" s="2" t="str">
        <f>IF(AND(A970&lt;&gt;"",E970&lt;&gt;""),ROUND(E970,0),"")</f>
        <v/>
      </c>
      <c r="G970" s="2" t="str">
        <f>IF(A970&lt;&gt;"",VLOOKUP(Alunos!A970,Recurso!A3:C1000,3, FALSE),"")</f>
        <v/>
      </c>
      <c r="H970" s="2" t="str">
        <f>IF(OR(A970&lt;&gt;"",G970&lt;&gt;""), SUMIFS(B970:G970,B1:G1,"&lt;&gt;",B2:G2,"&lt;&gt;Exame",B2:G2,"&lt;&gt;exame",B2:G2,"&lt;&gt;Nota",B2:G2,"&lt;&gt;Total"),"")</f>
        <v/>
      </c>
      <c r="I970" s="2" t="str">
        <f>IF(AND(A970&lt;&gt;"",H970&lt;&gt;""),ROUND(H970,0),"")</f>
        <v/>
      </c>
    </row>
    <row r="971" spans="2:9" x14ac:dyDescent="0.3">
      <c r="B971" s="2" t="str">
        <f>IF(A971&lt;&gt;"",VLOOKUP(Alunos!A971,Exame!A3:C1000,3, FALSE),"")</f>
        <v/>
      </c>
      <c r="C971" s="2" t="str">
        <f>IF(A971&lt;&gt;"",VLOOKUP(Alunos!A971,Agrupamentos!A3:B1000,2, FALSE),"")</f>
        <v/>
      </c>
      <c r="D971" s="2" t="str">
        <f>IF(A971&lt;&gt;"",VLOOKUP(Alunos!C971,'TP1'!A3:C1000,3, FALSE),"")</f>
        <v/>
      </c>
      <c r="E971" s="2" t="str">
        <f>IF(A971&lt;&gt;"", SUMIF(B1:D1,"&lt;&gt;",B971:D971),"")</f>
        <v/>
      </c>
      <c r="F971" s="2" t="str">
        <f>IF(AND(A971&lt;&gt;"",E971&lt;&gt;""),ROUND(E971,0),"")</f>
        <v/>
      </c>
      <c r="G971" s="2" t="str">
        <f>IF(A971&lt;&gt;"",VLOOKUP(Alunos!A971,Recurso!A3:C1000,3, FALSE),"")</f>
        <v/>
      </c>
      <c r="H971" s="2" t="str">
        <f>IF(OR(A971&lt;&gt;"",G971&lt;&gt;""), SUMIFS(B971:G971,B1:G1,"&lt;&gt;",B2:G2,"&lt;&gt;Exame",B2:G2,"&lt;&gt;exame",B2:G2,"&lt;&gt;Nota",B2:G2,"&lt;&gt;Total"),"")</f>
        <v/>
      </c>
      <c r="I971" s="2" t="str">
        <f>IF(AND(A971&lt;&gt;"",H971&lt;&gt;""),ROUND(H971,0),"")</f>
        <v/>
      </c>
    </row>
    <row r="972" spans="2:9" x14ac:dyDescent="0.3">
      <c r="B972" s="2" t="str">
        <f>IF(A972&lt;&gt;"",VLOOKUP(Alunos!A972,Exame!A3:C1000,3, FALSE),"")</f>
        <v/>
      </c>
      <c r="C972" s="2" t="str">
        <f>IF(A972&lt;&gt;"",VLOOKUP(Alunos!A972,Agrupamentos!A3:B1000,2, FALSE),"")</f>
        <v/>
      </c>
      <c r="D972" s="2" t="str">
        <f>IF(A972&lt;&gt;"",VLOOKUP(Alunos!C972,'TP1'!A3:C1000,3, FALSE),"")</f>
        <v/>
      </c>
      <c r="E972" s="2" t="str">
        <f>IF(A972&lt;&gt;"", SUMIF(B1:D1,"&lt;&gt;",B972:D972),"")</f>
        <v/>
      </c>
      <c r="F972" s="2" t="str">
        <f>IF(AND(A972&lt;&gt;"",E972&lt;&gt;""),ROUND(E972,0),"")</f>
        <v/>
      </c>
      <c r="G972" s="2" t="str">
        <f>IF(A972&lt;&gt;"",VLOOKUP(Alunos!A972,Recurso!A3:C1000,3, FALSE),"")</f>
        <v/>
      </c>
      <c r="H972" s="2" t="str">
        <f>IF(OR(A972&lt;&gt;"",G972&lt;&gt;""), SUMIFS(B972:G972,B1:G1,"&lt;&gt;",B2:G2,"&lt;&gt;Exame",B2:G2,"&lt;&gt;exame",B2:G2,"&lt;&gt;Nota",B2:G2,"&lt;&gt;Total"),"")</f>
        <v/>
      </c>
      <c r="I972" s="2" t="str">
        <f>IF(AND(A972&lt;&gt;"",H972&lt;&gt;""),ROUND(H972,0),"")</f>
        <v/>
      </c>
    </row>
    <row r="973" spans="2:9" x14ac:dyDescent="0.3">
      <c r="B973" s="2" t="str">
        <f>IF(A973&lt;&gt;"",VLOOKUP(Alunos!A973,Exame!A3:C1000,3, FALSE),"")</f>
        <v/>
      </c>
      <c r="C973" s="2" t="str">
        <f>IF(A973&lt;&gt;"",VLOOKUP(Alunos!A973,Agrupamentos!A3:B1000,2, FALSE),"")</f>
        <v/>
      </c>
      <c r="D973" s="2" t="str">
        <f>IF(A973&lt;&gt;"",VLOOKUP(Alunos!C973,'TP1'!A3:C1000,3, FALSE),"")</f>
        <v/>
      </c>
      <c r="E973" s="2" t="str">
        <f>IF(A973&lt;&gt;"", SUMIF(B1:D1,"&lt;&gt;",B973:D973),"")</f>
        <v/>
      </c>
      <c r="F973" s="2" t="str">
        <f>IF(AND(A973&lt;&gt;"",E973&lt;&gt;""),ROUND(E973,0),"")</f>
        <v/>
      </c>
      <c r="G973" s="2" t="str">
        <f>IF(A973&lt;&gt;"",VLOOKUP(Alunos!A973,Recurso!A3:C1000,3, FALSE),"")</f>
        <v/>
      </c>
      <c r="H973" s="2" t="str">
        <f>IF(OR(A973&lt;&gt;"",G973&lt;&gt;""), SUMIFS(B973:G973,B1:G1,"&lt;&gt;",B2:G2,"&lt;&gt;Exame",B2:G2,"&lt;&gt;exame",B2:G2,"&lt;&gt;Nota",B2:G2,"&lt;&gt;Total"),"")</f>
        <v/>
      </c>
      <c r="I973" s="2" t="str">
        <f>IF(AND(A973&lt;&gt;"",H973&lt;&gt;""),ROUND(H973,0),"")</f>
        <v/>
      </c>
    </row>
    <row r="974" spans="2:9" x14ac:dyDescent="0.3">
      <c r="B974" s="2" t="str">
        <f>IF(A974&lt;&gt;"",VLOOKUP(Alunos!A974,Exame!A3:C1000,3, FALSE),"")</f>
        <v/>
      </c>
      <c r="C974" s="2" t="str">
        <f>IF(A974&lt;&gt;"",VLOOKUP(Alunos!A974,Agrupamentos!A3:B1000,2, FALSE),"")</f>
        <v/>
      </c>
      <c r="D974" s="2" t="str">
        <f>IF(A974&lt;&gt;"",VLOOKUP(Alunos!C974,'TP1'!A3:C1000,3, FALSE),"")</f>
        <v/>
      </c>
      <c r="E974" s="2" t="str">
        <f>IF(A974&lt;&gt;"", SUMIF(B1:D1,"&lt;&gt;",B974:D974),"")</f>
        <v/>
      </c>
      <c r="F974" s="2" t="str">
        <f>IF(AND(A974&lt;&gt;"",E974&lt;&gt;""),ROUND(E974,0),"")</f>
        <v/>
      </c>
      <c r="G974" s="2" t="str">
        <f>IF(A974&lt;&gt;"",VLOOKUP(Alunos!A974,Recurso!A3:C1000,3, FALSE),"")</f>
        <v/>
      </c>
      <c r="H974" s="2" t="str">
        <f>IF(OR(A974&lt;&gt;"",G974&lt;&gt;""), SUMIFS(B974:G974,B1:G1,"&lt;&gt;",B2:G2,"&lt;&gt;Exame",B2:G2,"&lt;&gt;exame",B2:G2,"&lt;&gt;Nota",B2:G2,"&lt;&gt;Total"),"")</f>
        <v/>
      </c>
      <c r="I974" s="2" t="str">
        <f>IF(AND(A974&lt;&gt;"",H974&lt;&gt;""),ROUND(H974,0),"")</f>
        <v/>
      </c>
    </row>
    <row r="975" spans="2:9" x14ac:dyDescent="0.3">
      <c r="B975" s="2" t="str">
        <f>IF(A975&lt;&gt;"",VLOOKUP(Alunos!A975,Exame!A3:C1000,3, FALSE),"")</f>
        <v/>
      </c>
      <c r="C975" s="2" t="str">
        <f>IF(A975&lt;&gt;"",VLOOKUP(Alunos!A975,Agrupamentos!A3:B1000,2, FALSE),"")</f>
        <v/>
      </c>
      <c r="D975" s="2" t="str">
        <f>IF(A975&lt;&gt;"",VLOOKUP(Alunos!C975,'TP1'!A3:C1000,3, FALSE),"")</f>
        <v/>
      </c>
      <c r="E975" s="2" t="str">
        <f>IF(A975&lt;&gt;"", SUMIF(B1:D1,"&lt;&gt;",B975:D975),"")</f>
        <v/>
      </c>
      <c r="F975" s="2" t="str">
        <f>IF(AND(A975&lt;&gt;"",E975&lt;&gt;""),ROUND(E975,0),"")</f>
        <v/>
      </c>
      <c r="G975" s="2" t="str">
        <f>IF(A975&lt;&gt;"",VLOOKUP(Alunos!A975,Recurso!A3:C1000,3, FALSE),"")</f>
        <v/>
      </c>
      <c r="H975" s="2" t="str">
        <f>IF(OR(A975&lt;&gt;"",G975&lt;&gt;""), SUMIFS(B975:G975,B1:G1,"&lt;&gt;",B2:G2,"&lt;&gt;Exame",B2:G2,"&lt;&gt;exame",B2:G2,"&lt;&gt;Nota",B2:G2,"&lt;&gt;Total"),"")</f>
        <v/>
      </c>
      <c r="I975" s="2" t="str">
        <f>IF(AND(A975&lt;&gt;"",H975&lt;&gt;""),ROUND(H975,0),"")</f>
        <v/>
      </c>
    </row>
    <row r="976" spans="2:9" x14ac:dyDescent="0.3">
      <c r="B976" s="2" t="str">
        <f>IF(A976&lt;&gt;"",VLOOKUP(Alunos!A976,Exame!A3:C1000,3, FALSE),"")</f>
        <v/>
      </c>
      <c r="C976" s="2" t="str">
        <f>IF(A976&lt;&gt;"",VLOOKUP(Alunos!A976,Agrupamentos!A3:B1000,2, FALSE),"")</f>
        <v/>
      </c>
      <c r="D976" s="2" t="str">
        <f>IF(A976&lt;&gt;"",VLOOKUP(Alunos!C976,'TP1'!A3:C1000,3, FALSE),"")</f>
        <v/>
      </c>
      <c r="E976" s="2" t="str">
        <f>IF(A976&lt;&gt;"", SUMIF(B1:D1,"&lt;&gt;",B976:D976),"")</f>
        <v/>
      </c>
      <c r="F976" s="2" t="str">
        <f>IF(AND(A976&lt;&gt;"",E976&lt;&gt;""),ROUND(E976,0),"")</f>
        <v/>
      </c>
      <c r="G976" s="2" t="str">
        <f>IF(A976&lt;&gt;"",VLOOKUP(Alunos!A976,Recurso!A3:C1000,3, FALSE),"")</f>
        <v/>
      </c>
      <c r="H976" s="2" t="str">
        <f>IF(OR(A976&lt;&gt;"",G976&lt;&gt;""), SUMIFS(B976:G976,B1:G1,"&lt;&gt;",B2:G2,"&lt;&gt;Exame",B2:G2,"&lt;&gt;exame",B2:G2,"&lt;&gt;Nota",B2:G2,"&lt;&gt;Total"),"")</f>
        <v/>
      </c>
      <c r="I976" s="2" t="str">
        <f>IF(AND(A976&lt;&gt;"",H976&lt;&gt;""),ROUND(H976,0),"")</f>
        <v/>
      </c>
    </row>
    <row r="977" spans="2:9" x14ac:dyDescent="0.3">
      <c r="B977" s="2" t="str">
        <f>IF(A977&lt;&gt;"",VLOOKUP(Alunos!A977,Exame!A3:C1000,3, FALSE),"")</f>
        <v/>
      </c>
      <c r="C977" s="2" t="str">
        <f>IF(A977&lt;&gt;"",VLOOKUP(Alunos!A977,Agrupamentos!A3:B1000,2, FALSE),"")</f>
        <v/>
      </c>
      <c r="D977" s="2" t="str">
        <f>IF(A977&lt;&gt;"",VLOOKUP(Alunos!C977,'TP1'!A3:C1000,3, FALSE),"")</f>
        <v/>
      </c>
      <c r="E977" s="2" t="str">
        <f>IF(A977&lt;&gt;"", SUMIF(B1:D1,"&lt;&gt;",B977:D977),"")</f>
        <v/>
      </c>
      <c r="F977" s="2" t="str">
        <f>IF(AND(A977&lt;&gt;"",E977&lt;&gt;""),ROUND(E977,0),"")</f>
        <v/>
      </c>
      <c r="G977" s="2" t="str">
        <f>IF(A977&lt;&gt;"",VLOOKUP(Alunos!A977,Recurso!A3:C1000,3, FALSE),"")</f>
        <v/>
      </c>
      <c r="H977" s="2" t="str">
        <f>IF(OR(A977&lt;&gt;"",G977&lt;&gt;""), SUMIFS(B977:G977,B1:G1,"&lt;&gt;",B2:G2,"&lt;&gt;Exame",B2:G2,"&lt;&gt;exame",B2:G2,"&lt;&gt;Nota",B2:G2,"&lt;&gt;Total"),"")</f>
        <v/>
      </c>
      <c r="I977" s="2" t="str">
        <f>IF(AND(A977&lt;&gt;"",H977&lt;&gt;""),ROUND(H977,0),"")</f>
        <v/>
      </c>
    </row>
    <row r="978" spans="2:9" x14ac:dyDescent="0.3">
      <c r="B978" s="2" t="str">
        <f>IF(A978&lt;&gt;"",VLOOKUP(Alunos!A978,Exame!A3:C1000,3, FALSE),"")</f>
        <v/>
      </c>
      <c r="C978" s="2" t="str">
        <f>IF(A978&lt;&gt;"",VLOOKUP(Alunos!A978,Agrupamentos!A3:B1000,2, FALSE),"")</f>
        <v/>
      </c>
      <c r="D978" s="2" t="str">
        <f>IF(A978&lt;&gt;"",VLOOKUP(Alunos!C978,'TP1'!A3:C1000,3, FALSE),"")</f>
        <v/>
      </c>
      <c r="E978" s="2" t="str">
        <f>IF(A978&lt;&gt;"", SUMIF(B1:D1,"&lt;&gt;",B978:D978),"")</f>
        <v/>
      </c>
      <c r="F978" s="2" t="str">
        <f>IF(AND(A978&lt;&gt;"",E978&lt;&gt;""),ROUND(E978,0),"")</f>
        <v/>
      </c>
      <c r="G978" s="2" t="str">
        <f>IF(A978&lt;&gt;"",VLOOKUP(Alunos!A978,Recurso!A3:C1000,3, FALSE),"")</f>
        <v/>
      </c>
      <c r="H978" s="2" t="str">
        <f>IF(OR(A978&lt;&gt;"",G978&lt;&gt;""), SUMIFS(B978:G978,B1:G1,"&lt;&gt;",B2:G2,"&lt;&gt;Exame",B2:G2,"&lt;&gt;exame",B2:G2,"&lt;&gt;Nota",B2:G2,"&lt;&gt;Total"),"")</f>
        <v/>
      </c>
      <c r="I978" s="2" t="str">
        <f>IF(AND(A978&lt;&gt;"",H978&lt;&gt;""),ROUND(H978,0),"")</f>
        <v/>
      </c>
    </row>
    <row r="979" spans="2:9" x14ac:dyDescent="0.3">
      <c r="B979" s="2" t="str">
        <f>IF(A979&lt;&gt;"",VLOOKUP(Alunos!A979,Exame!A3:C1000,3, FALSE),"")</f>
        <v/>
      </c>
      <c r="C979" s="2" t="str">
        <f>IF(A979&lt;&gt;"",VLOOKUP(Alunos!A979,Agrupamentos!A3:B1000,2, FALSE),"")</f>
        <v/>
      </c>
      <c r="D979" s="2" t="str">
        <f>IF(A979&lt;&gt;"",VLOOKUP(Alunos!C979,'TP1'!A3:C1000,3, FALSE),"")</f>
        <v/>
      </c>
      <c r="E979" s="2" t="str">
        <f>IF(A979&lt;&gt;"", SUMIF(B1:D1,"&lt;&gt;",B979:D979),"")</f>
        <v/>
      </c>
      <c r="F979" s="2" t="str">
        <f>IF(AND(A979&lt;&gt;"",E979&lt;&gt;""),ROUND(E979,0),"")</f>
        <v/>
      </c>
      <c r="G979" s="2" t="str">
        <f>IF(A979&lt;&gt;"",VLOOKUP(Alunos!A979,Recurso!A3:C1000,3, FALSE),"")</f>
        <v/>
      </c>
      <c r="H979" s="2" t="str">
        <f>IF(OR(A979&lt;&gt;"",G979&lt;&gt;""), SUMIFS(B979:G979,B1:G1,"&lt;&gt;",B2:G2,"&lt;&gt;Exame",B2:G2,"&lt;&gt;exame",B2:G2,"&lt;&gt;Nota",B2:G2,"&lt;&gt;Total"),"")</f>
        <v/>
      </c>
      <c r="I979" s="2" t="str">
        <f>IF(AND(A979&lt;&gt;"",H979&lt;&gt;""),ROUND(H979,0),"")</f>
        <v/>
      </c>
    </row>
    <row r="980" spans="2:9" x14ac:dyDescent="0.3">
      <c r="B980" s="2" t="str">
        <f>IF(A980&lt;&gt;"",VLOOKUP(Alunos!A980,Exame!A3:C1000,3, FALSE),"")</f>
        <v/>
      </c>
      <c r="C980" s="2" t="str">
        <f>IF(A980&lt;&gt;"",VLOOKUP(Alunos!A980,Agrupamentos!A3:B1000,2, FALSE),"")</f>
        <v/>
      </c>
      <c r="D980" s="2" t="str">
        <f>IF(A980&lt;&gt;"",VLOOKUP(Alunos!C980,'TP1'!A3:C1000,3, FALSE),"")</f>
        <v/>
      </c>
      <c r="E980" s="2" t="str">
        <f>IF(A980&lt;&gt;"", SUMIF(B1:D1,"&lt;&gt;",B980:D980),"")</f>
        <v/>
      </c>
      <c r="F980" s="2" t="str">
        <f>IF(AND(A980&lt;&gt;"",E980&lt;&gt;""),ROUND(E980,0),"")</f>
        <v/>
      </c>
      <c r="G980" s="2" t="str">
        <f>IF(A980&lt;&gt;"",VLOOKUP(Alunos!A980,Recurso!A3:C1000,3, FALSE),"")</f>
        <v/>
      </c>
      <c r="H980" s="2" t="str">
        <f>IF(OR(A980&lt;&gt;"",G980&lt;&gt;""), SUMIFS(B980:G980,B1:G1,"&lt;&gt;",B2:G2,"&lt;&gt;Exame",B2:G2,"&lt;&gt;exame",B2:G2,"&lt;&gt;Nota",B2:G2,"&lt;&gt;Total"),"")</f>
        <v/>
      </c>
      <c r="I980" s="2" t="str">
        <f>IF(AND(A980&lt;&gt;"",H980&lt;&gt;""),ROUND(H980,0),"")</f>
        <v/>
      </c>
    </row>
    <row r="981" spans="2:9" x14ac:dyDescent="0.3">
      <c r="B981" s="2" t="str">
        <f>IF(A981&lt;&gt;"",VLOOKUP(Alunos!A981,Exame!A3:C1000,3, FALSE),"")</f>
        <v/>
      </c>
      <c r="C981" s="2" t="str">
        <f>IF(A981&lt;&gt;"",VLOOKUP(Alunos!A981,Agrupamentos!A3:B1000,2, FALSE),"")</f>
        <v/>
      </c>
      <c r="D981" s="2" t="str">
        <f>IF(A981&lt;&gt;"",VLOOKUP(Alunos!C981,'TP1'!A3:C1000,3, FALSE),"")</f>
        <v/>
      </c>
      <c r="E981" s="2" t="str">
        <f>IF(A981&lt;&gt;"", SUMIF(B1:D1,"&lt;&gt;",B981:D981),"")</f>
        <v/>
      </c>
      <c r="F981" s="2" t="str">
        <f>IF(AND(A981&lt;&gt;"",E981&lt;&gt;""),ROUND(E981,0),"")</f>
        <v/>
      </c>
      <c r="G981" s="2" t="str">
        <f>IF(A981&lt;&gt;"",VLOOKUP(Alunos!A981,Recurso!A3:C1000,3, FALSE),"")</f>
        <v/>
      </c>
      <c r="H981" s="2" t="str">
        <f>IF(OR(A981&lt;&gt;"",G981&lt;&gt;""), SUMIFS(B981:G981,B1:G1,"&lt;&gt;",B2:G2,"&lt;&gt;Exame",B2:G2,"&lt;&gt;exame",B2:G2,"&lt;&gt;Nota",B2:G2,"&lt;&gt;Total"),"")</f>
        <v/>
      </c>
      <c r="I981" s="2" t="str">
        <f>IF(AND(A981&lt;&gt;"",H981&lt;&gt;""),ROUND(H981,0),"")</f>
        <v/>
      </c>
    </row>
    <row r="982" spans="2:9" x14ac:dyDescent="0.3">
      <c r="B982" s="2" t="str">
        <f>IF(A982&lt;&gt;"",VLOOKUP(Alunos!A982,Exame!A3:C1000,3, FALSE),"")</f>
        <v/>
      </c>
      <c r="C982" s="2" t="str">
        <f>IF(A982&lt;&gt;"",VLOOKUP(Alunos!A982,Agrupamentos!A3:B1000,2, FALSE),"")</f>
        <v/>
      </c>
      <c r="D982" s="2" t="str">
        <f>IF(A982&lt;&gt;"",VLOOKUP(Alunos!C982,'TP1'!A3:C1000,3, FALSE),"")</f>
        <v/>
      </c>
      <c r="E982" s="2" t="str">
        <f>IF(A982&lt;&gt;"", SUMIF(B1:D1,"&lt;&gt;",B982:D982),"")</f>
        <v/>
      </c>
      <c r="F982" s="2" t="str">
        <f>IF(AND(A982&lt;&gt;"",E982&lt;&gt;""),ROUND(E982,0),"")</f>
        <v/>
      </c>
      <c r="G982" s="2" t="str">
        <f>IF(A982&lt;&gt;"",VLOOKUP(Alunos!A982,Recurso!A3:C1000,3, FALSE),"")</f>
        <v/>
      </c>
      <c r="H982" s="2" t="str">
        <f>IF(OR(A982&lt;&gt;"",G982&lt;&gt;""), SUMIFS(B982:G982,B1:G1,"&lt;&gt;",B2:G2,"&lt;&gt;Exame",B2:G2,"&lt;&gt;exame",B2:G2,"&lt;&gt;Nota",B2:G2,"&lt;&gt;Total"),"")</f>
        <v/>
      </c>
      <c r="I982" s="2" t="str">
        <f>IF(AND(A982&lt;&gt;"",H982&lt;&gt;""),ROUND(H982,0),"")</f>
        <v/>
      </c>
    </row>
    <row r="983" spans="2:9" x14ac:dyDescent="0.3">
      <c r="B983" s="2" t="str">
        <f>IF(A983&lt;&gt;"",VLOOKUP(Alunos!A983,Exame!A3:C1000,3, FALSE),"")</f>
        <v/>
      </c>
      <c r="C983" s="2" t="str">
        <f>IF(A983&lt;&gt;"",VLOOKUP(Alunos!A983,Agrupamentos!A3:B1000,2, FALSE),"")</f>
        <v/>
      </c>
      <c r="D983" s="2" t="str">
        <f>IF(A983&lt;&gt;"",VLOOKUP(Alunos!C983,'TP1'!A3:C1000,3, FALSE),"")</f>
        <v/>
      </c>
      <c r="E983" s="2" t="str">
        <f>IF(A983&lt;&gt;"", SUMIF(B1:D1,"&lt;&gt;",B983:D983),"")</f>
        <v/>
      </c>
      <c r="F983" s="2" t="str">
        <f>IF(AND(A983&lt;&gt;"",E983&lt;&gt;""),ROUND(E983,0),"")</f>
        <v/>
      </c>
      <c r="G983" s="2" t="str">
        <f>IF(A983&lt;&gt;"",VLOOKUP(Alunos!A983,Recurso!A3:C1000,3, FALSE),"")</f>
        <v/>
      </c>
      <c r="H983" s="2" t="str">
        <f>IF(OR(A983&lt;&gt;"",G983&lt;&gt;""), SUMIFS(B983:G983,B1:G1,"&lt;&gt;",B2:G2,"&lt;&gt;Exame",B2:G2,"&lt;&gt;exame",B2:G2,"&lt;&gt;Nota",B2:G2,"&lt;&gt;Total"),"")</f>
        <v/>
      </c>
      <c r="I983" s="2" t="str">
        <f>IF(AND(A983&lt;&gt;"",H983&lt;&gt;""),ROUND(H983,0),"")</f>
        <v/>
      </c>
    </row>
    <row r="984" spans="2:9" x14ac:dyDescent="0.3">
      <c r="B984" s="2" t="str">
        <f>IF(A984&lt;&gt;"",VLOOKUP(Alunos!A984,Exame!A3:C1000,3, FALSE),"")</f>
        <v/>
      </c>
      <c r="C984" s="2" t="str">
        <f>IF(A984&lt;&gt;"",VLOOKUP(Alunos!A984,Agrupamentos!A3:B1000,2, FALSE),"")</f>
        <v/>
      </c>
      <c r="D984" s="2" t="str">
        <f>IF(A984&lt;&gt;"",VLOOKUP(Alunos!C984,'TP1'!A3:C1000,3, FALSE),"")</f>
        <v/>
      </c>
      <c r="E984" s="2" t="str">
        <f>IF(A984&lt;&gt;"", SUMIF(B1:D1,"&lt;&gt;",B984:D984),"")</f>
        <v/>
      </c>
      <c r="F984" s="2" t="str">
        <f>IF(AND(A984&lt;&gt;"",E984&lt;&gt;""),ROUND(E984,0),"")</f>
        <v/>
      </c>
      <c r="G984" s="2" t="str">
        <f>IF(A984&lt;&gt;"",VLOOKUP(Alunos!A984,Recurso!A3:C1000,3, FALSE),"")</f>
        <v/>
      </c>
      <c r="H984" s="2" t="str">
        <f>IF(OR(A984&lt;&gt;"",G984&lt;&gt;""), SUMIFS(B984:G984,B1:G1,"&lt;&gt;",B2:G2,"&lt;&gt;Exame",B2:G2,"&lt;&gt;exame",B2:G2,"&lt;&gt;Nota",B2:G2,"&lt;&gt;Total"),"")</f>
        <v/>
      </c>
      <c r="I984" s="2" t="str">
        <f>IF(AND(A984&lt;&gt;"",H984&lt;&gt;""),ROUND(H984,0),"")</f>
        <v/>
      </c>
    </row>
    <row r="985" spans="2:9" x14ac:dyDescent="0.3">
      <c r="B985" s="2" t="str">
        <f>IF(A985&lt;&gt;"",VLOOKUP(Alunos!A985,Exame!A3:C1000,3, FALSE),"")</f>
        <v/>
      </c>
      <c r="C985" s="2" t="str">
        <f>IF(A985&lt;&gt;"",VLOOKUP(Alunos!A985,Agrupamentos!A3:B1000,2, FALSE),"")</f>
        <v/>
      </c>
      <c r="D985" s="2" t="str">
        <f>IF(A985&lt;&gt;"",VLOOKUP(Alunos!C985,'TP1'!A3:C1000,3, FALSE),"")</f>
        <v/>
      </c>
      <c r="E985" s="2" t="str">
        <f>IF(A985&lt;&gt;"", SUMIF(B1:D1,"&lt;&gt;",B985:D985),"")</f>
        <v/>
      </c>
      <c r="F985" s="2" t="str">
        <f>IF(AND(A985&lt;&gt;"",E985&lt;&gt;""),ROUND(E985,0),"")</f>
        <v/>
      </c>
      <c r="G985" s="2" t="str">
        <f>IF(A985&lt;&gt;"",VLOOKUP(Alunos!A985,Recurso!A3:C1000,3, FALSE),"")</f>
        <v/>
      </c>
      <c r="H985" s="2" t="str">
        <f>IF(OR(A985&lt;&gt;"",G985&lt;&gt;""), SUMIFS(B985:G985,B1:G1,"&lt;&gt;",B2:G2,"&lt;&gt;Exame",B2:G2,"&lt;&gt;exame",B2:G2,"&lt;&gt;Nota",B2:G2,"&lt;&gt;Total"),"")</f>
        <v/>
      </c>
      <c r="I985" s="2" t="str">
        <f>IF(AND(A985&lt;&gt;"",H985&lt;&gt;""),ROUND(H985,0),"")</f>
        <v/>
      </c>
    </row>
    <row r="986" spans="2:9" x14ac:dyDescent="0.3">
      <c r="B986" s="2" t="str">
        <f>IF(A986&lt;&gt;"",VLOOKUP(Alunos!A986,Exame!A3:C1000,3, FALSE),"")</f>
        <v/>
      </c>
      <c r="C986" s="2" t="str">
        <f>IF(A986&lt;&gt;"",VLOOKUP(Alunos!A986,Agrupamentos!A3:B1000,2, FALSE),"")</f>
        <v/>
      </c>
      <c r="D986" s="2" t="str">
        <f>IF(A986&lt;&gt;"",VLOOKUP(Alunos!C986,'TP1'!A3:C1000,3, FALSE),"")</f>
        <v/>
      </c>
      <c r="E986" s="2" t="str">
        <f>IF(A986&lt;&gt;"", SUMIF(B1:D1,"&lt;&gt;",B986:D986),"")</f>
        <v/>
      </c>
      <c r="F986" s="2" t="str">
        <f>IF(AND(A986&lt;&gt;"",E986&lt;&gt;""),ROUND(E986,0),"")</f>
        <v/>
      </c>
      <c r="G986" s="2" t="str">
        <f>IF(A986&lt;&gt;"",VLOOKUP(Alunos!A986,Recurso!A3:C1000,3, FALSE),"")</f>
        <v/>
      </c>
      <c r="H986" s="2" t="str">
        <f>IF(OR(A986&lt;&gt;"",G986&lt;&gt;""), SUMIFS(B986:G986,B1:G1,"&lt;&gt;",B2:G2,"&lt;&gt;Exame",B2:G2,"&lt;&gt;exame",B2:G2,"&lt;&gt;Nota",B2:G2,"&lt;&gt;Total"),"")</f>
        <v/>
      </c>
      <c r="I986" s="2" t="str">
        <f>IF(AND(A986&lt;&gt;"",H986&lt;&gt;""),ROUND(H986,0),"")</f>
        <v/>
      </c>
    </row>
    <row r="987" spans="2:9" x14ac:dyDescent="0.3">
      <c r="B987" s="2" t="str">
        <f>IF(A987&lt;&gt;"",VLOOKUP(Alunos!A987,Exame!A3:C1000,3, FALSE),"")</f>
        <v/>
      </c>
      <c r="C987" s="2" t="str">
        <f>IF(A987&lt;&gt;"",VLOOKUP(Alunos!A987,Agrupamentos!A3:B1000,2, FALSE),"")</f>
        <v/>
      </c>
      <c r="D987" s="2" t="str">
        <f>IF(A987&lt;&gt;"",VLOOKUP(Alunos!C987,'TP1'!A3:C1000,3, FALSE),"")</f>
        <v/>
      </c>
      <c r="E987" s="2" t="str">
        <f>IF(A987&lt;&gt;"", SUMIF(B1:D1,"&lt;&gt;",B987:D987),"")</f>
        <v/>
      </c>
      <c r="F987" s="2" t="str">
        <f>IF(AND(A987&lt;&gt;"",E987&lt;&gt;""),ROUND(E987,0),"")</f>
        <v/>
      </c>
      <c r="G987" s="2" t="str">
        <f>IF(A987&lt;&gt;"",VLOOKUP(Alunos!A987,Recurso!A3:C1000,3, FALSE),"")</f>
        <v/>
      </c>
      <c r="H987" s="2" t="str">
        <f>IF(OR(A987&lt;&gt;"",G987&lt;&gt;""), SUMIFS(B987:G987,B1:G1,"&lt;&gt;",B2:G2,"&lt;&gt;Exame",B2:G2,"&lt;&gt;exame",B2:G2,"&lt;&gt;Nota",B2:G2,"&lt;&gt;Total"),"")</f>
        <v/>
      </c>
      <c r="I987" s="2" t="str">
        <f>IF(AND(A987&lt;&gt;"",H987&lt;&gt;""),ROUND(H987,0),"")</f>
        <v/>
      </c>
    </row>
    <row r="988" spans="2:9" x14ac:dyDescent="0.3">
      <c r="B988" s="2" t="str">
        <f>IF(A988&lt;&gt;"",VLOOKUP(Alunos!A988,Exame!A3:C1000,3, FALSE),"")</f>
        <v/>
      </c>
      <c r="C988" s="2" t="str">
        <f>IF(A988&lt;&gt;"",VLOOKUP(Alunos!A988,Agrupamentos!A3:B1000,2, FALSE),"")</f>
        <v/>
      </c>
      <c r="D988" s="2" t="str">
        <f>IF(A988&lt;&gt;"",VLOOKUP(Alunos!C988,'TP1'!A3:C1000,3, FALSE),"")</f>
        <v/>
      </c>
      <c r="E988" s="2" t="str">
        <f>IF(A988&lt;&gt;"", SUMIF(B1:D1,"&lt;&gt;",B988:D988),"")</f>
        <v/>
      </c>
      <c r="F988" s="2" t="str">
        <f>IF(AND(A988&lt;&gt;"",E988&lt;&gt;""),ROUND(E988,0),"")</f>
        <v/>
      </c>
      <c r="G988" s="2" t="str">
        <f>IF(A988&lt;&gt;"",VLOOKUP(Alunos!A988,Recurso!A3:C1000,3, FALSE),"")</f>
        <v/>
      </c>
      <c r="H988" s="2" t="str">
        <f>IF(OR(A988&lt;&gt;"",G988&lt;&gt;""), SUMIFS(B988:G988,B1:G1,"&lt;&gt;",B2:G2,"&lt;&gt;Exame",B2:G2,"&lt;&gt;exame",B2:G2,"&lt;&gt;Nota",B2:G2,"&lt;&gt;Total"),"")</f>
        <v/>
      </c>
      <c r="I988" s="2" t="str">
        <f>IF(AND(A988&lt;&gt;"",H988&lt;&gt;""),ROUND(H988,0),"")</f>
        <v/>
      </c>
    </row>
    <row r="989" spans="2:9" x14ac:dyDescent="0.3">
      <c r="B989" s="2" t="str">
        <f>IF(A989&lt;&gt;"",VLOOKUP(Alunos!A989,Exame!A3:C1000,3, FALSE),"")</f>
        <v/>
      </c>
      <c r="C989" s="2" t="str">
        <f>IF(A989&lt;&gt;"",VLOOKUP(Alunos!A989,Agrupamentos!A3:B1000,2, FALSE),"")</f>
        <v/>
      </c>
      <c r="D989" s="2" t="str">
        <f>IF(A989&lt;&gt;"",VLOOKUP(Alunos!C989,'TP1'!A3:C1000,3, FALSE),"")</f>
        <v/>
      </c>
      <c r="E989" s="2" t="str">
        <f>IF(A989&lt;&gt;"", SUMIF(B1:D1,"&lt;&gt;",B989:D989),"")</f>
        <v/>
      </c>
      <c r="F989" s="2" t="str">
        <f>IF(AND(A989&lt;&gt;"",E989&lt;&gt;""),ROUND(E989,0),"")</f>
        <v/>
      </c>
      <c r="G989" s="2" t="str">
        <f>IF(A989&lt;&gt;"",VLOOKUP(Alunos!A989,Recurso!A3:C1000,3, FALSE),"")</f>
        <v/>
      </c>
      <c r="H989" s="2" t="str">
        <f>IF(OR(A989&lt;&gt;"",G989&lt;&gt;""), SUMIFS(B989:G989,B1:G1,"&lt;&gt;",B2:G2,"&lt;&gt;Exame",B2:G2,"&lt;&gt;exame",B2:G2,"&lt;&gt;Nota",B2:G2,"&lt;&gt;Total"),"")</f>
        <v/>
      </c>
      <c r="I989" s="2" t="str">
        <f>IF(AND(A989&lt;&gt;"",H989&lt;&gt;""),ROUND(H989,0),"")</f>
        <v/>
      </c>
    </row>
    <row r="990" spans="2:9" x14ac:dyDescent="0.3">
      <c r="B990" s="2" t="str">
        <f>IF(A990&lt;&gt;"",VLOOKUP(Alunos!A990,Exame!A3:C1000,3, FALSE),"")</f>
        <v/>
      </c>
      <c r="C990" s="2" t="str">
        <f>IF(A990&lt;&gt;"",VLOOKUP(Alunos!A990,Agrupamentos!A3:B1000,2, FALSE),"")</f>
        <v/>
      </c>
      <c r="D990" s="2" t="str">
        <f>IF(A990&lt;&gt;"",VLOOKUP(Alunos!C990,'TP1'!A3:C1000,3, FALSE),"")</f>
        <v/>
      </c>
      <c r="E990" s="2" t="str">
        <f>IF(A990&lt;&gt;"", SUMIF(B1:D1,"&lt;&gt;",B990:D990),"")</f>
        <v/>
      </c>
      <c r="F990" s="2" t="str">
        <f>IF(AND(A990&lt;&gt;"",E990&lt;&gt;""),ROUND(E990,0),"")</f>
        <v/>
      </c>
      <c r="G990" s="2" t="str">
        <f>IF(A990&lt;&gt;"",VLOOKUP(Alunos!A990,Recurso!A3:C1000,3, FALSE),"")</f>
        <v/>
      </c>
      <c r="H990" s="2" t="str">
        <f>IF(OR(A990&lt;&gt;"",G990&lt;&gt;""), SUMIFS(B990:G990,B1:G1,"&lt;&gt;",B2:G2,"&lt;&gt;Exame",B2:G2,"&lt;&gt;exame",B2:G2,"&lt;&gt;Nota",B2:G2,"&lt;&gt;Total"),"")</f>
        <v/>
      </c>
      <c r="I990" s="2" t="str">
        <f>IF(AND(A990&lt;&gt;"",H990&lt;&gt;""),ROUND(H990,0),"")</f>
        <v/>
      </c>
    </row>
    <row r="991" spans="2:9" x14ac:dyDescent="0.3">
      <c r="B991" s="2" t="str">
        <f>IF(A991&lt;&gt;"",VLOOKUP(Alunos!A991,Exame!A3:C1000,3, FALSE),"")</f>
        <v/>
      </c>
      <c r="C991" s="2" t="str">
        <f>IF(A991&lt;&gt;"",VLOOKUP(Alunos!A991,Agrupamentos!A3:B1000,2, FALSE),"")</f>
        <v/>
      </c>
      <c r="D991" s="2" t="str">
        <f>IF(A991&lt;&gt;"",VLOOKUP(Alunos!C991,'TP1'!A3:C1000,3, FALSE),"")</f>
        <v/>
      </c>
      <c r="E991" s="2" t="str">
        <f>IF(A991&lt;&gt;"", SUMIF(B1:D1,"&lt;&gt;",B991:D991),"")</f>
        <v/>
      </c>
      <c r="F991" s="2" t="str">
        <f>IF(AND(A991&lt;&gt;"",E991&lt;&gt;""),ROUND(E991,0),"")</f>
        <v/>
      </c>
      <c r="G991" s="2" t="str">
        <f>IF(A991&lt;&gt;"",VLOOKUP(Alunos!A991,Recurso!A3:C1000,3, FALSE),"")</f>
        <v/>
      </c>
      <c r="H991" s="2" t="str">
        <f>IF(OR(A991&lt;&gt;"",G991&lt;&gt;""), SUMIFS(B991:G991,B1:G1,"&lt;&gt;",B2:G2,"&lt;&gt;Exame",B2:G2,"&lt;&gt;exame",B2:G2,"&lt;&gt;Nota",B2:G2,"&lt;&gt;Total"),"")</f>
        <v/>
      </c>
      <c r="I991" s="2" t="str">
        <f>IF(AND(A991&lt;&gt;"",H991&lt;&gt;""),ROUND(H991,0),"")</f>
        <v/>
      </c>
    </row>
    <row r="992" spans="2:9" x14ac:dyDescent="0.3">
      <c r="B992" s="2" t="str">
        <f>IF(A992&lt;&gt;"",VLOOKUP(Alunos!A992,Exame!A3:C1000,3, FALSE),"")</f>
        <v/>
      </c>
      <c r="C992" s="2" t="str">
        <f>IF(A992&lt;&gt;"",VLOOKUP(Alunos!A992,Agrupamentos!A3:B1000,2, FALSE),"")</f>
        <v/>
      </c>
      <c r="D992" s="2" t="str">
        <f>IF(A992&lt;&gt;"",VLOOKUP(Alunos!C992,'TP1'!A3:C1000,3, FALSE),"")</f>
        <v/>
      </c>
      <c r="E992" s="2" t="str">
        <f>IF(A992&lt;&gt;"", SUMIF(B1:D1,"&lt;&gt;",B992:D992),"")</f>
        <v/>
      </c>
      <c r="F992" s="2" t="str">
        <f>IF(AND(A992&lt;&gt;"",E992&lt;&gt;""),ROUND(E992,0),"")</f>
        <v/>
      </c>
      <c r="G992" s="2" t="str">
        <f>IF(A992&lt;&gt;"",VLOOKUP(Alunos!A992,Recurso!A3:C1000,3, FALSE),"")</f>
        <v/>
      </c>
      <c r="H992" s="2" t="str">
        <f>IF(OR(A992&lt;&gt;"",G992&lt;&gt;""), SUMIFS(B992:G992,B1:G1,"&lt;&gt;",B2:G2,"&lt;&gt;Exame",B2:G2,"&lt;&gt;exame",B2:G2,"&lt;&gt;Nota",B2:G2,"&lt;&gt;Total"),"")</f>
        <v/>
      </c>
      <c r="I992" s="2" t="str">
        <f>IF(AND(A992&lt;&gt;"",H992&lt;&gt;""),ROUND(H992,0),"")</f>
        <v/>
      </c>
    </row>
    <row r="993" spans="2:9" x14ac:dyDescent="0.3">
      <c r="B993" s="2" t="str">
        <f>IF(A993&lt;&gt;"",VLOOKUP(Alunos!A993,Exame!A3:C1000,3, FALSE),"")</f>
        <v/>
      </c>
      <c r="C993" s="2" t="str">
        <f>IF(A993&lt;&gt;"",VLOOKUP(Alunos!A993,Agrupamentos!A3:B1000,2, FALSE),"")</f>
        <v/>
      </c>
      <c r="D993" s="2" t="str">
        <f>IF(A993&lt;&gt;"",VLOOKUP(Alunos!C993,'TP1'!A3:C1000,3, FALSE),"")</f>
        <v/>
      </c>
      <c r="E993" s="2" t="str">
        <f>IF(A993&lt;&gt;"", SUMIF(B1:D1,"&lt;&gt;",B993:D993),"")</f>
        <v/>
      </c>
      <c r="F993" s="2" t="str">
        <f>IF(AND(A993&lt;&gt;"",E993&lt;&gt;""),ROUND(E993,0),"")</f>
        <v/>
      </c>
      <c r="G993" s="2" t="str">
        <f>IF(A993&lt;&gt;"",VLOOKUP(Alunos!A993,Recurso!A3:C1000,3, FALSE),"")</f>
        <v/>
      </c>
      <c r="H993" s="2" t="str">
        <f>IF(OR(A993&lt;&gt;"",G993&lt;&gt;""), SUMIFS(B993:G993,B1:G1,"&lt;&gt;",B2:G2,"&lt;&gt;Exame",B2:G2,"&lt;&gt;exame",B2:G2,"&lt;&gt;Nota",B2:G2,"&lt;&gt;Total"),"")</f>
        <v/>
      </c>
      <c r="I993" s="2" t="str">
        <f>IF(AND(A993&lt;&gt;"",H993&lt;&gt;""),ROUND(H993,0),"")</f>
        <v/>
      </c>
    </row>
    <row r="994" spans="2:9" x14ac:dyDescent="0.3">
      <c r="B994" s="2" t="str">
        <f>IF(A994&lt;&gt;"",VLOOKUP(Alunos!A994,Exame!A3:C1000,3, FALSE),"")</f>
        <v/>
      </c>
      <c r="C994" s="2" t="str">
        <f>IF(A994&lt;&gt;"",VLOOKUP(Alunos!A994,Agrupamentos!A3:B1000,2, FALSE),"")</f>
        <v/>
      </c>
      <c r="D994" s="2" t="str">
        <f>IF(A994&lt;&gt;"",VLOOKUP(Alunos!C994,'TP1'!A3:C1000,3, FALSE),"")</f>
        <v/>
      </c>
      <c r="E994" s="2" t="str">
        <f>IF(A994&lt;&gt;"", SUMIF(B1:D1,"&lt;&gt;",B994:D994),"")</f>
        <v/>
      </c>
      <c r="F994" s="2" t="str">
        <f>IF(AND(A994&lt;&gt;"",E994&lt;&gt;""),ROUND(E994,0),"")</f>
        <v/>
      </c>
      <c r="G994" s="2" t="str">
        <f>IF(A994&lt;&gt;"",VLOOKUP(Alunos!A994,Recurso!A3:C1000,3, FALSE),"")</f>
        <v/>
      </c>
      <c r="H994" s="2" t="str">
        <f>IF(OR(A994&lt;&gt;"",G994&lt;&gt;""), SUMIFS(B994:G994,B1:G1,"&lt;&gt;",B2:G2,"&lt;&gt;Exame",B2:G2,"&lt;&gt;exame",B2:G2,"&lt;&gt;Nota",B2:G2,"&lt;&gt;Total"),"")</f>
        <v/>
      </c>
      <c r="I994" s="2" t="str">
        <f>IF(AND(A994&lt;&gt;"",H994&lt;&gt;""),ROUND(H994,0),"")</f>
        <v/>
      </c>
    </row>
    <row r="995" spans="2:9" x14ac:dyDescent="0.3">
      <c r="B995" s="2" t="str">
        <f>IF(A995&lt;&gt;"",VLOOKUP(Alunos!A995,Exame!A3:C1000,3, FALSE),"")</f>
        <v/>
      </c>
      <c r="C995" s="2" t="str">
        <f>IF(A995&lt;&gt;"",VLOOKUP(Alunos!A995,Agrupamentos!A3:B1000,2, FALSE),"")</f>
        <v/>
      </c>
      <c r="D995" s="2" t="str">
        <f>IF(A995&lt;&gt;"",VLOOKUP(Alunos!C995,'TP1'!A3:C1000,3, FALSE),"")</f>
        <v/>
      </c>
      <c r="E995" s="2" t="str">
        <f>IF(A995&lt;&gt;"", SUMIF(B1:D1,"&lt;&gt;",B995:D995),"")</f>
        <v/>
      </c>
      <c r="F995" s="2" t="str">
        <f>IF(AND(A995&lt;&gt;"",E995&lt;&gt;""),ROUND(E995,0),"")</f>
        <v/>
      </c>
      <c r="G995" s="2" t="str">
        <f>IF(A995&lt;&gt;"",VLOOKUP(Alunos!A995,Recurso!A3:C1000,3, FALSE),"")</f>
        <v/>
      </c>
      <c r="H995" s="2" t="str">
        <f>IF(OR(A995&lt;&gt;"",G995&lt;&gt;""), SUMIFS(B995:G995,B1:G1,"&lt;&gt;",B2:G2,"&lt;&gt;Exame",B2:G2,"&lt;&gt;exame",B2:G2,"&lt;&gt;Nota",B2:G2,"&lt;&gt;Total"),"")</f>
        <v/>
      </c>
      <c r="I995" s="2" t="str">
        <f>IF(AND(A995&lt;&gt;"",H995&lt;&gt;""),ROUND(H995,0),"")</f>
        <v/>
      </c>
    </row>
    <row r="996" spans="2:9" x14ac:dyDescent="0.3">
      <c r="B996" s="2" t="str">
        <f>IF(A996&lt;&gt;"",VLOOKUP(Alunos!A996,Exame!A3:C1000,3, FALSE),"")</f>
        <v/>
      </c>
      <c r="C996" s="2" t="str">
        <f>IF(A996&lt;&gt;"",VLOOKUP(Alunos!A996,Agrupamentos!A3:B1000,2, FALSE),"")</f>
        <v/>
      </c>
      <c r="D996" s="2" t="str">
        <f>IF(A996&lt;&gt;"",VLOOKUP(Alunos!C996,'TP1'!A3:C1000,3, FALSE),"")</f>
        <v/>
      </c>
      <c r="E996" s="2" t="str">
        <f>IF(A996&lt;&gt;"", SUMIF(B1:D1,"&lt;&gt;",B996:D996),"")</f>
        <v/>
      </c>
      <c r="F996" s="2" t="str">
        <f>IF(AND(A996&lt;&gt;"",E996&lt;&gt;""),ROUND(E996,0),"")</f>
        <v/>
      </c>
      <c r="G996" s="2" t="str">
        <f>IF(A996&lt;&gt;"",VLOOKUP(Alunos!A996,Recurso!A3:C1000,3, FALSE),"")</f>
        <v/>
      </c>
      <c r="H996" s="2" t="str">
        <f>IF(OR(A996&lt;&gt;"",G996&lt;&gt;""), SUMIFS(B996:G996,B1:G1,"&lt;&gt;",B2:G2,"&lt;&gt;Exame",B2:G2,"&lt;&gt;exame",B2:G2,"&lt;&gt;Nota",B2:G2,"&lt;&gt;Total"),"")</f>
        <v/>
      </c>
      <c r="I996" s="2" t="str">
        <f>IF(AND(A996&lt;&gt;"",H996&lt;&gt;""),ROUND(H996,0),"")</f>
        <v/>
      </c>
    </row>
    <row r="997" spans="2:9" x14ac:dyDescent="0.3">
      <c r="B997" s="2" t="str">
        <f>IF(A997&lt;&gt;"",VLOOKUP(Alunos!A997,Exame!A3:C1000,3, FALSE),"")</f>
        <v/>
      </c>
      <c r="C997" s="2" t="str">
        <f>IF(A997&lt;&gt;"",VLOOKUP(Alunos!A997,Agrupamentos!A3:B1000,2, FALSE),"")</f>
        <v/>
      </c>
      <c r="D997" s="2" t="str">
        <f>IF(A997&lt;&gt;"",VLOOKUP(Alunos!C997,'TP1'!A3:C1000,3, FALSE),"")</f>
        <v/>
      </c>
      <c r="E997" s="2" t="str">
        <f>IF(A997&lt;&gt;"", SUMIF(B1:D1,"&lt;&gt;",B997:D997),"")</f>
        <v/>
      </c>
      <c r="F997" s="2" t="str">
        <f>IF(AND(A997&lt;&gt;"",E997&lt;&gt;""),ROUND(E997,0),"")</f>
        <v/>
      </c>
      <c r="G997" s="2" t="str">
        <f>IF(A997&lt;&gt;"",VLOOKUP(Alunos!A997,Recurso!A3:C1000,3, FALSE),"")</f>
        <v/>
      </c>
      <c r="H997" s="2" t="str">
        <f>IF(OR(A997&lt;&gt;"",G997&lt;&gt;""), SUMIFS(B997:G997,B1:G1,"&lt;&gt;",B2:G2,"&lt;&gt;Exame",B2:G2,"&lt;&gt;exame",B2:G2,"&lt;&gt;Nota",B2:G2,"&lt;&gt;Total"),"")</f>
        <v/>
      </c>
      <c r="I997" s="2" t="str">
        <f>IF(AND(A997&lt;&gt;"",H997&lt;&gt;""),ROUND(H997,0),"")</f>
        <v/>
      </c>
    </row>
    <row r="998" spans="2:9" x14ac:dyDescent="0.3">
      <c r="B998" s="2" t="str">
        <f>IF(A998&lt;&gt;"",VLOOKUP(Alunos!A998,Exame!A3:C1000,3, FALSE),"")</f>
        <v/>
      </c>
      <c r="C998" s="2" t="str">
        <f>IF(A998&lt;&gt;"",VLOOKUP(Alunos!A998,Agrupamentos!A3:B1000,2, FALSE),"")</f>
        <v/>
      </c>
      <c r="D998" s="2" t="str">
        <f>IF(A998&lt;&gt;"",VLOOKUP(Alunos!C998,'TP1'!A3:C1000,3, FALSE),"")</f>
        <v/>
      </c>
      <c r="E998" s="2" t="str">
        <f>IF(A998&lt;&gt;"", SUMIF(B1:D1,"&lt;&gt;",B998:D998),"")</f>
        <v/>
      </c>
      <c r="F998" s="2" t="str">
        <f>IF(AND(A998&lt;&gt;"",E998&lt;&gt;""),ROUND(E998,0),"")</f>
        <v/>
      </c>
      <c r="G998" s="2" t="str">
        <f>IF(A998&lt;&gt;"",VLOOKUP(Alunos!A998,Recurso!A3:C1000,3, FALSE),"")</f>
        <v/>
      </c>
      <c r="H998" s="2" t="str">
        <f>IF(OR(A998&lt;&gt;"",G998&lt;&gt;""), SUMIFS(B998:G998,B1:G1,"&lt;&gt;",B2:G2,"&lt;&gt;Exame",B2:G2,"&lt;&gt;exame",B2:G2,"&lt;&gt;Nota",B2:G2,"&lt;&gt;Total"),"")</f>
        <v/>
      </c>
      <c r="I998" s="2" t="str">
        <f>IF(AND(A998&lt;&gt;"",H998&lt;&gt;""),ROUND(H998,0),"")</f>
        <v/>
      </c>
    </row>
    <row r="999" spans="2:9" x14ac:dyDescent="0.3">
      <c r="B999" s="2" t="str">
        <f>IF(A999&lt;&gt;"",VLOOKUP(Alunos!A999,Exame!A3:C1000,3, FALSE),"")</f>
        <v/>
      </c>
      <c r="C999" s="2" t="str">
        <f>IF(A999&lt;&gt;"",VLOOKUP(Alunos!A999,Agrupamentos!A3:B1000,2, FALSE),"")</f>
        <v/>
      </c>
      <c r="D999" s="2" t="str">
        <f>IF(A999&lt;&gt;"",VLOOKUP(Alunos!C999,'TP1'!A3:C1000,3, FALSE),"")</f>
        <v/>
      </c>
      <c r="E999" s="2" t="str">
        <f>IF(A999&lt;&gt;"", SUMIF(B1:D1,"&lt;&gt;",B999:D999),"")</f>
        <v/>
      </c>
      <c r="F999" s="2" t="str">
        <f>IF(AND(A999&lt;&gt;"",E999&lt;&gt;""),ROUND(E999,0),"")</f>
        <v/>
      </c>
      <c r="G999" s="2" t="str">
        <f>IF(A999&lt;&gt;"",VLOOKUP(Alunos!A999,Recurso!A3:C1000,3, FALSE),"")</f>
        <v/>
      </c>
      <c r="H999" s="2" t="str">
        <f>IF(OR(A999&lt;&gt;"",G999&lt;&gt;""), SUMIFS(B999:G999,B1:G1,"&lt;&gt;",B2:G2,"&lt;&gt;Exame",B2:G2,"&lt;&gt;exame",B2:G2,"&lt;&gt;Nota",B2:G2,"&lt;&gt;Total"),"")</f>
        <v/>
      </c>
      <c r="I999" s="2" t="str">
        <f>IF(AND(A999&lt;&gt;"",H999&lt;&gt;""),ROUND(H999,0),"")</f>
        <v/>
      </c>
    </row>
    <row r="1000" spans="2:9" x14ac:dyDescent="0.3">
      <c r="B1000" s="2" t="str">
        <f>IF(A1000&lt;&gt;"",VLOOKUP(Alunos!A1000,Exame!A3:C1000,3, FALSE),"")</f>
        <v/>
      </c>
      <c r="C1000" s="2" t="str">
        <f>IF(A1000&lt;&gt;"",VLOOKUP(Alunos!A1000,Agrupamentos!A3:B1000,2, FALSE),"")</f>
        <v/>
      </c>
      <c r="D1000" s="2" t="str">
        <f>IF(A1000&lt;&gt;"",VLOOKUP(Alunos!C1000,'TP1'!A3:C1000,3, FALSE),"")</f>
        <v/>
      </c>
      <c r="E1000" s="2" t="str">
        <f>IF(A1000&lt;&gt;"", SUMIF(B1:D1,"&lt;&gt;",B1000:D1000),"")</f>
        <v/>
      </c>
      <c r="F1000" s="2" t="str">
        <f>IF(AND(A1000&lt;&gt;"",E1000&lt;&gt;""),ROUND(E1000,0),"")</f>
        <v/>
      </c>
      <c r="G1000" s="2" t="str">
        <f>IF(A1000&lt;&gt;"",VLOOKUP(Alunos!A1000,Recurso!A3:C1000,3, FALSE),"")</f>
        <v/>
      </c>
      <c r="H1000" s="2" t="str">
        <f>IF(OR(A1000&lt;&gt;"",G1000&lt;&gt;""), SUMIFS(B1000:G1000,B1:G1,"&lt;&gt;",B2:G2,"&lt;&gt;Exame",B2:G2,"&lt;&gt;exame",B2:G2,"&lt;&gt;Nota",B2:G2,"&lt;&gt;Total"),"")</f>
        <v/>
      </c>
      <c r="I1000" s="2" t="str">
        <f>IF(AND(A1000&lt;&gt;"",H1000&lt;&gt;""),ROUND(H1000,0),"")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B12F-5EC5-4121-8CCA-0F836932622F}">
  <sheetPr codeName="Folha97"/>
  <dimension ref="A1:ZZ1000"/>
  <sheetViews>
    <sheetView workbookViewId="0">
      <selection activeCell="B4" sqref="B4"/>
    </sheetView>
  </sheetViews>
  <sheetFormatPr defaultRowHeight="14.4" x14ac:dyDescent="0.3"/>
  <cols>
    <col min="1" max="1" width="3.21875" style="2" bestFit="1" customWidth="1"/>
    <col min="2" max="2" width="3.109375" style="2" bestFit="1" customWidth="1"/>
    <col min="3" max="3" width="5.109375" style="2" bestFit="1" customWidth="1"/>
    <col min="4" max="702" width="8.88671875" style="2"/>
  </cols>
  <sheetData>
    <row r="1" spans="1:3" x14ac:dyDescent="0.3">
      <c r="B1" s="8">
        <v>20</v>
      </c>
      <c r="C1" s="8">
        <v>20</v>
      </c>
    </row>
    <row r="2" spans="1:3" x14ac:dyDescent="0.3">
      <c r="A2" s="7" t="s">
        <v>14</v>
      </c>
      <c r="B2" s="7" t="s">
        <v>19</v>
      </c>
      <c r="C2" s="7" t="s">
        <v>12</v>
      </c>
    </row>
    <row r="3" spans="1:3" x14ac:dyDescent="0.3">
      <c r="A3" s="2" t="s">
        <v>16</v>
      </c>
      <c r="B3" s="2">
        <v>3</v>
      </c>
      <c r="C3" s="2">
        <f>IF(A3&lt;&gt;"",SUM(B3),"")</f>
        <v>3</v>
      </c>
    </row>
    <row r="4" spans="1:3" x14ac:dyDescent="0.3">
      <c r="A4" s="2" t="s">
        <v>18</v>
      </c>
      <c r="B4" s="2">
        <v>15</v>
      </c>
      <c r="C4" s="2">
        <f>IF(A4&lt;&gt;"",SUM(B4),"")</f>
        <v>15</v>
      </c>
    </row>
    <row r="5" spans="1:3" x14ac:dyDescent="0.3">
      <c r="C5" s="2" t="str">
        <f>IF(A5&lt;&gt;"",SUM(B5),"")</f>
        <v/>
      </c>
    </row>
    <row r="6" spans="1:3" x14ac:dyDescent="0.3">
      <c r="C6" s="2" t="str">
        <f>IF(A6&lt;&gt;"",SUM(B6),"")</f>
        <v/>
      </c>
    </row>
    <row r="7" spans="1:3" x14ac:dyDescent="0.3">
      <c r="C7" s="2" t="str">
        <f>IF(A7&lt;&gt;"",SUM(B7),"")</f>
        <v/>
      </c>
    </row>
    <row r="8" spans="1:3" x14ac:dyDescent="0.3">
      <c r="C8" s="2" t="str">
        <f>IF(A8&lt;&gt;"",SUM(B8),"")</f>
        <v/>
      </c>
    </row>
    <row r="9" spans="1:3" x14ac:dyDescent="0.3">
      <c r="C9" s="2" t="str">
        <f>IF(A9&lt;&gt;"",SUM(B9),"")</f>
        <v/>
      </c>
    </row>
    <row r="10" spans="1:3" x14ac:dyDescent="0.3">
      <c r="C10" s="2" t="str">
        <f>IF(A10&lt;&gt;"",SUM(B10),"")</f>
        <v/>
      </c>
    </row>
    <row r="11" spans="1:3" x14ac:dyDescent="0.3">
      <c r="C11" s="2" t="str">
        <f>IF(A11&lt;&gt;"",SUM(B11),"")</f>
        <v/>
      </c>
    </row>
    <row r="12" spans="1:3" x14ac:dyDescent="0.3">
      <c r="C12" s="2" t="str">
        <f>IF(A12&lt;&gt;"",SUM(B12),"")</f>
        <v/>
      </c>
    </row>
    <row r="13" spans="1:3" x14ac:dyDescent="0.3">
      <c r="C13" s="2" t="str">
        <f>IF(A13&lt;&gt;"",SUM(B13),"")</f>
        <v/>
      </c>
    </row>
    <row r="14" spans="1:3" x14ac:dyDescent="0.3">
      <c r="C14" s="2" t="str">
        <f>IF(A14&lt;&gt;"",SUM(B14),"")</f>
        <v/>
      </c>
    </row>
    <row r="15" spans="1:3" x14ac:dyDescent="0.3">
      <c r="C15" s="2" t="str">
        <f>IF(A15&lt;&gt;"",SUM(B15),"")</f>
        <v/>
      </c>
    </row>
    <row r="16" spans="1:3" x14ac:dyDescent="0.3">
      <c r="C16" s="2" t="str">
        <f>IF(A16&lt;&gt;"",SUM(B16),"")</f>
        <v/>
      </c>
    </row>
    <row r="17" spans="3:3" x14ac:dyDescent="0.3">
      <c r="C17" s="2" t="str">
        <f>IF(A17&lt;&gt;"",SUM(B17),"")</f>
        <v/>
      </c>
    </row>
    <row r="18" spans="3:3" x14ac:dyDescent="0.3">
      <c r="C18" s="2" t="str">
        <f>IF(A18&lt;&gt;"",SUM(B18),"")</f>
        <v/>
      </c>
    </row>
    <row r="19" spans="3:3" x14ac:dyDescent="0.3">
      <c r="C19" s="2" t="str">
        <f>IF(A19&lt;&gt;"",SUM(B19),"")</f>
        <v/>
      </c>
    </row>
    <row r="20" spans="3:3" x14ac:dyDescent="0.3">
      <c r="C20" s="2" t="str">
        <f>IF(A20&lt;&gt;"",SUM(B20),"")</f>
        <v/>
      </c>
    </row>
    <row r="21" spans="3:3" x14ac:dyDescent="0.3">
      <c r="C21" s="2" t="str">
        <f>IF(A21&lt;&gt;"",SUM(B21),"")</f>
        <v/>
      </c>
    </row>
    <row r="22" spans="3:3" x14ac:dyDescent="0.3">
      <c r="C22" s="2" t="str">
        <f>IF(A22&lt;&gt;"",SUM(B22),"")</f>
        <v/>
      </c>
    </row>
    <row r="23" spans="3:3" x14ac:dyDescent="0.3">
      <c r="C23" s="2" t="str">
        <f>IF(A23&lt;&gt;"",SUM(B23),"")</f>
        <v/>
      </c>
    </row>
    <row r="24" spans="3:3" x14ac:dyDescent="0.3">
      <c r="C24" s="2" t="str">
        <f>IF(A24&lt;&gt;"",SUM(B24),"")</f>
        <v/>
      </c>
    </row>
    <row r="25" spans="3:3" x14ac:dyDescent="0.3">
      <c r="C25" s="2" t="str">
        <f>IF(A25&lt;&gt;"",SUM(B25),"")</f>
        <v/>
      </c>
    </row>
    <row r="26" spans="3:3" x14ac:dyDescent="0.3">
      <c r="C26" s="2" t="str">
        <f>IF(A26&lt;&gt;"",SUM(B26),"")</f>
        <v/>
      </c>
    </row>
    <row r="27" spans="3:3" x14ac:dyDescent="0.3">
      <c r="C27" s="2" t="str">
        <f>IF(A27&lt;&gt;"",SUM(B27),"")</f>
        <v/>
      </c>
    </row>
    <row r="28" spans="3:3" x14ac:dyDescent="0.3">
      <c r="C28" s="2" t="str">
        <f>IF(A28&lt;&gt;"",SUM(B28),"")</f>
        <v/>
      </c>
    </row>
    <row r="29" spans="3:3" x14ac:dyDescent="0.3">
      <c r="C29" s="2" t="str">
        <f>IF(A29&lt;&gt;"",SUM(B29),"")</f>
        <v/>
      </c>
    </row>
    <row r="30" spans="3:3" x14ac:dyDescent="0.3">
      <c r="C30" s="2" t="str">
        <f>IF(A30&lt;&gt;"",SUM(B30),"")</f>
        <v/>
      </c>
    </row>
    <row r="31" spans="3:3" x14ac:dyDescent="0.3">
      <c r="C31" s="2" t="str">
        <f>IF(A31&lt;&gt;"",SUM(B31),"")</f>
        <v/>
      </c>
    </row>
    <row r="32" spans="3:3" x14ac:dyDescent="0.3">
      <c r="C32" s="2" t="str">
        <f>IF(A32&lt;&gt;"",SUM(B32),"")</f>
        <v/>
      </c>
    </row>
    <row r="33" spans="3:3" x14ac:dyDescent="0.3">
      <c r="C33" s="2" t="str">
        <f>IF(A33&lt;&gt;"",SUM(B33),"")</f>
        <v/>
      </c>
    </row>
    <row r="34" spans="3:3" x14ac:dyDescent="0.3">
      <c r="C34" s="2" t="str">
        <f>IF(A34&lt;&gt;"",SUM(B34),"")</f>
        <v/>
      </c>
    </row>
    <row r="35" spans="3:3" x14ac:dyDescent="0.3">
      <c r="C35" s="2" t="str">
        <f>IF(A35&lt;&gt;"",SUM(B35),"")</f>
        <v/>
      </c>
    </row>
    <row r="36" spans="3:3" x14ac:dyDescent="0.3">
      <c r="C36" s="2" t="str">
        <f>IF(A36&lt;&gt;"",SUM(B36),"")</f>
        <v/>
      </c>
    </row>
    <row r="37" spans="3:3" x14ac:dyDescent="0.3">
      <c r="C37" s="2" t="str">
        <f>IF(A37&lt;&gt;"",SUM(B37),"")</f>
        <v/>
      </c>
    </row>
    <row r="38" spans="3:3" x14ac:dyDescent="0.3">
      <c r="C38" s="2" t="str">
        <f>IF(A38&lt;&gt;"",SUM(B38),"")</f>
        <v/>
      </c>
    </row>
    <row r="39" spans="3:3" x14ac:dyDescent="0.3">
      <c r="C39" s="2" t="str">
        <f>IF(A39&lt;&gt;"",SUM(B39),"")</f>
        <v/>
      </c>
    </row>
    <row r="40" spans="3:3" x14ac:dyDescent="0.3">
      <c r="C40" s="2" t="str">
        <f>IF(A40&lt;&gt;"",SUM(B40),"")</f>
        <v/>
      </c>
    </row>
    <row r="41" spans="3:3" x14ac:dyDescent="0.3">
      <c r="C41" s="2" t="str">
        <f>IF(A41&lt;&gt;"",SUM(B41),"")</f>
        <v/>
      </c>
    </row>
    <row r="42" spans="3:3" x14ac:dyDescent="0.3">
      <c r="C42" s="2" t="str">
        <f>IF(A42&lt;&gt;"",SUM(B42),"")</f>
        <v/>
      </c>
    </row>
    <row r="43" spans="3:3" x14ac:dyDescent="0.3">
      <c r="C43" s="2" t="str">
        <f>IF(A43&lt;&gt;"",SUM(B43),"")</f>
        <v/>
      </c>
    </row>
    <row r="44" spans="3:3" x14ac:dyDescent="0.3">
      <c r="C44" s="2" t="str">
        <f>IF(A44&lt;&gt;"",SUM(B44),"")</f>
        <v/>
      </c>
    </row>
    <row r="45" spans="3:3" x14ac:dyDescent="0.3">
      <c r="C45" s="2" t="str">
        <f>IF(A45&lt;&gt;"",SUM(B45),"")</f>
        <v/>
      </c>
    </row>
    <row r="46" spans="3:3" x14ac:dyDescent="0.3">
      <c r="C46" s="2" t="str">
        <f>IF(A46&lt;&gt;"",SUM(B46),"")</f>
        <v/>
      </c>
    </row>
    <row r="47" spans="3:3" x14ac:dyDescent="0.3">
      <c r="C47" s="2" t="str">
        <f>IF(A47&lt;&gt;"",SUM(B47),"")</f>
        <v/>
      </c>
    </row>
    <row r="48" spans="3:3" x14ac:dyDescent="0.3">
      <c r="C48" s="2" t="str">
        <f>IF(A48&lt;&gt;"",SUM(B48),"")</f>
        <v/>
      </c>
    </row>
    <row r="49" spans="3:3" x14ac:dyDescent="0.3">
      <c r="C49" s="2" t="str">
        <f>IF(A49&lt;&gt;"",SUM(B49),"")</f>
        <v/>
      </c>
    </row>
    <row r="50" spans="3:3" x14ac:dyDescent="0.3">
      <c r="C50" s="2" t="str">
        <f>IF(A50&lt;&gt;"",SUM(B50),"")</f>
        <v/>
      </c>
    </row>
    <row r="51" spans="3:3" x14ac:dyDescent="0.3">
      <c r="C51" s="2" t="str">
        <f>IF(A51&lt;&gt;"",SUM(B51),"")</f>
        <v/>
      </c>
    </row>
    <row r="52" spans="3:3" x14ac:dyDescent="0.3">
      <c r="C52" s="2" t="str">
        <f>IF(A52&lt;&gt;"",SUM(B52),"")</f>
        <v/>
      </c>
    </row>
    <row r="53" spans="3:3" x14ac:dyDescent="0.3">
      <c r="C53" s="2" t="str">
        <f>IF(A53&lt;&gt;"",SUM(B53),"")</f>
        <v/>
      </c>
    </row>
    <row r="54" spans="3:3" x14ac:dyDescent="0.3">
      <c r="C54" s="2" t="str">
        <f>IF(A54&lt;&gt;"",SUM(B54),"")</f>
        <v/>
      </c>
    </row>
    <row r="55" spans="3:3" x14ac:dyDescent="0.3">
      <c r="C55" s="2" t="str">
        <f>IF(A55&lt;&gt;"",SUM(B55),"")</f>
        <v/>
      </c>
    </row>
    <row r="56" spans="3:3" x14ac:dyDescent="0.3">
      <c r="C56" s="2" t="str">
        <f>IF(A56&lt;&gt;"",SUM(B56),"")</f>
        <v/>
      </c>
    </row>
    <row r="57" spans="3:3" x14ac:dyDescent="0.3">
      <c r="C57" s="2" t="str">
        <f>IF(A57&lt;&gt;"",SUM(B57),"")</f>
        <v/>
      </c>
    </row>
    <row r="58" spans="3:3" x14ac:dyDescent="0.3">
      <c r="C58" s="2" t="str">
        <f>IF(A58&lt;&gt;"",SUM(B58),"")</f>
        <v/>
      </c>
    </row>
    <row r="59" spans="3:3" x14ac:dyDescent="0.3">
      <c r="C59" s="2" t="str">
        <f>IF(A59&lt;&gt;"",SUM(B59),"")</f>
        <v/>
      </c>
    </row>
    <row r="60" spans="3:3" x14ac:dyDescent="0.3">
      <c r="C60" s="2" t="str">
        <f>IF(A60&lt;&gt;"",SUM(B60),"")</f>
        <v/>
      </c>
    </row>
    <row r="61" spans="3:3" x14ac:dyDescent="0.3">
      <c r="C61" s="2" t="str">
        <f>IF(A61&lt;&gt;"",SUM(B61),"")</f>
        <v/>
      </c>
    </row>
    <row r="62" spans="3:3" x14ac:dyDescent="0.3">
      <c r="C62" s="2" t="str">
        <f>IF(A62&lt;&gt;"",SUM(B62),"")</f>
        <v/>
      </c>
    </row>
    <row r="63" spans="3:3" x14ac:dyDescent="0.3">
      <c r="C63" s="2" t="str">
        <f>IF(A63&lt;&gt;"",SUM(B63),"")</f>
        <v/>
      </c>
    </row>
    <row r="64" spans="3:3" x14ac:dyDescent="0.3">
      <c r="C64" s="2" t="str">
        <f>IF(A64&lt;&gt;"",SUM(B64),"")</f>
        <v/>
      </c>
    </row>
    <row r="65" spans="3:3" x14ac:dyDescent="0.3">
      <c r="C65" s="2" t="str">
        <f>IF(A65&lt;&gt;"",SUM(B65),"")</f>
        <v/>
      </c>
    </row>
    <row r="66" spans="3:3" x14ac:dyDescent="0.3">
      <c r="C66" s="2" t="str">
        <f>IF(A66&lt;&gt;"",SUM(B66),"")</f>
        <v/>
      </c>
    </row>
    <row r="67" spans="3:3" x14ac:dyDescent="0.3">
      <c r="C67" s="2" t="str">
        <f>IF(A67&lt;&gt;"",SUM(B67),"")</f>
        <v/>
      </c>
    </row>
    <row r="68" spans="3:3" x14ac:dyDescent="0.3">
      <c r="C68" s="2" t="str">
        <f>IF(A68&lt;&gt;"",SUM(B68),"")</f>
        <v/>
      </c>
    </row>
    <row r="69" spans="3:3" x14ac:dyDescent="0.3">
      <c r="C69" s="2" t="str">
        <f>IF(A69&lt;&gt;"",SUM(B69),"")</f>
        <v/>
      </c>
    </row>
    <row r="70" spans="3:3" x14ac:dyDescent="0.3">
      <c r="C70" s="2" t="str">
        <f>IF(A70&lt;&gt;"",SUM(B70),"")</f>
        <v/>
      </c>
    </row>
    <row r="71" spans="3:3" x14ac:dyDescent="0.3">
      <c r="C71" s="2" t="str">
        <f>IF(A71&lt;&gt;"",SUM(B71),"")</f>
        <v/>
      </c>
    </row>
    <row r="72" spans="3:3" x14ac:dyDescent="0.3">
      <c r="C72" s="2" t="str">
        <f>IF(A72&lt;&gt;"",SUM(B72),"")</f>
        <v/>
      </c>
    </row>
    <row r="73" spans="3:3" x14ac:dyDescent="0.3">
      <c r="C73" s="2" t="str">
        <f>IF(A73&lt;&gt;"",SUM(B73),"")</f>
        <v/>
      </c>
    </row>
    <row r="74" spans="3:3" x14ac:dyDescent="0.3">
      <c r="C74" s="2" t="str">
        <f>IF(A74&lt;&gt;"",SUM(B74),"")</f>
        <v/>
      </c>
    </row>
    <row r="75" spans="3:3" x14ac:dyDescent="0.3">
      <c r="C75" s="2" t="str">
        <f>IF(A75&lt;&gt;"",SUM(B75),"")</f>
        <v/>
      </c>
    </row>
    <row r="76" spans="3:3" x14ac:dyDescent="0.3">
      <c r="C76" s="2" t="str">
        <f>IF(A76&lt;&gt;"",SUM(B76),"")</f>
        <v/>
      </c>
    </row>
    <row r="77" spans="3:3" x14ac:dyDescent="0.3">
      <c r="C77" s="2" t="str">
        <f>IF(A77&lt;&gt;"",SUM(B77),"")</f>
        <v/>
      </c>
    </row>
    <row r="78" spans="3:3" x14ac:dyDescent="0.3">
      <c r="C78" s="2" t="str">
        <f>IF(A78&lt;&gt;"",SUM(B78),"")</f>
        <v/>
      </c>
    </row>
    <row r="79" spans="3:3" x14ac:dyDescent="0.3">
      <c r="C79" s="2" t="str">
        <f>IF(A79&lt;&gt;"",SUM(B79),"")</f>
        <v/>
      </c>
    </row>
    <row r="80" spans="3:3" x14ac:dyDescent="0.3">
      <c r="C80" s="2" t="str">
        <f>IF(A80&lt;&gt;"",SUM(B80),"")</f>
        <v/>
      </c>
    </row>
    <row r="81" spans="3:3" x14ac:dyDescent="0.3">
      <c r="C81" s="2" t="str">
        <f>IF(A81&lt;&gt;"",SUM(B81),"")</f>
        <v/>
      </c>
    </row>
    <row r="82" spans="3:3" x14ac:dyDescent="0.3">
      <c r="C82" s="2" t="str">
        <f>IF(A82&lt;&gt;"",SUM(B82),"")</f>
        <v/>
      </c>
    </row>
    <row r="83" spans="3:3" x14ac:dyDescent="0.3">
      <c r="C83" s="2" t="str">
        <f>IF(A83&lt;&gt;"",SUM(B83),"")</f>
        <v/>
      </c>
    </row>
    <row r="84" spans="3:3" x14ac:dyDescent="0.3">
      <c r="C84" s="2" t="str">
        <f>IF(A84&lt;&gt;"",SUM(B84),"")</f>
        <v/>
      </c>
    </row>
    <row r="85" spans="3:3" x14ac:dyDescent="0.3">
      <c r="C85" s="2" t="str">
        <f>IF(A85&lt;&gt;"",SUM(B85),"")</f>
        <v/>
      </c>
    </row>
    <row r="86" spans="3:3" x14ac:dyDescent="0.3">
      <c r="C86" s="2" t="str">
        <f>IF(A86&lt;&gt;"",SUM(B86),"")</f>
        <v/>
      </c>
    </row>
    <row r="87" spans="3:3" x14ac:dyDescent="0.3">
      <c r="C87" s="2" t="str">
        <f>IF(A87&lt;&gt;"",SUM(B87),"")</f>
        <v/>
      </c>
    </row>
    <row r="88" spans="3:3" x14ac:dyDescent="0.3">
      <c r="C88" s="2" t="str">
        <f>IF(A88&lt;&gt;"",SUM(B88),"")</f>
        <v/>
      </c>
    </row>
    <row r="89" spans="3:3" x14ac:dyDescent="0.3">
      <c r="C89" s="2" t="str">
        <f>IF(A89&lt;&gt;"",SUM(B89),"")</f>
        <v/>
      </c>
    </row>
    <row r="90" spans="3:3" x14ac:dyDescent="0.3">
      <c r="C90" s="2" t="str">
        <f>IF(A90&lt;&gt;"",SUM(B90),"")</f>
        <v/>
      </c>
    </row>
    <row r="91" spans="3:3" x14ac:dyDescent="0.3">
      <c r="C91" s="2" t="str">
        <f>IF(A91&lt;&gt;"",SUM(B91),"")</f>
        <v/>
      </c>
    </row>
    <row r="92" spans="3:3" x14ac:dyDescent="0.3">
      <c r="C92" s="2" t="str">
        <f>IF(A92&lt;&gt;"",SUM(B92),"")</f>
        <v/>
      </c>
    </row>
    <row r="93" spans="3:3" x14ac:dyDescent="0.3">
      <c r="C93" s="2" t="str">
        <f>IF(A93&lt;&gt;"",SUM(B93),"")</f>
        <v/>
      </c>
    </row>
    <row r="94" spans="3:3" x14ac:dyDescent="0.3">
      <c r="C94" s="2" t="str">
        <f>IF(A94&lt;&gt;"",SUM(B94),"")</f>
        <v/>
      </c>
    </row>
    <row r="95" spans="3:3" x14ac:dyDescent="0.3">
      <c r="C95" s="2" t="str">
        <f>IF(A95&lt;&gt;"",SUM(B95),"")</f>
        <v/>
      </c>
    </row>
    <row r="96" spans="3:3" x14ac:dyDescent="0.3">
      <c r="C96" s="2" t="str">
        <f>IF(A96&lt;&gt;"",SUM(B96),"")</f>
        <v/>
      </c>
    </row>
    <row r="97" spans="3:3" x14ac:dyDescent="0.3">
      <c r="C97" s="2" t="str">
        <f>IF(A97&lt;&gt;"",SUM(B97),"")</f>
        <v/>
      </c>
    </row>
    <row r="98" spans="3:3" x14ac:dyDescent="0.3">
      <c r="C98" s="2" t="str">
        <f>IF(A98&lt;&gt;"",SUM(B98),"")</f>
        <v/>
      </c>
    </row>
    <row r="99" spans="3:3" x14ac:dyDescent="0.3">
      <c r="C99" s="2" t="str">
        <f>IF(A99&lt;&gt;"",SUM(B99),"")</f>
        <v/>
      </c>
    </row>
    <row r="100" spans="3:3" x14ac:dyDescent="0.3">
      <c r="C100" s="2" t="str">
        <f>IF(A100&lt;&gt;"",SUM(B100),"")</f>
        <v/>
      </c>
    </row>
    <row r="101" spans="3:3" x14ac:dyDescent="0.3">
      <c r="C101" s="2" t="str">
        <f>IF(A101&lt;&gt;"",SUM(B101),"")</f>
        <v/>
      </c>
    </row>
    <row r="102" spans="3:3" x14ac:dyDescent="0.3">
      <c r="C102" s="2" t="str">
        <f>IF(A102&lt;&gt;"",SUM(B102),"")</f>
        <v/>
      </c>
    </row>
    <row r="103" spans="3:3" x14ac:dyDescent="0.3">
      <c r="C103" s="2" t="str">
        <f>IF(A103&lt;&gt;"",SUM(B103),"")</f>
        <v/>
      </c>
    </row>
    <row r="104" spans="3:3" x14ac:dyDescent="0.3">
      <c r="C104" s="2" t="str">
        <f>IF(A104&lt;&gt;"",SUM(B104),"")</f>
        <v/>
      </c>
    </row>
    <row r="105" spans="3:3" x14ac:dyDescent="0.3">
      <c r="C105" s="2" t="str">
        <f>IF(A105&lt;&gt;"",SUM(B105),"")</f>
        <v/>
      </c>
    </row>
    <row r="106" spans="3:3" x14ac:dyDescent="0.3">
      <c r="C106" s="2" t="str">
        <f>IF(A106&lt;&gt;"",SUM(B106),"")</f>
        <v/>
      </c>
    </row>
    <row r="107" spans="3:3" x14ac:dyDescent="0.3">
      <c r="C107" s="2" t="str">
        <f>IF(A107&lt;&gt;"",SUM(B107),"")</f>
        <v/>
      </c>
    </row>
    <row r="108" spans="3:3" x14ac:dyDescent="0.3">
      <c r="C108" s="2" t="str">
        <f>IF(A108&lt;&gt;"",SUM(B108),"")</f>
        <v/>
      </c>
    </row>
    <row r="109" spans="3:3" x14ac:dyDescent="0.3">
      <c r="C109" s="2" t="str">
        <f>IF(A109&lt;&gt;"",SUM(B109),"")</f>
        <v/>
      </c>
    </row>
    <row r="110" spans="3:3" x14ac:dyDescent="0.3">
      <c r="C110" s="2" t="str">
        <f>IF(A110&lt;&gt;"",SUM(B110),"")</f>
        <v/>
      </c>
    </row>
    <row r="111" spans="3:3" x14ac:dyDescent="0.3">
      <c r="C111" s="2" t="str">
        <f>IF(A111&lt;&gt;"",SUM(B111),"")</f>
        <v/>
      </c>
    </row>
    <row r="112" spans="3:3" x14ac:dyDescent="0.3">
      <c r="C112" s="2" t="str">
        <f>IF(A112&lt;&gt;"",SUM(B112),"")</f>
        <v/>
      </c>
    </row>
    <row r="113" spans="3:3" x14ac:dyDescent="0.3">
      <c r="C113" s="2" t="str">
        <f>IF(A113&lt;&gt;"",SUM(B113),"")</f>
        <v/>
      </c>
    </row>
    <row r="114" spans="3:3" x14ac:dyDescent="0.3">
      <c r="C114" s="2" t="str">
        <f>IF(A114&lt;&gt;"",SUM(B114),"")</f>
        <v/>
      </c>
    </row>
    <row r="115" spans="3:3" x14ac:dyDescent="0.3">
      <c r="C115" s="2" t="str">
        <f>IF(A115&lt;&gt;"",SUM(B115),"")</f>
        <v/>
      </c>
    </row>
    <row r="116" spans="3:3" x14ac:dyDescent="0.3">
      <c r="C116" s="2" t="str">
        <f>IF(A116&lt;&gt;"",SUM(B116),"")</f>
        <v/>
      </c>
    </row>
    <row r="117" spans="3:3" x14ac:dyDescent="0.3">
      <c r="C117" s="2" t="str">
        <f>IF(A117&lt;&gt;"",SUM(B117),"")</f>
        <v/>
      </c>
    </row>
    <row r="118" spans="3:3" x14ac:dyDescent="0.3">
      <c r="C118" s="2" t="str">
        <f>IF(A118&lt;&gt;"",SUM(B118),"")</f>
        <v/>
      </c>
    </row>
    <row r="119" spans="3:3" x14ac:dyDescent="0.3">
      <c r="C119" s="2" t="str">
        <f>IF(A119&lt;&gt;"",SUM(B119),"")</f>
        <v/>
      </c>
    </row>
    <row r="120" spans="3:3" x14ac:dyDescent="0.3">
      <c r="C120" s="2" t="str">
        <f>IF(A120&lt;&gt;"",SUM(B120),"")</f>
        <v/>
      </c>
    </row>
    <row r="121" spans="3:3" x14ac:dyDescent="0.3">
      <c r="C121" s="2" t="str">
        <f>IF(A121&lt;&gt;"",SUM(B121),"")</f>
        <v/>
      </c>
    </row>
    <row r="122" spans="3:3" x14ac:dyDescent="0.3">
      <c r="C122" s="2" t="str">
        <f>IF(A122&lt;&gt;"",SUM(B122),"")</f>
        <v/>
      </c>
    </row>
    <row r="123" spans="3:3" x14ac:dyDescent="0.3">
      <c r="C123" s="2" t="str">
        <f>IF(A123&lt;&gt;"",SUM(B123),"")</f>
        <v/>
      </c>
    </row>
    <row r="124" spans="3:3" x14ac:dyDescent="0.3">
      <c r="C124" s="2" t="str">
        <f>IF(A124&lt;&gt;"",SUM(B124),"")</f>
        <v/>
      </c>
    </row>
    <row r="125" spans="3:3" x14ac:dyDescent="0.3">
      <c r="C125" s="2" t="str">
        <f>IF(A125&lt;&gt;"",SUM(B125),"")</f>
        <v/>
      </c>
    </row>
    <row r="126" spans="3:3" x14ac:dyDescent="0.3">
      <c r="C126" s="2" t="str">
        <f>IF(A126&lt;&gt;"",SUM(B126),"")</f>
        <v/>
      </c>
    </row>
    <row r="127" spans="3:3" x14ac:dyDescent="0.3">
      <c r="C127" s="2" t="str">
        <f>IF(A127&lt;&gt;"",SUM(B127),"")</f>
        <v/>
      </c>
    </row>
    <row r="128" spans="3:3" x14ac:dyDescent="0.3">
      <c r="C128" s="2" t="str">
        <f>IF(A128&lt;&gt;"",SUM(B128),"")</f>
        <v/>
      </c>
    </row>
    <row r="129" spans="3:3" x14ac:dyDescent="0.3">
      <c r="C129" s="2" t="str">
        <f>IF(A129&lt;&gt;"",SUM(B129),"")</f>
        <v/>
      </c>
    </row>
    <row r="130" spans="3:3" x14ac:dyDescent="0.3">
      <c r="C130" s="2" t="str">
        <f>IF(A130&lt;&gt;"",SUM(B130),"")</f>
        <v/>
      </c>
    </row>
    <row r="131" spans="3:3" x14ac:dyDescent="0.3">
      <c r="C131" s="2" t="str">
        <f>IF(A131&lt;&gt;"",SUM(B131),"")</f>
        <v/>
      </c>
    </row>
    <row r="132" spans="3:3" x14ac:dyDescent="0.3">
      <c r="C132" s="2" t="str">
        <f>IF(A132&lt;&gt;"",SUM(B132),"")</f>
        <v/>
      </c>
    </row>
    <row r="133" spans="3:3" x14ac:dyDescent="0.3">
      <c r="C133" s="2" t="str">
        <f>IF(A133&lt;&gt;"",SUM(B133),"")</f>
        <v/>
      </c>
    </row>
    <row r="134" spans="3:3" x14ac:dyDescent="0.3">
      <c r="C134" s="2" t="str">
        <f>IF(A134&lt;&gt;"",SUM(B134),"")</f>
        <v/>
      </c>
    </row>
    <row r="135" spans="3:3" x14ac:dyDescent="0.3">
      <c r="C135" s="2" t="str">
        <f>IF(A135&lt;&gt;"",SUM(B135),"")</f>
        <v/>
      </c>
    </row>
    <row r="136" spans="3:3" x14ac:dyDescent="0.3">
      <c r="C136" s="2" t="str">
        <f>IF(A136&lt;&gt;"",SUM(B136),"")</f>
        <v/>
      </c>
    </row>
    <row r="137" spans="3:3" x14ac:dyDescent="0.3">
      <c r="C137" s="2" t="str">
        <f>IF(A137&lt;&gt;"",SUM(B137),"")</f>
        <v/>
      </c>
    </row>
    <row r="138" spans="3:3" x14ac:dyDescent="0.3">
      <c r="C138" s="2" t="str">
        <f>IF(A138&lt;&gt;"",SUM(B138),"")</f>
        <v/>
      </c>
    </row>
    <row r="139" spans="3:3" x14ac:dyDescent="0.3">
      <c r="C139" s="2" t="str">
        <f>IF(A139&lt;&gt;"",SUM(B139),"")</f>
        <v/>
      </c>
    </row>
    <row r="140" spans="3:3" x14ac:dyDescent="0.3">
      <c r="C140" s="2" t="str">
        <f>IF(A140&lt;&gt;"",SUM(B140),"")</f>
        <v/>
      </c>
    </row>
    <row r="141" spans="3:3" x14ac:dyDescent="0.3">
      <c r="C141" s="2" t="str">
        <f>IF(A141&lt;&gt;"",SUM(B141),"")</f>
        <v/>
      </c>
    </row>
    <row r="142" spans="3:3" x14ac:dyDescent="0.3">
      <c r="C142" s="2" t="str">
        <f>IF(A142&lt;&gt;"",SUM(B142),"")</f>
        <v/>
      </c>
    </row>
    <row r="143" spans="3:3" x14ac:dyDescent="0.3">
      <c r="C143" s="2" t="str">
        <f>IF(A143&lt;&gt;"",SUM(B143),"")</f>
        <v/>
      </c>
    </row>
    <row r="144" spans="3:3" x14ac:dyDescent="0.3">
      <c r="C144" s="2" t="str">
        <f>IF(A144&lt;&gt;"",SUM(B144),"")</f>
        <v/>
      </c>
    </row>
    <row r="145" spans="3:3" x14ac:dyDescent="0.3">
      <c r="C145" s="2" t="str">
        <f>IF(A145&lt;&gt;"",SUM(B145),"")</f>
        <v/>
      </c>
    </row>
    <row r="146" spans="3:3" x14ac:dyDescent="0.3">
      <c r="C146" s="2" t="str">
        <f>IF(A146&lt;&gt;"",SUM(B146),"")</f>
        <v/>
      </c>
    </row>
    <row r="147" spans="3:3" x14ac:dyDescent="0.3">
      <c r="C147" s="2" t="str">
        <f>IF(A147&lt;&gt;"",SUM(B147),"")</f>
        <v/>
      </c>
    </row>
    <row r="148" spans="3:3" x14ac:dyDescent="0.3">
      <c r="C148" s="2" t="str">
        <f>IF(A148&lt;&gt;"",SUM(B148),"")</f>
        <v/>
      </c>
    </row>
    <row r="149" spans="3:3" x14ac:dyDescent="0.3">
      <c r="C149" s="2" t="str">
        <f>IF(A149&lt;&gt;"",SUM(B149),"")</f>
        <v/>
      </c>
    </row>
    <row r="150" spans="3:3" x14ac:dyDescent="0.3">
      <c r="C150" s="2" t="str">
        <f>IF(A150&lt;&gt;"",SUM(B150),"")</f>
        <v/>
      </c>
    </row>
    <row r="151" spans="3:3" x14ac:dyDescent="0.3">
      <c r="C151" s="2" t="str">
        <f>IF(A151&lt;&gt;"",SUM(B151),"")</f>
        <v/>
      </c>
    </row>
    <row r="152" spans="3:3" x14ac:dyDescent="0.3">
      <c r="C152" s="2" t="str">
        <f>IF(A152&lt;&gt;"",SUM(B152),"")</f>
        <v/>
      </c>
    </row>
    <row r="153" spans="3:3" x14ac:dyDescent="0.3">
      <c r="C153" s="2" t="str">
        <f>IF(A153&lt;&gt;"",SUM(B153),"")</f>
        <v/>
      </c>
    </row>
    <row r="154" spans="3:3" x14ac:dyDescent="0.3">
      <c r="C154" s="2" t="str">
        <f>IF(A154&lt;&gt;"",SUM(B154),"")</f>
        <v/>
      </c>
    </row>
    <row r="155" spans="3:3" x14ac:dyDescent="0.3">
      <c r="C155" s="2" t="str">
        <f>IF(A155&lt;&gt;"",SUM(B155),"")</f>
        <v/>
      </c>
    </row>
    <row r="156" spans="3:3" x14ac:dyDescent="0.3">
      <c r="C156" s="2" t="str">
        <f>IF(A156&lt;&gt;"",SUM(B156),"")</f>
        <v/>
      </c>
    </row>
    <row r="157" spans="3:3" x14ac:dyDescent="0.3">
      <c r="C157" s="2" t="str">
        <f>IF(A157&lt;&gt;"",SUM(B157),"")</f>
        <v/>
      </c>
    </row>
    <row r="158" spans="3:3" x14ac:dyDescent="0.3">
      <c r="C158" s="2" t="str">
        <f>IF(A158&lt;&gt;"",SUM(B158),"")</f>
        <v/>
      </c>
    </row>
    <row r="159" spans="3:3" x14ac:dyDescent="0.3">
      <c r="C159" s="2" t="str">
        <f>IF(A159&lt;&gt;"",SUM(B159),"")</f>
        <v/>
      </c>
    </row>
    <row r="160" spans="3:3" x14ac:dyDescent="0.3">
      <c r="C160" s="2" t="str">
        <f>IF(A160&lt;&gt;"",SUM(B160),"")</f>
        <v/>
      </c>
    </row>
    <row r="161" spans="3:3" x14ac:dyDescent="0.3">
      <c r="C161" s="2" t="str">
        <f>IF(A161&lt;&gt;"",SUM(B161),"")</f>
        <v/>
      </c>
    </row>
    <row r="162" spans="3:3" x14ac:dyDescent="0.3">
      <c r="C162" s="2" t="str">
        <f>IF(A162&lt;&gt;"",SUM(B162),"")</f>
        <v/>
      </c>
    </row>
    <row r="163" spans="3:3" x14ac:dyDescent="0.3">
      <c r="C163" s="2" t="str">
        <f>IF(A163&lt;&gt;"",SUM(B163),"")</f>
        <v/>
      </c>
    </row>
    <row r="164" spans="3:3" x14ac:dyDescent="0.3">
      <c r="C164" s="2" t="str">
        <f>IF(A164&lt;&gt;"",SUM(B164),"")</f>
        <v/>
      </c>
    </row>
    <row r="165" spans="3:3" x14ac:dyDescent="0.3">
      <c r="C165" s="2" t="str">
        <f>IF(A165&lt;&gt;"",SUM(B165),"")</f>
        <v/>
      </c>
    </row>
    <row r="166" spans="3:3" x14ac:dyDescent="0.3">
      <c r="C166" s="2" t="str">
        <f>IF(A166&lt;&gt;"",SUM(B166),"")</f>
        <v/>
      </c>
    </row>
    <row r="167" spans="3:3" x14ac:dyDescent="0.3">
      <c r="C167" s="2" t="str">
        <f>IF(A167&lt;&gt;"",SUM(B167),"")</f>
        <v/>
      </c>
    </row>
    <row r="168" spans="3:3" x14ac:dyDescent="0.3">
      <c r="C168" s="2" t="str">
        <f>IF(A168&lt;&gt;"",SUM(B168),"")</f>
        <v/>
      </c>
    </row>
    <row r="169" spans="3:3" x14ac:dyDescent="0.3">
      <c r="C169" s="2" t="str">
        <f>IF(A169&lt;&gt;"",SUM(B169),"")</f>
        <v/>
      </c>
    </row>
    <row r="170" spans="3:3" x14ac:dyDescent="0.3">
      <c r="C170" s="2" t="str">
        <f>IF(A170&lt;&gt;"",SUM(B170),"")</f>
        <v/>
      </c>
    </row>
    <row r="171" spans="3:3" x14ac:dyDescent="0.3">
      <c r="C171" s="2" t="str">
        <f>IF(A171&lt;&gt;"",SUM(B171),"")</f>
        <v/>
      </c>
    </row>
    <row r="172" spans="3:3" x14ac:dyDescent="0.3">
      <c r="C172" s="2" t="str">
        <f>IF(A172&lt;&gt;"",SUM(B172),"")</f>
        <v/>
      </c>
    </row>
    <row r="173" spans="3:3" x14ac:dyDescent="0.3">
      <c r="C173" s="2" t="str">
        <f>IF(A173&lt;&gt;"",SUM(B173),"")</f>
        <v/>
      </c>
    </row>
    <row r="174" spans="3:3" x14ac:dyDescent="0.3">
      <c r="C174" s="2" t="str">
        <f>IF(A174&lt;&gt;"",SUM(B174),"")</f>
        <v/>
      </c>
    </row>
    <row r="175" spans="3:3" x14ac:dyDescent="0.3">
      <c r="C175" s="2" t="str">
        <f>IF(A175&lt;&gt;"",SUM(B175),"")</f>
        <v/>
      </c>
    </row>
    <row r="176" spans="3:3" x14ac:dyDescent="0.3">
      <c r="C176" s="2" t="str">
        <f>IF(A176&lt;&gt;"",SUM(B176),"")</f>
        <v/>
      </c>
    </row>
    <row r="177" spans="3:3" x14ac:dyDescent="0.3">
      <c r="C177" s="2" t="str">
        <f>IF(A177&lt;&gt;"",SUM(B177),"")</f>
        <v/>
      </c>
    </row>
    <row r="178" spans="3:3" x14ac:dyDescent="0.3">
      <c r="C178" s="2" t="str">
        <f>IF(A178&lt;&gt;"",SUM(B178),"")</f>
        <v/>
      </c>
    </row>
    <row r="179" spans="3:3" x14ac:dyDescent="0.3">
      <c r="C179" s="2" t="str">
        <f>IF(A179&lt;&gt;"",SUM(B179),"")</f>
        <v/>
      </c>
    </row>
    <row r="180" spans="3:3" x14ac:dyDescent="0.3">
      <c r="C180" s="2" t="str">
        <f>IF(A180&lt;&gt;"",SUM(B180),"")</f>
        <v/>
      </c>
    </row>
    <row r="181" spans="3:3" x14ac:dyDescent="0.3">
      <c r="C181" s="2" t="str">
        <f>IF(A181&lt;&gt;"",SUM(B181),"")</f>
        <v/>
      </c>
    </row>
    <row r="182" spans="3:3" x14ac:dyDescent="0.3">
      <c r="C182" s="2" t="str">
        <f>IF(A182&lt;&gt;"",SUM(B182),"")</f>
        <v/>
      </c>
    </row>
    <row r="183" spans="3:3" x14ac:dyDescent="0.3">
      <c r="C183" s="2" t="str">
        <f>IF(A183&lt;&gt;"",SUM(B183),"")</f>
        <v/>
      </c>
    </row>
    <row r="184" spans="3:3" x14ac:dyDescent="0.3">
      <c r="C184" s="2" t="str">
        <f>IF(A184&lt;&gt;"",SUM(B184),"")</f>
        <v/>
      </c>
    </row>
    <row r="185" spans="3:3" x14ac:dyDescent="0.3">
      <c r="C185" s="2" t="str">
        <f>IF(A185&lt;&gt;"",SUM(B185),"")</f>
        <v/>
      </c>
    </row>
    <row r="186" spans="3:3" x14ac:dyDescent="0.3">
      <c r="C186" s="2" t="str">
        <f>IF(A186&lt;&gt;"",SUM(B186),"")</f>
        <v/>
      </c>
    </row>
    <row r="187" spans="3:3" x14ac:dyDescent="0.3">
      <c r="C187" s="2" t="str">
        <f>IF(A187&lt;&gt;"",SUM(B187),"")</f>
        <v/>
      </c>
    </row>
    <row r="188" spans="3:3" x14ac:dyDescent="0.3">
      <c r="C188" s="2" t="str">
        <f>IF(A188&lt;&gt;"",SUM(B188),"")</f>
        <v/>
      </c>
    </row>
    <row r="189" spans="3:3" x14ac:dyDescent="0.3">
      <c r="C189" s="2" t="str">
        <f>IF(A189&lt;&gt;"",SUM(B189),"")</f>
        <v/>
      </c>
    </row>
    <row r="190" spans="3:3" x14ac:dyDescent="0.3">
      <c r="C190" s="2" t="str">
        <f>IF(A190&lt;&gt;"",SUM(B190),"")</f>
        <v/>
      </c>
    </row>
    <row r="191" spans="3:3" x14ac:dyDescent="0.3">
      <c r="C191" s="2" t="str">
        <f>IF(A191&lt;&gt;"",SUM(B191),"")</f>
        <v/>
      </c>
    </row>
    <row r="192" spans="3:3" x14ac:dyDescent="0.3">
      <c r="C192" s="2" t="str">
        <f>IF(A192&lt;&gt;"",SUM(B192),"")</f>
        <v/>
      </c>
    </row>
    <row r="193" spans="3:3" x14ac:dyDescent="0.3">
      <c r="C193" s="2" t="str">
        <f>IF(A193&lt;&gt;"",SUM(B193),"")</f>
        <v/>
      </c>
    </row>
    <row r="194" spans="3:3" x14ac:dyDescent="0.3">
      <c r="C194" s="2" t="str">
        <f>IF(A194&lt;&gt;"",SUM(B194),"")</f>
        <v/>
      </c>
    </row>
    <row r="195" spans="3:3" x14ac:dyDescent="0.3">
      <c r="C195" s="2" t="str">
        <f>IF(A195&lt;&gt;"",SUM(B195),"")</f>
        <v/>
      </c>
    </row>
    <row r="196" spans="3:3" x14ac:dyDescent="0.3">
      <c r="C196" s="2" t="str">
        <f>IF(A196&lt;&gt;"",SUM(B196),"")</f>
        <v/>
      </c>
    </row>
    <row r="197" spans="3:3" x14ac:dyDescent="0.3">
      <c r="C197" s="2" t="str">
        <f>IF(A197&lt;&gt;"",SUM(B197),"")</f>
        <v/>
      </c>
    </row>
    <row r="198" spans="3:3" x14ac:dyDescent="0.3">
      <c r="C198" s="2" t="str">
        <f>IF(A198&lt;&gt;"",SUM(B198),"")</f>
        <v/>
      </c>
    </row>
    <row r="199" spans="3:3" x14ac:dyDescent="0.3">
      <c r="C199" s="2" t="str">
        <f>IF(A199&lt;&gt;"",SUM(B199),"")</f>
        <v/>
      </c>
    </row>
    <row r="200" spans="3:3" x14ac:dyDescent="0.3">
      <c r="C200" s="2" t="str">
        <f>IF(A200&lt;&gt;"",SUM(B200),"")</f>
        <v/>
      </c>
    </row>
    <row r="201" spans="3:3" x14ac:dyDescent="0.3">
      <c r="C201" s="2" t="str">
        <f>IF(A201&lt;&gt;"",SUM(B201),"")</f>
        <v/>
      </c>
    </row>
    <row r="202" spans="3:3" x14ac:dyDescent="0.3">
      <c r="C202" s="2" t="str">
        <f>IF(A202&lt;&gt;"",SUM(B202),"")</f>
        <v/>
      </c>
    </row>
    <row r="203" spans="3:3" x14ac:dyDescent="0.3">
      <c r="C203" s="2" t="str">
        <f>IF(A203&lt;&gt;"",SUM(B203),"")</f>
        <v/>
      </c>
    </row>
    <row r="204" spans="3:3" x14ac:dyDescent="0.3">
      <c r="C204" s="2" t="str">
        <f>IF(A204&lt;&gt;"",SUM(B204),"")</f>
        <v/>
      </c>
    </row>
    <row r="205" spans="3:3" x14ac:dyDescent="0.3">
      <c r="C205" s="2" t="str">
        <f>IF(A205&lt;&gt;"",SUM(B205),"")</f>
        <v/>
      </c>
    </row>
    <row r="206" spans="3:3" x14ac:dyDescent="0.3">
      <c r="C206" s="2" t="str">
        <f>IF(A206&lt;&gt;"",SUM(B206),"")</f>
        <v/>
      </c>
    </row>
    <row r="207" spans="3:3" x14ac:dyDescent="0.3">
      <c r="C207" s="2" t="str">
        <f>IF(A207&lt;&gt;"",SUM(B207),"")</f>
        <v/>
      </c>
    </row>
    <row r="208" spans="3:3" x14ac:dyDescent="0.3">
      <c r="C208" s="2" t="str">
        <f>IF(A208&lt;&gt;"",SUM(B208),"")</f>
        <v/>
      </c>
    </row>
    <row r="209" spans="3:3" x14ac:dyDescent="0.3">
      <c r="C209" s="2" t="str">
        <f>IF(A209&lt;&gt;"",SUM(B209),"")</f>
        <v/>
      </c>
    </row>
    <row r="210" spans="3:3" x14ac:dyDescent="0.3">
      <c r="C210" s="2" t="str">
        <f>IF(A210&lt;&gt;"",SUM(B210),"")</f>
        <v/>
      </c>
    </row>
    <row r="211" spans="3:3" x14ac:dyDescent="0.3">
      <c r="C211" s="2" t="str">
        <f>IF(A211&lt;&gt;"",SUM(B211),"")</f>
        <v/>
      </c>
    </row>
    <row r="212" spans="3:3" x14ac:dyDescent="0.3">
      <c r="C212" s="2" t="str">
        <f>IF(A212&lt;&gt;"",SUM(B212),"")</f>
        <v/>
      </c>
    </row>
    <row r="213" spans="3:3" x14ac:dyDescent="0.3">
      <c r="C213" s="2" t="str">
        <f>IF(A213&lt;&gt;"",SUM(B213),"")</f>
        <v/>
      </c>
    </row>
    <row r="214" spans="3:3" x14ac:dyDescent="0.3">
      <c r="C214" s="2" t="str">
        <f>IF(A214&lt;&gt;"",SUM(B214),"")</f>
        <v/>
      </c>
    </row>
    <row r="215" spans="3:3" x14ac:dyDescent="0.3">
      <c r="C215" s="2" t="str">
        <f>IF(A215&lt;&gt;"",SUM(B215),"")</f>
        <v/>
      </c>
    </row>
    <row r="216" spans="3:3" x14ac:dyDescent="0.3">
      <c r="C216" s="2" t="str">
        <f>IF(A216&lt;&gt;"",SUM(B216),"")</f>
        <v/>
      </c>
    </row>
    <row r="217" spans="3:3" x14ac:dyDescent="0.3">
      <c r="C217" s="2" t="str">
        <f>IF(A217&lt;&gt;"",SUM(B217),"")</f>
        <v/>
      </c>
    </row>
    <row r="218" spans="3:3" x14ac:dyDescent="0.3">
      <c r="C218" s="2" t="str">
        <f>IF(A218&lt;&gt;"",SUM(B218),"")</f>
        <v/>
      </c>
    </row>
    <row r="219" spans="3:3" x14ac:dyDescent="0.3">
      <c r="C219" s="2" t="str">
        <f>IF(A219&lt;&gt;"",SUM(B219),"")</f>
        <v/>
      </c>
    </row>
    <row r="220" spans="3:3" x14ac:dyDescent="0.3">
      <c r="C220" s="2" t="str">
        <f>IF(A220&lt;&gt;"",SUM(B220),"")</f>
        <v/>
      </c>
    </row>
    <row r="221" spans="3:3" x14ac:dyDescent="0.3">
      <c r="C221" s="2" t="str">
        <f>IF(A221&lt;&gt;"",SUM(B221),"")</f>
        <v/>
      </c>
    </row>
    <row r="222" spans="3:3" x14ac:dyDescent="0.3">
      <c r="C222" s="2" t="str">
        <f>IF(A222&lt;&gt;"",SUM(B222),"")</f>
        <v/>
      </c>
    </row>
    <row r="223" spans="3:3" x14ac:dyDescent="0.3">
      <c r="C223" s="2" t="str">
        <f>IF(A223&lt;&gt;"",SUM(B223),"")</f>
        <v/>
      </c>
    </row>
    <row r="224" spans="3:3" x14ac:dyDescent="0.3">
      <c r="C224" s="2" t="str">
        <f>IF(A224&lt;&gt;"",SUM(B224),"")</f>
        <v/>
      </c>
    </row>
    <row r="225" spans="3:3" x14ac:dyDescent="0.3">
      <c r="C225" s="2" t="str">
        <f>IF(A225&lt;&gt;"",SUM(B225),"")</f>
        <v/>
      </c>
    </row>
    <row r="226" spans="3:3" x14ac:dyDescent="0.3">
      <c r="C226" s="2" t="str">
        <f>IF(A226&lt;&gt;"",SUM(B226),"")</f>
        <v/>
      </c>
    </row>
    <row r="227" spans="3:3" x14ac:dyDescent="0.3">
      <c r="C227" s="2" t="str">
        <f>IF(A227&lt;&gt;"",SUM(B227),"")</f>
        <v/>
      </c>
    </row>
    <row r="228" spans="3:3" x14ac:dyDescent="0.3">
      <c r="C228" s="2" t="str">
        <f>IF(A228&lt;&gt;"",SUM(B228),"")</f>
        <v/>
      </c>
    </row>
    <row r="229" spans="3:3" x14ac:dyDescent="0.3">
      <c r="C229" s="2" t="str">
        <f>IF(A229&lt;&gt;"",SUM(B229),"")</f>
        <v/>
      </c>
    </row>
    <row r="230" spans="3:3" x14ac:dyDescent="0.3">
      <c r="C230" s="2" t="str">
        <f>IF(A230&lt;&gt;"",SUM(B230),"")</f>
        <v/>
      </c>
    </row>
    <row r="231" spans="3:3" x14ac:dyDescent="0.3">
      <c r="C231" s="2" t="str">
        <f>IF(A231&lt;&gt;"",SUM(B231),"")</f>
        <v/>
      </c>
    </row>
    <row r="232" spans="3:3" x14ac:dyDescent="0.3">
      <c r="C232" s="2" t="str">
        <f>IF(A232&lt;&gt;"",SUM(B232),"")</f>
        <v/>
      </c>
    </row>
    <row r="233" spans="3:3" x14ac:dyDescent="0.3">
      <c r="C233" s="2" t="str">
        <f>IF(A233&lt;&gt;"",SUM(B233),"")</f>
        <v/>
      </c>
    </row>
    <row r="234" spans="3:3" x14ac:dyDescent="0.3">
      <c r="C234" s="2" t="str">
        <f>IF(A234&lt;&gt;"",SUM(B234),"")</f>
        <v/>
      </c>
    </row>
    <row r="235" spans="3:3" x14ac:dyDescent="0.3">
      <c r="C235" s="2" t="str">
        <f>IF(A235&lt;&gt;"",SUM(B235),"")</f>
        <v/>
      </c>
    </row>
    <row r="236" spans="3:3" x14ac:dyDescent="0.3">
      <c r="C236" s="2" t="str">
        <f>IF(A236&lt;&gt;"",SUM(B236),"")</f>
        <v/>
      </c>
    </row>
    <row r="237" spans="3:3" x14ac:dyDescent="0.3">
      <c r="C237" s="2" t="str">
        <f>IF(A237&lt;&gt;"",SUM(B237),"")</f>
        <v/>
      </c>
    </row>
    <row r="238" spans="3:3" x14ac:dyDescent="0.3">
      <c r="C238" s="2" t="str">
        <f>IF(A238&lt;&gt;"",SUM(B238),"")</f>
        <v/>
      </c>
    </row>
    <row r="239" spans="3:3" x14ac:dyDescent="0.3">
      <c r="C239" s="2" t="str">
        <f>IF(A239&lt;&gt;"",SUM(B239),"")</f>
        <v/>
      </c>
    </row>
    <row r="240" spans="3:3" x14ac:dyDescent="0.3">
      <c r="C240" s="2" t="str">
        <f>IF(A240&lt;&gt;"",SUM(B240),"")</f>
        <v/>
      </c>
    </row>
    <row r="241" spans="3:3" x14ac:dyDescent="0.3">
      <c r="C241" s="2" t="str">
        <f>IF(A241&lt;&gt;"",SUM(B241),"")</f>
        <v/>
      </c>
    </row>
    <row r="242" spans="3:3" x14ac:dyDescent="0.3">
      <c r="C242" s="2" t="str">
        <f>IF(A242&lt;&gt;"",SUM(B242),"")</f>
        <v/>
      </c>
    </row>
    <row r="243" spans="3:3" x14ac:dyDescent="0.3">
      <c r="C243" s="2" t="str">
        <f>IF(A243&lt;&gt;"",SUM(B243),"")</f>
        <v/>
      </c>
    </row>
    <row r="244" spans="3:3" x14ac:dyDescent="0.3">
      <c r="C244" s="2" t="str">
        <f>IF(A244&lt;&gt;"",SUM(B244),"")</f>
        <v/>
      </c>
    </row>
    <row r="245" spans="3:3" x14ac:dyDescent="0.3">
      <c r="C245" s="2" t="str">
        <f>IF(A245&lt;&gt;"",SUM(B245),"")</f>
        <v/>
      </c>
    </row>
    <row r="246" spans="3:3" x14ac:dyDescent="0.3">
      <c r="C246" s="2" t="str">
        <f>IF(A246&lt;&gt;"",SUM(B246),"")</f>
        <v/>
      </c>
    </row>
    <row r="247" spans="3:3" x14ac:dyDescent="0.3">
      <c r="C247" s="2" t="str">
        <f>IF(A247&lt;&gt;"",SUM(B247),"")</f>
        <v/>
      </c>
    </row>
    <row r="248" spans="3:3" x14ac:dyDescent="0.3">
      <c r="C248" s="2" t="str">
        <f>IF(A248&lt;&gt;"",SUM(B248),"")</f>
        <v/>
      </c>
    </row>
    <row r="249" spans="3:3" x14ac:dyDescent="0.3">
      <c r="C249" s="2" t="str">
        <f>IF(A249&lt;&gt;"",SUM(B249),"")</f>
        <v/>
      </c>
    </row>
    <row r="250" spans="3:3" x14ac:dyDescent="0.3">
      <c r="C250" s="2" t="str">
        <f>IF(A250&lt;&gt;"",SUM(B250),"")</f>
        <v/>
      </c>
    </row>
    <row r="251" spans="3:3" x14ac:dyDescent="0.3">
      <c r="C251" s="2" t="str">
        <f>IF(A251&lt;&gt;"",SUM(B251),"")</f>
        <v/>
      </c>
    </row>
    <row r="252" spans="3:3" x14ac:dyDescent="0.3">
      <c r="C252" s="2" t="str">
        <f>IF(A252&lt;&gt;"",SUM(B252),"")</f>
        <v/>
      </c>
    </row>
    <row r="253" spans="3:3" x14ac:dyDescent="0.3">
      <c r="C253" s="2" t="str">
        <f>IF(A253&lt;&gt;"",SUM(B253),"")</f>
        <v/>
      </c>
    </row>
    <row r="254" spans="3:3" x14ac:dyDescent="0.3">
      <c r="C254" s="2" t="str">
        <f>IF(A254&lt;&gt;"",SUM(B254),"")</f>
        <v/>
      </c>
    </row>
    <row r="255" spans="3:3" x14ac:dyDescent="0.3">
      <c r="C255" s="2" t="str">
        <f>IF(A255&lt;&gt;"",SUM(B255),"")</f>
        <v/>
      </c>
    </row>
    <row r="256" spans="3:3" x14ac:dyDescent="0.3">
      <c r="C256" s="2" t="str">
        <f>IF(A256&lt;&gt;"",SUM(B256),"")</f>
        <v/>
      </c>
    </row>
    <row r="257" spans="3:3" x14ac:dyDescent="0.3">
      <c r="C257" s="2" t="str">
        <f>IF(A257&lt;&gt;"",SUM(B257),"")</f>
        <v/>
      </c>
    </row>
    <row r="258" spans="3:3" x14ac:dyDescent="0.3">
      <c r="C258" s="2" t="str">
        <f>IF(A258&lt;&gt;"",SUM(B258),"")</f>
        <v/>
      </c>
    </row>
    <row r="259" spans="3:3" x14ac:dyDescent="0.3">
      <c r="C259" s="2" t="str">
        <f>IF(A259&lt;&gt;"",SUM(B259),"")</f>
        <v/>
      </c>
    </row>
    <row r="260" spans="3:3" x14ac:dyDescent="0.3">
      <c r="C260" s="2" t="str">
        <f>IF(A260&lt;&gt;"",SUM(B260),"")</f>
        <v/>
      </c>
    </row>
    <row r="261" spans="3:3" x14ac:dyDescent="0.3">
      <c r="C261" s="2" t="str">
        <f>IF(A261&lt;&gt;"",SUM(B261),"")</f>
        <v/>
      </c>
    </row>
    <row r="262" spans="3:3" x14ac:dyDescent="0.3">
      <c r="C262" s="2" t="str">
        <f>IF(A262&lt;&gt;"",SUM(B262),"")</f>
        <v/>
      </c>
    </row>
    <row r="263" spans="3:3" x14ac:dyDescent="0.3">
      <c r="C263" s="2" t="str">
        <f>IF(A263&lt;&gt;"",SUM(B263),"")</f>
        <v/>
      </c>
    </row>
    <row r="264" spans="3:3" x14ac:dyDescent="0.3">
      <c r="C264" s="2" t="str">
        <f>IF(A264&lt;&gt;"",SUM(B264),"")</f>
        <v/>
      </c>
    </row>
    <row r="265" spans="3:3" x14ac:dyDescent="0.3">
      <c r="C265" s="2" t="str">
        <f>IF(A265&lt;&gt;"",SUM(B265),"")</f>
        <v/>
      </c>
    </row>
    <row r="266" spans="3:3" x14ac:dyDescent="0.3">
      <c r="C266" s="2" t="str">
        <f>IF(A266&lt;&gt;"",SUM(B266),"")</f>
        <v/>
      </c>
    </row>
    <row r="267" spans="3:3" x14ac:dyDescent="0.3">
      <c r="C267" s="2" t="str">
        <f>IF(A267&lt;&gt;"",SUM(B267),"")</f>
        <v/>
      </c>
    </row>
    <row r="268" spans="3:3" x14ac:dyDescent="0.3">
      <c r="C268" s="2" t="str">
        <f>IF(A268&lt;&gt;"",SUM(B268),"")</f>
        <v/>
      </c>
    </row>
    <row r="269" spans="3:3" x14ac:dyDescent="0.3">
      <c r="C269" s="2" t="str">
        <f>IF(A269&lt;&gt;"",SUM(B269),"")</f>
        <v/>
      </c>
    </row>
    <row r="270" spans="3:3" x14ac:dyDescent="0.3">
      <c r="C270" s="2" t="str">
        <f>IF(A270&lt;&gt;"",SUM(B270),"")</f>
        <v/>
      </c>
    </row>
    <row r="271" spans="3:3" x14ac:dyDescent="0.3">
      <c r="C271" s="2" t="str">
        <f>IF(A271&lt;&gt;"",SUM(B271),"")</f>
        <v/>
      </c>
    </row>
    <row r="272" spans="3:3" x14ac:dyDescent="0.3">
      <c r="C272" s="2" t="str">
        <f>IF(A272&lt;&gt;"",SUM(B272),"")</f>
        <v/>
      </c>
    </row>
    <row r="273" spans="3:3" x14ac:dyDescent="0.3">
      <c r="C273" s="2" t="str">
        <f>IF(A273&lt;&gt;"",SUM(B273),"")</f>
        <v/>
      </c>
    </row>
    <row r="274" spans="3:3" x14ac:dyDescent="0.3">
      <c r="C274" s="2" t="str">
        <f>IF(A274&lt;&gt;"",SUM(B274),"")</f>
        <v/>
      </c>
    </row>
    <row r="275" spans="3:3" x14ac:dyDescent="0.3">
      <c r="C275" s="2" t="str">
        <f>IF(A275&lt;&gt;"",SUM(B275),"")</f>
        <v/>
      </c>
    </row>
    <row r="276" spans="3:3" x14ac:dyDescent="0.3">
      <c r="C276" s="2" t="str">
        <f>IF(A276&lt;&gt;"",SUM(B276),"")</f>
        <v/>
      </c>
    </row>
    <row r="277" spans="3:3" x14ac:dyDescent="0.3">
      <c r="C277" s="2" t="str">
        <f>IF(A277&lt;&gt;"",SUM(B277),"")</f>
        <v/>
      </c>
    </row>
    <row r="278" spans="3:3" x14ac:dyDescent="0.3">
      <c r="C278" s="2" t="str">
        <f>IF(A278&lt;&gt;"",SUM(B278),"")</f>
        <v/>
      </c>
    </row>
    <row r="279" spans="3:3" x14ac:dyDescent="0.3">
      <c r="C279" s="2" t="str">
        <f>IF(A279&lt;&gt;"",SUM(B279),"")</f>
        <v/>
      </c>
    </row>
    <row r="280" spans="3:3" x14ac:dyDescent="0.3">
      <c r="C280" s="2" t="str">
        <f>IF(A280&lt;&gt;"",SUM(B280),"")</f>
        <v/>
      </c>
    </row>
    <row r="281" spans="3:3" x14ac:dyDescent="0.3">
      <c r="C281" s="2" t="str">
        <f>IF(A281&lt;&gt;"",SUM(B281),"")</f>
        <v/>
      </c>
    </row>
    <row r="282" spans="3:3" x14ac:dyDescent="0.3">
      <c r="C282" s="2" t="str">
        <f>IF(A282&lt;&gt;"",SUM(B282),"")</f>
        <v/>
      </c>
    </row>
    <row r="283" spans="3:3" x14ac:dyDescent="0.3">
      <c r="C283" s="2" t="str">
        <f>IF(A283&lt;&gt;"",SUM(B283),"")</f>
        <v/>
      </c>
    </row>
    <row r="284" spans="3:3" x14ac:dyDescent="0.3">
      <c r="C284" s="2" t="str">
        <f>IF(A284&lt;&gt;"",SUM(B284),"")</f>
        <v/>
      </c>
    </row>
    <row r="285" spans="3:3" x14ac:dyDescent="0.3">
      <c r="C285" s="2" t="str">
        <f>IF(A285&lt;&gt;"",SUM(B285),"")</f>
        <v/>
      </c>
    </row>
    <row r="286" spans="3:3" x14ac:dyDescent="0.3">
      <c r="C286" s="2" t="str">
        <f>IF(A286&lt;&gt;"",SUM(B286),"")</f>
        <v/>
      </c>
    </row>
    <row r="287" spans="3:3" x14ac:dyDescent="0.3">
      <c r="C287" s="2" t="str">
        <f>IF(A287&lt;&gt;"",SUM(B287),"")</f>
        <v/>
      </c>
    </row>
    <row r="288" spans="3:3" x14ac:dyDescent="0.3">
      <c r="C288" s="2" t="str">
        <f>IF(A288&lt;&gt;"",SUM(B288),"")</f>
        <v/>
      </c>
    </row>
    <row r="289" spans="3:3" x14ac:dyDescent="0.3">
      <c r="C289" s="2" t="str">
        <f>IF(A289&lt;&gt;"",SUM(B289),"")</f>
        <v/>
      </c>
    </row>
    <row r="290" spans="3:3" x14ac:dyDescent="0.3">
      <c r="C290" s="2" t="str">
        <f>IF(A290&lt;&gt;"",SUM(B290),"")</f>
        <v/>
      </c>
    </row>
    <row r="291" spans="3:3" x14ac:dyDescent="0.3">
      <c r="C291" s="2" t="str">
        <f>IF(A291&lt;&gt;"",SUM(B291),"")</f>
        <v/>
      </c>
    </row>
    <row r="292" spans="3:3" x14ac:dyDescent="0.3">
      <c r="C292" s="2" t="str">
        <f>IF(A292&lt;&gt;"",SUM(B292),"")</f>
        <v/>
      </c>
    </row>
    <row r="293" spans="3:3" x14ac:dyDescent="0.3">
      <c r="C293" s="2" t="str">
        <f>IF(A293&lt;&gt;"",SUM(B293),"")</f>
        <v/>
      </c>
    </row>
    <row r="294" spans="3:3" x14ac:dyDescent="0.3">
      <c r="C294" s="2" t="str">
        <f>IF(A294&lt;&gt;"",SUM(B294),"")</f>
        <v/>
      </c>
    </row>
    <row r="295" spans="3:3" x14ac:dyDescent="0.3">
      <c r="C295" s="2" t="str">
        <f>IF(A295&lt;&gt;"",SUM(B295),"")</f>
        <v/>
      </c>
    </row>
    <row r="296" spans="3:3" x14ac:dyDescent="0.3">
      <c r="C296" s="2" t="str">
        <f>IF(A296&lt;&gt;"",SUM(B296),"")</f>
        <v/>
      </c>
    </row>
    <row r="297" spans="3:3" x14ac:dyDescent="0.3">
      <c r="C297" s="2" t="str">
        <f>IF(A297&lt;&gt;"",SUM(B297),"")</f>
        <v/>
      </c>
    </row>
    <row r="298" spans="3:3" x14ac:dyDescent="0.3">
      <c r="C298" s="2" t="str">
        <f>IF(A298&lt;&gt;"",SUM(B298),"")</f>
        <v/>
      </c>
    </row>
    <row r="299" spans="3:3" x14ac:dyDescent="0.3">
      <c r="C299" s="2" t="str">
        <f>IF(A299&lt;&gt;"",SUM(B299),"")</f>
        <v/>
      </c>
    </row>
    <row r="300" spans="3:3" x14ac:dyDescent="0.3">
      <c r="C300" s="2" t="str">
        <f>IF(A300&lt;&gt;"",SUM(B300),"")</f>
        <v/>
      </c>
    </row>
    <row r="301" spans="3:3" x14ac:dyDescent="0.3">
      <c r="C301" s="2" t="str">
        <f>IF(A301&lt;&gt;"",SUM(B301),"")</f>
        <v/>
      </c>
    </row>
    <row r="302" spans="3:3" x14ac:dyDescent="0.3">
      <c r="C302" s="2" t="str">
        <f>IF(A302&lt;&gt;"",SUM(B302),"")</f>
        <v/>
      </c>
    </row>
    <row r="303" spans="3:3" x14ac:dyDescent="0.3">
      <c r="C303" s="2" t="str">
        <f>IF(A303&lt;&gt;"",SUM(B303),"")</f>
        <v/>
      </c>
    </row>
    <row r="304" spans="3:3" x14ac:dyDescent="0.3">
      <c r="C304" s="2" t="str">
        <f>IF(A304&lt;&gt;"",SUM(B304),"")</f>
        <v/>
      </c>
    </row>
    <row r="305" spans="3:3" x14ac:dyDescent="0.3">
      <c r="C305" s="2" t="str">
        <f>IF(A305&lt;&gt;"",SUM(B305),"")</f>
        <v/>
      </c>
    </row>
    <row r="306" spans="3:3" x14ac:dyDescent="0.3">
      <c r="C306" s="2" t="str">
        <f>IF(A306&lt;&gt;"",SUM(B306),"")</f>
        <v/>
      </c>
    </row>
    <row r="307" spans="3:3" x14ac:dyDescent="0.3">
      <c r="C307" s="2" t="str">
        <f>IF(A307&lt;&gt;"",SUM(B307),"")</f>
        <v/>
      </c>
    </row>
    <row r="308" spans="3:3" x14ac:dyDescent="0.3">
      <c r="C308" s="2" t="str">
        <f>IF(A308&lt;&gt;"",SUM(B308),"")</f>
        <v/>
      </c>
    </row>
    <row r="309" spans="3:3" x14ac:dyDescent="0.3">
      <c r="C309" s="2" t="str">
        <f>IF(A309&lt;&gt;"",SUM(B309),"")</f>
        <v/>
      </c>
    </row>
    <row r="310" spans="3:3" x14ac:dyDescent="0.3">
      <c r="C310" s="2" t="str">
        <f>IF(A310&lt;&gt;"",SUM(B310),"")</f>
        <v/>
      </c>
    </row>
    <row r="311" spans="3:3" x14ac:dyDescent="0.3">
      <c r="C311" s="2" t="str">
        <f>IF(A311&lt;&gt;"",SUM(B311),"")</f>
        <v/>
      </c>
    </row>
    <row r="312" spans="3:3" x14ac:dyDescent="0.3">
      <c r="C312" s="2" t="str">
        <f>IF(A312&lt;&gt;"",SUM(B312),"")</f>
        <v/>
      </c>
    </row>
    <row r="313" spans="3:3" x14ac:dyDescent="0.3">
      <c r="C313" s="2" t="str">
        <f>IF(A313&lt;&gt;"",SUM(B313),"")</f>
        <v/>
      </c>
    </row>
    <row r="314" spans="3:3" x14ac:dyDescent="0.3">
      <c r="C314" s="2" t="str">
        <f>IF(A314&lt;&gt;"",SUM(B314),"")</f>
        <v/>
      </c>
    </row>
    <row r="315" spans="3:3" x14ac:dyDescent="0.3">
      <c r="C315" s="2" t="str">
        <f>IF(A315&lt;&gt;"",SUM(B315),"")</f>
        <v/>
      </c>
    </row>
    <row r="316" spans="3:3" x14ac:dyDescent="0.3">
      <c r="C316" s="2" t="str">
        <f>IF(A316&lt;&gt;"",SUM(B316),"")</f>
        <v/>
      </c>
    </row>
    <row r="317" spans="3:3" x14ac:dyDescent="0.3">
      <c r="C317" s="2" t="str">
        <f>IF(A317&lt;&gt;"",SUM(B317),"")</f>
        <v/>
      </c>
    </row>
    <row r="318" spans="3:3" x14ac:dyDescent="0.3">
      <c r="C318" s="2" t="str">
        <f>IF(A318&lt;&gt;"",SUM(B318),"")</f>
        <v/>
      </c>
    </row>
    <row r="319" spans="3:3" x14ac:dyDescent="0.3">
      <c r="C319" s="2" t="str">
        <f>IF(A319&lt;&gt;"",SUM(B319),"")</f>
        <v/>
      </c>
    </row>
    <row r="320" spans="3:3" x14ac:dyDescent="0.3">
      <c r="C320" s="2" t="str">
        <f>IF(A320&lt;&gt;"",SUM(B320),"")</f>
        <v/>
      </c>
    </row>
    <row r="321" spans="3:3" x14ac:dyDescent="0.3">
      <c r="C321" s="2" t="str">
        <f>IF(A321&lt;&gt;"",SUM(B321),"")</f>
        <v/>
      </c>
    </row>
    <row r="322" spans="3:3" x14ac:dyDescent="0.3">
      <c r="C322" s="2" t="str">
        <f>IF(A322&lt;&gt;"",SUM(B322),"")</f>
        <v/>
      </c>
    </row>
    <row r="323" spans="3:3" x14ac:dyDescent="0.3">
      <c r="C323" s="2" t="str">
        <f>IF(A323&lt;&gt;"",SUM(B323),"")</f>
        <v/>
      </c>
    </row>
    <row r="324" spans="3:3" x14ac:dyDescent="0.3">
      <c r="C324" s="2" t="str">
        <f>IF(A324&lt;&gt;"",SUM(B324),"")</f>
        <v/>
      </c>
    </row>
    <row r="325" spans="3:3" x14ac:dyDescent="0.3">
      <c r="C325" s="2" t="str">
        <f>IF(A325&lt;&gt;"",SUM(B325),"")</f>
        <v/>
      </c>
    </row>
    <row r="326" spans="3:3" x14ac:dyDescent="0.3">
      <c r="C326" s="2" t="str">
        <f>IF(A326&lt;&gt;"",SUM(B326),"")</f>
        <v/>
      </c>
    </row>
    <row r="327" spans="3:3" x14ac:dyDescent="0.3">
      <c r="C327" s="2" t="str">
        <f>IF(A327&lt;&gt;"",SUM(B327),"")</f>
        <v/>
      </c>
    </row>
    <row r="328" spans="3:3" x14ac:dyDescent="0.3">
      <c r="C328" s="2" t="str">
        <f>IF(A328&lt;&gt;"",SUM(B328),"")</f>
        <v/>
      </c>
    </row>
    <row r="329" spans="3:3" x14ac:dyDescent="0.3">
      <c r="C329" s="2" t="str">
        <f>IF(A329&lt;&gt;"",SUM(B329),"")</f>
        <v/>
      </c>
    </row>
    <row r="330" spans="3:3" x14ac:dyDescent="0.3">
      <c r="C330" s="2" t="str">
        <f>IF(A330&lt;&gt;"",SUM(B330),"")</f>
        <v/>
      </c>
    </row>
    <row r="331" spans="3:3" x14ac:dyDescent="0.3">
      <c r="C331" s="2" t="str">
        <f>IF(A331&lt;&gt;"",SUM(B331),"")</f>
        <v/>
      </c>
    </row>
    <row r="332" spans="3:3" x14ac:dyDescent="0.3">
      <c r="C332" s="2" t="str">
        <f>IF(A332&lt;&gt;"",SUM(B332),"")</f>
        <v/>
      </c>
    </row>
    <row r="333" spans="3:3" x14ac:dyDescent="0.3">
      <c r="C333" s="2" t="str">
        <f>IF(A333&lt;&gt;"",SUM(B333),"")</f>
        <v/>
      </c>
    </row>
    <row r="334" spans="3:3" x14ac:dyDescent="0.3">
      <c r="C334" s="2" t="str">
        <f>IF(A334&lt;&gt;"",SUM(B334),"")</f>
        <v/>
      </c>
    </row>
    <row r="335" spans="3:3" x14ac:dyDescent="0.3">
      <c r="C335" s="2" t="str">
        <f>IF(A335&lt;&gt;"",SUM(B335),"")</f>
        <v/>
      </c>
    </row>
    <row r="336" spans="3:3" x14ac:dyDescent="0.3">
      <c r="C336" s="2" t="str">
        <f>IF(A336&lt;&gt;"",SUM(B336),"")</f>
        <v/>
      </c>
    </row>
    <row r="337" spans="3:3" x14ac:dyDescent="0.3">
      <c r="C337" s="2" t="str">
        <f>IF(A337&lt;&gt;"",SUM(B337),"")</f>
        <v/>
      </c>
    </row>
    <row r="338" spans="3:3" x14ac:dyDescent="0.3">
      <c r="C338" s="2" t="str">
        <f>IF(A338&lt;&gt;"",SUM(B338),"")</f>
        <v/>
      </c>
    </row>
    <row r="339" spans="3:3" x14ac:dyDescent="0.3">
      <c r="C339" s="2" t="str">
        <f>IF(A339&lt;&gt;"",SUM(B339),"")</f>
        <v/>
      </c>
    </row>
    <row r="340" spans="3:3" x14ac:dyDescent="0.3">
      <c r="C340" s="2" t="str">
        <f>IF(A340&lt;&gt;"",SUM(B340),"")</f>
        <v/>
      </c>
    </row>
    <row r="341" spans="3:3" x14ac:dyDescent="0.3">
      <c r="C341" s="2" t="str">
        <f>IF(A341&lt;&gt;"",SUM(B341),"")</f>
        <v/>
      </c>
    </row>
    <row r="342" spans="3:3" x14ac:dyDescent="0.3">
      <c r="C342" s="2" t="str">
        <f>IF(A342&lt;&gt;"",SUM(B342),"")</f>
        <v/>
      </c>
    </row>
    <row r="343" spans="3:3" x14ac:dyDescent="0.3">
      <c r="C343" s="2" t="str">
        <f>IF(A343&lt;&gt;"",SUM(B343),"")</f>
        <v/>
      </c>
    </row>
    <row r="344" spans="3:3" x14ac:dyDescent="0.3">
      <c r="C344" s="2" t="str">
        <f>IF(A344&lt;&gt;"",SUM(B344),"")</f>
        <v/>
      </c>
    </row>
    <row r="345" spans="3:3" x14ac:dyDescent="0.3">
      <c r="C345" s="2" t="str">
        <f>IF(A345&lt;&gt;"",SUM(B345),"")</f>
        <v/>
      </c>
    </row>
    <row r="346" spans="3:3" x14ac:dyDescent="0.3">
      <c r="C346" s="2" t="str">
        <f>IF(A346&lt;&gt;"",SUM(B346),"")</f>
        <v/>
      </c>
    </row>
    <row r="347" spans="3:3" x14ac:dyDescent="0.3">
      <c r="C347" s="2" t="str">
        <f>IF(A347&lt;&gt;"",SUM(B347),"")</f>
        <v/>
      </c>
    </row>
    <row r="348" spans="3:3" x14ac:dyDescent="0.3">
      <c r="C348" s="2" t="str">
        <f>IF(A348&lt;&gt;"",SUM(B348),"")</f>
        <v/>
      </c>
    </row>
    <row r="349" spans="3:3" x14ac:dyDescent="0.3">
      <c r="C349" s="2" t="str">
        <f>IF(A349&lt;&gt;"",SUM(B349),"")</f>
        <v/>
      </c>
    </row>
    <row r="350" spans="3:3" x14ac:dyDescent="0.3">
      <c r="C350" s="2" t="str">
        <f>IF(A350&lt;&gt;"",SUM(B350),"")</f>
        <v/>
      </c>
    </row>
    <row r="351" spans="3:3" x14ac:dyDescent="0.3">
      <c r="C351" s="2" t="str">
        <f>IF(A351&lt;&gt;"",SUM(B351),"")</f>
        <v/>
      </c>
    </row>
    <row r="352" spans="3:3" x14ac:dyDescent="0.3">
      <c r="C352" s="2" t="str">
        <f>IF(A352&lt;&gt;"",SUM(B352),"")</f>
        <v/>
      </c>
    </row>
    <row r="353" spans="3:3" x14ac:dyDescent="0.3">
      <c r="C353" s="2" t="str">
        <f>IF(A353&lt;&gt;"",SUM(B353),"")</f>
        <v/>
      </c>
    </row>
    <row r="354" spans="3:3" x14ac:dyDescent="0.3">
      <c r="C354" s="2" t="str">
        <f>IF(A354&lt;&gt;"",SUM(B354),"")</f>
        <v/>
      </c>
    </row>
    <row r="355" spans="3:3" x14ac:dyDescent="0.3">
      <c r="C355" s="2" t="str">
        <f>IF(A355&lt;&gt;"",SUM(B355),"")</f>
        <v/>
      </c>
    </row>
    <row r="356" spans="3:3" x14ac:dyDescent="0.3">
      <c r="C356" s="2" t="str">
        <f>IF(A356&lt;&gt;"",SUM(B356),"")</f>
        <v/>
      </c>
    </row>
    <row r="357" spans="3:3" x14ac:dyDescent="0.3">
      <c r="C357" s="2" t="str">
        <f>IF(A357&lt;&gt;"",SUM(B357),"")</f>
        <v/>
      </c>
    </row>
    <row r="358" spans="3:3" x14ac:dyDescent="0.3">
      <c r="C358" s="2" t="str">
        <f>IF(A358&lt;&gt;"",SUM(B358),"")</f>
        <v/>
      </c>
    </row>
    <row r="359" spans="3:3" x14ac:dyDescent="0.3">
      <c r="C359" s="2" t="str">
        <f>IF(A359&lt;&gt;"",SUM(B359),"")</f>
        <v/>
      </c>
    </row>
    <row r="360" spans="3:3" x14ac:dyDescent="0.3">
      <c r="C360" s="2" t="str">
        <f>IF(A360&lt;&gt;"",SUM(B360),"")</f>
        <v/>
      </c>
    </row>
    <row r="361" spans="3:3" x14ac:dyDescent="0.3">
      <c r="C361" s="2" t="str">
        <f>IF(A361&lt;&gt;"",SUM(B361),"")</f>
        <v/>
      </c>
    </row>
    <row r="362" spans="3:3" x14ac:dyDescent="0.3">
      <c r="C362" s="2" t="str">
        <f>IF(A362&lt;&gt;"",SUM(B362),"")</f>
        <v/>
      </c>
    </row>
    <row r="363" spans="3:3" x14ac:dyDescent="0.3">
      <c r="C363" s="2" t="str">
        <f>IF(A363&lt;&gt;"",SUM(B363),"")</f>
        <v/>
      </c>
    </row>
    <row r="364" spans="3:3" x14ac:dyDescent="0.3">
      <c r="C364" s="2" t="str">
        <f>IF(A364&lt;&gt;"",SUM(B364),"")</f>
        <v/>
      </c>
    </row>
    <row r="365" spans="3:3" x14ac:dyDescent="0.3">
      <c r="C365" s="2" t="str">
        <f>IF(A365&lt;&gt;"",SUM(B365),"")</f>
        <v/>
      </c>
    </row>
    <row r="366" spans="3:3" x14ac:dyDescent="0.3">
      <c r="C366" s="2" t="str">
        <f>IF(A366&lt;&gt;"",SUM(B366),"")</f>
        <v/>
      </c>
    </row>
    <row r="367" spans="3:3" x14ac:dyDescent="0.3">
      <c r="C367" s="2" t="str">
        <f>IF(A367&lt;&gt;"",SUM(B367),"")</f>
        <v/>
      </c>
    </row>
    <row r="368" spans="3:3" x14ac:dyDescent="0.3">
      <c r="C368" s="2" t="str">
        <f>IF(A368&lt;&gt;"",SUM(B368),"")</f>
        <v/>
      </c>
    </row>
    <row r="369" spans="3:3" x14ac:dyDescent="0.3">
      <c r="C369" s="2" t="str">
        <f>IF(A369&lt;&gt;"",SUM(B369),"")</f>
        <v/>
      </c>
    </row>
    <row r="370" spans="3:3" x14ac:dyDescent="0.3">
      <c r="C370" s="2" t="str">
        <f>IF(A370&lt;&gt;"",SUM(B370),"")</f>
        <v/>
      </c>
    </row>
    <row r="371" spans="3:3" x14ac:dyDescent="0.3">
      <c r="C371" s="2" t="str">
        <f>IF(A371&lt;&gt;"",SUM(B371),"")</f>
        <v/>
      </c>
    </row>
    <row r="372" spans="3:3" x14ac:dyDescent="0.3">
      <c r="C372" s="2" t="str">
        <f>IF(A372&lt;&gt;"",SUM(B372),"")</f>
        <v/>
      </c>
    </row>
    <row r="373" spans="3:3" x14ac:dyDescent="0.3">
      <c r="C373" s="2" t="str">
        <f>IF(A373&lt;&gt;"",SUM(B373),"")</f>
        <v/>
      </c>
    </row>
    <row r="374" spans="3:3" x14ac:dyDescent="0.3">
      <c r="C374" s="2" t="str">
        <f>IF(A374&lt;&gt;"",SUM(B374),"")</f>
        <v/>
      </c>
    </row>
    <row r="375" spans="3:3" x14ac:dyDescent="0.3">
      <c r="C375" s="2" t="str">
        <f>IF(A375&lt;&gt;"",SUM(B375),"")</f>
        <v/>
      </c>
    </row>
    <row r="376" spans="3:3" x14ac:dyDescent="0.3">
      <c r="C376" s="2" t="str">
        <f>IF(A376&lt;&gt;"",SUM(B376),"")</f>
        <v/>
      </c>
    </row>
    <row r="377" spans="3:3" x14ac:dyDescent="0.3">
      <c r="C377" s="2" t="str">
        <f>IF(A377&lt;&gt;"",SUM(B377),"")</f>
        <v/>
      </c>
    </row>
    <row r="378" spans="3:3" x14ac:dyDescent="0.3">
      <c r="C378" s="2" t="str">
        <f>IF(A378&lt;&gt;"",SUM(B378),"")</f>
        <v/>
      </c>
    </row>
    <row r="379" spans="3:3" x14ac:dyDescent="0.3">
      <c r="C379" s="2" t="str">
        <f>IF(A379&lt;&gt;"",SUM(B379),"")</f>
        <v/>
      </c>
    </row>
    <row r="380" spans="3:3" x14ac:dyDescent="0.3">
      <c r="C380" s="2" t="str">
        <f>IF(A380&lt;&gt;"",SUM(B380),"")</f>
        <v/>
      </c>
    </row>
    <row r="381" spans="3:3" x14ac:dyDescent="0.3">
      <c r="C381" s="2" t="str">
        <f>IF(A381&lt;&gt;"",SUM(B381),"")</f>
        <v/>
      </c>
    </row>
    <row r="382" spans="3:3" x14ac:dyDescent="0.3">
      <c r="C382" s="2" t="str">
        <f>IF(A382&lt;&gt;"",SUM(B382),"")</f>
        <v/>
      </c>
    </row>
    <row r="383" spans="3:3" x14ac:dyDescent="0.3">
      <c r="C383" s="2" t="str">
        <f>IF(A383&lt;&gt;"",SUM(B383),"")</f>
        <v/>
      </c>
    </row>
    <row r="384" spans="3:3" x14ac:dyDescent="0.3">
      <c r="C384" s="2" t="str">
        <f>IF(A384&lt;&gt;"",SUM(B384),"")</f>
        <v/>
      </c>
    </row>
    <row r="385" spans="3:3" x14ac:dyDescent="0.3">
      <c r="C385" s="2" t="str">
        <f>IF(A385&lt;&gt;"",SUM(B385),"")</f>
        <v/>
      </c>
    </row>
    <row r="386" spans="3:3" x14ac:dyDescent="0.3">
      <c r="C386" s="2" t="str">
        <f>IF(A386&lt;&gt;"",SUM(B386),"")</f>
        <v/>
      </c>
    </row>
    <row r="387" spans="3:3" x14ac:dyDescent="0.3">
      <c r="C387" s="2" t="str">
        <f>IF(A387&lt;&gt;"",SUM(B387),"")</f>
        <v/>
      </c>
    </row>
    <row r="388" spans="3:3" x14ac:dyDescent="0.3">
      <c r="C388" s="2" t="str">
        <f>IF(A388&lt;&gt;"",SUM(B388),"")</f>
        <v/>
      </c>
    </row>
    <row r="389" spans="3:3" x14ac:dyDescent="0.3">
      <c r="C389" s="2" t="str">
        <f>IF(A389&lt;&gt;"",SUM(B389),"")</f>
        <v/>
      </c>
    </row>
    <row r="390" spans="3:3" x14ac:dyDescent="0.3">
      <c r="C390" s="2" t="str">
        <f>IF(A390&lt;&gt;"",SUM(B390),"")</f>
        <v/>
      </c>
    </row>
    <row r="391" spans="3:3" x14ac:dyDescent="0.3">
      <c r="C391" s="2" t="str">
        <f>IF(A391&lt;&gt;"",SUM(B391),"")</f>
        <v/>
      </c>
    </row>
    <row r="392" spans="3:3" x14ac:dyDescent="0.3">
      <c r="C392" s="2" t="str">
        <f>IF(A392&lt;&gt;"",SUM(B392),"")</f>
        <v/>
      </c>
    </row>
    <row r="393" spans="3:3" x14ac:dyDescent="0.3">
      <c r="C393" s="2" t="str">
        <f>IF(A393&lt;&gt;"",SUM(B393),"")</f>
        <v/>
      </c>
    </row>
    <row r="394" spans="3:3" x14ac:dyDescent="0.3">
      <c r="C394" s="2" t="str">
        <f>IF(A394&lt;&gt;"",SUM(B394),"")</f>
        <v/>
      </c>
    </row>
    <row r="395" spans="3:3" x14ac:dyDescent="0.3">
      <c r="C395" s="2" t="str">
        <f>IF(A395&lt;&gt;"",SUM(B395),"")</f>
        <v/>
      </c>
    </row>
    <row r="396" spans="3:3" x14ac:dyDescent="0.3">
      <c r="C396" s="2" t="str">
        <f>IF(A396&lt;&gt;"",SUM(B396),"")</f>
        <v/>
      </c>
    </row>
    <row r="397" spans="3:3" x14ac:dyDescent="0.3">
      <c r="C397" s="2" t="str">
        <f>IF(A397&lt;&gt;"",SUM(B397),"")</f>
        <v/>
      </c>
    </row>
    <row r="398" spans="3:3" x14ac:dyDescent="0.3">
      <c r="C398" s="2" t="str">
        <f>IF(A398&lt;&gt;"",SUM(B398),"")</f>
        <v/>
      </c>
    </row>
    <row r="399" spans="3:3" x14ac:dyDescent="0.3">
      <c r="C399" s="2" t="str">
        <f>IF(A399&lt;&gt;"",SUM(B399),"")</f>
        <v/>
      </c>
    </row>
    <row r="400" spans="3:3" x14ac:dyDescent="0.3">
      <c r="C400" s="2" t="str">
        <f>IF(A400&lt;&gt;"",SUM(B400),"")</f>
        <v/>
      </c>
    </row>
    <row r="401" spans="3:3" x14ac:dyDescent="0.3">
      <c r="C401" s="2" t="str">
        <f>IF(A401&lt;&gt;"",SUM(B401),"")</f>
        <v/>
      </c>
    </row>
    <row r="402" spans="3:3" x14ac:dyDescent="0.3">
      <c r="C402" s="2" t="str">
        <f>IF(A402&lt;&gt;"",SUM(B402),"")</f>
        <v/>
      </c>
    </row>
    <row r="403" spans="3:3" x14ac:dyDescent="0.3">
      <c r="C403" s="2" t="str">
        <f>IF(A403&lt;&gt;"",SUM(B403),"")</f>
        <v/>
      </c>
    </row>
    <row r="404" spans="3:3" x14ac:dyDescent="0.3">
      <c r="C404" s="2" t="str">
        <f>IF(A404&lt;&gt;"",SUM(B404),"")</f>
        <v/>
      </c>
    </row>
    <row r="405" spans="3:3" x14ac:dyDescent="0.3">
      <c r="C405" s="2" t="str">
        <f>IF(A405&lt;&gt;"",SUM(B405),"")</f>
        <v/>
      </c>
    </row>
    <row r="406" spans="3:3" x14ac:dyDescent="0.3">
      <c r="C406" s="2" t="str">
        <f>IF(A406&lt;&gt;"",SUM(B406),"")</f>
        <v/>
      </c>
    </row>
    <row r="407" spans="3:3" x14ac:dyDescent="0.3">
      <c r="C407" s="2" t="str">
        <f>IF(A407&lt;&gt;"",SUM(B407),"")</f>
        <v/>
      </c>
    </row>
    <row r="408" spans="3:3" x14ac:dyDescent="0.3">
      <c r="C408" s="2" t="str">
        <f>IF(A408&lt;&gt;"",SUM(B408),"")</f>
        <v/>
      </c>
    </row>
    <row r="409" spans="3:3" x14ac:dyDescent="0.3">
      <c r="C409" s="2" t="str">
        <f>IF(A409&lt;&gt;"",SUM(B409),"")</f>
        <v/>
      </c>
    </row>
    <row r="410" spans="3:3" x14ac:dyDescent="0.3">
      <c r="C410" s="2" t="str">
        <f>IF(A410&lt;&gt;"",SUM(B410),"")</f>
        <v/>
      </c>
    </row>
    <row r="411" spans="3:3" x14ac:dyDescent="0.3">
      <c r="C411" s="2" t="str">
        <f>IF(A411&lt;&gt;"",SUM(B411),"")</f>
        <v/>
      </c>
    </row>
    <row r="412" spans="3:3" x14ac:dyDescent="0.3">
      <c r="C412" s="2" t="str">
        <f>IF(A412&lt;&gt;"",SUM(B412),"")</f>
        <v/>
      </c>
    </row>
    <row r="413" spans="3:3" x14ac:dyDescent="0.3">
      <c r="C413" s="2" t="str">
        <f>IF(A413&lt;&gt;"",SUM(B413),"")</f>
        <v/>
      </c>
    </row>
    <row r="414" spans="3:3" x14ac:dyDescent="0.3">
      <c r="C414" s="2" t="str">
        <f>IF(A414&lt;&gt;"",SUM(B414),"")</f>
        <v/>
      </c>
    </row>
    <row r="415" spans="3:3" x14ac:dyDescent="0.3">
      <c r="C415" s="2" t="str">
        <f>IF(A415&lt;&gt;"",SUM(B415),"")</f>
        <v/>
      </c>
    </row>
    <row r="416" spans="3:3" x14ac:dyDescent="0.3">
      <c r="C416" s="2" t="str">
        <f>IF(A416&lt;&gt;"",SUM(B416),"")</f>
        <v/>
      </c>
    </row>
    <row r="417" spans="3:3" x14ac:dyDescent="0.3">
      <c r="C417" s="2" t="str">
        <f>IF(A417&lt;&gt;"",SUM(B417),"")</f>
        <v/>
      </c>
    </row>
    <row r="418" spans="3:3" x14ac:dyDescent="0.3">
      <c r="C418" s="2" t="str">
        <f>IF(A418&lt;&gt;"",SUM(B418),"")</f>
        <v/>
      </c>
    </row>
    <row r="419" spans="3:3" x14ac:dyDescent="0.3">
      <c r="C419" s="2" t="str">
        <f>IF(A419&lt;&gt;"",SUM(B419),"")</f>
        <v/>
      </c>
    </row>
    <row r="420" spans="3:3" x14ac:dyDescent="0.3">
      <c r="C420" s="2" t="str">
        <f>IF(A420&lt;&gt;"",SUM(B420),"")</f>
        <v/>
      </c>
    </row>
    <row r="421" spans="3:3" x14ac:dyDescent="0.3">
      <c r="C421" s="2" t="str">
        <f>IF(A421&lt;&gt;"",SUM(B421),"")</f>
        <v/>
      </c>
    </row>
    <row r="422" spans="3:3" x14ac:dyDescent="0.3">
      <c r="C422" s="2" t="str">
        <f>IF(A422&lt;&gt;"",SUM(B422),"")</f>
        <v/>
      </c>
    </row>
    <row r="423" spans="3:3" x14ac:dyDescent="0.3">
      <c r="C423" s="2" t="str">
        <f>IF(A423&lt;&gt;"",SUM(B423),"")</f>
        <v/>
      </c>
    </row>
    <row r="424" spans="3:3" x14ac:dyDescent="0.3">
      <c r="C424" s="2" t="str">
        <f>IF(A424&lt;&gt;"",SUM(B424),"")</f>
        <v/>
      </c>
    </row>
    <row r="425" spans="3:3" x14ac:dyDescent="0.3">
      <c r="C425" s="2" t="str">
        <f>IF(A425&lt;&gt;"",SUM(B425),"")</f>
        <v/>
      </c>
    </row>
    <row r="426" spans="3:3" x14ac:dyDescent="0.3">
      <c r="C426" s="2" t="str">
        <f>IF(A426&lt;&gt;"",SUM(B426),"")</f>
        <v/>
      </c>
    </row>
    <row r="427" spans="3:3" x14ac:dyDescent="0.3">
      <c r="C427" s="2" t="str">
        <f>IF(A427&lt;&gt;"",SUM(B427),"")</f>
        <v/>
      </c>
    </row>
    <row r="428" spans="3:3" x14ac:dyDescent="0.3">
      <c r="C428" s="2" t="str">
        <f>IF(A428&lt;&gt;"",SUM(B428),"")</f>
        <v/>
      </c>
    </row>
    <row r="429" spans="3:3" x14ac:dyDescent="0.3">
      <c r="C429" s="2" t="str">
        <f>IF(A429&lt;&gt;"",SUM(B429),"")</f>
        <v/>
      </c>
    </row>
    <row r="430" spans="3:3" x14ac:dyDescent="0.3">
      <c r="C430" s="2" t="str">
        <f>IF(A430&lt;&gt;"",SUM(B430),"")</f>
        <v/>
      </c>
    </row>
    <row r="431" spans="3:3" x14ac:dyDescent="0.3">
      <c r="C431" s="2" t="str">
        <f>IF(A431&lt;&gt;"",SUM(B431),"")</f>
        <v/>
      </c>
    </row>
    <row r="432" spans="3:3" x14ac:dyDescent="0.3">
      <c r="C432" s="2" t="str">
        <f>IF(A432&lt;&gt;"",SUM(B432),"")</f>
        <v/>
      </c>
    </row>
    <row r="433" spans="3:3" x14ac:dyDescent="0.3">
      <c r="C433" s="2" t="str">
        <f>IF(A433&lt;&gt;"",SUM(B433),"")</f>
        <v/>
      </c>
    </row>
    <row r="434" spans="3:3" x14ac:dyDescent="0.3">
      <c r="C434" s="2" t="str">
        <f>IF(A434&lt;&gt;"",SUM(B434),"")</f>
        <v/>
      </c>
    </row>
    <row r="435" spans="3:3" x14ac:dyDescent="0.3">
      <c r="C435" s="2" t="str">
        <f>IF(A435&lt;&gt;"",SUM(B435),"")</f>
        <v/>
      </c>
    </row>
    <row r="436" spans="3:3" x14ac:dyDescent="0.3">
      <c r="C436" s="2" t="str">
        <f>IF(A436&lt;&gt;"",SUM(B436),"")</f>
        <v/>
      </c>
    </row>
    <row r="437" spans="3:3" x14ac:dyDescent="0.3">
      <c r="C437" s="2" t="str">
        <f>IF(A437&lt;&gt;"",SUM(B437),"")</f>
        <v/>
      </c>
    </row>
    <row r="438" spans="3:3" x14ac:dyDescent="0.3">
      <c r="C438" s="2" t="str">
        <f>IF(A438&lt;&gt;"",SUM(B438),"")</f>
        <v/>
      </c>
    </row>
    <row r="439" spans="3:3" x14ac:dyDescent="0.3">
      <c r="C439" s="2" t="str">
        <f>IF(A439&lt;&gt;"",SUM(B439),"")</f>
        <v/>
      </c>
    </row>
    <row r="440" spans="3:3" x14ac:dyDescent="0.3">
      <c r="C440" s="2" t="str">
        <f>IF(A440&lt;&gt;"",SUM(B440),"")</f>
        <v/>
      </c>
    </row>
    <row r="441" spans="3:3" x14ac:dyDescent="0.3">
      <c r="C441" s="2" t="str">
        <f>IF(A441&lt;&gt;"",SUM(B441),"")</f>
        <v/>
      </c>
    </row>
    <row r="442" spans="3:3" x14ac:dyDescent="0.3">
      <c r="C442" s="2" t="str">
        <f>IF(A442&lt;&gt;"",SUM(B442),"")</f>
        <v/>
      </c>
    </row>
    <row r="443" spans="3:3" x14ac:dyDescent="0.3">
      <c r="C443" s="2" t="str">
        <f>IF(A443&lt;&gt;"",SUM(B443),"")</f>
        <v/>
      </c>
    </row>
    <row r="444" spans="3:3" x14ac:dyDescent="0.3">
      <c r="C444" s="2" t="str">
        <f>IF(A444&lt;&gt;"",SUM(B444),"")</f>
        <v/>
      </c>
    </row>
    <row r="445" spans="3:3" x14ac:dyDescent="0.3">
      <c r="C445" s="2" t="str">
        <f>IF(A445&lt;&gt;"",SUM(B445),"")</f>
        <v/>
      </c>
    </row>
    <row r="446" spans="3:3" x14ac:dyDescent="0.3">
      <c r="C446" s="2" t="str">
        <f>IF(A446&lt;&gt;"",SUM(B446),"")</f>
        <v/>
      </c>
    </row>
    <row r="447" spans="3:3" x14ac:dyDescent="0.3">
      <c r="C447" s="2" t="str">
        <f>IF(A447&lt;&gt;"",SUM(B447),"")</f>
        <v/>
      </c>
    </row>
    <row r="448" spans="3:3" x14ac:dyDescent="0.3">
      <c r="C448" s="2" t="str">
        <f>IF(A448&lt;&gt;"",SUM(B448),"")</f>
        <v/>
      </c>
    </row>
    <row r="449" spans="3:3" x14ac:dyDescent="0.3">
      <c r="C449" s="2" t="str">
        <f>IF(A449&lt;&gt;"",SUM(B449),"")</f>
        <v/>
      </c>
    </row>
    <row r="450" spans="3:3" x14ac:dyDescent="0.3">
      <c r="C450" s="2" t="str">
        <f>IF(A450&lt;&gt;"",SUM(B450),"")</f>
        <v/>
      </c>
    </row>
    <row r="451" spans="3:3" x14ac:dyDescent="0.3">
      <c r="C451" s="2" t="str">
        <f>IF(A451&lt;&gt;"",SUM(B451),"")</f>
        <v/>
      </c>
    </row>
    <row r="452" spans="3:3" x14ac:dyDescent="0.3">
      <c r="C452" s="2" t="str">
        <f>IF(A452&lt;&gt;"",SUM(B452),"")</f>
        <v/>
      </c>
    </row>
    <row r="453" spans="3:3" x14ac:dyDescent="0.3">
      <c r="C453" s="2" t="str">
        <f>IF(A453&lt;&gt;"",SUM(B453),"")</f>
        <v/>
      </c>
    </row>
    <row r="454" spans="3:3" x14ac:dyDescent="0.3">
      <c r="C454" s="2" t="str">
        <f>IF(A454&lt;&gt;"",SUM(B454),"")</f>
        <v/>
      </c>
    </row>
    <row r="455" spans="3:3" x14ac:dyDescent="0.3">
      <c r="C455" s="2" t="str">
        <f>IF(A455&lt;&gt;"",SUM(B455),"")</f>
        <v/>
      </c>
    </row>
    <row r="456" spans="3:3" x14ac:dyDescent="0.3">
      <c r="C456" s="2" t="str">
        <f>IF(A456&lt;&gt;"",SUM(B456),"")</f>
        <v/>
      </c>
    </row>
    <row r="457" spans="3:3" x14ac:dyDescent="0.3">
      <c r="C457" s="2" t="str">
        <f>IF(A457&lt;&gt;"",SUM(B457),"")</f>
        <v/>
      </c>
    </row>
    <row r="458" spans="3:3" x14ac:dyDescent="0.3">
      <c r="C458" s="2" t="str">
        <f>IF(A458&lt;&gt;"",SUM(B458),"")</f>
        <v/>
      </c>
    </row>
    <row r="459" spans="3:3" x14ac:dyDescent="0.3">
      <c r="C459" s="2" t="str">
        <f>IF(A459&lt;&gt;"",SUM(B459),"")</f>
        <v/>
      </c>
    </row>
    <row r="460" spans="3:3" x14ac:dyDescent="0.3">
      <c r="C460" s="2" t="str">
        <f>IF(A460&lt;&gt;"",SUM(B460),"")</f>
        <v/>
      </c>
    </row>
    <row r="461" spans="3:3" x14ac:dyDescent="0.3">
      <c r="C461" s="2" t="str">
        <f>IF(A461&lt;&gt;"",SUM(B461),"")</f>
        <v/>
      </c>
    </row>
    <row r="462" spans="3:3" x14ac:dyDescent="0.3">
      <c r="C462" s="2" t="str">
        <f>IF(A462&lt;&gt;"",SUM(B462),"")</f>
        <v/>
      </c>
    </row>
    <row r="463" spans="3:3" x14ac:dyDescent="0.3">
      <c r="C463" s="2" t="str">
        <f>IF(A463&lt;&gt;"",SUM(B463),"")</f>
        <v/>
      </c>
    </row>
    <row r="464" spans="3:3" x14ac:dyDescent="0.3">
      <c r="C464" s="2" t="str">
        <f>IF(A464&lt;&gt;"",SUM(B464),"")</f>
        <v/>
      </c>
    </row>
    <row r="465" spans="3:3" x14ac:dyDescent="0.3">
      <c r="C465" s="2" t="str">
        <f>IF(A465&lt;&gt;"",SUM(B465),"")</f>
        <v/>
      </c>
    </row>
    <row r="466" spans="3:3" x14ac:dyDescent="0.3">
      <c r="C466" s="2" t="str">
        <f>IF(A466&lt;&gt;"",SUM(B466),"")</f>
        <v/>
      </c>
    </row>
    <row r="467" spans="3:3" x14ac:dyDescent="0.3">
      <c r="C467" s="2" t="str">
        <f>IF(A467&lt;&gt;"",SUM(B467),"")</f>
        <v/>
      </c>
    </row>
    <row r="468" spans="3:3" x14ac:dyDescent="0.3">
      <c r="C468" s="2" t="str">
        <f>IF(A468&lt;&gt;"",SUM(B468),"")</f>
        <v/>
      </c>
    </row>
    <row r="469" spans="3:3" x14ac:dyDescent="0.3">
      <c r="C469" s="2" t="str">
        <f>IF(A469&lt;&gt;"",SUM(B469),"")</f>
        <v/>
      </c>
    </row>
    <row r="470" spans="3:3" x14ac:dyDescent="0.3">
      <c r="C470" s="2" t="str">
        <f>IF(A470&lt;&gt;"",SUM(B470),"")</f>
        <v/>
      </c>
    </row>
    <row r="471" spans="3:3" x14ac:dyDescent="0.3">
      <c r="C471" s="2" t="str">
        <f>IF(A471&lt;&gt;"",SUM(B471),"")</f>
        <v/>
      </c>
    </row>
    <row r="472" spans="3:3" x14ac:dyDescent="0.3">
      <c r="C472" s="2" t="str">
        <f>IF(A472&lt;&gt;"",SUM(B472),"")</f>
        <v/>
      </c>
    </row>
    <row r="473" spans="3:3" x14ac:dyDescent="0.3">
      <c r="C473" s="2" t="str">
        <f>IF(A473&lt;&gt;"",SUM(B473),"")</f>
        <v/>
      </c>
    </row>
    <row r="474" spans="3:3" x14ac:dyDescent="0.3">
      <c r="C474" s="2" t="str">
        <f>IF(A474&lt;&gt;"",SUM(B474),"")</f>
        <v/>
      </c>
    </row>
    <row r="475" spans="3:3" x14ac:dyDescent="0.3">
      <c r="C475" s="2" t="str">
        <f>IF(A475&lt;&gt;"",SUM(B475),"")</f>
        <v/>
      </c>
    </row>
    <row r="476" spans="3:3" x14ac:dyDescent="0.3">
      <c r="C476" s="2" t="str">
        <f>IF(A476&lt;&gt;"",SUM(B476),"")</f>
        <v/>
      </c>
    </row>
    <row r="477" spans="3:3" x14ac:dyDescent="0.3">
      <c r="C477" s="2" t="str">
        <f>IF(A477&lt;&gt;"",SUM(B477),"")</f>
        <v/>
      </c>
    </row>
    <row r="478" spans="3:3" x14ac:dyDescent="0.3">
      <c r="C478" s="2" t="str">
        <f>IF(A478&lt;&gt;"",SUM(B478),"")</f>
        <v/>
      </c>
    </row>
    <row r="479" spans="3:3" x14ac:dyDescent="0.3">
      <c r="C479" s="2" t="str">
        <f>IF(A479&lt;&gt;"",SUM(B479),"")</f>
        <v/>
      </c>
    </row>
    <row r="480" spans="3:3" x14ac:dyDescent="0.3">
      <c r="C480" s="2" t="str">
        <f>IF(A480&lt;&gt;"",SUM(B480),"")</f>
        <v/>
      </c>
    </row>
    <row r="481" spans="3:3" x14ac:dyDescent="0.3">
      <c r="C481" s="2" t="str">
        <f>IF(A481&lt;&gt;"",SUM(B481),"")</f>
        <v/>
      </c>
    </row>
    <row r="482" spans="3:3" x14ac:dyDescent="0.3">
      <c r="C482" s="2" t="str">
        <f>IF(A482&lt;&gt;"",SUM(B482),"")</f>
        <v/>
      </c>
    </row>
    <row r="483" spans="3:3" x14ac:dyDescent="0.3">
      <c r="C483" s="2" t="str">
        <f>IF(A483&lt;&gt;"",SUM(B483),"")</f>
        <v/>
      </c>
    </row>
    <row r="484" spans="3:3" x14ac:dyDescent="0.3">
      <c r="C484" s="2" t="str">
        <f>IF(A484&lt;&gt;"",SUM(B484),"")</f>
        <v/>
      </c>
    </row>
    <row r="485" spans="3:3" x14ac:dyDescent="0.3">
      <c r="C485" s="2" t="str">
        <f>IF(A485&lt;&gt;"",SUM(B485),"")</f>
        <v/>
      </c>
    </row>
    <row r="486" spans="3:3" x14ac:dyDescent="0.3">
      <c r="C486" s="2" t="str">
        <f>IF(A486&lt;&gt;"",SUM(B486),"")</f>
        <v/>
      </c>
    </row>
    <row r="487" spans="3:3" x14ac:dyDescent="0.3">
      <c r="C487" s="2" t="str">
        <f>IF(A487&lt;&gt;"",SUM(B487),"")</f>
        <v/>
      </c>
    </row>
    <row r="488" spans="3:3" x14ac:dyDescent="0.3">
      <c r="C488" s="2" t="str">
        <f>IF(A488&lt;&gt;"",SUM(B488),"")</f>
        <v/>
      </c>
    </row>
    <row r="489" spans="3:3" x14ac:dyDescent="0.3">
      <c r="C489" s="2" t="str">
        <f>IF(A489&lt;&gt;"",SUM(B489),"")</f>
        <v/>
      </c>
    </row>
    <row r="490" spans="3:3" x14ac:dyDescent="0.3">
      <c r="C490" s="2" t="str">
        <f>IF(A490&lt;&gt;"",SUM(B490),"")</f>
        <v/>
      </c>
    </row>
    <row r="491" spans="3:3" x14ac:dyDescent="0.3">
      <c r="C491" s="2" t="str">
        <f>IF(A491&lt;&gt;"",SUM(B491),"")</f>
        <v/>
      </c>
    </row>
    <row r="492" spans="3:3" x14ac:dyDescent="0.3">
      <c r="C492" s="2" t="str">
        <f>IF(A492&lt;&gt;"",SUM(B492),"")</f>
        <v/>
      </c>
    </row>
    <row r="493" spans="3:3" x14ac:dyDescent="0.3">
      <c r="C493" s="2" t="str">
        <f>IF(A493&lt;&gt;"",SUM(B493),"")</f>
        <v/>
      </c>
    </row>
    <row r="494" spans="3:3" x14ac:dyDescent="0.3">
      <c r="C494" s="2" t="str">
        <f>IF(A494&lt;&gt;"",SUM(B494),"")</f>
        <v/>
      </c>
    </row>
    <row r="495" spans="3:3" x14ac:dyDescent="0.3">
      <c r="C495" s="2" t="str">
        <f>IF(A495&lt;&gt;"",SUM(B495),"")</f>
        <v/>
      </c>
    </row>
    <row r="496" spans="3:3" x14ac:dyDescent="0.3">
      <c r="C496" s="2" t="str">
        <f>IF(A496&lt;&gt;"",SUM(B496),"")</f>
        <v/>
      </c>
    </row>
    <row r="497" spans="3:3" x14ac:dyDescent="0.3">
      <c r="C497" s="2" t="str">
        <f>IF(A497&lt;&gt;"",SUM(B497),"")</f>
        <v/>
      </c>
    </row>
    <row r="498" spans="3:3" x14ac:dyDescent="0.3">
      <c r="C498" s="2" t="str">
        <f>IF(A498&lt;&gt;"",SUM(B498),"")</f>
        <v/>
      </c>
    </row>
    <row r="499" spans="3:3" x14ac:dyDescent="0.3">
      <c r="C499" s="2" t="str">
        <f>IF(A499&lt;&gt;"",SUM(B499),"")</f>
        <v/>
      </c>
    </row>
    <row r="500" spans="3:3" x14ac:dyDescent="0.3">
      <c r="C500" s="2" t="str">
        <f>IF(A500&lt;&gt;"",SUM(B500),"")</f>
        <v/>
      </c>
    </row>
    <row r="501" spans="3:3" x14ac:dyDescent="0.3">
      <c r="C501" s="2" t="str">
        <f>IF(A501&lt;&gt;"",SUM(B501),"")</f>
        <v/>
      </c>
    </row>
    <row r="502" spans="3:3" x14ac:dyDescent="0.3">
      <c r="C502" s="2" t="str">
        <f>IF(A502&lt;&gt;"",SUM(B502),"")</f>
        <v/>
      </c>
    </row>
    <row r="503" spans="3:3" x14ac:dyDescent="0.3">
      <c r="C503" s="2" t="str">
        <f>IF(A503&lt;&gt;"",SUM(B503),"")</f>
        <v/>
      </c>
    </row>
    <row r="504" spans="3:3" x14ac:dyDescent="0.3">
      <c r="C504" s="2" t="str">
        <f>IF(A504&lt;&gt;"",SUM(B504),"")</f>
        <v/>
      </c>
    </row>
    <row r="505" spans="3:3" x14ac:dyDescent="0.3">
      <c r="C505" s="2" t="str">
        <f>IF(A505&lt;&gt;"",SUM(B505),"")</f>
        <v/>
      </c>
    </row>
    <row r="506" spans="3:3" x14ac:dyDescent="0.3">
      <c r="C506" s="2" t="str">
        <f>IF(A506&lt;&gt;"",SUM(B506),"")</f>
        <v/>
      </c>
    </row>
    <row r="507" spans="3:3" x14ac:dyDescent="0.3">
      <c r="C507" s="2" t="str">
        <f>IF(A507&lt;&gt;"",SUM(B507),"")</f>
        <v/>
      </c>
    </row>
    <row r="508" spans="3:3" x14ac:dyDescent="0.3">
      <c r="C508" s="2" t="str">
        <f>IF(A508&lt;&gt;"",SUM(B508),"")</f>
        <v/>
      </c>
    </row>
    <row r="509" spans="3:3" x14ac:dyDescent="0.3">
      <c r="C509" s="2" t="str">
        <f>IF(A509&lt;&gt;"",SUM(B509),"")</f>
        <v/>
      </c>
    </row>
    <row r="510" spans="3:3" x14ac:dyDescent="0.3">
      <c r="C510" s="2" t="str">
        <f>IF(A510&lt;&gt;"",SUM(B510),"")</f>
        <v/>
      </c>
    </row>
    <row r="511" spans="3:3" x14ac:dyDescent="0.3">
      <c r="C511" s="2" t="str">
        <f>IF(A511&lt;&gt;"",SUM(B511),"")</f>
        <v/>
      </c>
    </row>
    <row r="512" spans="3:3" x14ac:dyDescent="0.3">
      <c r="C512" s="2" t="str">
        <f>IF(A512&lt;&gt;"",SUM(B512),"")</f>
        <v/>
      </c>
    </row>
    <row r="513" spans="3:3" x14ac:dyDescent="0.3">
      <c r="C513" s="2" t="str">
        <f>IF(A513&lt;&gt;"",SUM(B513),"")</f>
        <v/>
      </c>
    </row>
    <row r="514" spans="3:3" x14ac:dyDescent="0.3">
      <c r="C514" s="2" t="str">
        <f>IF(A514&lt;&gt;"",SUM(B514),"")</f>
        <v/>
      </c>
    </row>
    <row r="515" spans="3:3" x14ac:dyDescent="0.3">
      <c r="C515" s="2" t="str">
        <f>IF(A515&lt;&gt;"",SUM(B515),"")</f>
        <v/>
      </c>
    </row>
    <row r="516" spans="3:3" x14ac:dyDescent="0.3">
      <c r="C516" s="2" t="str">
        <f>IF(A516&lt;&gt;"",SUM(B516),"")</f>
        <v/>
      </c>
    </row>
    <row r="517" spans="3:3" x14ac:dyDescent="0.3">
      <c r="C517" s="2" t="str">
        <f>IF(A517&lt;&gt;"",SUM(B517),"")</f>
        <v/>
      </c>
    </row>
    <row r="518" spans="3:3" x14ac:dyDescent="0.3">
      <c r="C518" s="2" t="str">
        <f>IF(A518&lt;&gt;"",SUM(B518),"")</f>
        <v/>
      </c>
    </row>
    <row r="519" spans="3:3" x14ac:dyDescent="0.3">
      <c r="C519" s="2" t="str">
        <f>IF(A519&lt;&gt;"",SUM(B519),"")</f>
        <v/>
      </c>
    </row>
    <row r="520" spans="3:3" x14ac:dyDescent="0.3">
      <c r="C520" s="2" t="str">
        <f>IF(A520&lt;&gt;"",SUM(B520),"")</f>
        <v/>
      </c>
    </row>
    <row r="521" spans="3:3" x14ac:dyDescent="0.3">
      <c r="C521" s="2" t="str">
        <f>IF(A521&lt;&gt;"",SUM(B521),"")</f>
        <v/>
      </c>
    </row>
    <row r="522" spans="3:3" x14ac:dyDescent="0.3">
      <c r="C522" s="2" t="str">
        <f>IF(A522&lt;&gt;"",SUM(B522),"")</f>
        <v/>
      </c>
    </row>
    <row r="523" spans="3:3" x14ac:dyDescent="0.3">
      <c r="C523" s="2" t="str">
        <f>IF(A523&lt;&gt;"",SUM(B523),"")</f>
        <v/>
      </c>
    </row>
    <row r="524" spans="3:3" x14ac:dyDescent="0.3">
      <c r="C524" s="2" t="str">
        <f>IF(A524&lt;&gt;"",SUM(B524),"")</f>
        <v/>
      </c>
    </row>
    <row r="525" spans="3:3" x14ac:dyDescent="0.3">
      <c r="C525" s="2" t="str">
        <f>IF(A525&lt;&gt;"",SUM(B525),"")</f>
        <v/>
      </c>
    </row>
    <row r="526" spans="3:3" x14ac:dyDescent="0.3">
      <c r="C526" s="2" t="str">
        <f>IF(A526&lt;&gt;"",SUM(B526),"")</f>
        <v/>
      </c>
    </row>
    <row r="527" spans="3:3" x14ac:dyDescent="0.3">
      <c r="C527" s="2" t="str">
        <f>IF(A527&lt;&gt;"",SUM(B527),"")</f>
        <v/>
      </c>
    </row>
    <row r="528" spans="3:3" x14ac:dyDescent="0.3">
      <c r="C528" s="2" t="str">
        <f>IF(A528&lt;&gt;"",SUM(B528),"")</f>
        <v/>
      </c>
    </row>
    <row r="529" spans="3:3" x14ac:dyDescent="0.3">
      <c r="C529" s="2" t="str">
        <f>IF(A529&lt;&gt;"",SUM(B529),"")</f>
        <v/>
      </c>
    </row>
    <row r="530" spans="3:3" x14ac:dyDescent="0.3">
      <c r="C530" s="2" t="str">
        <f>IF(A530&lt;&gt;"",SUM(B530),"")</f>
        <v/>
      </c>
    </row>
    <row r="531" spans="3:3" x14ac:dyDescent="0.3">
      <c r="C531" s="2" t="str">
        <f>IF(A531&lt;&gt;"",SUM(B531),"")</f>
        <v/>
      </c>
    </row>
    <row r="532" spans="3:3" x14ac:dyDescent="0.3">
      <c r="C532" s="2" t="str">
        <f>IF(A532&lt;&gt;"",SUM(B532),"")</f>
        <v/>
      </c>
    </row>
    <row r="533" spans="3:3" x14ac:dyDescent="0.3">
      <c r="C533" s="2" t="str">
        <f>IF(A533&lt;&gt;"",SUM(B533),"")</f>
        <v/>
      </c>
    </row>
    <row r="534" spans="3:3" x14ac:dyDescent="0.3">
      <c r="C534" s="2" t="str">
        <f>IF(A534&lt;&gt;"",SUM(B534),"")</f>
        <v/>
      </c>
    </row>
    <row r="535" spans="3:3" x14ac:dyDescent="0.3">
      <c r="C535" s="2" t="str">
        <f>IF(A535&lt;&gt;"",SUM(B535),"")</f>
        <v/>
      </c>
    </row>
    <row r="536" spans="3:3" x14ac:dyDescent="0.3">
      <c r="C536" s="2" t="str">
        <f>IF(A536&lt;&gt;"",SUM(B536),"")</f>
        <v/>
      </c>
    </row>
    <row r="537" spans="3:3" x14ac:dyDescent="0.3">
      <c r="C537" s="2" t="str">
        <f>IF(A537&lt;&gt;"",SUM(B537),"")</f>
        <v/>
      </c>
    </row>
    <row r="538" spans="3:3" x14ac:dyDescent="0.3">
      <c r="C538" s="2" t="str">
        <f>IF(A538&lt;&gt;"",SUM(B538),"")</f>
        <v/>
      </c>
    </row>
    <row r="539" spans="3:3" x14ac:dyDescent="0.3">
      <c r="C539" s="2" t="str">
        <f>IF(A539&lt;&gt;"",SUM(B539),"")</f>
        <v/>
      </c>
    </row>
    <row r="540" spans="3:3" x14ac:dyDescent="0.3">
      <c r="C540" s="2" t="str">
        <f>IF(A540&lt;&gt;"",SUM(B540),"")</f>
        <v/>
      </c>
    </row>
    <row r="541" spans="3:3" x14ac:dyDescent="0.3">
      <c r="C541" s="2" t="str">
        <f>IF(A541&lt;&gt;"",SUM(B541),"")</f>
        <v/>
      </c>
    </row>
    <row r="542" spans="3:3" x14ac:dyDescent="0.3">
      <c r="C542" s="2" t="str">
        <f>IF(A542&lt;&gt;"",SUM(B542),"")</f>
        <v/>
      </c>
    </row>
    <row r="543" spans="3:3" x14ac:dyDescent="0.3">
      <c r="C543" s="2" t="str">
        <f>IF(A543&lt;&gt;"",SUM(B543),"")</f>
        <v/>
      </c>
    </row>
    <row r="544" spans="3:3" x14ac:dyDescent="0.3">
      <c r="C544" s="2" t="str">
        <f>IF(A544&lt;&gt;"",SUM(B544),"")</f>
        <v/>
      </c>
    </row>
    <row r="545" spans="3:3" x14ac:dyDescent="0.3">
      <c r="C545" s="2" t="str">
        <f>IF(A545&lt;&gt;"",SUM(B545),"")</f>
        <v/>
      </c>
    </row>
    <row r="546" spans="3:3" x14ac:dyDescent="0.3">
      <c r="C546" s="2" t="str">
        <f>IF(A546&lt;&gt;"",SUM(B546),"")</f>
        <v/>
      </c>
    </row>
    <row r="547" spans="3:3" x14ac:dyDescent="0.3">
      <c r="C547" s="2" t="str">
        <f>IF(A547&lt;&gt;"",SUM(B547),"")</f>
        <v/>
      </c>
    </row>
    <row r="548" spans="3:3" x14ac:dyDescent="0.3">
      <c r="C548" s="2" t="str">
        <f>IF(A548&lt;&gt;"",SUM(B548),"")</f>
        <v/>
      </c>
    </row>
    <row r="549" spans="3:3" x14ac:dyDescent="0.3">
      <c r="C549" s="2" t="str">
        <f>IF(A549&lt;&gt;"",SUM(B549),"")</f>
        <v/>
      </c>
    </row>
    <row r="550" spans="3:3" x14ac:dyDescent="0.3">
      <c r="C550" s="2" t="str">
        <f>IF(A550&lt;&gt;"",SUM(B550),"")</f>
        <v/>
      </c>
    </row>
    <row r="551" spans="3:3" x14ac:dyDescent="0.3">
      <c r="C551" s="2" t="str">
        <f>IF(A551&lt;&gt;"",SUM(B551),"")</f>
        <v/>
      </c>
    </row>
    <row r="552" spans="3:3" x14ac:dyDescent="0.3">
      <c r="C552" s="2" t="str">
        <f>IF(A552&lt;&gt;"",SUM(B552),"")</f>
        <v/>
      </c>
    </row>
    <row r="553" spans="3:3" x14ac:dyDescent="0.3">
      <c r="C553" s="2" t="str">
        <f>IF(A553&lt;&gt;"",SUM(B553),"")</f>
        <v/>
      </c>
    </row>
    <row r="554" spans="3:3" x14ac:dyDescent="0.3">
      <c r="C554" s="2" t="str">
        <f>IF(A554&lt;&gt;"",SUM(B554),"")</f>
        <v/>
      </c>
    </row>
    <row r="555" spans="3:3" x14ac:dyDescent="0.3">
      <c r="C555" s="2" t="str">
        <f>IF(A555&lt;&gt;"",SUM(B555),"")</f>
        <v/>
      </c>
    </row>
    <row r="556" spans="3:3" x14ac:dyDescent="0.3">
      <c r="C556" s="2" t="str">
        <f>IF(A556&lt;&gt;"",SUM(B556),"")</f>
        <v/>
      </c>
    </row>
    <row r="557" spans="3:3" x14ac:dyDescent="0.3">
      <c r="C557" s="2" t="str">
        <f>IF(A557&lt;&gt;"",SUM(B557),"")</f>
        <v/>
      </c>
    </row>
    <row r="558" spans="3:3" x14ac:dyDescent="0.3">
      <c r="C558" s="2" t="str">
        <f>IF(A558&lt;&gt;"",SUM(B558),"")</f>
        <v/>
      </c>
    </row>
    <row r="559" spans="3:3" x14ac:dyDescent="0.3">
      <c r="C559" s="2" t="str">
        <f>IF(A559&lt;&gt;"",SUM(B559),"")</f>
        <v/>
      </c>
    </row>
    <row r="560" spans="3:3" x14ac:dyDescent="0.3">
      <c r="C560" s="2" t="str">
        <f>IF(A560&lt;&gt;"",SUM(B560),"")</f>
        <v/>
      </c>
    </row>
    <row r="561" spans="3:3" x14ac:dyDescent="0.3">
      <c r="C561" s="2" t="str">
        <f>IF(A561&lt;&gt;"",SUM(B561),"")</f>
        <v/>
      </c>
    </row>
    <row r="562" spans="3:3" x14ac:dyDescent="0.3">
      <c r="C562" s="2" t="str">
        <f>IF(A562&lt;&gt;"",SUM(B562),"")</f>
        <v/>
      </c>
    </row>
    <row r="563" spans="3:3" x14ac:dyDescent="0.3">
      <c r="C563" s="2" t="str">
        <f>IF(A563&lt;&gt;"",SUM(B563),"")</f>
        <v/>
      </c>
    </row>
    <row r="564" spans="3:3" x14ac:dyDescent="0.3">
      <c r="C564" s="2" t="str">
        <f>IF(A564&lt;&gt;"",SUM(B564),"")</f>
        <v/>
      </c>
    </row>
    <row r="565" spans="3:3" x14ac:dyDescent="0.3">
      <c r="C565" s="2" t="str">
        <f>IF(A565&lt;&gt;"",SUM(B565),"")</f>
        <v/>
      </c>
    </row>
    <row r="566" spans="3:3" x14ac:dyDescent="0.3">
      <c r="C566" s="2" t="str">
        <f>IF(A566&lt;&gt;"",SUM(B566),"")</f>
        <v/>
      </c>
    </row>
    <row r="567" spans="3:3" x14ac:dyDescent="0.3">
      <c r="C567" s="2" t="str">
        <f>IF(A567&lt;&gt;"",SUM(B567),"")</f>
        <v/>
      </c>
    </row>
    <row r="568" spans="3:3" x14ac:dyDescent="0.3">
      <c r="C568" s="2" t="str">
        <f>IF(A568&lt;&gt;"",SUM(B568),"")</f>
        <v/>
      </c>
    </row>
    <row r="569" spans="3:3" x14ac:dyDescent="0.3">
      <c r="C569" s="2" t="str">
        <f>IF(A569&lt;&gt;"",SUM(B569),"")</f>
        <v/>
      </c>
    </row>
    <row r="570" spans="3:3" x14ac:dyDescent="0.3">
      <c r="C570" s="2" t="str">
        <f>IF(A570&lt;&gt;"",SUM(B570),"")</f>
        <v/>
      </c>
    </row>
    <row r="571" spans="3:3" x14ac:dyDescent="0.3">
      <c r="C571" s="2" t="str">
        <f>IF(A571&lt;&gt;"",SUM(B571),"")</f>
        <v/>
      </c>
    </row>
    <row r="572" spans="3:3" x14ac:dyDescent="0.3">
      <c r="C572" s="2" t="str">
        <f>IF(A572&lt;&gt;"",SUM(B572),"")</f>
        <v/>
      </c>
    </row>
    <row r="573" spans="3:3" x14ac:dyDescent="0.3">
      <c r="C573" s="2" t="str">
        <f>IF(A573&lt;&gt;"",SUM(B573),"")</f>
        <v/>
      </c>
    </row>
    <row r="574" spans="3:3" x14ac:dyDescent="0.3">
      <c r="C574" s="2" t="str">
        <f>IF(A574&lt;&gt;"",SUM(B574),"")</f>
        <v/>
      </c>
    </row>
    <row r="575" spans="3:3" x14ac:dyDescent="0.3">
      <c r="C575" s="2" t="str">
        <f>IF(A575&lt;&gt;"",SUM(B575),"")</f>
        <v/>
      </c>
    </row>
    <row r="576" spans="3:3" x14ac:dyDescent="0.3">
      <c r="C576" s="2" t="str">
        <f>IF(A576&lt;&gt;"",SUM(B576),"")</f>
        <v/>
      </c>
    </row>
    <row r="577" spans="3:3" x14ac:dyDescent="0.3">
      <c r="C577" s="2" t="str">
        <f>IF(A577&lt;&gt;"",SUM(B577),"")</f>
        <v/>
      </c>
    </row>
    <row r="578" spans="3:3" x14ac:dyDescent="0.3">
      <c r="C578" s="2" t="str">
        <f>IF(A578&lt;&gt;"",SUM(B578),"")</f>
        <v/>
      </c>
    </row>
    <row r="579" spans="3:3" x14ac:dyDescent="0.3">
      <c r="C579" s="2" t="str">
        <f>IF(A579&lt;&gt;"",SUM(B579),"")</f>
        <v/>
      </c>
    </row>
    <row r="580" spans="3:3" x14ac:dyDescent="0.3">
      <c r="C580" s="2" t="str">
        <f>IF(A580&lt;&gt;"",SUM(B580),"")</f>
        <v/>
      </c>
    </row>
    <row r="581" spans="3:3" x14ac:dyDescent="0.3">
      <c r="C581" s="2" t="str">
        <f>IF(A581&lt;&gt;"",SUM(B581),"")</f>
        <v/>
      </c>
    </row>
    <row r="582" spans="3:3" x14ac:dyDescent="0.3">
      <c r="C582" s="2" t="str">
        <f>IF(A582&lt;&gt;"",SUM(B582),"")</f>
        <v/>
      </c>
    </row>
    <row r="583" spans="3:3" x14ac:dyDescent="0.3">
      <c r="C583" s="2" t="str">
        <f>IF(A583&lt;&gt;"",SUM(B583),"")</f>
        <v/>
      </c>
    </row>
    <row r="584" spans="3:3" x14ac:dyDescent="0.3">
      <c r="C584" s="2" t="str">
        <f>IF(A584&lt;&gt;"",SUM(B584),"")</f>
        <v/>
      </c>
    </row>
    <row r="585" spans="3:3" x14ac:dyDescent="0.3">
      <c r="C585" s="2" t="str">
        <f>IF(A585&lt;&gt;"",SUM(B585),"")</f>
        <v/>
      </c>
    </row>
    <row r="586" spans="3:3" x14ac:dyDescent="0.3">
      <c r="C586" s="2" t="str">
        <f>IF(A586&lt;&gt;"",SUM(B586),"")</f>
        <v/>
      </c>
    </row>
    <row r="587" spans="3:3" x14ac:dyDescent="0.3">
      <c r="C587" s="2" t="str">
        <f>IF(A587&lt;&gt;"",SUM(B587),"")</f>
        <v/>
      </c>
    </row>
    <row r="588" spans="3:3" x14ac:dyDescent="0.3">
      <c r="C588" s="2" t="str">
        <f>IF(A588&lt;&gt;"",SUM(B588),"")</f>
        <v/>
      </c>
    </row>
    <row r="589" spans="3:3" x14ac:dyDescent="0.3">
      <c r="C589" s="2" t="str">
        <f>IF(A589&lt;&gt;"",SUM(B589),"")</f>
        <v/>
      </c>
    </row>
    <row r="590" spans="3:3" x14ac:dyDescent="0.3">
      <c r="C590" s="2" t="str">
        <f>IF(A590&lt;&gt;"",SUM(B590),"")</f>
        <v/>
      </c>
    </row>
    <row r="591" spans="3:3" x14ac:dyDescent="0.3">
      <c r="C591" s="2" t="str">
        <f>IF(A591&lt;&gt;"",SUM(B591),"")</f>
        <v/>
      </c>
    </row>
    <row r="592" spans="3:3" x14ac:dyDescent="0.3">
      <c r="C592" s="2" t="str">
        <f>IF(A592&lt;&gt;"",SUM(B592),"")</f>
        <v/>
      </c>
    </row>
    <row r="593" spans="3:3" x14ac:dyDescent="0.3">
      <c r="C593" s="2" t="str">
        <f>IF(A593&lt;&gt;"",SUM(B593),"")</f>
        <v/>
      </c>
    </row>
    <row r="594" spans="3:3" x14ac:dyDescent="0.3">
      <c r="C594" s="2" t="str">
        <f>IF(A594&lt;&gt;"",SUM(B594),"")</f>
        <v/>
      </c>
    </row>
    <row r="595" spans="3:3" x14ac:dyDescent="0.3">
      <c r="C595" s="2" t="str">
        <f>IF(A595&lt;&gt;"",SUM(B595),"")</f>
        <v/>
      </c>
    </row>
    <row r="596" spans="3:3" x14ac:dyDescent="0.3">
      <c r="C596" s="2" t="str">
        <f>IF(A596&lt;&gt;"",SUM(B596),"")</f>
        <v/>
      </c>
    </row>
    <row r="597" spans="3:3" x14ac:dyDescent="0.3">
      <c r="C597" s="2" t="str">
        <f>IF(A597&lt;&gt;"",SUM(B597),"")</f>
        <v/>
      </c>
    </row>
    <row r="598" spans="3:3" x14ac:dyDescent="0.3">
      <c r="C598" s="2" t="str">
        <f>IF(A598&lt;&gt;"",SUM(B598),"")</f>
        <v/>
      </c>
    </row>
    <row r="599" spans="3:3" x14ac:dyDescent="0.3">
      <c r="C599" s="2" t="str">
        <f>IF(A599&lt;&gt;"",SUM(B599),"")</f>
        <v/>
      </c>
    </row>
    <row r="600" spans="3:3" x14ac:dyDescent="0.3">
      <c r="C600" s="2" t="str">
        <f>IF(A600&lt;&gt;"",SUM(B600),"")</f>
        <v/>
      </c>
    </row>
    <row r="601" spans="3:3" x14ac:dyDescent="0.3">
      <c r="C601" s="2" t="str">
        <f>IF(A601&lt;&gt;"",SUM(B601),"")</f>
        <v/>
      </c>
    </row>
    <row r="602" spans="3:3" x14ac:dyDescent="0.3">
      <c r="C602" s="2" t="str">
        <f>IF(A602&lt;&gt;"",SUM(B602),"")</f>
        <v/>
      </c>
    </row>
    <row r="603" spans="3:3" x14ac:dyDescent="0.3">
      <c r="C603" s="2" t="str">
        <f>IF(A603&lt;&gt;"",SUM(B603),"")</f>
        <v/>
      </c>
    </row>
    <row r="604" spans="3:3" x14ac:dyDescent="0.3">
      <c r="C604" s="2" t="str">
        <f>IF(A604&lt;&gt;"",SUM(B604),"")</f>
        <v/>
      </c>
    </row>
    <row r="605" spans="3:3" x14ac:dyDescent="0.3">
      <c r="C605" s="2" t="str">
        <f>IF(A605&lt;&gt;"",SUM(B605),"")</f>
        <v/>
      </c>
    </row>
    <row r="606" spans="3:3" x14ac:dyDescent="0.3">
      <c r="C606" s="2" t="str">
        <f>IF(A606&lt;&gt;"",SUM(B606),"")</f>
        <v/>
      </c>
    </row>
    <row r="607" spans="3:3" x14ac:dyDescent="0.3">
      <c r="C607" s="2" t="str">
        <f>IF(A607&lt;&gt;"",SUM(B607),"")</f>
        <v/>
      </c>
    </row>
    <row r="608" spans="3:3" x14ac:dyDescent="0.3">
      <c r="C608" s="2" t="str">
        <f>IF(A608&lt;&gt;"",SUM(B608),"")</f>
        <v/>
      </c>
    </row>
    <row r="609" spans="3:3" x14ac:dyDescent="0.3">
      <c r="C609" s="2" t="str">
        <f>IF(A609&lt;&gt;"",SUM(B609),"")</f>
        <v/>
      </c>
    </row>
    <row r="610" spans="3:3" x14ac:dyDescent="0.3">
      <c r="C610" s="2" t="str">
        <f>IF(A610&lt;&gt;"",SUM(B610),"")</f>
        <v/>
      </c>
    </row>
    <row r="611" spans="3:3" x14ac:dyDescent="0.3">
      <c r="C611" s="2" t="str">
        <f>IF(A611&lt;&gt;"",SUM(B611),"")</f>
        <v/>
      </c>
    </row>
    <row r="612" spans="3:3" x14ac:dyDescent="0.3">
      <c r="C612" s="2" t="str">
        <f>IF(A612&lt;&gt;"",SUM(B612),"")</f>
        <v/>
      </c>
    </row>
    <row r="613" spans="3:3" x14ac:dyDescent="0.3">
      <c r="C613" s="2" t="str">
        <f>IF(A613&lt;&gt;"",SUM(B613),"")</f>
        <v/>
      </c>
    </row>
    <row r="614" spans="3:3" x14ac:dyDescent="0.3">
      <c r="C614" s="2" t="str">
        <f>IF(A614&lt;&gt;"",SUM(B614),"")</f>
        <v/>
      </c>
    </row>
    <row r="615" spans="3:3" x14ac:dyDescent="0.3">
      <c r="C615" s="2" t="str">
        <f>IF(A615&lt;&gt;"",SUM(B615),"")</f>
        <v/>
      </c>
    </row>
    <row r="616" spans="3:3" x14ac:dyDescent="0.3">
      <c r="C616" s="2" t="str">
        <f>IF(A616&lt;&gt;"",SUM(B616),"")</f>
        <v/>
      </c>
    </row>
    <row r="617" spans="3:3" x14ac:dyDescent="0.3">
      <c r="C617" s="2" t="str">
        <f>IF(A617&lt;&gt;"",SUM(B617),"")</f>
        <v/>
      </c>
    </row>
    <row r="618" spans="3:3" x14ac:dyDescent="0.3">
      <c r="C618" s="2" t="str">
        <f>IF(A618&lt;&gt;"",SUM(B618),"")</f>
        <v/>
      </c>
    </row>
    <row r="619" spans="3:3" x14ac:dyDescent="0.3">
      <c r="C619" s="2" t="str">
        <f>IF(A619&lt;&gt;"",SUM(B619),"")</f>
        <v/>
      </c>
    </row>
    <row r="620" spans="3:3" x14ac:dyDescent="0.3">
      <c r="C620" s="2" t="str">
        <f>IF(A620&lt;&gt;"",SUM(B620),"")</f>
        <v/>
      </c>
    </row>
    <row r="621" spans="3:3" x14ac:dyDescent="0.3">
      <c r="C621" s="2" t="str">
        <f>IF(A621&lt;&gt;"",SUM(B621),"")</f>
        <v/>
      </c>
    </row>
    <row r="622" spans="3:3" x14ac:dyDescent="0.3">
      <c r="C622" s="2" t="str">
        <f>IF(A622&lt;&gt;"",SUM(B622),"")</f>
        <v/>
      </c>
    </row>
    <row r="623" spans="3:3" x14ac:dyDescent="0.3">
      <c r="C623" s="2" t="str">
        <f>IF(A623&lt;&gt;"",SUM(B623),"")</f>
        <v/>
      </c>
    </row>
    <row r="624" spans="3:3" x14ac:dyDescent="0.3">
      <c r="C624" s="2" t="str">
        <f>IF(A624&lt;&gt;"",SUM(B624),"")</f>
        <v/>
      </c>
    </row>
    <row r="625" spans="3:3" x14ac:dyDescent="0.3">
      <c r="C625" s="2" t="str">
        <f>IF(A625&lt;&gt;"",SUM(B625),"")</f>
        <v/>
      </c>
    </row>
    <row r="626" spans="3:3" x14ac:dyDescent="0.3">
      <c r="C626" s="2" t="str">
        <f>IF(A626&lt;&gt;"",SUM(B626),"")</f>
        <v/>
      </c>
    </row>
    <row r="627" spans="3:3" x14ac:dyDescent="0.3">
      <c r="C627" s="2" t="str">
        <f>IF(A627&lt;&gt;"",SUM(B627),"")</f>
        <v/>
      </c>
    </row>
    <row r="628" spans="3:3" x14ac:dyDescent="0.3">
      <c r="C628" s="2" t="str">
        <f>IF(A628&lt;&gt;"",SUM(B628),"")</f>
        <v/>
      </c>
    </row>
    <row r="629" spans="3:3" x14ac:dyDescent="0.3">
      <c r="C629" s="2" t="str">
        <f>IF(A629&lt;&gt;"",SUM(B629),"")</f>
        <v/>
      </c>
    </row>
    <row r="630" spans="3:3" x14ac:dyDescent="0.3">
      <c r="C630" s="2" t="str">
        <f>IF(A630&lt;&gt;"",SUM(B630),"")</f>
        <v/>
      </c>
    </row>
    <row r="631" spans="3:3" x14ac:dyDescent="0.3">
      <c r="C631" s="2" t="str">
        <f>IF(A631&lt;&gt;"",SUM(B631),"")</f>
        <v/>
      </c>
    </row>
    <row r="632" spans="3:3" x14ac:dyDescent="0.3">
      <c r="C632" s="2" t="str">
        <f>IF(A632&lt;&gt;"",SUM(B632),"")</f>
        <v/>
      </c>
    </row>
    <row r="633" spans="3:3" x14ac:dyDescent="0.3">
      <c r="C633" s="2" t="str">
        <f>IF(A633&lt;&gt;"",SUM(B633),"")</f>
        <v/>
      </c>
    </row>
    <row r="634" spans="3:3" x14ac:dyDescent="0.3">
      <c r="C634" s="2" t="str">
        <f>IF(A634&lt;&gt;"",SUM(B634),"")</f>
        <v/>
      </c>
    </row>
    <row r="635" spans="3:3" x14ac:dyDescent="0.3">
      <c r="C635" s="2" t="str">
        <f>IF(A635&lt;&gt;"",SUM(B635),"")</f>
        <v/>
      </c>
    </row>
    <row r="636" spans="3:3" x14ac:dyDescent="0.3">
      <c r="C636" s="2" t="str">
        <f>IF(A636&lt;&gt;"",SUM(B636),"")</f>
        <v/>
      </c>
    </row>
    <row r="637" spans="3:3" x14ac:dyDescent="0.3">
      <c r="C637" s="2" t="str">
        <f>IF(A637&lt;&gt;"",SUM(B637),"")</f>
        <v/>
      </c>
    </row>
    <row r="638" spans="3:3" x14ac:dyDescent="0.3">
      <c r="C638" s="2" t="str">
        <f>IF(A638&lt;&gt;"",SUM(B638),"")</f>
        <v/>
      </c>
    </row>
    <row r="639" spans="3:3" x14ac:dyDescent="0.3">
      <c r="C639" s="2" t="str">
        <f>IF(A639&lt;&gt;"",SUM(B639),"")</f>
        <v/>
      </c>
    </row>
    <row r="640" spans="3:3" x14ac:dyDescent="0.3">
      <c r="C640" s="2" t="str">
        <f>IF(A640&lt;&gt;"",SUM(B640),"")</f>
        <v/>
      </c>
    </row>
    <row r="641" spans="3:3" x14ac:dyDescent="0.3">
      <c r="C641" s="2" t="str">
        <f>IF(A641&lt;&gt;"",SUM(B641),"")</f>
        <v/>
      </c>
    </row>
    <row r="642" spans="3:3" x14ac:dyDescent="0.3">
      <c r="C642" s="2" t="str">
        <f>IF(A642&lt;&gt;"",SUM(B642),"")</f>
        <v/>
      </c>
    </row>
    <row r="643" spans="3:3" x14ac:dyDescent="0.3">
      <c r="C643" s="2" t="str">
        <f>IF(A643&lt;&gt;"",SUM(B643),"")</f>
        <v/>
      </c>
    </row>
    <row r="644" spans="3:3" x14ac:dyDescent="0.3">
      <c r="C644" s="2" t="str">
        <f>IF(A644&lt;&gt;"",SUM(B644),"")</f>
        <v/>
      </c>
    </row>
    <row r="645" spans="3:3" x14ac:dyDescent="0.3">
      <c r="C645" s="2" t="str">
        <f>IF(A645&lt;&gt;"",SUM(B645),"")</f>
        <v/>
      </c>
    </row>
    <row r="646" spans="3:3" x14ac:dyDescent="0.3">
      <c r="C646" s="2" t="str">
        <f>IF(A646&lt;&gt;"",SUM(B646),"")</f>
        <v/>
      </c>
    </row>
    <row r="647" spans="3:3" x14ac:dyDescent="0.3">
      <c r="C647" s="2" t="str">
        <f>IF(A647&lt;&gt;"",SUM(B647),"")</f>
        <v/>
      </c>
    </row>
    <row r="648" spans="3:3" x14ac:dyDescent="0.3">
      <c r="C648" s="2" t="str">
        <f>IF(A648&lt;&gt;"",SUM(B648),"")</f>
        <v/>
      </c>
    </row>
    <row r="649" spans="3:3" x14ac:dyDescent="0.3">
      <c r="C649" s="2" t="str">
        <f>IF(A649&lt;&gt;"",SUM(B649),"")</f>
        <v/>
      </c>
    </row>
    <row r="650" spans="3:3" x14ac:dyDescent="0.3">
      <c r="C650" s="2" t="str">
        <f>IF(A650&lt;&gt;"",SUM(B650),"")</f>
        <v/>
      </c>
    </row>
    <row r="651" spans="3:3" x14ac:dyDescent="0.3">
      <c r="C651" s="2" t="str">
        <f>IF(A651&lt;&gt;"",SUM(B651),"")</f>
        <v/>
      </c>
    </row>
    <row r="652" spans="3:3" x14ac:dyDescent="0.3">
      <c r="C652" s="2" t="str">
        <f>IF(A652&lt;&gt;"",SUM(B652),"")</f>
        <v/>
      </c>
    </row>
    <row r="653" spans="3:3" x14ac:dyDescent="0.3">
      <c r="C653" s="2" t="str">
        <f>IF(A653&lt;&gt;"",SUM(B653),"")</f>
        <v/>
      </c>
    </row>
    <row r="654" spans="3:3" x14ac:dyDescent="0.3">
      <c r="C654" s="2" t="str">
        <f>IF(A654&lt;&gt;"",SUM(B654),"")</f>
        <v/>
      </c>
    </row>
    <row r="655" spans="3:3" x14ac:dyDescent="0.3">
      <c r="C655" s="2" t="str">
        <f>IF(A655&lt;&gt;"",SUM(B655),"")</f>
        <v/>
      </c>
    </row>
    <row r="656" spans="3:3" x14ac:dyDescent="0.3">
      <c r="C656" s="2" t="str">
        <f>IF(A656&lt;&gt;"",SUM(B656),"")</f>
        <v/>
      </c>
    </row>
    <row r="657" spans="3:3" x14ac:dyDescent="0.3">
      <c r="C657" s="2" t="str">
        <f>IF(A657&lt;&gt;"",SUM(B657),"")</f>
        <v/>
      </c>
    </row>
    <row r="658" spans="3:3" x14ac:dyDescent="0.3">
      <c r="C658" s="2" t="str">
        <f>IF(A658&lt;&gt;"",SUM(B658),"")</f>
        <v/>
      </c>
    </row>
    <row r="659" spans="3:3" x14ac:dyDescent="0.3">
      <c r="C659" s="2" t="str">
        <f>IF(A659&lt;&gt;"",SUM(B659),"")</f>
        <v/>
      </c>
    </row>
    <row r="660" spans="3:3" x14ac:dyDescent="0.3">
      <c r="C660" s="2" t="str">
        <f>IF(A660&lt;&gt;"",SUM(B660),"")</f>
        <v/>
      </c>
    </row>
    <row r="661" spans="3:3" x14ac:dyDescent="0.3">
      <c r="C661" s="2" t="str">
        <f>IF(A661&lt;&gt;"",SUM(B661),"")</f>
        <v/>
      </c>
    </row>
    <row r="662" spans="3:3" x14ac:dyDescent="0.3">
      <c r="C662" s="2" t="str">
        <f>IF(A662&lt;&gt;"",SUM(B662),"")</f>
        <v/>
      </c>
    </row>
    <row r="663" spans="3:3" x14ac:dyDescent="0.3">
      <c r="C663" s="2" t="str">
        <f>IF(A663&lt;&gt;"",SUM(B663),"")</f>
        <v/>
      </c>
    </row>
    <row r="664" spans="3:3" x14ac:dyDescent="0.3">
      <c r="C664" s="2" t="str">
        <f>IF(A664&lt;&gt;"",SUM(B664),"")</f>
        <v/>
      </c>
    </row>
    <row r="665" spans="3:3" x14ac:dyDescent="0.3">
      <c r="C665" s="2" t="str">
        <f>IF(A665&lt;&gt;"",SUM(B665),"")</f>
        <v/>
      </c>
    </row>
    <row r="666" spans="3:3" x14ac:dyDescent="0.3">
      <c r="C666" s="2" t="str">
        <f>IF(A666&lt;&gt;"",SUM(B666),"")</f>
        <v/>
      </c>
    </row>
    <row r="667" spans="3:3" x14ac:dyDescent="0.3">
      <c r="C667" s="2" t="str">
        <f>IF(A667&lt;&gt;"",SUM(B667),"")</f>
        <v/>
      </c>
    </row>
    <row r="668" spans="3:3" x14ac:dyDescent="0.3">
      <c r="C668" s="2" t="str">
        <f>IF(A668&lt;&gt;"",SUM(B668),"")</f>
        <v/>
      </c>
    </row>
    <row r="669" spans="3:3" x14ac:dyDescent="0.3">
      <c r="C669" s="2" t="str">
        <f>IF(A669&lt;&gt;"",SUM(B669),"")</f>
        <v/>
      </c>
    </row>
    <row r="670" spans="3:3" x14ac:dyDescent="0.3">
      <c r="C670" s="2" t="str">
        <f>IF(A670&lt;&gt;"",SUM(B670),"")</f>
        <v/>
      </c>
    </row>
    <row r="671" spans="3:3" x14ac:dyDescent="0.3">
      <c r="C671" s="2" t="str">
        <f>IF(A671&lt;&gt;"",SUM(B671),"")</f>
        <v/>
      </c>
    </row>
    <row r="672" spans="3:3" x14ac:dyDescent="0.3">
      <c r="C672" s="2" t="str">
        <f>IF(A672&lt;&gt;"",SUM(B672),"")</f>
        <v/>
      </c>
    </row>
    <row r="673" spans="3:3" x14ac:dyDescent="0.3">
      <c r="C673" s="2" t="str">
        <f>IF(A673&lt;&gt;"",SUM(B673),"")</f>
        <v/>
      </c>
    </row>
    <row r="674" spans="3:3" x14ac:dyDescent="0.3">
      <c r="C674" s="2" t="str">
        <f>IF(A674&lt;&gt;"",SUM(B674),"")</f>
        <v/>
      </c>
    </row>
    <row r="675" spans="3:3" x14ac:dyDescent="0.3">
      <c r="C675" s="2" t="str">
        <f>IF(A675&lt;&gt;"",SUM(B675),"")</f>
        <v/>
      </c>
    </row>
    <row r="676" spans="3:3" x14ac:dyDescent="0.3">
      <c r="C676" s="2" t="str">
        <f>IF(A676&lt;&gt;"",SUM(B676),"")</f>
        <v/>
      </c>
    </row>
    <row r="677" spans="3:3" x14ac:dyDescent="0.3">
      <c r="C677" s="2" t="str">
        <f>IF(A677&lt;&gt;"",SUM(B677),"")</f>
        <v/>
      </c>
    </row>
    <row r="678" spans="3:3" x14ac:dyDescent="0.3">
      <c r="C678" s="2" t="str">
        <f>IF(A678&lt;&gt;"",SUM(B678),"")</f>
        <v/>
      </c>
    </row>
    <row r="679" spans="3:3" x14ac:dyDescent="0.3">
      <c r="C679" s="2" t="str">
        <f>IF(A679&lt;&gt;"",SUM(B679),"")</f>
        <v/>
      </c>
    </row>
    <row r="680" spans="3:3" x14ac:dyDescent="0.3">
      <c r="C680" s="2" t="str">
        <f>IF(A680&lt;&gt;"",SUM(B680),"")</f>
        <v/>
      </c>
    </row>
    <row r="681" spans="3:3" x14ac:dyDescent="0.3">
      <c r="C681" s="2" t="str">
        <f>IF(A681&lt;&gt;"",SUM(B681),"")</f>
        <v/>
      </c>
    </row>
    <row r="682" spans="3:3" x14ac:dyDescent="0.3">
      <c r="C682" s="2" t="str">
        <f>IF(A682&lt;&gt;"",SUM(B682),"")</f>
        <v/>
      </c>
    </row>
    <row r="683" spans="3:3" x14ac:dyDescent="0.3">
      <c r="C683" s="2" t="str">
        <f>IF(A683&lt;&gt;"",SUM(B683),"")</f>
        <v/>
      </c>
    </row>
    <row r="684" spans="3:3" x14ac:dyDescent="0.3">
      <c r="C684" s="2" t="str">
        <f>IF(A684&lt;&gt;"",SUM(B684),"")</f>
        <v/>
      </c>
    </row>
    <row r="685" spans="3:3" x14ac:dyDescent="0.3">
      <c r="C685" s="2" t="str">
        <f>IF(A685&lt;&gt;"",SUM(B685),"")</f>
        <v/>
      </c>
    </row>
    <row r="686" spans="3:3" x14ac:dyDescent="0.3">
      <c r="C686" s="2" t="str">
        <f>IF(A686&lt;&gt;"",SUM(B686),"")</f>
        <v/>
      </c>
    </row>
    <row r="687" spans="3:3" x14ac:dyDescent="0.3">
      <c r="C687" s="2" t="str">
        <f>IF(A687&lt;&gt;"",SUM(B687),"")</f>
        <v/>
      </c>
    </row>
    <row r="688" spans="3:3" x14ac:dyDescent="0.3">
      <c r="C688" s="2" t="str">
        <f>IF(A688&lt;&gt;"",SUM(B688),"")</f>
        <v/>
      </c>
    </row>
    <row r="689" spans="3:3" x14ac:dyDescent="0.3">
      <c r="C689" s="2" t="str">
        <f>IF(A689&lt;&gt;"",SUM(B689),"")</f>
        <v/>
      </c>
    </row>
    <row r="690" spans="3:3" x14ac:dyDescent="0.3">
      <c r="C690" s="2" t="str">
        <f>IF(A690&lt;&gt;"",SUM(B690),"")</f>
        <v/>
      </c>
    </row>
    <row r="691" spans="3:3" x14ac:dyDescent="0.3">
      <c r="C691" s="2" t="str">
        <f>IF(A691&lt;&gt;"",SUM(B691),"")</f>
        <v/>
      </c>
    </row>
    <row r="692" spans="3:3" x14ac:dyDescent="0.3">
      <c r="C692" s="2" t="str">
        <f>IF(A692&lt;&gt;"",SUM(B692),"")</f>
        <v/>
      </c>
    </row>
    <row r="693" spans="3:3" x14ac:dyDescent="0.3">
      <c r="C693" s="2" t="str">
        <f>IF(A693&lt;&gt;"",SUM(B693),"")</f>
        <v/>
      </c>
    </row>
    <row r="694" spans="3:3" x14ac:dyDescent="0.3">
      <c r="C694" s="2" t="str">
        <f>IF(A694&lt;&gt;"",SUM(B694),"")</f>
        <v/>
      </c>
    </row>
    <row r="695" spans="3:3" x14ac:dyDescent="0.3">
      <c r="C695" s="2" t="str">
        <f>IF(A695&lt;&gt;"",SUM(B695),"")</f>
        <v/>
      </c>
    </row>
    <row r="696" spans="3:3" x14ac:dyDescent="0.3">
      <c r="C696" s="2" t="str">
        <f>IF(A696&lt;&gt;"",SUM(B696),"")</f>
        <v/>
      </c>
    </row>
    <row r="697" spans="3:3" x14ac:dyDescent="0.3">
      <c r="C697" s="2" t="str">
        <f>IF(A697&lt;&gt;"",SUM(B697),"")</f>
        <v/>
      </c>
    </row>
    <row r="698" spans="3:3" x14ac:dyDescent="0.3">
      <c r="C698" s="2" t="str">
        <f>IF(A698&lt;&gt;"",SUM(B698),"")</f>
        <v/>
      </c>
    </row>
    <row r="699" spans="3:3" x14ac:dyDescent="0.3">
      <c r="C699" s="2" t="str">
        <f>IF(A699&lt;&gt;"",SUM(B699),"")</f>
        <v/>
      </c>
    </row>
    <row r="700" spans="3:3" x14ac:dyDescent="0.3">
      <c r="C700" s="2" t="str">
        <f>IF(A700&lt;&gt;"",SUM(B700),"")</f>
        <v/>
      </c>
    </row>
    <row r="701" spans="3:3" x14ac:dyDescent="0.3">
      <c r="C701" s="2" t="str">
        <f>IF(A701&lt;&gt;"",SUM(B701),"")</f>
        <v/>
      </c>
    </row>
    <row r="702" spans="3:3" x14ac:dyDescent="0.3">
      <c r="C702" s="2" t="str">
        <f>IF(A702&lt;&gt;"",SUM(B702),"")</f>
        <v/>
      </c>
    </row>
    <row r="703" spans="3:3" x14ac:dyDescent="0.3">
      <c r="C703" s="2" t="str">
        <f>IF(A703&lt;&gt;"",SUM(B703),"")</f>
        <v/>
      </c>
    </row>
    <row r="704" spans="3:3" x14ac:dyDescent="0.3">
      <c r="C704" s="2" t="str">
        <f>IF(A704&lt;&gt;"",SUM(B704),"")</f>
        <v/>
      </c>
    </row>
    <row r="705" spans="3:3" x14ac:dyDescent="0.3">
      <c r="C705" s="2" t="str">
        <f>IF(A705&lt;&gt;"",SUM(B705),"")</f>
        <v/>
      </c>
    </row>
    <row r="706" spans="3:3" x14ac:dyDescent="0.3">
      <c r="C706" s="2" t="str">
        <f>IF(A706&lt;&gt;"",SUM(B706),"")</f>
        <v/>
      </c>
    </row>
    <row r="707" spans="3:3" x14ac:dyDescent="0.3">
      <c r="C707" s="2" t="str">
        <f>IF(A707&lt;&gt;"",SUM(B707),"")</f>
        <v/>
      </c>
    </row>
    <row r="708" spans="3:3" x14ac:dyDescent="0.3">
      <c r="C708" s="2" t="str">
        <f>IF(A708&lt;&gt;"",SUM(B708),"")</f>
        <v/>
      </c>
    </row>
    <row r="709" spans="3:3" x14ac:dyDescent="0.3">
      <c r="C709" s="2" t="str">
        <f>IF(A709&lt;&gt;"",SUM(B709),"")</f>
        <v/>
      </c>
    </row>
    <row r="710" spans="3:3" x14ac:dyDescent="0.3">
      <c r="C710" s="2" t="str">
        <f>IF(A710&lt;&gt;"",SUM(B710),"")</f>
        <v/>
      </c>
    </row>
    <row r="711" spans="3:3" x14ac:dyDescent="0.3">
      <c r="C711" s="2" t="str">
        <f>IF(A711&lt;&gt;"",SUM(B711),"")</f>
        <v/>
      </c>
    </row>
    <row r="712" spans="3:3" x14ac:dyDescent="0.3">
      <c r="C712" s="2" t="str">
        <f>IF(A712&lt;&gt;"",SUM(B712),"")</f>
        <v/>
      </c>
    </row>
    <row r="713" spans="3:3" x14ac:dyDescent="0.3">
      <c r="C713" s="2" t="str">
        <f>IF(A713&lt;&gt;"",SUM(B713),"")</f>
        <v/>
      </c>
    </row>
    <row r="714" spans="3:3" x14ac:dyDescent="0.3">
      <c r="C714" s="2" t="str">
        <f>IF(A714&lt;&gt;"",SUM(B714),"")</f>
        <v/>
      </c>
    </row>
    <row r="715" spans="3:3" x14ac:dyDescent="0.3">
      <c r="C715" s="2" t="str">
        <f>IF(A715&lt;&gt;"",SUM(B715),"")</f>
        <v/>
      </c>
    </row>
    <row r="716" spans="3:3" x14ac:dyDescent="0.3">
      <c r="C716" s="2" t="str">
        <f>IF(A716&lt;&gt;"",SUM(B716),"")</f>
        <v/>
      </c>
    </row>
    <row r="717" spans="3:3" x14ac:dyDescent="0.3">
      <c r="C717" s="2" t="str">
        <f>IF(A717&lt;&gt;"",SUM(B717),"")</f>
        <v/>
      </c>
    </row>
    <row r="718" spans="3:3" x14ac:dyDescent="0.3">
      <c r="C718" s="2" t="str">
        <f>IF(A718&lt;&gt;"",SUM(B718),"")</f>
        <v/>
      </c>
    </row>
    <row r="719" spans="3:3" x14ac:dyDescent="0.3">
      <c r="C719" s="2" t="str">
        <f>IF(A719&lt;&gt;"",SUM(B719),"")</f>
        <v/>
      </c>
    </row>
    <row r="720" spans="3:3" x14ac:dyDescent="0.3">
      <c r="C720" s="2" t="str">
        <f>IF(A720&lt;&gt;"",SUM(B720),"")</f>
        <v/>
      </c>
    </row>
    <row r="721" spans="3:3" x14ac:dyDescent="0.3">
      <c r="C721" s="2" t="str">
        <f>IF(A721&lt;&gt;"",SUM(B721),"")</f>
        <v/>
      </c>
    </row>
    <row r="722" spans="3:3" x14ac:dyDescent="0.3">
      <c r="C722" s="2" t="str">
        <f>IF(A722&lt;&gt;"",SUM(B722),"")</f>
        <v/>
      </c>
    </row>
    <row r="723" spans="3:3" x14ac:dyDescent="0.3">
      <c r="C723" s="2" t="str">
        <f>IF(A723&lt;&gt;"",SUM(B723),"")</f>
        <v/>
      </c>
    </row>
    <row r="724" spans="3:3" x14ac:dyDescent="0.3">
      <c r="C724" s="2" t="str">
        <f>IF(A724&lt;&gt;"",SUM(B724),"")</f>
        <v/>
      </c>
    </row>
    <row r="725" spans="3:3" x14ac:dyDescent="0.3">
      <c r="C725" s="2" t="str">
        <f>IF(A725&lt;&gt;"",SUM(B725),"")</f>
        <v/>
      </c>
    </row>
    <row r="726" spans="3:3" x14ac:dyDescent="0.3">
      <c r="C726" s="2" t="str">
        <f>IF(A726&lt;&gt;"",SUM(B726),"")</f>
        <v/>
      </c>
    </row>
    <row r="727" spans="3:3" x14ac:dyDescent="0.3">
      <c r="C727" s="2" t="str">
        <f>IF(A727&lt;&gt;"",SUM(B727),"")</f>
        <v/>
      </c>
    </row>
    <row r="728" spans="3:3" x14ac:dyDescent="0.3">
      <c r="C728" s="2" t="str">
        <f>IF(A728&lt;&gt;"",SUM(B728),"")</f>
        <v/>
      </c>
    </row>
    <row r="729" spans="3:3" x14ac:dyDescent="0.3">
      <c r="C729" s="2" t="str">
        <f>IF(A729&lt;&gt;"",SUM(B729),"")</f>
        <v/>
      </c>
    </row>
    <row r="730" spans="3:3" x14ac:dyDescent="0.3">
      <c r="C730" s="2" t="str">
        <f>IF(A730&lt;&gt;"",SUM(B730),"")</f>
        <v/>
      </c>
    </row>
    <row r="731" spans="3:3" x14ac:dyDescent="0.3">
      <c r="C731" s="2" t="str">
        <f>IF(A731&lt;&gt;"",SUM(B731),"")</f>
        <v/>
      </c>
    </row>
    <row r="732" spans="3:3" x14ac:dyDescent="0.3">
      <c r="C732" s="2" t="str">
        <f>IF(A732&lt;&gt;"",SUM(B732),"")</f>
        <v/>
      </c>
    </row>
    <row r="733" spans="3:3" x14ac:dyDescent="0.3">
      <c r="C733" s="2" t="str">
        <f>IF(A733&lt;&gt;"",SUM(B733),"")</f>
        <v/>
      </c>
    </row>
    <row r="734" spans="3:3" x14ac:dyDescent="0.3">
      <c r="C734" s="2" t="str">
        <f>IF(A734&lt;&gt;"",SUM(B734),"")</f>
        <v/>
      </c>
    </row>
    <row r="735" spans="3:3" x14ac:dyDescent="0.3">
      <c r="C735" s="2" t="str">
        <f>IF(A735&lt;&gt;"",SUM(B735),"")</f>
        <v/>
      </c>
    </row>
    <row r="736" spans="3:3" x14ac:dyDescent="0.3">
      <c r="C736" s="2" t="str">
        <f>IF(A736&lt;&gt;"",SUM(B736),"")</f>
        <v/>
      </c>
    </row>
    <row r="737" spans="3:3" x14ac:dyDescent="0.3">
      <c r="C737" s="2" t="str">
        <f>IF(A737&lt;&gt;"",SUM(B737),"")</f>
        <v/>
      </c>
    </row>
    <row r="738" spans="3:3" x14ac:dyDescent="0.3">
      <c r="C738" s="2" t="str">
        <f>IF(A738&lt;&gt;"",SUM(B738),"")</f>
        <v/>
      </c>
    </row>
    <row r="739" spans="3:3" x14ac:dyDescent="0.3">
      <c r="C739" s="2" t="str">
        <f>IF(A739&lt;&gt;"",SUM(B739),"")</f>
        <v/>
      </c>
    </row>
    <row r="740" spans="3:3" x14ac:dyDescent="0.3">
      <c r="C740" s="2" t="str">
        <f>IF(A740&lt;&gt;"",SUM(B740),"")</f>
        <v/>
      </c>
    </row>
    <row r="741" spans="3:3" x14ac:dyDescent="0.3">
      <c r="C741" s="2" t="str">
        <f>IF(A741&lt;&gt;"",SUM(B741),"")</f>
        <v/>
      </c>
    </row>
    <row r="742" spans="3:3" x14ac:dyDescent="0.3">
      <c r="C742" s="2" t="str">
        <f>IF(A742&lt;&gt;"",SUM(B742),"")</f>
        <v/>
      </c>
    </row>
    <row r="743" spans="3:3" x14ac:dyDescent="0.3">
      <c r="C743" s="2" t="str">
        <f>IF(A743&lt;&gt;"",SUM(B743),"")</f>
        <v/>
      </c>
    </row>
    <row r="744" spans="3:3" x14ac:dyDescent="0.3">
      <c r="C744" s="2" t="str">
        <f>IF(A744&lt;&gt;"",SUM(B744),"")</f>
        <v/>
      </c>
    </row>
    <row r="745" spans="3:3" x14ac:dyDescent="0.3">
      <c r="C745" s="2" t="str">
        <f>IF(A745&lt;&gt;"",SUM(B745),"")</f>
        <v/>
      </c>
    </row>
    <row r="746" spans="3:3" x14ac:dyDescent="0.3">
      <c r="C746" s="2" t="str">
        <f>IF(A746&lt;&gt;"",SUM(B746),"")</f>
        <v/>
      </c>
    </row>
    <row r="747" spans="3:3" x14ac:dyDescent="0.3">
      <c r="C747" s="2" t="str">
        <f>IF(A747&lt;&gt;"",SUM(B747),"")</f>
        <v/>
      </c>
    </row>
    <row r="748" spans="3:3" x14ac:dyDescent="0.3">
      <c r="C748" s="2" t="str">
        <f>IF(A748&lt;&gt;"",SUM(B748),"")</f>
        <v/>
      </c>
    </row>
    <row r="749" spans="3:3" x14ac:dyDescent="0.3">
      <c r="C749" s="2" t="str">
        <f>IF(A749&lt;&gt;"",SUM(B749),"")</f>
        <v/>
      </c>
    </row>
    <row r="750" spans="3:3" x14ac:dyDescent="0.3">
      <c r="C750" s="2" t="str">
        <f>IF(A750&lt;&gt;"",SUM(B750),"")</f>
        <v/>
      </c>
    </row>
    <row r="751" spans="3:3" x14ac:dyDescent="0.3">
      <c r="C751" s="2" t="str">
        <f>IF(A751&lt;&gt;"",SUM(B751),"")</f>
        <v/>
      </c>
    </row>
    <row r="752" spans="3:3" x14ac:dyDescent="0.3">
      <c r="C752" s="2" t="str">
        <f>IF(A752&lt;&gt;"",SUM(B752),"")</f>
        <v/>
      </c>
    </row>
    <row r="753" spans="3:3" x14ac:dyDescent="0.3">
      <c r="C753" s="2" t="str">
        <f>IF(A753&lt;&gt;"",SUM(B753),"")</f>
        <v/>
      </c>
    </row>
    <row r="754" spans="3:3" x14ac:dyDescent="0.3">
      <c r="C754" s="2" t="str">
        <f>IF(A754&lt;&gt;"",SUM(B754),"")</f>
        <v/>
      </c>
    </row>
    <row r="755" spans="3:3" x14ac:dyDescent="0.3">
      <c r="C755" s="2" t="str">
        <f>IF(A755&lt;&gt;"",SUM(B755),"")</f>
        <v/>
      </c>
    </row>
    <row r="756" spans="3:3" x14ac:dyDescent="0.3">
      <c r="C756" s="2" t="str">
        <f>IF(A756&lt;&gt;"",SUM(B756),"")</f>
        <v/>
      </c>
    </row>
    <row r="757" spans="3:3" x14ac:dyDescent="0.3">
      <c r="C757" s="2" t="str">
        <f>IF(A757&lt;&gt;"",SUM(B757),"")</f>
        <v/>
      </c>
    </row>
    <row r="758" spans="3:3" x14ac:dyDescent="0.3">
      <c r="C758" s="2" t="str">
        <f>IF(A758&lt;&gt;"",SUM(B758),"")</f>
        <v/>
      </c>
    </row>
    <row r="759" spans="3:3" x14ac:dyDescent="0.3">
      <c r="C759" s="2" t="str">
        <f>IF(A759&lt;&gt;"",SUM(B759),"")</f>
        <v/>
      </c>
    </row>
    <row r="760" spans="3:3" x14ac:dyDescent="0.3">
      <c r="C760" s="2" t="str">
        <f>IF(A760&lt;&gt;"",SUM(B760),"")</f>
        <v/>
      </c>
    </row>
    <row r="761" spans="3:3" x14ac:dyDescent="0.3">
      <c r="C761" s="2" t="str">
        <f>IF(A761&lt;&gt;"",SUM(B761),"")</f>
        <v/>
      </c>
    </row>
    <row r="762" spans="3:3" x14ac:dyDescent="0.3">
      <c r="C762" s="2" t="str">
        <f>IF(A762&lt;&gt;"",SUM(B762),"")</f>
        <v/>
      </c>
    </row>
    <row r="763" spans="3:3" x14ac:dyDescent="0.3">
      <c r="C763" s="2" t="str">
        <f>IF(A763&lt;&gt;"",SUM(B763),"")</f>
        <v/>
      </c>
    </row>
    <row r="764" spans="3:3" x14ac:dyDescent="0.3">
      <c r="C764" s="2" t="str">
        <f>IF(A764&lt;&gt;"",SUM(B764),"")</f>
        <v/>
      </c>
    </row>
    <row r="765" spans="3:3" x14ac:dyDescent="0.3">
      <c r="C765" s="2" t="str">
        <f>IF(A765&lt;&gt;"",SUM(B765),"")</f>
        <v/>
      </c>
    </row>
    <row r="766" spans="3:3" x14ac:dyDescent="0.3">
      <c r="C766" s="2" t="str">
        <f>IF(A766&lt;&gt;"",SUM(B766),"")</f>
        <v/>
      </c>
    </row>
    <row r="767" spans="3:3" x14ac:dyDescent="0.3">
      <c r="C767" s="2" t="str">
        <f>IF(A767&lt;&gt;"",SUM(B767),"")</f>
        <v/>
      </c>
    </row>
    <row r="768" spans="3:3" x14ac:dyDescent="0.3">
      <c r="C768" s="2" t="str">
        <f>IF(A768&lt;&gt;"",SUM(B768),"")</f>
        <v/>
      </c>
    </row>
    <row r="769" spans="3:3" x14ac:dyDescent="0.3">
      <c r="C769" s="2" t="str">
        <f>IF(A769&lt;&gt;"",SUM(B769),"")</f>
        <v/>
      </c>
    </row>
    <row r="770" spans="3:3" x14ac:dyDescent="0.3">
      <c r="C770" s="2" t="str">
        <f>IF(A770&lt;&gt;"",SUM(B770),"")</f>
        <v/>
      </c>
    </row>
    <row r="771" spans="3:3" x14ac:dyDescent="0.3">
      <c r="C771" s="2" t="str">
        <f>IF(A771&lt;&gt;"",SUM(B771),"")</f>
        <v/>
      </c>
    </row>
    <row r="772" spans="3:3" x14ac:dyDescent="0.3">
      <c r="C772" s="2" t="str">
        <f>IF(A772&lt;&gt;"",SUM(B772),"")</f>
        <v/>
      </c>
    </row>
    <row r="773" spans="3:3" x14ac:dyDescent="0.3">
      <c r="C773" s="2" t="str">
        <f>IF(A773&lt;&gt;"",SUM(B773),"")</f>
        <v/>
      </c>
    </row>
    <row r="774" spans="3:3" x14ac:dyDescent="0.3">
      <c r="C774" s="2" t="str">
        <f>IF(A774&lt;&gt;"",SUM(B774),"")</f>
        <v/>
      </c>
    </row>
    <row r="775" spans="3:3" x14ac:dyDescent="0.3">
      <c r="C775" s="2" t="str">
        <f>IF(A775&lt;&gt;"",SUM(B775),"")</f>
        <v/>
      </c>
    </row>
    <row r="776" spans="3:3" x14ac:dyDescent="0.3">
      <c r="C776" s="2" t="str">
        <f>IF(A776&lt;&gt;"",SUM(B776),"")</f>
        <v/>
      </c>
    </row>
    <row r="777" spans="3:3" x14ac:dyDescent="0.3">
      <c r="C777" s="2" t="str">
        <f>IF(A777&lt;&gt;"",SUM(B777),"")</f>
        <v/>
      </c>
    </row>
    <row r="778" spans="3:3" x14ac:dyDescent="0.3">
      <c r="C778" s="2" t="str">
        <f>IF(A778&lt;&gt;"",SUM(B778),"")</f>
        <v/>
      </c>
    </row>
    <row r="779" spans="3:3" x14ac:dyDescent="0.3">
      <c r="C779" s="2" t="str">
        <f>IF(A779&lt;&gt;"",SUM(B779),"")</f>
        <v/>
      </c>
    </row>
    <row r="780" spans="3:3" x14ac:dyDescent="0.3">
      <c r="C780" s="2" t="str">
        <f>IF(A780&lt;&gt;"",SUM(B780),"")</f>
        <v/>
      </c>
    </row>
    <row r="781" spans="3:3" x14ac:dyDescent="0.3">
      <c r="C781" s="2" t="str">
        <f>IF(A781&lt;&gt;"",SUM(B781),"")</f>
        <v/>
      </c>
    </row>
    <row r="782" spans="3:3" x14ac:dyDescent="0.3">
      <c r="C782" s="2" t="str">
        <f>IF(A782&lt;&gt;"",SUM(B782),"")</f>
        <v/>
      </c>
    </row>
    <row r="783" spans="3:3" x14ac:dyDescent="0.3">
      <c r="C783" s="2" t="str">
        <f>IF(A783&lt;&gt;"",SUM(B783),"")</f>
        <v/>
      </c>
    </row>
    <row r="784" spans="3:3" x14ac:dyDescent="0.3">
      <c r="C784" s="2" t="str">
        <f>IF(A784&lt;&gt;"",SUM(B784),"")</f>
        <v/>
      </c>
    </row>
    <row r="785" spans="3:3" x14ac:dyDescent="0.3">
      <c r="C785" s="2" t="str">
        <f>IF(A785&lt;&gt;"",SUM(B785),"")</f>
        <v/>
      </c>
    </row>
    <row r="786" spans="3:3" x14ac:dyDescent="0.3">
      <c r="C786" s="2" t="str">
        <f>IF(A786&lt;&gt;"",SUM(B786),"")</f>
        <v/>
      </c>
    </row>
    <row r="787" spans="3:3" x14ac:dyDescent="0.3">
      <c r="C787" s="2" t="str">
        <f>IF(A787&lt;&gt;"",SUM(B787),"")</f>
        <v/>
      </c>
    </row>
    <row r="788" spans="3:3" x14ac:dyDescent="0.3">
      <c r="C788" s="2" t="str">
        <f>IF(A788&lt;&gt;"",SUM(B788),"")</f>
        <v/>
      </c>
    </row>
    <row r="789" spans="3:3" x14ac:dyDescent="0.3">
      <c r="C789" s="2" t="str">
        <f>IF(A789&lt;&gt;"",SUM(B789),"")</f>
        <v/>
      </c>
    </row>
    <row r="790" spans="3:3" x14ac:dyDescent="0.3">
      <c r="C790" s="2" t="str">
        <f>IF(A790&lt;&gt;"",SUM(B790),"")</f>
        <v/>
      </c>
    </row>
    <row r="791" spans="3:3" x14ac:dyDescent="0.3">
      <c r="C791" s="2" t="str">
        <f>IF(A791&lt;&gt;"",SUM(B791),"")</f>
        <v/>
      </c>
    </row>
    <row r="792" spans="3:3" x14ac:dyDescent="0.3">
      <c r="C792" s="2" t="str">
        <f>IF(A792&lt;&gt;"",SUM(B792),"")</f>
        <v/>
      </c>
    </row>
    <row r="793" spans="3:3" x14ac:dyDescent="0.3">
      <c r="C793" s="2" t="str">
        <f>IF(A793&lt;&gt;"",SUM(B793),"")</f>
        <v/>
      </c>
    </row>
    <row r="794" spans="3:3" x14ac:dyDescent="0.3">
      <c r="C794" s="2" t="str">
        <f>IF(A794&lt;&gt;"",SUM(B794),"")</f>
        <v/>
      </c>
    </row>
    <row r="795" spans="3:3" x14ac:dyDescent="0.3">
      <c r="C795" s="2" t="str">
        <f>IF(A795&lt;&gt;"",SUM(B795),"")</f>
        <v/>
      </c>
    </row>
    <row r="796" spans="3:3" x14ac:dyDescent="0.3">
      <c r="C796" s="2" t="str">
        <f>IF(A796&lt;&gt;"",SUM(B796),"")</f>
        <v/>
      </c>
    </row>
    <row r="797" spans="3:3" x14ac:dyDescent="0.3">
      <c r="C797" s="2" t="str">
        <f>IF(A797&lt;&gt;"",SUM(B797),"")</f>
        <v/>
      </c>
    </row>
    <row r="798" spans="3:3" x14ac:dyDescent="0.3">
      <c r="C798" s="2" t="str">
        <f>IF(A798&lt;&gt;"",SUM(B798),"")</f>
        <v/>
      </c>
    </row>
    <row r="799" spans="3:3" x14ac:dyDescent="0.3">
      <c r="C799" s="2" t="str">
        <f>IF(A799&lt;&gt;"",SUM(B799),"")</f>
        <v/>
      </c>
    </row>
    <row r="800" spans="3:3" x14ac:dyDescent="0.3">
      <c r="C800" s="2" t="str">
        <f>IF(A800&lt;&gt;"",SUM(B800),"")</f>
        <v/>
      </c>
    </row>
    <row r="801" spans="3:3" x14ac:dyDescent="0.3">
      <c r="C801" s="2" t="str">
        <f>IF(A801&lt;&gt;"",SUM(B801),"")</f>
        <v/>
      </c>
    </row>
    <row r="802" spans="3:3" x14ac:dyDescent="0.3">
      <c r="C802" s="2" t="str">
        <f>IF(A802&lt;&gt;"",SUM(B802),"")</f>
        <v/>
      </c>
    </row>
    <row r="803" spans="3:3" x14ac:dyDescent="0.3">
      <c r="C803" s="2" t="str">
        <f>IF(A803&lt;&gt;"",SUM(B803),"")</f>
        <v/>
      </c>
    </row>
    <row r="804" spans="3:3" x14ac:dyDescent="0.3">
      <c r="C804" s="2" t="str">
        <f>IF(A804&lt;&gt;"",SUM(B804),"")</f>
        <v/>
      </c>
    </row>
    <row r="805" spans="3:3" x14ac:dyDescent="0.3">
      <c r="C805" s="2" t="str">
        <f>IF(A805&lt;&gt;"",SUM(B805),"")</f>
        <v/>
      </c>
    </row>
    <row r="806" spans="3:3" x14ac:dyDescent="0.3">
      <c r="C806" s="2" t="str">
        <f>IF(A806&lt;&gt;"",SUM(B806),"")</f>
        <v/>
      </c>
    </row>
    <row r="807" spans="3:3" x14ac:dyDescent="0.3">
      <c r="C807" s="2" t="str">
        <f>IF(A807&lt;&gt;"",SUM(B807),"")</f>
        <v/>
      </c>
    </row>
    <row r="808" spans="3:3" x14ac:dyDescent="0.3">
      <c r="C808" s="2" t="str">
        <f>IF(A808&lt;&gt;"",SUM(B808),"")</f>
        <v/>
      </c>
    </row>
    <row r="809" spans="3:3" x14ac:dyDescent="0.3">
      <c r="C809" s="2" t="str">
        <f>IF(A809&lt;&gt;"",SUM(B809),"")</f>
        <v/>
      </c>
    </row>
    <row r="810" spans="3:3" x14ac:dyDescent="0.3">
      <c r="C810" s="2" t="str">
        <f>IF(A810&lt;&gt;"",SUM(B810),"")</f>
        <v/>
      </c>
    </row>
    <row r="811" spans="3:3" x14ac:dyDescent="0.3">
      <c r="C811" s="2" t="str">
        <f>IF(A811&lt;&gt;"",SUM(B811),"")</f>
        <v/>
      </c>
    </row>
    <row r="812" spans="3:3" x14ac:dyDescent="0.3">
      <c r="C812" s="2" t="str">
        <f>IF(A812&lt;&gt;"",SUM(B812),"")</f>
        <v/>
      </c>
    </row>
    <row r="813" spans="3:3" x14ac:dyDescent="0.3">
      <c r="C813" s="2" t="str">
        <f>IF(A813&lt;&gt;"",SUM(B813),"")</f>
        <v/>
      </c>
    </row>
    <row r="814" spans="3:3" x14ac:dyDescent="0.3">
      <c r="C814" s="2" t="str">
        <f>IF(A814&lt;&gt;"",SUM(B814),"")</f>
        <v/>
      </c>
    </row>
    <row r="815" spans="3:3" x14ac:dyDescent="0.3">
      <c r="C815" s="2" t="str">
        <f>IF(A815&lt;&gt;"",SUM(B815),"")</f>
        <v/>
      </c>
    </row>
    <row r="816" spans="3:3" x14ac:dyDescent="0.3">
      <c r="C816" s="2" t="str">
        <f>IF(A816&lt;&gt;"",SUM(B816),"")</f>
        <v/>
      </c>
    </row>
    <row r="817" spans="3:3" x14ac:dyDescent="0.3">
      <c r="C817" s="2" t="str">
        <f>IF(A817&lt;&gt;"",SUM(B817),"")</f>
        <v/>
      </c>
    </row>
    <row r="818" spans="3:3" x14ac:dyDescent="0.3">
      <c r="C818" s="2" t="str">
        <f>IF(A818&lt;&gt;"",SUM(B818),"")</f>
        <v/>
      </c>
    </row>
    <row r="819" spans="3:3" x14ac:dyDescent="0.3">
      <c r="C819" s="2" t="str">
        <f>IF(A819&lt;&gt;"",SUM(B819),"")</f>
        <v/>
      </c>
    </row>
    <row r="820" spans="3:3" x14ac:dyDescent="0.3">
      <c r="C820" s="2" t="str">
        <f>IF(A820&lt;&gt;"",SUM(B820),"")</f>
        <v/>
      </c>
    </row>
    <row r="821" spans="3:3" x14ac:dyDescent="0.3">
      <c r="C821" s="2" t="str">
        <f>IF(A821&lt;&gt;"",SUM(B821),"")</f>
        <v/>
      </c>
    </row>
    <row r="822" spans="3:3" x14ac:dyDescent="0.3">
      <c r="C822" s="2" t="str">
        <f>IF(A822&lt;&gt;"",SUM(B822),"")</f>
        <v/>
      </c>
    </row>
    <row r="823" spans="3:3" x14ac:dyDescent="0.3">
      <c r="C823" s="2" t="str">
        <f>IF(A823&lt;&gt;"",SUM(B823),"")</f>
        <v/>
      </c>
    </row>
    <row r="824" spans="3:3" x14ac:dyDescent="0.3">
      <c r="C824" s="2" t="str">
        <f>IF(A824&lt;&gt;"",SUM(B824),"")</f>
        <v/>
      </c>
    </row>
    <row r="825" spans="3:3" x14ac:dyDescent="0.3">
      <c r="C825" s="2" t="str">
        <f>IF(A825&lt;&gt;"",SUM(B825),"")</f>
        <v/>
      </c>
    </row>
    <row r="826" spans="3:3" x14ac:dyDescent="0.3">
      <c r="C826" s="2" t="str">
        <f>IF(A826&lt;&gt;"",SUM(B826),"")</f>
        <v/>
      </c>
    </row>
    <row r="827" spans="3:3" x14ac:dyDescent="0.3">
      <c r="C827" s="2" t="str">
        <f>IF(A827&lt;&gt;"",SUM(B827),"")</f>
        <v/>
      </c>
    </row>
    <row r="828" spans="3:3" x14ac:dyDescent="0.3">
      <c r="C828" s="2" t="str">
        <f>IF(A828&lt;&gt;"",SUM(B828),"")</f>
        <v/>
      </c>
    </row>
    <row r="829" spans="3:3" x14ac:dyDescent="0.3">
      <c r="C829" s="2" t="str">
        <f>IF(A829&lt;&gt;"",SUM(B829),"")</f>
        <v/>
      </c>
    </row>
    <row r="830" spans="3:3" x14ac:dyDescent="0.3">
      <c r="C830" s="2" t="str">
        <f>IF(A830&lt;&gt;"",SUM(B830),"")</f>
        <v/>
      </c>
    </row>
    <row r="831" spans="3:3" x14ac:dyDescent="0.3">
      <c r="C831" s="2" t="str">
        <f>IF(A831&lt;&gt;"",SUM(B831),"")</f>
        <v/>
      </c>
    </row>
    <row r="832" spans="3:3" x14ac:dyDescent="0.3">
      <c r="C832" s="2" t="str">
        <f>IF(A832&lt;&gt;"",SUM(B832),"")</f>
        <v/>
      </c>
    </row>
    <row r="833" spans="3:3" x14ac:dyDescent="0.3">
      <c r="C833" s="2" t="str">
        <f>IF(A833&lt;&gt;"",SUM(B833),"")</f>
        <v/>
      </c>
    </row>
    <row r="834" spans="3:3" x14ac:dyDescent="0.3">
      <c r="C834" s="2" t="str">
        <f>IF(A834&lt;&gt;"",SUM(B834),"")</f>
        <v/>
      </c>
    </row>
    <row r="835" spans="3:3" x14ac:dyDescent="0.3">
      <c r="C835" s="2" t="str">
        <f>IF(A835&lt;&gt;"",SUM(B835),"")</f>
        <v/>
      </c>
    </row>
    <row r="836" spans="3:3" x14ac:dyDescent="0.3">
      <c r="C836" s="2" t="str">
        <f>IF(A836&lt;&gt;"",SUM(B836),"")</f>
        <v/>
      </c>
    </row>
    <row r="837" spans="3:3" x14ac:dyDescent="0.3">
      <c r="C837" s="2" t="str">
        <f>IF(A837&lt;&gt;"",SUM(B837),"")</f>
        <v/>
      </c>
    </row>
    <row r="838" spans="3:3" x14ac:dyDescent="0.3">
      <c r="C838" s="2" t="str">
        <f>IF(A838&lt;&gt;"",SUM(B838),"")</f>
        <v/>
      </c>
    </row>
    <row r="839" spans="3:3" x14ac:dyDescent="0.3">
      <c r="C839" s="2" t="str">
        <f>IF(A839&lt;&gt;"",SUM(B839),"")</f>
        <v/>
      </c>
    </row>
    <row r="840" spans="3:3" x14ac:dyDescent="0.3">
      <c r="C840" s="2" t="str">
        <f>IF(A840&lt;&gt;"",SUM(B840),"")</f>
        <v/>
      </c>
    </row>
    <row r="841" spans="3:3" x14ac:dyDescent="0.3">
      <c r="C841" s="2" t="str">
        <f>IF(A841&lt;&gt;"",SUM(B841),"")</f>
        <v/>
      </c>
    </row>
    <row r="842" spans="3:3" x14ac:dyDescent="0.3">
      <c r="C842" s="2" t="str">
        <f>IF(A842&lt;&gt;"",SUM(B842),"")</f>
        <v/>
      </c>
    </row>
    <row r="843" spans="3:3" x14ac:dyDescent="0.3">
      <c r="C843" s="2" t="str">
        <f>IF(A843&lt;&gt;"",SUM(B843),"")</f>
        <v/>
      </c>
    </row>
    <row r="844" spans="3:3" x14ac:dyDescent="0.3">
      <c r="C844" s="2" t="str">
        <f>IF(A844&lt;&gt;"",SUM(B844),"")</f>
        <v/>
      </c>
    </row>
    <row r="845" spans="3:3" x14ac:dyDescent="0.3">
      <c r="C845" s="2" t="str">
        <f>IF(A845&lt;&gt;"",SUM(B845),"")</f>
        <v/>
      </c>
    </row>
    <row r="846" spans="3:3" x14ac:dyDescent="0.3">
      <c r="C846" s="2" t="str">
        <f>IF(A846&lt;&gt;"",SUM(B846),"")</f>
        <v/>
      </c>
    </row>
    <row r="847" spans="3:3" x14ac:dyDescent="0.3">
      <c r="C847" s="2" t="str">
        <f>IF(A847&lt;&gt;"",SUM(B847),"")</f>
        <v/>
      </c>
    </row>
    <row r="848" spans="3:3" x14ac:dyDescent="0.3">
      <c r="C848" s="2" t="str">
        <f>IF(A848&lt;&gt;"",SUM(B848),"")</f>
        <v/>
      </c>
    </row>
    <row r="849" spans="3:3" x14ac:dyDescent="0.3">
      <c r="C849" s="2" t="str">
        <f>IF(A849&lt;&gt;"",SUM(B849),"")</f>
        <v/>
      </c>
    </row>
    <row r="850" spans="3:3" x14ac:dyDescent="0.3">
      <c r="C850" s="2" t="str">
        <f>IF(A850&lt;&gt;"",SUM(B850),"")</f>
        <v/>
      </c>
    </row>
    <row r="851" spans="3:3" x14ac:dyDescent="0.3">
      <c r="C851" s="2" t="str">
        <f>IF(A851&lt;&gt;"",SUM(B851),"")</f>
        <v/>
      </c>
    </row>
    <row r="852" spans="3:3" x14ac:dyDescent="0.3">
      <c r="C852" s="2" t="str">
        <f>IF(A852&lt;&gt;"",SUM(B852),"")</f>
        <v/>
      </c>
    </row>
    <row r="853" spans="3:3" x14ac:dyDescent="0.3">
      <c r="C853" s="2" t="str">
        <f>IF(A853&lt;&gt;"",SUM(B853),"")</f>
        <v/>
      </c>
    </row>
    <row r="854" spans="3:3" x14ac:dyDescent="0.3">
      <c r="C854" s="2" t="str">
        <f>IF(A854&lt;&gt;"",SUM(B854),"")</f>
        <v/>
      </c>
    </row>
    <row r="855" spans="3:3" x14ac:dyDescent="0.3">
      <c r="C855" s="2" t="str">
        <f>IF(A855&lt;&gt;"",SUM(B855),"")</f>
        <v/>
      </c>
    </row>
    <row r="856" spans="3:3" x14ac:dyDescent="0.3">
      <c r="C856" s="2" t="str">
        <f>IF(A856&lt;&gt;"",SUM(B856),"")</f>
        <v/>
      </c>
    </row>
    <row r="857" spans="3:3" x14ac:dyDescent="0.3">
      <c r="C857" s="2" t="str">
        <f>IF(A857&lt;&gt;"",SUM(B857),"")</f>
        <v/>
      </c>
    </row>
    <row r="858" spans="3:3" x14ac:dyDescent="0.3">
      <c r="C858" s="2" t="str">
        <f>IF(A858&lt;&gt;"",SUM(B858),"")</f>
        <v/>
      </c>
    </row>
    <row r="859" spans="3:3" x14ac:dyDescent="0.3">
      <c r="C859" s="2" t="str">
        <f>IF(A859&lt;&gt;"",SUM(B859),"")</f>
        <v/>
      </c>
    </row>
    <row r="860" spans="3:3" x14ac:dyDescent="0.3">
      <c r="C860" s="2" t="str">
        <f>IF(A860&lt;&gt;"",SUM(B860),"")</f>
        <v/>
      </c>
    </row>
    <row r="861" spans="3:3" x14ac:dyDescent="0.3">
      <c r="C861" s="2" t="str">
        <f>IF(A861&lt;&gt;"",SUM(B861),"")</f>
        <v/>
      </c>
    </row>
    <row r="862" spans="3:3" x14ac:dyDescent="0.3">
      <c r="C862" s="2" t="str">
        <f>IF(A862&lt;&gt;"",SUM(B862),"")</f>
        <v/>
      </c>
    </row>
    <row r="863" spans="3:3" x14ac:dyDescent="0.3">
      <c r="C863" s="2" t="str">
        <f>IF(A863&lt;&gt;"",SUM(B863),"")</f>
        <v/>
      </c>
    </row>
    <row r="864" spans="3:3" x14ac:dyDescent="0.3">
      <c r="C864" s="2" t="str">
        <f>IF(A864&lt;&gt;"",SUM(B864),"")</f>
        <v/>
      </c>
    </row>
    <row r="865" spans="3:3" x14ac:dyDescent="0.3">
      <c r="C865" s="2" t="str">
        <f>IF(A865&lt;&gt;"",SUM(B865),"")</f>
        <v/>
      </c>
    </row>
    <row r="866" spans="3:3" x14ac:dyDescent="0.3">
      <c r="C866" s="2" t="str">
        <f>IF(A866&lt;&gt;"",SUM(B866),"")</f>
        <v/>
      </c>
    </row>
    <row r="867" spans="3:3" x14ac:dyDescent="0.3">
      <c r="C867" s="2" t="str">
        <f>IF(A867&lt;&gt;"",SUM(B867),"")</f>
        <v/>
      </c>
    </row>
    <row r="868" spans="3:3" x14ac:dyDescent="0.3">
      <c r="C868" s="2" t="str">
        <f>IF(A868&lt;&gt;"",SUM(B868),"")</f>
        <v/>
      </c>
    </row>
    <row r="869" spans="3:3" x14ac:dyDescent="0.3">
      <c r="C869" s="2" t="str">
        <f>IF(A869&lt;&gt;"",SUM(B869),"")</f>
        <v/>
      </c>
    </row>
    <row r="870" spans="3:3" x14ac:dyDescent="0.3">
      <c r="C870" s="2" t="str">
        <f>IF(A870&lt;&gt;"",SUM(B870),"")</f>
        <v/>
      </c>
    </row>
    <row r="871" spans="3:3" x14ac:dyDescent="0.3">
      <c r="C871" s="2" t="str">
        <f>IF(A871&lt;&gt;"",SUM(B871),"")</f>
        <v/>
      </c>
    </row>
    <row r="872" spans="3:3" x14ac:dyDescent="0.3">
      <c r="C872" s="2" t="str">
        <f>IF(A872&lt;&gt;"",SUM(B872),"")</f>
        <v/>
      </c>
    </row>
    <row r="873" spans="3:3" x14ac:dyDescent="0.3">
      <c r="C873" s="2" t="str">
        <f>IF(A873&lt;&gt;"",SUM(B873),"")</f>
        <v/>
      </c>
    </row>
    <row r="874" spans="3:3" x14ac:dyDescent="0.3">
      <c r="C874" s="2" t="str">
        <f>IF(A874&lt;&gt;"",SUM(B874),"")</f>
        <v/>
      </c>
    </row>
    <row r="875" spans="3:3" x14ac:dyDescent="0.3">
      <c r="C875" s="2" t="str">
        <f>IF(A875&lt;&gt;"",SUM(B875),"")</f>
        <v/>
      </c>
    </row>
    <row r="876" spans="3:3" x14ac:dyDescent="0.3">
      <c r="C876" s="2" t="str">
        <f>IF(A876&lt;&gt;"",SUM(B876),"")</f>
        <v/>
      </c>
    </row>
    <row r="877" spans="3:3" x14ac:dyDescent="0.3">
      <c r="C877" s="2" t="str">
        <f>IF(A877&lt;&gt;"",SUM(B877),"")</f>
        <v/>
      </c>
    </row>
    <row r="878" spans="3:3" x14ac:dyDescent="0.3">
      <c r="C878" s="2" t="str">
        <f>IF(A878&lt;&gt;"",SUM(B878),"")</f>
        <v/>
      </c>
    </row>
    <row r="879" spans="3:3" x14ac:dyDescent="0.3">
      <c r="C879" s="2" t="str">
        <f>IF(A879&lt;&gt;"",SUM(B879),"")</f>
        <v/>
      </c>
    </row>
    <row r="880" spans="3:3" x14ac:dyDescent="0.3">
      <c r="C880" s="2" t="str">
        <f>IF(A880&lt;&gt;"",SUM(B880),"")</f>
        <v/>
      </c>
    </row>
    <row r="881" spans="3:3" x14ac:dyDescent="0.3">
      <c r="C881" s="2" t="str">
        <f>IF(A881&lt;&gt;"",SUM(B881),"")</f>
        <v/>
      </c>
    </row>
    <row r="882" spans="3:3" x14ac:dyDescent="0.3">
      <c r="C882" s="2" t="str">
        <f>IF(A882&lt;&gt;"",SUM(B882),"")</f>
        <v/>
      </c>
    </row>
    <row r="883" spans="3:3" x14ac:dyDescent="0.3">
      <c r="C883" s="2" t="str">
        <f>IF(A883&lt;&gt;"",SUM(B883),"")</f>
        <v/>
      </c>
    </row>
    <row r="884" spans="3:3" x14ac:dyDescent="0.3">
      <c r="C884" s="2" t="str">
        <f>IF(A884&lt;&gt;"",SUM(B884),"")</f>
        <v/>
      </c>
    </row>
    <row r="885" spans="3:3" x14ac:dyDescent="0.3">
      <c r="C885" s="2" t="str">
        <f>IF(A885&lt;&gt;"",SUM(B885),"")</f>
        <v/>
      </c>
    </row>
    <row r="886" spans="3:3" x14ac:dyDescent="0.3">
      <c r="C886" s="2" t="str">
        <f>IF(A886&lt;&gt;"",SUM(B886),"")</f>
        <v/>
      </c>
    </row>
    <row r="887" spans="3:3" x14ac:dyDescent="0.3">
      <c r="C887" s="2" t="str">
        <f>IF(A887&lt;&gt;"",SUM(B887),"")</f>
        <v/>
      </c>
    </row>
    <row r="888" spans="3:3" x14ac:dyDescent="0.3">
      <c r="C888" s="2" t="str">
        <f>IF(A888&lt;&gt;"",SUM(B888),"")</f>
        <v/>
      </c>
    </row>
    <row r="889" spans="3:3" x14ac:dyDescent="0.3">
      <c r="C889" s="2" t="str">
        <f>IF(A889&lt;&gt;"",SUM(B889),"")</f>
        <v/>
      </c>
    </row>
    <row r="890" spans="3:3" x14ac:dyDescent="0.3">
      <c r="C890" s="2" t="str">
        <f>IF(A890&lt;&gt;"",SUM(B890),"")</f>
        <v/>
      </c>
    </row>
    <row r="891" spans="3:3" x14ac:dyDescent="0.3">
      <c r="C891" s="2" t="str">
        <f>IF(A891&lt;&gt;"",SUM(B891),"")</f>
        <v/>
      </c>
    </row>
    <row r="892" spans="3:3" x14ac:dyDescent="0.3">
      <c r="C892" s="2" t="str">
        <f>IF(A892&lt;&gt;"",SUM(B892),"")</f>
        <v/>
      </c>
    </row>
    <row r="893" spans="3:3" x14ac:dyDescent="0.3">
      <c r="C893" s="2" t="str">
        <f>IF(A893&lt;&gt;"",SUM(B893),"")</f>
        <v/>
      </c>
    </row>
    <row r="894" spans="3:3" x14ac:dyDescent="0.3">
      <c r="C894" s="2" t="str">
        <f>IF(A894&lt;&gt;"",SUM(B894),"")</f>
        <v/>
      </c>
    </row>
    <row r="895" spans="3:3" x14ac:dyDescent="0.3">
      <c r="C895" s="2" t="str">
        <f>IF(A895&lt;&gt;"",SUM(B895),"")</f>
        <v/>
      </c>
    </row>
    <row r="896" spans="3:3" x14ac:dyDescent="0.3">
      <c r="C896" s="2" t="str">
        <f>IF(A896&lt;&gt;"",SUM(B896),"")</f>
        <v/>
      </c>
    </row>
    <row r="897" spans="3:3" x14ac:dyDescent="0.3">
      <c r="C897" s="2" t="str">
        <f>IF(A897&lt;&gt;"",SUM(B897),"")</f>
        <v/>
      </c>
    </row>
    <row r="898" spans="3:3" x14ac:dyDescent="0.3">
      <c r="C898" s="2" t="str">
        <f>IF(A898&lt;&gt;"",SUM(B898),"")</f>
        <v/>
      </c>
    </row>
    <row r="899" spans="3:3" x14ac:dyDescent="0.3">
      <c r="C899" s="2" t="str">
        <f>IF(A899&lt;&gt;"",SUM(B899),"")</f>
        <v/>
      </c>
    </row>
    <row r="900" spans="3:3" x14ac:dyDescent="0.3">
      <c r="C900" s="2" t="str">
        <f>IF(A900&lt;&gt;"",SUM(B900),"")</f>
        <v/>
      </c>
    </row>
    <row r="901" spans="3:3" x14ac:dyDescent="0.3">
      <c r="C901" s="2" t="str">
        <f>IF(A901&lt;&gt;"",SUM(B901),"")</f>
        <v/>
      </c>
    </row>
    <row r="902" spans="3:3" x14ac:dyDescent="0.3">
      <c r="C902" s="2" t="str">
        <f>IF(A902&lt;&gt;"",SUM(B902),"")</f>
        <v/>
      </c>
    </row>
    <row r="903" spans="3:3" x14ac:dyDescent="0.3">
      <c r="C903" s="2" t="str">
        <f>IF(A903&lt;&gt;"",SUM(B903),"")</f>
        <v/>
      </c>
    </row>
    <row r="904" spans="3:3" x14ac:dyDescent="0.3">
      <c r="C904" s="2" t="str">
        <f>IF(A904&lt;&gt;"",SUM(B904),"")</f>
        <v/>
      </c>
    </row>
    <row r="905" spans="3:3" x14ac:dyDescent="0.3">
      <c r="C905" s="2" t="str">
        <f>IF(A905&lt;&gt;"",SUM(B905),"")</f>
        <v/>
      </c>
    </row>
    <row r="906" spans="3:3" x14ac:dyDescent="0.3">
      <c r="C906" s="2" t="str">
        <f>IF(A906&lt;&gt;"",SUM(B906),"")</f>
        <v/>
      </c>
    </row>
    <row r="907" spans="3:3" x14ac:dyDescent="0.3">
      <c r="C907" s="2" t="str">
        <f>IF(A907&lt;&gt;"",SUM(B907),"")</f>
        <v/>
      </c>
    </row>
    <row r="908" spans="3:3" x14ac:dyDescent="0.3">
      <c r="C908" s="2" t="str">
        <f>IF(A908&lt;&gt;"",SUM(B908),"")</f>
        <v/>
      </c>
    </row>
    <row r="909" spans="3:3" x14ac:dyDescent="0.3">
      <c r="C909" s="2" t="str">
        <f>IF(A909&lt;&gt;"",SUM(B909),"")</f>
        <v/>
      </c>
    </row>
    <row r="910" spans="3:3" x14ac:dyDescent="0.3">
      <c r="C910" s="2" t="str">
        <f>IF(A910&lt;&gt;"",SUM(B910),"")</f>
        <v/>
      </c>
    </row>
    <row r="911" spans="3:3" x14ac:dyDescent="0.3">
      <c r="C911" s="2" t="str">
        <f>IF(A911&lt;&gt;"",SUM(B911),"")</f>
        <v/>
      </c>
    </row>
    <row r="912" spans="3:3" x14ac:dyDescent="0.3">
      <c r="C912" s="2" t="str">
        <f>IF(A912&lt;&gt;"",SUM(B912),"")</f>
        <v/>
      </c>
    </row>
    <row r="913" spans="3:3" x14ac:dyDescent="0.3">
      <c r="C913" s="2" t="str">
        <f>IF(A913&lt;&gt;"",SUM(B913),"")</f>
        <v/>
      </c>
    </row>
    <row r="914" spans="3:3" x14ac:dyDescent="0.3">
      <c r="C914" s="2" t="str">
        <f>IF(A914&lt;&gt;"",SUM(B914),"")</f>
        <v/>
      </c>
    </row>
    <row r="915" spans="3:3" x14ac:dyDescent="0.3">
      <c r="C915" s="2" t="str">
        <f>IF(A915&lt;&gt;"",SUM(B915),"")</f>
        <v/>
      </c>
    </row>
    <row r="916" spans="3:3" x14ac:dyDescent="0.3">
      <c r="C916" s="2" t="str">
        <f>IF(A916&lt;&gt;"",SUM(B916),"")</f>
        <v/>
      </c>
    </row>
    <row r="917" spans="3:3" x14ac:dyDescent="0.3">
      <c r="C917" s="2" t="str">
        <f>IF(A917&lt;&gt;"",SUM(B917),"")</f>
        <v/>
      </c>
    </row>
    <row r="918" spans="3:3" x14ac:dyDescent="0.3">
      <c r="C918" s="2" t="str">
        <f>IF(A918&lt;&gt;"",SUM(B918),"")</f>
        <v/>
      </c>
    </row>
    <row r="919" spans="3:3" x14ac:dyDescent="0.3">
      <c r="C919" s="2" t="str">
        <f>IF(A919&lt;&gt;"",SUM(B919),"")</f>
        <v/>
      </c>
    </row>
    <row r="920" spans="3:3" x14ac:dyDescent="0.3">
      <c r="C920" s="2" t="str">
        <f>IF(A920&lt;&gt;"",SUM(B920),"")</f>
        <v/>
      </c>
    </row>
    <row r="921" spans="3:3" x14ac:dyDescent="0.3">
      <c r="C921" s="2" t="str">
        <f>IF(A921&lt;&gt;"",SUM(B921),"")</f>
        <v/>
      </c>
    </row>
    <row r="922" spans="3:3" x14ac:dyDescent="0.3">
      <c r="C922" s="2" t="str">
        <f>IF(A922&lt;&gt;"",SUM(B922),"")</f>
        <v/>
      </c>
    </row>
    <row r="923" spans="3:3" x14ac:dyDescent="0.3">
      <c r="C923" s="2" t="str">
        <f>IF(A923&lt;&gt;"",SUM(B923),"")</f>
        <v/>
      </c>
    </row>
    <row r="924" spans="3:3" x14ac:dyDescent="0.3">
      <c r="C924" s="2" t="str">
        <f>IF(A924&lt;&gt;"",SUM(B924),"")</f>
        <v/>
      </c>
    </row>
    <row r="925" spans="3:3" x14ac:dyDescent="0.3">
      <c r="C925" s="2" t="str">
        <f>IF(A925&lt;&gt;"",SUM(B925),"")</f>
        <v/>
      </c>
    </row>
    <row r="926" spans="3:3" x14ac:dyDescent="0.3">
      <c r="C926" s="2" t="str">
        <f>IF(A926&lt;&gt;"",SUM(B926),"")</f>
        <v/>
      </c>
    </row>
    <row r="927" spans="3:3" x14ac:dyDescent="0.3">
      <c r="C927" s="2" t="str">
        <f>IF(A927&lt;&gt;"",SUM(B927),"")</f>
        <v/>
      </c>
    </row>
    <row r="928" spans="3:3" x14ac:dyDescent="0.3">
      <c r="C928" s="2" t="str">
        <f>IF(A928&lt;&gt;"",SUM(B928),"")</f>
        <v/>
      </c>
    </row>
    <row r="929" spans="3:3" x14ac:dyDescent="0.3">
      <c r="C929" s="2" t="str">
        <f>IF(A929&lt;&gt;"",SUM(B929),"")</f>
        <v/>
      </c>
    </row>
    <row r="930" spans="3:3" x14ac:dyDescent="0.3">
      <c r="C930" s="2" t="str">
        <f>IF(A930&lt;&gt;"",SUM(B930),"")</f>
        <v/>
      </c>
    </row>
    <row r="931" spans="3:3" x14ac:dyDescent="0.3">
      <c r="C931" s="2" t="str">
        <f>IF(A931&lt;&gt;"",SUM(B931),"")</f>
        <v/>
      </c>
    </row>
    <row r="932" spans="3:3" x14ac:dyDescent="0.3">
      <c r="C932" s="2" t="str">
        <f>IF(A932&lt;&gt;"",SUM(B932),"")</f>
        <v/>
      </c>
    </row>
    <row r="933" spans="3:3" x14ac:dyDescent="0.3">
      <c r="C933" s="2" t="str">
        <f>IF(A933&lt;&gt;"",SUM(B933),"")</f>
        <v/>
      </c>
    </row>
    <row r="934" spans="3:3" x14ac:dyDescent="0.3">
      <c r="C934" s="2" t="str">
        <f>IF(A934&lt;&gt;"",SUM(B934),"")</f>
        <v/>
      </c>
    </row>
    <row r="935" spans="3:3" x14ac:dyDescent="0.3">
      <c r="C935" s="2" t="str">
        <f>IF(A935&lt;&gt;"",SUM(B935),"")</f>
        <v/>
      </c>
    </row>
    <row r="936" spans="3:3" x14ac:dyDescent="0.3">
      <c r="C936" s="2" t="str">
        <f>IF(A936&lt;&gt;"",SUM(B936),"")</f>
        <v/>
      </c>
    </row>
    <row r="937" spans="3:3" x14ac:dyDescent="0.3">
      <c r="C937" s="2" t="str">
        <f>IF(A937&lt;&gt;"",SUM(B937),"")</f>
        <v/>
      </c>
    </row>
    <row r="938" spans="3:3" x14ac:dyDescent="0.3">
      <c r="C938" s="2" t="str">
        <f>IF(A938&lt;&gt;"",SUM(B938),"")</f>
        <v/>
      </c>
    </row>
    <row r="939" spans="3:3" x14ac:dyDescent="0.3">
      <c r="C939" s="2" t="str">
        <f>IF(A939&lt;&gt;"",SUM(B939),"")</f>
        <v/>
      </c>
    </row>
    <row r="940" spans="3:3" x14ac:dyDescent="0.3">
      <c r="C940" s="2" t="str">
        <f>IF(A940&lt;&gt;"",SUM(B940),"")</f>
        <v/>
      </c>
    </row>
    <row r="941" spans="3:3" x14ac:dyDescent="0.3">
      <c r="C941" s="2" t="str">
        <f>IF(A941&lt;&gt;"",SUM(B941),"")</f>
        <v/>
      </c>
    </row>
    <row r="942" spans="3:3" x14ac:dyDescent="0.3">
      <c r="C942" s="2" t="str">
        <f>IF(A942&lt;&gt;"",SUM(B942),"")</f>
        <v/>
      </c>
    </row>
    <row r="943" spans="3:3" x14ac:dyDescent="0.3">
      <c r="C943" s="2" t="str">
        <f>IF(A943&lt;&gt;"",SUM(B943),"")</f>
        <v/>
      </c>
    </row>
    <row r="944" spans="3:3" x14ac:dyDescent="0.3">
      <c r="C944" s="2" t="str">
        <f>IF(A944&lt;&gt;"",SUM(B944),"")</f>
        <v/>
      </c>
    </row>
    <row r="945" spans="3:3" x14ac:dyDescent="0.3">
      <c r="C945" s="2" t="str">
        <f>IF(A945&lt;&gt;"",SUM(B945),"")</f>
        <v/>
      </c>
    </row>
    <row r="946" spans="3:3" x14ac:dyDescent="0.3">
      <c r="C946" s="2" t="str">
        <f>IF(A946&lt;&gt;"",SUM(B946),"")</f>
        <v/>
      </c>
    </row>
    <row r="947" spans="3:3" x14ac:dyDescent="0.3">
      <c r="C947" s="2" t="str">
        <f>IF(A947&lt;&gt;"",SUM(B947),"")</f>
        <v/>
      </c>
    </row>
    <row r="948" spans="3:3" x14ac:dyDescent="0.3">
      <c r="C948" s="2" t="str">
        <f>IF(A948&lt;&gt;"",SUM(B948),"")</f>
        <v/>
      </c>
    </row>
    <row r="949" spans="3:3" x14ac:dyDescent="0.3">
      <c r="C949" s="2" t="str">
        <f>IF(A949&lt;&gt;"",SUM(B949),"")</f>
        <v/>
      </c>
    </row>
    <row r="950" spans="3:3" x14ac:dyDescent="0.3">
      <c r="C950" s="2" t="str">
        <f>IF(A950&lt;&gt;"",SUM(B950),"")</f>
        <v/>
      </c>
    </row>
    <row r="951" spans="3:3" x14ac:dyDescent="0.3">
      <c r="C951" s="2" t="str">
        <f>IF(A951&lt;&gt;"",SUM(B951),"")</f>
        <v/>
      </c>
    </row>
    <row r="952" spans="3:3" x14ac:dyDescent="0.3">
      <c r="C952" s="2" t="str">
        <f>IF(A952&lt;&gt;"",SUM(B952),"")</f>
        <v/>
      </c>
    </row>
    <row r="953" spans="3:3" x14ac:dyDescent="0.3">
      <c r="C953" s="2" t="str">
        <f>IF(A953&lt;&gt;"",SUM(B953),"")</f>
        <v/>
      </c>
    </row>
    <row r="954" spans="3:3" x14ac:dyDescent="0.3">
      <c r="C954" s="2" t="str">
        <f>IF(A954&lt;&gt;"",SUM(B954),"")</f>
        <v/>
      </c>
    </row>
    <row r="955" spans="3:3" x14ac:dyDescent="0.3">
      <c r="C955" s="2" t="str">
        <f>IF(A955&lt;&gt;"",SUM(B955),"")</f>
        <v/>
      </c>
    </row>
    <row r="956" spans="3:3" x14ac:dyDescent="0.3">
      <c r="C956" s="2" t="str">
        <f>IF(A956&lt;&gt;"",SUM(B956),"")</f>
        <v/>
      </c>
    </row>
    <row r="957" spans="3:3" x14ac:dyDescent="0.3">
      <c r="C957" s="2" t="str">
        <f>IF(A957&lt;&gt;"",SUM(B957),"")</f>
        <v/>
      </c>
    </row>
    <row r="958" spans="3:3" x14ac:dyDescent="0.3">
      <c r="C958" s="2" t="str">
        <f>IF(A958&lt;&gt;"",SUM(B958),"")</f>
        <v/>
      </c>
    </row>
    <row r="959" spans="3:3" x14ac:dyDescent="0.3">
      <c r="C959" s="2" t="str">
        <f>IF(A959&lt;&gt;"",SUM(B959),"")</f>
        <v/>
      </c>
    </row>
    <row r="960" spans="3:3" x14ac:dyDescent="0.3">
      <c r="C960" s="2" t="str">
        <f>IF(A960&lt;&gt;"",SUM(B960),"")</f>
        <v/>
      </c>
    </row>
    <row r="961" spans="3:3" x14ac:dyDescent="0.3">
      <c r="C961" s="2" t="str">
        <f>IF(A961&lt;&gt;"",SUM(B961),"")</f>
        <v/>
      </c>
    </row>
    <row r="962" spans="3:3" x14ac:dyDescent="0.3">
      <c r="C962" s="2" t="str">
        <f>IF(A962&lt;&gt;"",SUM(B962),"")</f>
        <v/>
      </c>
    </row>
    <row r="963" spans="3:3" x14ac:dyDescent="0.3">
      <c r="C963" s="2" t="str">
        <f>IF(A963&lt;&gt;"",SUM(B963),"")</f>
        <v/>
      </c>
    </row>
    <row r="964" spans="3:3" x14ac:dyDescent="0.3">
      <c r="C964" s="2" t="str">
        <f>IF(A964&lt;&gt;"",SUM(B964),"")</f>
        <v/>
      </c>
    </row>
    <row r="965" spans="3:3" x14ac:dyDescent="0.3">
      <c r="C965" s="2" t="str">
        <f>IF(A965&lt;&gt;"",SUM(B965),"")</f>
        <v/>
      </c>
    </row>
    <row r="966" spans="3:3" x14ac:dyDescent="0.3">
      <c r="C966" s="2" t="str">
        <f>IF(A966&lt;&gt;"",SUM(B966),"")</f>
        <v/>
      </c>
    </row>
    <row r="967" spans="3:3" x14ac:dyDescent="0.3">
      <c r="C967" s="2" t="str">
        <f>IF(A967&lt;&gt;"",SUM(B967),"")</f>
        <v/>
      </c>
    </row>
    <row r="968" spans="3:3" x14ac:dyDescent="0.3">
      <c r="C968" s="2" t="str">
        <f>IF(A968&lt;&gt;"",SUM(B968),"")</f>
        <v/>
      </c>
    </row>
    <row r="969" spans="3:3" x14ac:dyDescent="0.3">
      <c r="C969" s="2" t="str">
        <f>IF(A969&lt;&gt;"",SUM(B969),"")</f>
        <v/>
      </c>
    </row>
    <row r="970" spans="3:3" x14ac:dyDescent="0.3">
      <c r="C970" s="2" t="str">
        <f>IF(A970&lt;&gt;"",SUM(B970),"")</f>
        <v/>
      </c>
    </row>
    <row r="971" spans="3:3" x14ac:dyDescent="0.3">
      <c r="C971" s="2" t="str">
        <f>IF(A971&lt;&gt;"",SUM(B971),"")</f>
        <v/>
      </c>
    </row>
    <row r="972" spans="3:3" x14ac:dyDescent="0.3">
      <c r="C972" s="2" t="str">
        <f>IF(A972&lt;&gt;"",SUM(B972),"")</f>
        <v/>
      </c>
    </row>
    <row r="973" spans="3:3" x14ac:dyDescent="0.3">
      <c r="C973" s="2" t="str">
        <f>IF(A973&lt;&gt;"",SUM(B973),"")</f>
        <v/>
      </c>
    </row>
    <row r="974" spans="3:3" x14ac:dyDescent="0.3">
      <c r="C974" s="2" t="str">
        <f>IF(A974&lt;&gt;"",SUM(B974),"")</f>
        <v/>
      </c>
    </row>
    <row r="975" spans="3:3" x14ac:dyDescent="0.3">
      <c r="C975" s="2" t="str">
        <f>IF(A975&lt;&gt;"",SUM(B975),"")</f>
        <v/>
      </c>
    </row>
    <row r="976" spans="3:3" x14ac:dyDescent="0.3">
      <c r="C976" s="2" t="str">
        <f>IF(A976&lt;&gt;"",SUM(B976),"")</f>
        <v/>
      </c>
    </row>
    <row r="977" spans="3:3" x14ac:dyDescent="0.3">
      <c r="C977" s="2" t="str">
        <f>IF(A977&lt;&gt;"",SUM(B977),"")</f>
        <v/>
      </c>
    </row>
    <row r="978" spans="3:3" x14ac:dyDescent="0.3">
      <c r="C978" s="2" t="str">
        <f>IF(A978&lt;&gt;"",SUM(B978),"")</f>
        <v/>
      </c>
    </row>
    <row r="979" spans="3:3" x14ac:dyDescent="0.3">
      <c r="C979" s="2" t="str">
        <f>IF(A979&lt;&gt;"",SUM(B979),"")</f>
        <v/>
      </c>
    </row>
    <row r="980" spans="3:3" x14ac:dyDescent="0.3">
      <c r="C980" s="2" t="str">
        <f>IF(A980&lt;&gt;"",SUM(B980),"")</f>
        <v/>
      </c>
    </row>
    <row r="981" spans="3:3" x14ac:dyDescent="0.3">
      <c r="C981" s="2" t="str">
        <f>IF(A981&lt;&gt;"",SUM(B981),"")</f>
        <v/>
      </c>
    </row>
    <row r="982" spans="3:3" x14ac:dyDescent="0.3">
      <c r="C982" s="2" t="str">
        <f>IF(A982&lt;&gt;"",SUM(B982),"")</f>
        <v/>
      </c>
    </row>
    <row r="983" spans="3:3" x14ac:dyDescent="0.3">
      <c r="C983" s="2" t="str">
        <f>IF(A983&lt;&gt;"",SUM(B983),"")</f>
        <v/>
      </c>
    </row>
    <row r="984" spans="3:3" x14ac:dyDescent="0.3">
      <c r="C984" s="2" t="str">
        <f>IF(A984&lt;&gt;"",SUM(B984),"")</f>
        <v/>
      </c>
    </row>
    <row r="985" spans="3:3" x14ac:dyDescent="0.3">
      <c r="C985" s="2" t="str">
        <f>IF(A985&lt;&gt;"",SUM(B985),"")</f>
        <v/>
      </c>
    </row>
    <row r="986" spans="3:3" x14ac:dyDescent="0.3">
      <c r="C986" s="2" t="str">
        <f>IF(A986&lt;&gt;"",SUM(B986),"")</f>
        <v/>
      </c>
    </row>
    <row r="987" spans="3:3" x14ac:dyDescent="0.3">
      <c r="C987" s="2" t="str">
        <f>IF(A987&lt;&gt;"",SUM(B987),"")</f>
        <v/>
      </c>
    </row>
    <row r="988" spans="3:3" x14ac:dyDescent="0.3">
      <c r="C988" s="2" t="str">
        <f>IF(A988&lt;&gt;"",SUM(B988),"")</f>
        <v/>
      </c>
    </row>
    <row r="989" spans="3:3" x14ac:dyDescent="0.3">
      <c r="C989" s="2" t="str">
        <f>IF(A989&lt;&gt;"",SUM(B989),"")</f>
        <v/>
      </c>
    </row>
    <row r="990" spans="3:3" x14ac:dyDescent="0.3">
      <c r="C990" s="2" t="str">
        <f>IF(A990&lt;&gt;"",SUM(B990),"")</f>
        <v/>
      </c>
    </row>
    <row r="991" spans="3:3" x14ac:dyDescent="0.3">
      <c r="C991" s="2" t="str">
        <f>IF(A991&lt;&gt;"",SUM(B991),"")</f>
        <v/>
      </c>
    </row>
    <row r="992" spans="3:3" x14ac:dyDescent="0.3">
      <c r="C992" s="2" t="str">
        <f>IF(A992&lt;&gt;"",SUM(B992),"")</f>
        <v/>
      </c>
    </row>
    <row r="993" spans="3:3" x14ac:dyDescent="0.3">
      <c r="C993" s="2" t="str">
        <f>IF(A993&lt;&gt;"",SUM(B993),"")</f>
        <v/>
      </c>
    </row>
    <row r="994" spans="3:3" x14ac:dyDescent="0.3">
      <c r="C994" s="2" t="str">
        <f>IF(A994&lt;&gt;"",SUM(B994),"")</f>
        <v/>
      </c>
    </row>
    <row r="995" spans="3:3" x14ac:dyDescent="0.3">
      <c r="C995" s="2" t="str">
        <f>IF(A995&lt;&gt;"",SUM(B995),"")</f>
        <v/>
      </c>
    </row>
    <row r="996" spans="3:3" x14ac:dyDescent="0.3">
      <c r="C996" s="2" t="str">
        <f>IF(A996&lt;&gt;"",SUM(B996),"")</f>
        <v/>
      </c>
    </row>
    <row r="997" spans="3:3" x14ac:dyDescent="0.3">
      <c r="C997" s="2" t="str">
        <f>IF(A997&lt;&gt;"",SUM(B997),"")</f>
        <v/>
      </c>
    </row>
    <row r="998" spans="3:3" x14ac:dyDescent="0.3">
      <c r="C998" s="2" t="str">
        <f>IF(A998&lt;&gt;"",SUM(B998),"")</f>
        <v/>
      </c>
    </row>
    <row r="999" spans="3:3" x14ac:dyDescent="0.3">
      <c r="C999" s="2" t="str">
        <f>IF(A999&lt;&gt;"",SUM(B999),"")</f>
        <v/>
      </c>
    </row>
    <row r="1000" spans="3:3" x14ac:dyDescent="0.3">
      <c r="C1000" s="2" t="str">
        <f>IF(A1000&lt;&gt;"",SUM(B1000),"")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2C201-7197-4E4E-897F-3C82761C3C77}">
  <sheetPr codeName="Folha96"/>
  <dimension ref="A1:ZZ1000"/>
  <sheetViews>
    <sheetView workbookViewId="0">
      <selection activeCell="B3" sqref="B3"/>
    </sheetView>
  </sheetViews>
  <sheetFormatPr defaultRowHeight="14.4" x14ac:dyDescent="0.3"/>
  <cols>
    <col min="1" max="1" width="6.88671875" style="2" bestFit="1" customWidth="1"/>
    <col min="2" max="2" width="3.109375" style="2" bestFit="1" customWidth="1"/>
    <col min="3" max="3" width="5.109375" style="2" bestFit="1" customWidth="1"/>
    <col min="4" max="702" width="8.88671875" style="2"/>
  </cols>
  <sheetData>
    <row r="1" spans="1:3" x14ac:dyDescent="0.3">
      <c r="B1" s="8">
        <v>20</v>
      </c>
      <c r="C1" s="8">
        <v>20</v>
      </c>
    </row>
    <row r="2" spans="1:3" x14ac:dyDescent="0.3">
      <c r="A2" s="7" t="s">
        <v>11</v>
      </c>
      <c r="B2" s="7" t="s">
        <v>20</v>
      </c>
      <c r="C2" s="7" t="s">
        <v>12</v>
      </c>
    </row>
    <row r="3" spans="1:3" x14ac:dyDescent="0.3">
      <c r="A3" s="2" t="s">
        <v>15</v>
      </c>
      <c r="B3" s="2">
        <v>15</v>
      </c>
      <c r="C3" s="2">
        <f>IF(A3&lt;&gt;"",SUM(B3),"")</f>
        <v>15</v>
      </c>
    </row>
    <row r="4" spans="1:3" x14ac:dyDescent="0.3">
      <c r="C4" s="2" t="str">
        <f>IF(A4&lt;&gt;"",SUM(B4),"")</f>
        <v/>
      </c>
    </row>
    <row r="5" spans="1:3" x14ac:dyDescent="0.3">
      <c r="C5" s="2" t="str">
        <f>IF(A5&lt;&gt;"",SUM(B5),"")</f>
        <v/>
      </c>
    </row>
    <row r="6" spans="1:3" x14ac:dyDescent="0.3">
      <c r="C6" s="2" t="str">
        <f>IF(A6&lt;&gt;"",SUM(B6),"")</f>
        <v/>
      </c>
    </row>
    <row r="7" spans="1:3" x14ac:dyDescent="0.3">
      <c r="C7" s="2" t="str">
        <f>IF(A7&lt;&gt;"",SUM(B7),"")</f>
        <v/>
      </c>
    </row>
    <row r="8" spans="1:3" x14ac:dyDescent="0.3">
      <c r="C8" s="2" t="str">
        <f>IF(A8&lt;&gt;"",SUM(B8),"")</f>
        <v/>
      </c>
    </row>
    <row r="9" spans="1:3" x14ac:dyDescent="0.3">
      <c r="C9" s="2" t="str">
        <f>IF(A9&lt;&gt;"",SUM(B9),"")</f>
        <v/>
      </c>
    </row>
    <row r="10" spans="1:3" x14ac:dyDescent="0.3">
      <c r="C10" s="2" t="str">
        <f>IF(A10&lt;&gt;"",SUM(B10),"")</f>
        <v/>
      </c>
    </row>
    <row r="11" spans="1:3" x14ac:dyDescent="0.3">
      <c r="C11" s="2" t="str">
        <f>IF(A11&lt;&gt;"",SUM(B11),"")</f>
        <v/>
      </c>
    </row>
    <row r="12" spans="1:3" x14ac:dyDescent="0.3">
      <c r="C12" s="2" t="str">
        <f>IF(A12&lt;&gt;"",SUM(B12),"")</f>
        <v/>
      </c>
    </row>
    <row r="13" spans="1:3" x14ac:dyDescent="0.3">
      <c r="C13" s="2" t="str">
        <f>IF(A13&lt;&gt;"",SUM(B13),"")</f>
        <v/>
      </c>
    </row>
    <row r="14" spans="1:3" x14ac:dyDescent="0.3">
      <c r="C14" s="2" t="str">
        <f>IF(A14&lt;&gt;"",SUM(B14),"")</f>
        <v/>
      </c>
    </row>
    <row r="15" spans="1:3" x14ac:dyDescent="0.3">
      <c r="C15" s="2" t="str">
        <f>IF(A15&lt;&gt;"",SUM(B15),"")</f>
        <v/>
      </c>
    </row>
    <row r="16" spans="1:3" x14ac:dyDescent="0.3">
      <c r="C16" s="2" t="str">
        <f>IF(A16&lt;&gt;"",SUM(B16),"")</f>
        <v/>
      </c>
    </row>
    <row r="17" spans="3:3" x14ac:dyDescent="0.3">
      <c r="C17" s="2" t="str">
        <f>IF(A17&lt;&gt;"",SUM(B17),"")</f>
        <v/>
      </c>
    </row>
    <row r="18" spans="3:3" x14ac:dyDescent="0.3">
      <c r="C18" s="2" t="str">
        <f>IF(A18&lt;&gt;"",SUM(B18),"")</f>
        <v/>
      </c>
    </row>
    <row r="19" spans="3:3" x14ac:dyDescent="0.3">
      <c r="C19" s="2" t="str">
        <f>IF(A19&lt;&gt;"",SUM(B19),"")</f>
        <v/>
      </c>
    </row>
    <row r="20" spans="3:3" x14ac:dyDescent="0.3">
      <c r="C20" s="2" t="str">
        <f>IF(A20&lt;&gt;"",SUM(B20),"")</f>
        <v/>
      </c>
    </row>
    <row r="21" spans="3:3" x14ac:dyDescent="0.3">
      <c r="C21" s="2" t="str">
        <f>IF(A21&lt;&gt;"",SUM(B21),"")</f>
        <v/>
      </c>
    </row>
    <row r="22" spans="3:3" x14ac:dyDescent="0.3">
      <c r="C22" s="2" t="str">
        <f>IF(A22&lt;&gt;"",SUM(B22),"")</f>
        <v/>
      </c>
    </row>
    <row r="23" spans="3:3" x14ac:dyDescent="0.3">
      <c r="C23" s="2" t="str">
        <f>IF(A23&lt;&gt;"",SUM(B23),"")</f>
        <v/>
      </c>
    </row>
    <row r="24" spans="3:3" x14ac:dyDescent="0.3">
      <c r="C24" s="2" t="str">
        <f>IF(A24&lt;&gt;"",SUM(B24),"")</f>
        <v/>
      </c>
    </row>
    <row r="25" spans="3:3" x14ac:dyDescent="0.3">
      <c r="C25" s="2" t="str">
        <f>IF(A25&lt;&gt;"",SUM(B25),"")</f>
        <v/>
      </c>
    </row>
    <row r="26" spans="3:3" x14ac:dyDescent="0.3">
      <c r="C26" s="2" t="str">
        <f>IF(A26&lt;&gt;"",SUM(B26),"")</f>
        <v/>
      </c>
    </row>
    <row r="27" spans="3:3" x14ac:dyDescent="0.3">
      <c r="C27" s="2" t="str">
        <f>IF(A27&lt;&gt;"",SUM(B27),"")</f>
        <v/>
      </c>
    </row>
    <row r="28" spans="3:3" x14ac:dyDescent="0.3">
      <c r="C28" s="2" t="str">
        <f>IF(A28&lt;&gt;"",SUM(B28),"")</f>
        <v/>
      </c>
    </row>
    <row r="29" spans="3:3" x14ac:dyDescent="0.3">
      <c r="C29" s="2" t="str">
        <f>IF(A29&lt;&gt;"",SUM(B29),"")</f>
        <v/>
      </c>
    </row>
    <row r="30" spans="3:3" x14ac:dyDescent="0.3">
      <c r="C30" s="2" t="str">
        <f>IF(A30&lt;&gt;"",SUM(B30),"")</f>
        <v/>
      </c>
    </row>
    <row r="31" spans="3:3" x14ac:dyDescent="0.3">
      <c r="C31" s="2" t="str">
        <f>IF(A31&lt;&gt;"",SUM(B31),"")</f>
        <v/>
      </c>
    </row>
    <row r="32" spans="3:3" x14ac:dyDescent="0.3">
      <c r="C32" s="2" t="str">
        <f>IF(A32&lt;&gt;"",SUM(B32),"")</f>
        <v/>
      </c>
    </row>
    <row r="33" spans="3:3" x14ac:dyDescent="0.3">
      <c r="C33" s="2" t="str">
        <f>IF(A33&lt;&gt;"",SUM(B33),"")</f>
        <v/>
      </c>
    </row>
    <row r="34" spans="3:3" x14ac:dyDescent="0.3">
      <c r="C34" s="2" t="str">
        <f>IF(A34&lt;&gt;"",SUM(B34),"")</f>
        <v/>
      </c>
    </row>
    <row r="35" spans="3:3" x14ac:dyDescent="0.3">
      <c r="C35" s="2" t="str">
        <f>IF(A35&lt;&gt;"",SUM(B35),"")</f>
        <v/>
      </c>
    </row>
    <row r="36" spans="3:3" x14ac:dyDescent="0.3">
      <c r="C36" s="2" t="str">
        <f>IF(A36&lt;&gt;"",SUM(B36),"")</f>
        <v/>
      </c>
    </row>
    <row r="37" spans="3:3" x14ac:dyDescent="0.3">
      <c r="C37" s="2" t="str">
        <f>IF(A37&lt;&gt;"",SUM(B37),"")</f>
        <v/>
      </c>
    </row>
    <row r="38" spans="3:3" x14ac:dyDescent="0.3">
      <c r="C38" s="2" t="str">
        <f>IF(A38&lt;&gt;"",SUM(B38),"")</f>
        <v/>
      </c>
    </row>
    <row r="39" spans="3:3" x14ac:dyDescent="0.3">
      <c r="C39" s="2" t="str">
        <f>IF(A39&lt;&gt;"",SUM(B39),"")</f>
        <v/>
      </c>
    </row>
    <row r="40" spans="3:3" x14ac:dyDescent="0.3">
      <c r="C40" s="2" t="str">
        <f>IF(A40&lt;&gt;"",SUM(B40),"")</f>
        <v/>
      </c>
    </row>
    <row r="41" spans="3:3" x14ac:dyDescent="0.3">
      <c r="C41" s="2" t="str">
        <f>IF(A41&lt;&gt;"",SUM(B41),"")</f>
        <v/>
      </c>
    </row>
    <row r="42" spans="3:3" x14ac:dyDescent="0.3">
      <c r="C42" s="2" t="str">
        <f>IF(A42&lt;&gt;"",SUM(B42),"")</f>
        <v/>
      </c>
    </row>
    <row r="43" spans="3:3" x14ac:dyDescent="0.3">
      <c r="C43" s="2" t="str">
        <f>IF(A43&lt;&gt;"",SUM(B43),"")</f>
        <v/>
      </c>
    </row>
    <row r="44" spans="3:3" x14ac:dyDescent="0.3">
      <c r="C44" s="2" t="str">
        <f>IF(A44&lt;&gt;"",SUM(B44),"")</f>
        <v/>
      </c>
    </row>
    <row r="45" spans="3:3" x14ac:dyDescent="0.3">
      <c r="C45" s="2" t="str">
        <f>IF(A45&lt;&gt;"",SUM(B45),"")</f>
        <v/>
      </c>
    </row>
    <row r="46" spans="3:3" x14ac:dyDescent="0.3">
      <c r="C46" s="2" t="str">
        <f>IF(A46&lt;&gt;"",SUM(B46),"")</f>
        <v/>
      </c>
    </row>
    <row r="47" spans="3:3" x14ac:dyDescent="0.3">
      <c r="C47" s="2" t="str">
        <f>IF(A47&lt;&gt;"",SUM(B47),"")</f>
        <v/>
      </c>
    </row>
    <row r="48" spans="3:3" x14ac:dyDescent="0.3">
      <c r="C48" s="2" t="str">
        <f>IF(A48&lt;&gt;"",SUM(B48),"")</f>
        <v/>
      </c>
    </row>
    <row r="49" spans="3:3" x14ac:dyDescent="0.3">
      <c r="C49" s="2" t="str">
        <f>IF(A49&lt;&gt;"",SUM(B49),"")</f>
        <v/>
      </c>
    </row>
    <row r="50" spans="3:3" x14ac:dyDescent="0.3">
      <c r="C50" s="2" t="str">
        <f>IF(A50&lt;&gt;"",SUM(B50),"")</f>
        <v/>
      </c>
    </row>
    <row r="51" spans="3:3" x14ac:dyDescent="0.3">
      <c r="C51" s="2" t="str">
        <f>IF(A51&lt;&gt;"",SUM(B51),"")</f>
        <v/>
      </c>
    </row>
    <row r="52" spans="3:3" x14ac:dyDescent="0.3">
      <c r="C52" s="2" t="str">
        <f>IF(A52&lt;&gt;"",SUM(B52),"")</f>
        <v/>
      </c>
    </row>
    <row r="53" spans="3:3" x14ac:dyDescent="0.3">
      <c r="C53" s="2" t="str">
        <f>IF(A53&lt;&gt;"",SUM(B53),"")</f>
        <v/>
      </c>
    </row>
    <row r="54" spans="3:3" x14ac:dyDescent="0.3">
      <c r="C54" s="2" t="str">
        <f>IF(A54&lt;&gt;"",SUM(B54),"")</f>
        <v/>
      </c>
    </row>
    <row r="55" spans="3:3" x14ac:dyDescent="0.3">
      <c r="C55" s="2" t="str">
        <f>IF(A55&lt;&gt;"",SUM(B55),"")</f>
        <v/>
      </c>
    </row>
    <row r="56" spans="3:3" x14ac:dyDescent="0.3">
      <c r="C56" s="2" t="str">
        <f>IF(A56&lt;&gt;"",SUM(B56),"")</f>
        <v/>
      </c>
    </row>
    <row r="57" spans="3:3" x14ac:dyDescent="0.3">
      <c r="C57" s="2" t="str">
        <f>IF(A57&lt;&gt;"",SUM(B57),"")</f>
        <v/>
      </c>
    </row>
    <row r="58" spans="3:3" x14ac:dyDescent="0.3">
      <c r="C58" s="2" t="str">
        <f>IF(A58&lt;&gt;"",SUM(B58),"")</f>
        <v/>
      </c>
    </row>
    <row r="59" spans="3:3" x14ac:dyDescent="0.3">
      <c r="C59" s="2" t="str">
        <f>IF(A59&lt;&gt;"",SUM(B59),"")</f>
        <v/>
      </c>
    </row>
    <row r="60" spans="3:3" x14ac:dyDescent="0.3">
      <c r="C60" s="2" t="str">
        <f>IF(A60&lt;&gt;"",SUM(B60),"")</f>
        <v/>
      </c>
    </row>
    <row r="61" spans="3:3" x14ac:dyDescent="0.3">
      <c r="C61" s="2" t="str">
        <f>IF(A61&lt;&gt;"",SUM(B61),"")</f>
        <v/>
      </c>
    </row>
    <row r="62" spans="3:3" x14ac:dyDescent="0.3">
      <c r="C62" s="2" t="str">
        <f>IF(A62&lt;&gt;"",SUM(B62),"")</f>
        <v/>
      </c>
    </row>
    <row r="63" spans="3:3" x14ac:dyDescent="0.3">
      <c r="C63" s="2" t="str">
        <f>IF(A63&lt;&gt;"",SUM(B63),"")</f>
        <v/>
      </c>
    </row>
    <row r="64" spans="3:3" x14ac:dyDescent="0.3">
      <c r="C64" s="2" t="str">
        <f>IF(A64&lt;&gt;"",SUM(B64),"")</f>
        <v/>
      </c>
    </row>
    <row r="65" spans="3:3" x14ac:dyDescent="0.3">
      <c r="C65" s="2" t="str">
        <f>IF(A65&lt;&gt;"",SUM(B65),"")</f>
        <v/>
      </c>
    </row>
    <row r="66" spans="3:3" x14ac:dyDescent="0.3">
      <c r="C66" s="2" t="str">
        <f>IF(A66&lt;&gt;"",SUM(B66),"")</f>
        <v/>
      </c>
    </row>
    <row r="67" spans="3:3" x14ac:dyDescent="0.3">
      <c r="C67" s="2" t="str">
        <f>IF(A67&lt;&gt;"",SUM(B67),"")</f>
        <v/>
      </c>
    </row>
    <row r="68" spans="3:3" x14ac:dyDescent="0.3">
      <c r="C68" s="2" t="str">
        <f>IF(A68&lt;&gt;"",SUM(B68),"")</f>
        <v/>
      </c>
    </row>
    <row r="69" spans="3:3" x14ac:dyDescent="0.3">
      <c r="C69" s="2" t="str">
        <f>IF(A69&lt;&gt;"",SUM(B69),"")</f>
        <v/>
      </c>
    </row>
    <row r="70" spans="3:3" x14ac:dyDescent="0.3">
      <c r="C70" s="2" t="str">
        <f>IF(A70&lt;&gt;"",SUM(B70),"")</f>
        <v/>
      </c>
    </row>
    <row r="71" spans="3:3" x14ac:dyDescent="0.3">
      <c r="C71" s="2" t="str">
        <f>IF(A71&lt;&gt;"",SUM(B71),"")</f>
        <v/>
      </c>
    </row>
    <row r="72" spans="3:3" x14ac:dyDescent="0.3">
      <c r="C72" s="2" t="str">
        <f>IF(A72&lt;&gt;"",SUM(B72),"")</f>
        <v/>
      </c>
    </row>
    <row r="73" spans="3:3" x14ac:dyDescent="0.3">
      <c r="C73" s="2" t="str">
        <f>IF(A73&lt;&gt;"",SUM(B73),"")</f>
        <v/>
      </c>
    </row>
    <row r="74" spans="3:3" x14ac:dyDescent="0.3">
      <c r="C74" s="2" t="str">
        <f>IF(A74&lt;&gt;"",SUM(B74),"")</f>
        <v/>
      </c>
    </row>
    <row r="75" spans="3:3" x14ac:dyDescent="0.3">
      <c r="C75" s="2" t="str">
        <f>IF(A75&lt;&gt;"",SUM(B75),"")</f>
        <v/>
      </c>
    </row>
    <row r="76" spans="3:3" x14ac:dyDescent="0.3">
      <c r="C76" s="2" t="str">
        <f>IF(A76&lt;&gt;"",SUM(B76),"")</f>
        <v/>
      </c>
    </row>
    <row r="77" spans="3:3" x14ac:dyDescent="0.3">
      <c r="C77" s="2" t="str">
        <f>IF(A77&lt;&gt;"",SUM(B77),"")</f>
        <v/>
      </c>
    </row>
    <row r="78" spans="3:3" x14ac:dyDescent="0.3">
      <c r="C78" s="2" t="str">
        <f>IF(A78&lt;&gt;"",SUM(B78),"")</f>
        <v/>
      </c>
    </row>
    <row r="79" spans="3:3" x14ac:dyDescent="0.3">
      <c r="C79" s="2" t="str">
        <f>IF(A79&lt;&gt;"",SUM(B79),"")</f>
        <v/>
      </c>
    </row>
    <row r="80" spans="3:3" x14ac:dyDescent="0.3">
      <c r="C80" s="2" t="str">
        <f>IF(A80&lt;&gt;"",SUM(B80),"")</f>
        <v/>
      </c>
    </row>
    <row r="81" spans="3:3" x14ac:dyDescent="0.3">
      <c r="C81" s="2" t="str">
        <f>IF(A81&lt;&gt;"",SUM(B81),"")</f>
        <v/>
      </c>
    </row>
    <row r="82" spans="3:3" x14ac:dyDescent="0.3">
      <c r="C82" s="2" t="str">
        <f>IF(A82&lt;&gt;"",SUM(B82),"")</f>
        <v/>
      </c>
    </row>
    <row r="83" spans="3:3" x14ac:dyDescent="0.3">
      <c r="C83" s="2" t="str">
        <f>IF(A83&lt;&gt;"",SUM(B83),"")</f>
        <v/>
      </c>
    </row>
    <row r="84" spans="3:3" x14ac:dyDescent="0.3">
      <c r="C84" s="2" t="str">
        <f>IF(A84&lt;&gt;"",SUM(B84),"")</f>
        <v/>
      </c>
    </row>
    <row r="85" spans="3:3" x14ac:dyDescent="0.3">
      <c r="C85" s="2" t="str">
        <f>IF(A85&lt;&gt;"",SUM(B85),"")</f>
        <v/>
      </c>
    </row>
    <row r="86" spans="3:3" x14ac:dyDescent="0.3">
      <c r="C86" s="2" t="str">
        <f>IF(A86&lt;&gt;"",SUM(B86),"")</f>
        <v/>
      </c>
    </row>
    <row r="87" spans="3:3" x14ac:dyDescent="0.3">
      <c r="C87" s="2" t="str">
        <f>IF(A87&lt;&gt;"",SUM(B87),"")</f>
        <v/>
      </c>
    </row>
    <row r="88" spans="3:3" x14ac:dyDescent="0.3">
      <c r="C88" s="2" t="str">
        <f>IF(A88&lt;&gt;"",SUM(B88),"")</f>
        <v/>
      </c>
    </row>
    <row r="89" spans="3:3" x14ac:dyDescent="0.3">
      <c r="C89" s="2" t="str">
        <f>IF(A89&lt;&gt;"",SUM(B89),"")</f>
        <v/>
      </c>
    </row>
    <row r="90" spans="3:3" x14ac:dyDescent="0.3">
      <c r="C90" s="2" t="str">
        <f>IF(A90&lt;&gt;"",SUM(B90),"")</f>
        <v/>
      </c>
    </row>
    <row r="91" spans="3:3" x14ac:dyDescent="0.3">
      <c r="C91" s="2" t="str">
        <f>IF(A91&lt;&gt;"",SUM(B91),"")</f>
        <v/>
      </c>
    </row>
    <row r="92" spans="3:3" x14ac:dyDescent="0.3">
      <c r="C92" s="2" t="str">
        <f>IF(A92&lt;&gt;"",SUM(B92),"")</f>
        <v/>
      </c>
    </row>
    <row r="93" spans="3:3" x14ac:dyDescent="0.3">
      <c r="C93" s="2" t="str">
        <f>IF(A93&lt;&gt;"",SUM(B93),"")</f>
        <v/>
      </c>
    </row>
    <row r="94" spans="3:3" x14ac:dyDescent="0.3">
      <c r="C94" s="2" t="str">
        <f>IF(A94&lt;&gt;"",SUM(B94),"")</f>
        <v/>
      </c>
    </row>
    <row r="95" spans="3:3" x14ac:dyDescent="0.3">
      <c r="C95" s="2" t="str">
        <f>IF(A95&lt;&gt;"",SUM(B95),"")</f>
        <v/>
      </c>
    </row>
    <row r="96" spans="3:3" x14ac:dyDescent="0.3">
      <c r="C96" s="2" t="str">
        <f>IF(A96&lt;&gt;"",SUM(B96),"")</f>
        <v/>
      </c>
    </row>
    <row r="97" spans="3:3" x14ac:dyDescent="0.3">
      <c r="C97" s="2" t="str">
        <f>IF(A97&lt;&gt;"",SUM(B97),"")</f>
        <v/>
      </c>
    </row>
    <row r="98" spans="3:3" x14ac:dyDescent="0.3">
      <c r="C98" s="2" t="str">
        <f>IF(A98&lt;&gt;"",SUM(B98),"")</f>
        <v/>
      </c>
    </row>
    <row r="99" spans="3:3" x14ac:dyDescent="0.3">
      <c r="C99" s="2" t="str">
        <f>IF(A99&lt;&gt;"",SUM(B99),"")</f>
        <v/>
      </c>
    </row>
    <row r="100" spans="3:3" x14ac:dyDescent="0.3">
      <c r="C100" s="2" t="str">
        <f>IF(A100&lt;&gt;"",SUM(B100),"")</f>
        <v/>
      </c>
    </row>
    <row r="101" spans="3:3" x14ac:dyDescent="0.3">
      <c r="C101" s="2" t="str">
        <f>IF(A101&lt;&gt;"",SUM(B101),"")</f>
        <v/>
      </c>
    </row>
    <row r="102" spans="3:3" x14ac:dyDescent="0.3">
      <c r="C102" s="2" t="str">
        <f>IF(A102&lt;&gt;"",SUM(B102),"")</f>
        <v/>
      </c>
    </row>
    <row r="103" spans="3:3" x14ac:dyDescent="0.3">
      <c r="C103" s="2" t="str">
        <f>IF(A103&lt;&gt;"",SUM(B103),"")</f>
        <v/>
      </c>
    </row>
    <row r="104" spans="3:3" x14ac:dyDescent="0.3">
      <c r="C104" s="2" t="str">
        <f>IF(A104&lt;&gt;"",SUM(B104),"")</f>
        <v/>
      </c>
    </row>
    <row r="105" spans="3:3" x14ac:dyDescent="0.3">
      <c r="C105" s="2" t="str">
        <f>IF(A105&lt;&gt;"",SUM(B105),"")</f>
        <v/>
      </c>
    </row>
    <row r="106" spans="3:3" x14ac:dyDescent="0.3">
      <c r="C106" s="2" t="str">
        <f>IF(A106&lt;&gt;"",SUM(B106),"")</f>
        <v/>
      </c>
    </row>
    <row r="107" spans="3:3" x14ac:dyDescent="0.3">
      <c r="C107" s="2" t="str">
        <f>IF(A107&lt;&gt;"",SUM(B107),"")</f>
        <v/>
      </c>
    </row>
    <row r="108" spans="3:3" x14ac:dyDescent="0.3">
      <c r="C108" s="2" t="str">
        <f>IF(A108&lt;&gt;"",SUM(B108),"")</f>
        <v/>
      </c>
    </row>
    <row r="109" spans="3:3" x14ac:dyDescent="0.3">
      <c r="C109" s="2" t="str">
        <f>IF(A109&lt;&gt;"",SUM(B109),"")</f>
        <v/>
      </c>
    </row>
    <row r="110" spans="3:3" x14ac:dyDescent="0.3">
      <c r="C110" s="2" t="str">
        <f>IF(A110&lt;&gt;"",SUM(B110),"")</f>
        <v/>
      </c>
    </row>
    <row r="111" spans="3:3" x14ac:dyDescent="0.3">
      <c r="C111" s="2" t="str">
        <f>IF(A111&lt;&gt;"",SUM(B111),"")</f>
        <v/>
      </c>
    </row>
    <row r="112" spans="3:3" x14ac:dyDescent="0.3">
      <c r="C112" s="2" t="str">
        <f>IF(A112&lt;&gt;"",SUM(B112),"")</f>
        <v/>
      </c>
    </row>
    <row r="113" spans="3:3" x14ac:dyDescent="0.3">
      <c r="C113" s="2" t="str">
        <f>IF(A113&lt;&gt;"",SUM(B113),"")</f>
        <v/>
      </c>
    </row>
    <row r="114" spans="3:3" x14ac:dyDescent="0.3">
      <c r="C114" s="2" t="str">
        <f>IF(A114&lt;&gt;"",SUM(B114),"")</f>
        <v/>
      </c>
    </row>
    <row r="115" spans="3:3" x14ac:dyDescent="0.3">
      <c r="C115" s="2" t="str">
        <f>IF(A115&lt;&gt;"",SUM(B115),"")</f>
        <v/>
      </c>
    </row>
    <row r="116" spans="3:3" x14ac:dyDescent="0.3">
      <c r="C116" s="2" t="str">
        <f>IF(A116&lt;&gt;"",SUM(B116),"")</f>
        <v/>
      </c>
    </row>
    <row r="117" spans="3:3" x14ac:dyDescent="0.3">
      <c r="C117" s="2" t="str">
        <f>IF(A117&lt;&gt;"",SUM(B117),"")</f>
        <v/>
      </c>
    </row>
    <row r="118" spans="3:3" x14ac:dyDescent="0.3">
      <c r="C118" s="2" t="str">
        <f>IF(A118&lt;&gt;"",SUM(B118),"")</f>
        <v/>
      </c>
    </row>
    <row r="119" spans="3:3" x14ac:dyDescent="0.3">
      <c r="C119" s="2" t="str">
        <f>IF(A119&lt;&gt;"",SUM(B119),"")</f>
        <v/>
      </c>
    </row>
    <row r="120" spans="3:3" x14ac:dyDescent="0.3">
      <c r="C120" s="2" t="str">
        <f>IF(A120&lt;&gt;"",SUM(B120),"")</f>
        <v/>
      </c>
    </row>
    <row r="121" spans="3:3" x14ac:dyDescent="0.3">
      <c r="C121" s="2" t="str">
        <f>IF(A121&lt;&gt;"",SUM(B121),"")</f>
        <v/>
      </c>
    </row>
    <row r="122" spans="3:3" x14ac:dyDescent="0.3">
      <c r="C122" s="2" t="str">
        <f>IF(A122&lt;&gt;"",SUM(B122),"")</f>
        <v/>
      </c>
    </row>
    <row r="123" spans="3:3" x14ac:dyDescent="0.3">
      <c r="C123" s="2" t="str">
        <f>IF(A123&lt;&gt;"",SUM(B123),"")</f>
        <v/>
      </c>
    </row>
    <row r="124" spans="3:3" x14ac:dyDescent="0.3">
      <c r="C124" s="2" t="str">
        <f>IF(A124&lt;&gt;"",SUM(B124),"")</f>
        <v/>
      </c>
    </row>
    <row r="125" spans="3:3" x14ac:dyDescent="0.3">
      <c r="C125" s="2" t="str">
        <f>IF(A125&lt;&gt;"",SUM(B125),"")</f>
        <v/>
      </c>
    </row>
    <row r="126" spans="3:3" x14ac:dyDescent="0.3">
      <c r="C126" s="2" t="str">
        <f>IF(A126&lt;&gt;"",SUM(B126),"")</f>
        <v/>
      </c>
    </row>
    <row r="127" spans="3:3" x14ac:dyDescent="0.3">
      <c r="C127" s="2" t="str">
        <f>IF(A127&lt;&gt;"",SUM(B127),"")</f>
        <v/>
      </c>
    </row>
    <row r="128" spans="3:3" x14ac:dyDescent="0.3">
      <c r="C128" s="2" t="str">
        <f>IF(A128&lt;&gt;"",SUM(B128),"")</f>
        <v/>
      </c>
    </row>
    <row r="129" spans="3:3" x14ac:dyDescent="0.3">
      <c r="C129" s="2" t="str">
        <f>IF(A129&lt;&gt;"",SUM(B129),"")</f>
        <v/>
      </c>
    </row>
    <row r="130" spans="3:3" x14ac:dyDescent="0.3">
      <c r="C130" s="2" t="str">
        <f>IF(A130&lt;&gt;"",SUM(B130),"")</f>
        <v/>
      </c>
    </row>
    <row r="131" spans="3:3" x14ac:dyDescent="0.3">
      <c r="C131" s="2" t="str">
        <f>IF(A131&lt;&gt;"",SUM(B131),"")</f>
        <v/>
      </c>
    </row>
    <row r="132" spans="3:3" x14ac:dyDescent="0.3">
      <c r="C132" s="2" t="str">
        <f>IF(A132&lt;&gt;"",SUM(B132),"")</f>
        <v/>
      </c>
    </row>
    <row r="133" spans="3:3" x14ac:dyDescent="0.3">
      <c r="C133" s="2" t="str">
        <f>IF(A133&lt;&gt;"",SUM(B133),"")</f>
        <v/>
      </c>
    </row>
    <row r="134" spans="3:3" x14ac:dyDescent="0.3">
      <c r="C134" s="2" t="str">
        <f>IF(A134&lt;&gt;"",SUM(B134),"")</f>
        <v/>
      </c>
    </row>
    <row r="135" spans="3:3" x14ac:dyDescent="0.3">
      <c r="C135" s="2" t="str">
        <f>IF(A135&lt;&gt;"",SUM(B135),"")</f>
        <v/>
      </c>
    </row>
    <row r="136" spans="3:3" x14ac:dyDescent="0.3">
      <c r="C136" s="2" t="str">
        <f>IF(A136&lt;&gt;"",SUM(B136),"")</f>
        <v/>
      </c>
    </row>
    <row r="137" spans="3:3" x14ac:dyDescent="0.3">
      <c r="C137" s="2" t="str">
        <f>IF(A137&lt;&gt;"",SUM(B137),"")</f>
        <v/>
      </c>
    </row>
    <row r="138" spans="3:3" x14ac:dyDescent="0.3">
      <c r="C138" s="2" t="str">
        <f>IF(A138&lt;&gt;"",SUM(B138),"")</f>
        <v/>
      </c>
    </row>
    <row r="139" spans="3:3" x14ac:dyDescent="0.3">
      <c r="C139" s="2" t="str">
        <f>IF(A139&lt;&gt;"",SUM(B139),"")</f>
        <v/>
      </c>
    </row>
    <row r="140" spans="3:3" x14ac:dyDescent="0.3">
      <c r="C140" s="2" t="str">
        <f>IF(A140&lt;&gt;"",SUM(B140),"")</f>
        <v/>
      </c>
    </row>
    <row r="141" spans="3:3" x14ac:dyDescent="0.3">
      <c r="C141" s="2" t="str">
        <f>IF(A141&lt;&gt;"",SUM(B141),"")</f>
        <v/>
      </c>
    </row>
    <row r="142" spans="3:3" x14ac:dyDescent="0.3">
      <c r="C142" s="2" t="str">
        <f>IF(A142&lt;&gt;"",SUM(B142),"")</f>
        <v/>
      </c>
    </row>
    <row r="143" spans="3:3" x14ac:dyDescent="0.3">
      <c r="C143" s="2" t="str">
        <f>IF(A143&lt;&gt;"",SUM(B143),"")</f>
        <v/>
      </c>
    </row>
    <row r="144" spans="3:3" x14ac:dyDescent="0.3">
      <c r="C144" s="2" t="str">
        <f>IF(A144&lt;&gt;"",SUM(B144),"")</f>
        <v/>
      </c>
    </row>
    <row r="145" spans="3:3" x14ac:dyDescent="0.3">
      <c r="C145" s="2" t="str">
        <f>IF(A145&lt;&gt;"",SUM(B145),"")</f>
        <v/>
      </c>
    </row>
    <row r="146" spans="3:3" x14ac:dyDescent="0.3">
      <c r="C146" s="2" t="str">
        <f>IF(A146&lt;&gt;"",SUM(B146),"")</f>
        <v/>
      </c>
    </row>
    <row r="147" spans="3:3" x14ac:dyDescent="0.3">
      <c r="C147" s="2" t="str">
        <f>IF(A147&lt;&gt;"",SUM(B147),"")</f>
        <v/>
      </c>
    </row>
    <row r="148" spans="3:3" x14ac:dyDescent="0.3">
      <c r="C148" s="2" t="str">
        <f>IF(A148&lt;&gt;"",SUM(B148),"")</f>
        <v/>
      </c>
    </row>
    <row r="149" spans="3:3" x14ac:dyDescent="0.3">
      <c r="C149" s="2" t="str">
        <f>IF(A149&lt;&gt;"",SUM(B149),"")</f>
        <v/>
      </c>
    </row>
    <row r="150" spans="3:3" x14ac:dyDescent="0.3">
      <c r="C150" s="2" t="str">
        <f>IF(A150&lt;&gt;"",SUM(B150),"")</f>
        <v/>
      </c>
    </row>
    <row r="151" spans="3:3" x14ac:dyDescent="0.3">
      <c r="C151" s="2" t="str">
        <f>IF(A151&lt;&gt;"",SUM(B151),"")</f>
        <v/>
      </c>
    </row>
    <row r="152" spans="3:3" x14ac:dyDescent="0.3">
      <c r="C152" s="2" t="str">
        <f>IF(A152&lt;&gt;"",SUM(B152),"")</f>
        <v/>
      </c>
    </row>
    <row r="153" spans="3:3" x14ac:dyDescent="0.3">
      <c r="C153" s="2" t="str">
        <f>IF(A153&lt;&gt;"",SUM(B153),"")</f>
        <v/>
      </c>
    </row>
    <row r="154" spans="3:3" x14ac:dyDescent="0.3">
      <c r="C154" s="2" t="str">
        <f>IF(A154&lt;&gt;"",SUM(B154),"")</f>
        <v/>
      </c>
    </row>
    <row r="155" spans="3:3" x14ac:dyDescent="0.3">
      <c r="C155" s="2" t="str">
        <f>IF(A155&lt;&gt;"",SUM(B155),"")</f>
        <v/>
      </c>
    </row>
    <row r="156" spans="3:3" x14ac:dyDescent="0.3">
      <c r="C156" s="2" t="str">
        <f>IF(A156&lt;&gt;"",SUM(B156),"")</f>
        <v/>
      </c>
    </row>
    <row r="157" spans="3:3" x14ac:dyDescent="0.3">
      <c r="C157" s="2" t="str">
        <f>IF(A157&lt;&gt;"",SUM(B157),"")</f>
        <v/>
      </c>
    </row>
    <row r="158" spans="3:3" x14ac:dyDescent="0.3">
      <c r="C158" s="2" t="str">
        <f>IF(A158&lt;&gt;"",SUM(B158),"")</f>
        <v/>
      </c>
    </row>
    <row r="159" spans="3:3" x14ac:dyDescent="0.3">
      <c r="C159" s="2" t="str">
        <f>IF(A159&lt;&gt;"",SUM(B159),"")</f>
        <v/>
      </c>
    </row>
    <row r="160" spans="3:3" x14ac:dyDescent="0.3">
      <c r="C160" s="2" t="str">
        <f>IF(A160&lt;&gt;"",SUM(B160),"")</f>
        <v/>
      </c>
    </row>
    <row r="161" spans="3:3" x14ac:dyDescent="0.3">
      <c r="C161" s="2" t="str">
        <f>IF(A161&lt;&gt;"",SUM(B161),"")</f>
        <v/>
      </c>
    </row>
    <row r="162" spans="3:3" x14ac:dyDescent="0.3">
      <c r="C162" s="2" t="str">
        <f>IF(A162&lt;&gt;"",SUM(B162),"")</f>
        <v/>
      </c>
    </row>
    <row r="163" spans="3:3" x14ac:dyDescent="0.3">
      <c r="C163" s="2" t="str">
        <f>IF(A163&lt;&gt;"",SUM(B163),"")</f>
        <v/>
      </c>
    </row>
    <row r="164" spans="3:3" x14ac:dyDescent="0.3">
      <c r="C164" s="2" t="str">
        <f>IF(A164&lt;&gt;"",SUM(B164),"")</f>
        <v/>
      </c>
    </row>
    <row r="165" spans="3:3" x14ac:dyDescent="0.3">
      <c r="C165" s="2" t="str">
        <f>IF(A165&lt;&gt;"",SUM(B165),"")</f>
        <v/>
      </c>
    </row>
    <row r="166" spans="3:3" x14ac:dyDescent="0.3">
      <c r="C166" s="2" t="str">
        <f>IF(A166&lt;&gt;"",SUM(B166),"")</f>
        <v/>
      </c>
    </row>
    <row r="167" spans="3:3" x14ac:dyDescent="0.3">
      <c r="C167" s="2" t="str">
        <f>IF(A167&lt;&gt;"",SUM(B167),"")</f>
        <v/>
      </c>
    </row>
    <row r="168" spans="3:3" x14ac:dyDescent="0.3">
      <c r="C168" s="2" t="str">
        <f>IF(A168&lt;&gt;"",SUM(B168),"")</f>
        <v/>
      </c>
    </row>
    <row r="169" spans="3:3" x14ac:dyDescent="0.3">
      <c r="C169" s="2" t="str">
        <f>IF(A169&lt;&gt;"",SUM(B169),"")</f>
        <v/>
      </c>
    </row>
    <row r="170" spans="3:3" x14ac:dyDescent="0.3">
      <c r="C170" s="2" t="str">
        <f>IF(A170&lt;&gt;"",SUM(B170),"")</f>
        <v/>
      </c>
    </row>
    <row r="171" spans="3:3" x14ac:dyDescent="0.3">
      <c r="C171" s="2" t="str">
        <f>IF(A171&lt;&gt;"",SUM(B171),"")</f>
        <v/>
      </c>
    </row>
    <row r="172" spans="3:3" x14ac:dyDescent="0.3">
      <c r="C172" s="2" t="str">
        <f>IF(A172&lt;&gt;"",SUM(B172),"")</f>
        <v/>
      </c>
    </row>
    <row r="173" spans="3:3" x14ac:dyDescent="0.3">
      <c r="C173" s="2" t="str">
        <f>IF(A173&lt;&gt;"",SUM(B173),"")</f>
        <v/>
      </c>
    </row>
    <row r="174" spans="3:3" x14ac:dyDescent="0.3">
      <c r="C174" s="2" t="str">
        <f>IF(A174&lt;&gt;"",SUM(B174),"")</f>
        <v/>
      </c>
    </row>
    <row r="175" spans="3:3" x14ac:dyDescent="0.3">
      <c r="C175" s="2" t="str">
        <f>IF(A175&lt;&gt;"",SUM(B175),"")</f>
        <v/>
      </c>
    </row>
    <row r="176" spans="3:3" x14ac:dyDescent="0.3">
      <c r="C176" s="2" t="str">
        <f>IF(A176&lt;&gt;"",SUM(B176),"")</f>
        <v/>
      </c>
    </row>
    <row r="177" spans="3:3" x14ac:dyDescent="0.3">
      <c r="C177" s="2" t="str">
        <f>IF(A177&lt;&gt;"",SUM(B177),"")</f>
        <v/>
      </c>
    </row>
    <row r="178" spans="3:3" x14ac:dyDescent="0.3">
      <c r="C178" s="2" t="str">
        <f>IF(A178&lt;&gt;"",SUM(B178),"")</f>
        <v/>
      </c>
    </row>
    <row r="179" spans="3:3" x14ac:dyDescent="0.3">
      <c r="C179" s="2" t="str">
        <f>IF(A179&lt;&gt;"",SUM(B179),"")</f>
        <v/>
      </c>
    </row>
    <row r="180" spans="3:3" x14ac:dyDescent="0.3">
      <c r="C180" s="2" t="str">
        <f>IF(A180&lt;&gt;"",SUM(B180),"")</f>
        <v/>
      </c>
    </row>
    <row r="181" spans="3:3" x14ac:dyDescent="0.3">
      <c r="C181" s="2" t="str">
        <f>IF(A181&lt;&gt;"",SUM(B181),"")</f>
        <v/>
      </c>
    </row>
    <row r="182" spans="3:3" x14ac:dyDescent="0.3">
      <c r="C182" s="2" t="str">
        <f>IF(A182&lt;&gt;"",SUM(B182),"")</f>
        <v/>
      </c>
    </row>
    <row r="183" spans="3:3" x14ac:dyDescent="0.3">
      <c r="C183" s="2" t="str">
        <f>IF(A183&lt;&gt;"",SUM(B183),"")</f>
        <v/>
      </c>
    </row>
    <row r="184" spans="3:3" x14ac:dyDescent="0.3">
      <c r="C184" s="2" t="str">
        <f>IF(A184&lt;&gt;"",SUM(B184),"")</f>
        <v/>
      </c>
    </row>
    <row r="185" spans="3:3" x14ac:dyDescent="0.3">
      <c r="C185" s="2" t="str">
        <f>IF(A185&lt;&gt;"",SUM(B185),"")</f>
        <v/>
      </c>
    </row>
    <row r="186" spans="3:3" x14ac:dyDescent="0.3">
      <c r="C186" s="2" t="str">
        <f>IF(A186&lt;&gt;"",SUM(B186),"")</f>
        <v/>
      </c>
    </row>
    <row r="187" spans="3:3" x14ac:dyDescent="0.3">
      <c r="C187" s="2" t="str">
        <f>IF(A187&lt;&gt;"",SUM(B187),"")</f>
        <v/>
      </c>
    </row>
    <row r="188" spans="3:3" x14ac:dyDescent="0.3">
      <c r="C188" s="2" t="str">
        <f>IF(A188&lt;&gt;"",SUM(B188),"")</f>
        <v/>
      </c>
    </row>
    <row r="189" spans="3:3" x14ac:dyDescent="0.3">
      <c r="C189" s="2" t="str">
        <f>IF(A189&lt;&gt;"",SUM(B189),"")</f>
        <v/>
      </c>
    </row>
    <row r="190" spans="3:3" x14ac:dyDescent="0.3">
      <c r="C190" s="2" t="str">
        <f>IF(A190&lt;&gt;"",SUM(B190),"")</f>
        <v/>
      </c>
    </row>
    <row r="191" spans="3:3" x14ac:dyDescent="0.3">
      <c r="C191" s="2" t="str">
        <f>IF(A191&lt;&gt;"",SUM(B191),"")</f>
        <v/>
      </c>
    </row>
    <row r="192" spans="3:3" x14ac:dyDescent="0.3">
      <c r="C192" s="2" t="str">
        <f>IF(A192&lt;&gt;"",SUM(B192),"")</f>
        <v/>
      </c>
    </row>
    <row r="193" spans="3:3" x14ac:dyDescent="0.3">
      <c r="C193" s="2" t="str">
        <f>IF(A193&lt;&gt;"",SUM(B193),"")</f>
        <v/>
      </c>
    </row>
    <row r="194" spans="3:3" x14ac:dyDescent="0.3">
      <c r="C194" s="2" t="str">
        <f>IF(A194&lt;&gt;"",SUM(B194),"")</f>
        <v/>
      </c>
    </row>
    <row r="195" spans="3:3" x14ac:dyDescent="0.3">
      <c r="C195" s="2" t="str">
        <f>IF(A195&lt;&gt;"",SUM(B195),"")</f>
        <v/>
      </c>
    </row>
    <row r="196" spans="3:3" x14ac:dyDescent="0.3">
      <c r="C196" s="2" t="str">
        <f>IF(A196&lt;&gt;"",SUM(B196),"")</f>
        <v/>
      </c>
    </row>
    <row r="197" spans="3:3" x14ac:dyDescent="0.3">
      <c r="C197" s="2" t="str">
        <f>IF(A197&lt;&gt;"",SUM(B197),"")</f>
        <v/>
      </c>
    </row>
    <row r="198" spans="3:3" x14ac:dyDescent="0.3">
      <c r="C198" s="2" t="str">
        <f>IF(A198&lt;&gt;"",SUM(B198),"")</f>
        <v/>
      </c>
    </row>
    <row r="199" spans="3:3" x14ac:dyDescent="0.3">
      <c r="C199" s="2" t="str">
        <f>IF(A199&lt;&gt;"",SUM(B199),"")</f>
        <v/>
      </c>
    </row>
    <row r="200" spans="3:3" x14ac:dyDescent="0.3">
      <c r="C200" s="2" t="str">
        <f>IF(A200&lt;&gt;"",SUM(B200),"")</f>
        <v/>
      </c>
    </row>
    <row r="201" spans="3:3" x14ac:dyDescent="0.3">
      <c r="C201" s="2" t="str">
        <f>IF(A201&lt;&gt;"",SUM(B201),"")</f>
        <v/>
      </c>
    </row>
    <row r="202" spans="3:3" x14ac:dyDescent="0.3">
      <c r="C202" s="2" t="str">
        <f>IF(A202&lt;&gt;"",SUM(B202),"")</f>
        <v/>
      </c>
    </row>
    <row r="203" spans="3:3" x14ac:dyDescent="0.3">
      <c r="C203" s="2" t="str">
        <f>IF(A203&lt;&gt;"",SUM(B203),"")</f>
        <v/>
      </c>
    </row>
    <row r="204" spans="3:3" x14ac:dyDescent="0.3">
      <c r="C204" s="2" t="str">
        <f>IF(A204&lt;&gt;"",SUM(B204),"")</f>
        <v/>
      </c>
    </row>
    <row r="205" spans="3:3" x14ac:dyDescent="0.3">
      <c r="C205" s="2" t="str">
        <f>IF(A205&lt;&gt;"",SUM(B205),"")</f>
        <v/>
      </c>
    </row>
    <row r="206" spans="3:3" x14ac:dyDescent="0.3">
      <c r="C206" s="2" t="str">
        <f>IF(A206&lt;&gt;"",SUM(B206),"")</f>
        <v/>
      </c>
    </row>
    <row r="207" spans="3:3" x14ac:dyDescent="0.3">
      <c r="C207" s="2" t="str">
        <f>IF(A207&lt;&gt;"",SUM(B207),"")</f>
        <v/>
      </c>
    </row>
    <row r="208" spans="3:3" x14ac:dyDescent="0.3">
      <c r="C208" s="2" t="str">
        <f>IF(A208&lt;&gt;"",SUM(B208),"")</f>
        <v/>
      </c>
    </row>
    <row r="209" spans="3:3" x14ac:dyDescent="0.3">
      <c r="C209" s="2" t="str">
        <f>IF(A209&lt;&gt;"",SUM(B209),"")</f>
        <v/>
      </c>
    </row>
    <row r="210" spans="3:3" x14ac:dyDescent="0.3">
      <c r="C210" s="2" t="str">
        <f>IF(A210&lt;&gt;"",SUM(B210),"")</f>
        <v/>
      </c>
    </row>
    <row r="211" spans="3:3" x14ac:dyDescent="0.3">
      <c r="C211" s="2" t="str">
        <f>IF(A211&lt;&gt;"",SUM(B211),"")</f>
        <v/>
      </c>
    </row>
    <row r="212" spans="3:3" x14ac:dyDescent="0.3">
      <c r="C212" s="2" t="str">
        <f>IF(A212&lt;&gt;"",SUM(B212),"")</f>
        <v/>
      </c>
    </row>
    <row r="213" spans="3:3" x14ac:dyDescent="0.3">
      <c r="C213" s="2" t="str">
        <f>IF(A213&lt;&gt;"",SUM(B213),"")</f>
        <v/>
      </c>
    </row>
    <row r="214" spans="3:3" x14ac:dyDescent="0.3">
      <c r="C214" s="2" t="str">
        <f>IF(A214&lt;&gt;"",SUM(B214),"")</f>
        <v/>
      </c>
    </row>
    <row r="215" spans="3:3" x14ac:dyDescent="0.3">
      <c r="C215" s="2" t="str">
        <f>IF(A215&lt;&gt;"",SUM(B215),"")</f>
        <v/>
      </c>
    </row>
    <row r="216" spans="3:3" x14ac:dyDescent="0.3">
      <c r="C216" s="2" t="str">
        <f>IF(A216&lt;&gt;"",SUM(B216),"")</f>
        <v/>
      </c>
    </row>
    <row r="217" spans="3:3" x14ac:dyDescent="0.3">
      <c r="C217" s="2" t="str">
        <f>IF(A217&lt;&gt;"",SUM(B217),"")</f>
        <v/>
      </c>
    </row>
    <row r="218" spans="3:3" x14ac:dyDescent="0.3">
      <c r="C218" s="2" t="str">
        <f>IF(A218&lt;&gt;"",SUM(B218),"")</f>
        <v/>
      </c>
    </row>
    <row r="219" spans="3:3" x14ac:dyDescent="0.3">
      <c r="C219" s="2" t="str">
        <f>IF(A219&lt;&gt;"",SUM(B219),"")</f>
        <v/>
      </c>
    </row>
    <row r="220" spans="3:3" x14ac:dyDescent="0.3">
      <c r="C220" s="2" t="str">
        <f>IF(A220&lt;&gt;"",SUM(B220),"")</f>
        <v/>
      </c>
    </row>
    <row r="221" spans="3:3" x14ac:dyDescent="0.3">
      <c r="C221" s="2" t="str">
        <f>IF(A221&lt;&gt;"",SUM(B221),"")</f>
        <v/>
      </c>
    </row>
    <row r="222" spans="3:3" x14ac:dyDescent="0.3">
      <c r="C222" s="2" t="str">
        <f>IF(A222&lt;&gt;"",SUM(B222),"")</f>
        <v/>
      </c>
    </row>
    <row r="223" spans="3:3" x14ac:dyDescent="0.3">
      <c r="C223" s="2" t="str">
        <f>IF(A223&lt;&gt;"",SUM(B223),"")</f>
        <v/>
      </c>
    </row>
    <row r="224" spans="3:3" x14ac:dyDescent="0.3">
      <c r="C224" s="2" t="str">
        <f>IF(A224&lt;&gt;"",SUM(B224),"")</f>
        <v/>
      </c>
    </row>
    <row r="225" spans="3:3" x14ac:dyDescent="0.3">
      <c r="C225" s="2" t="str">
        <f>IF(A225&lt;&gt;"",SUM(B225),"")</f>
        <v/>
      </c>
    </row>
    <row r="226" spans="3:3" x14ac:dyDescent="0.3">
      <c r="C226" s="2" t="str">
        <f>IF(A226&lt;&gt;"",SUM(B226),"")</f>
        <v/>
      </c>
    </row>
    <row r="227" spans="3:3" x14ac:dyDescent="0.3">
      <c r="C227" s="2" t="str">
        <f>IF(A227&lt;&gt;"",SUM(B227),"")</f>
        <v/>
      </c>
    </row>
    <row r="228" spans="3:3" x14ac:dyDescent="0.3">
      <c r="C228" s="2" t="str">
        <f>IF(A228&lt;&gt;"",SUM(B228),"")</f>
        <v/>
      </c>
    </row>
    <row r="229" spans="3:3" x14ac:dyDescent="0.3">
      <c r="C229" s="2" t="str">
        <f>IF(A229&lt;&gt;"",SUM(B229),"")</f>
        <v/>
      </c>
    </row>
    <row r="230" spans="3:3" x14ac:dyDescent="0.3">
      <c r="C230" s="2" t="str">
        <f>IF(A230&lt;&gt;"",SUM(B230),"")</f>
        <v/>
      </c>
    </row>
    <row r="231" spans="3:3" x14ac:dyDescent="0.3">
      <c r="C231" s="2" t="str">
        <f>IF(A231&lt;&gt;"",SUM(B231),"")</f>
        <v/>
      </c>
    </row>
    <row r="232" spans="3:3" x14ac:dyDescent="0.3">
      <c r="C232" s="2" t="str">
        <f>IF(A232&lt;&gt;"",SUM(B232),"")</f>
        <v/>
      </c>
    </row>
    <row r="233" spans="3:3" x14ac:dyDescent="0.3">
      <c r="C233" s="2" t="str">
        <f>IF(A233&lt;&gt;"",SUM(B233),"")</f>
        <v/>
      </c>
    </row>
    <row r="234" spans="3:3" x14ac:dyDescent="0.3">
      <c r="C234" s="2" t="str">
        <f>IF(A234&lt;&gt;"",SUM(B234),"")</f>
        <v/>
      </c>
    </row>
    <row r="235" spans="3:3" x14ac:dyDescent="0.3">
      <c r="C235" s="2" t="str">
        <f>IF(A235&lt;&gt;"",SUM(B235),"")</f>
        <v/>
      </c>
    </row>
    <row r="236" spans="3:3" x14ac:dyDescent="0.3">
      <c r="C236" s="2" t="str">
        <f>IF(A236&lt;&gt;"",SUM(B236),"")</f>
        <v/>
      </c>
    </row>
    <row r="237" spans="3:3" x14ac:dyDescent="0.3">
      <c r="C237" s="2" t="str">
        <f>IF(A237&lt;&gt;"",SUM(B237),"")</f>
        <v/>
      </c>
    </row>
    <row r="238" spans="3:3" x14ac:dyDescent="0.3">
      <c r="C238" s="2" t="str">
        <f>IF(A238&lt;&gt;"",SUM(B238),"")</f>
        <v/>
      </c>
    </row>
    <row r="239" spans="3:3" x14ac:dyDescent="0.3">
      <c r="C239" s="2" t="str">
        <f>IF(A239&lt;&gt;"",SUM(B239),"")</f>
        <v/>
      </c>
    </row>
    <row r="240" spans="3:3" x14ac:dyDescent="0.3">
      <c r="C240" s="2" t="str">
        <f>IF(A240&lt;&gt;"",SUM(B240),"")</f>
        <v/>
      </c>
    </row>
    <row r="241" spans="3:3" x14ac:dyDescent="0.3">
      <c r="C241" s="2" t="str">
        <f>IF(A241&lt;&gt;"",SUM(B241),"")</f>
        <v/>
      </c>
    </row>
    <row r="242" spans="3:3" x14ac:dyDescent="0.3">
      <c r="C242" s="2" t="str">
        <f>IF(A242&lt;&gt;"",SUM(B242),"")</f>
        <v/>
      </c>
    </row>
    <row r="243" spans="3:3" x14ac:dyDescent="0.3">
      <c r="C243" s="2" t="str">
        <f>IF(A243&lt;&gt;"",SUM(B243),"")</f>
        <v/>
      </c>
    </row>
    <row r="244" spans="3:3" x14ac:dyDescent="0.3">
      <c r="C244" s="2" t="str">
        <f>IF(A244&lt;&gt;"",SUM(B244),"")</f>
        <v/>
      </c>
    </row>
    <row r="245" spans="3:3" x14ac:dyDescent="0.3">
      <c r="C245" s="2" t="str">
        <f>IF(A245&lt;&gt;"",SUM(B245),"")</f>
        <v/>
      </c>
    </row>
    <row r="246" spans="3:3" x14ac:dyDescent="0.3">
      <c r="C246" s="2" t="str">
        <f>IF(A246&lt;&gt;"",SUM(B246),"")</f>
        <v/>
      </c>
    </row>
    <row r="247" spans="3:3" x14ac:dyDescent="0.3">
      <c r="C247" s="2" t="str">
        <f>IF(A247&lt;&gt;"",SUM(B247),"")</f>
        <v/>
      </c>
    </row>
    <row r="248" spans="3:3" x14ac:dyDescent="0.3">
      <c r="C248" s="2" t="str">
        <f>IF(A248&lt;&gt;"",SUM(B248),"")</f>
        <v/>
      </c>
    </row>
    <row r="249" spans="3:3" x14ac:dyDescent="0.3">
      <c r="C249" s="2" t="str">
        <f>IF(A249&lt;&gt;"",SUM(B249),"")</f>
        <v/>
      </c>
    </row>
    <row r="250" spans="3:3" x14ac:dyDescent="0.3">
      <c r="C250" s="2" t="str">
        <f>IF(A250&lt;&gt;"",SUM(B250),"")</f>
        <v/>
      </c>
    </row>
    <row r="251" spans="3:3" x14ac:dyDescent="0.3">
      <c r="C251" s="2" t="str">
        <f>IF(A251&lt;&gt;"",SUM(B251),"")</f>
        <v/>
      </c>
    </row>
    <row r="252" spans="3:3" x14ac:dyDescent="0.3">
      <c r="C252" s="2" t="str">
        <f>IF(A252&lt;&gt;"",SUM(B252),"")</f>
        <v/>
      </c>
    </row>
    <row r="253" spans="3:3" x14ac:dyDescent="0.3">
      <c r="C253" s="2" t="str">
        <f>IF(A253&lt;&gt;"",SUM(B253),"")</f>
        <v/>
      </c>
    </row>
    <row r="254" spans="3:3" x14ac:dyDescent="0.3">
      <c r="C254" s="2" t="str">
        <f>IF(A254&lt;&gt;"",SUM(B254),"")</f>
        <v/>
      </c>
    </row>
    <row r="255" spans="3:3" x14ac:dyDescent="0.3">
      <c r="C255" s="2" t="str">
        <f>IF(A255&lt;&gt;"",SUM(B255),"")</f>
        <v/>
      </c>
    </row>
    <row r="256" spans="3:3" x14ac:dyDescent="0.3">
      <c r="C256" s="2" t="str">
        <f>IF(A256&lt;&gt;"",SUM(B256),"")</f>
        <v/>
      </c>
    </row>
    <row r="257" spans="3:3" x14ac:dyDescent="0.3">
      <c r="C257" s="2" t="str">
        <f>IF(A257&lt;&gt;"",SUM(B257),"")</f>
        <v/>
      </c>
    </row>
    <row r="258" spans="3:3" x14ac:dyDescent="0.3">
      <c r="C258" s="2" t="str">
        <f>IF(A258&lt;&gt;"",SUM(B258),"")</f>
        <v/>
      </c>
    </row>
    <row r="259" spans="3:3" x14ac:dyDescent="0.3">
      <c r="C259" s="2" t="str">
        <f>IF(A259&lt;&gt;"",SUM(B259),"")</f>
        <v/>
      </c>
    </row>
    <row r="260" spans="3:3" x14ac:dyDescent="0.3">
      <c r="C260" s="2" t="str">
        <f>IF(A260&lt;&gt;"",SUM(B260),"")</f>
        <v/>
      </c>
    </row>
    <row r="261" spans="3:3" x14ac:dyDescent="0.3">
      <c r="C261" s="2" t="str">
        <f>IF(A261&lt;&gt;"",SUM(B261),"")</f>
        <v/>
      </c>
    </row>
    <row r="262" spans="3:3" x14ac:dyDescent="0.3">
      <c r="C262" s="2" t="str">
        <f>IF(A262&lt;&gt;"",SUM(B262),"")</f>
        <v/>
      </c>
    </row>
    <row r="263" spans="3:3" x14ac:dyDescent="0.3">
      <c r="C263" s="2" t="str">
        <f>IF(A263&lt;&gt;"",SUM(B263),"")</f>
        <v/>
      </c>
    </row>
    <row r="264" spans="3:3" x14ac:dyDescent="0.3">
      <c r="C264" s="2" t="str">
        <f>IF(A264&lt;&gt;"",SUM(B264),"")</f>
        <v/>
      </c>
    </row>
    <row r="265" spans="3:3" x14ac:dyDescent="0.3">
      <c r="C265" s="2" t="str">
        <f>IF(A265&lt;&gt;"",SUM(B265),"")</f>
        <v/>
      </c>
    </row>
    <row r="266" spans="3:3" x14ac:dyDescent="0.3">
      <c r="C266" s="2" t="str">
        <f>IF(A266&lt;&gt;"",SUM(B266),"")</f>
        <v/>
      </c>
    </row>
    <row r="267" spans="3:3" x14ac:dyDescent="0.3">
      <c r="C267" s="2" t="str">
        <f>IF(A267&lt;&gt;"",SUM(B267),"")</f>
        <v/>
      </c>
    </row>
    <row r="268" spans="3:3" x14ac:dyDescent="0.3">
      <c r="C268" s="2" t="str">
        <f>IF(A268&lt;&gt;"",SUM(B268),"")</f>
        <v/>
      </c>
    </row>
    <row r="269" spans="3:3" x14ac:dyDescent="0.3">
      <c r="C269" s="2" t="str">
        <f>IF(A269&lt;&gt;"",SUM(B269),"")</f>
        <v/>
      </c>
    </row>
    <row r="270" spans="3:3" x14ac:dyDescent="0.3">
      <c r="C270" s="2" t="str">
        <f>IF(A270&lt;&gt;"",SUM(B270),"")</f>
        <v/>
      </c>
    </row>
    <row r="271" spans="3:3" x14ac:dyDescent="0.3">
      <c r="C271" s="2" t="str">
        <f>IF(A271&lt;&gt;"",SUM(B271),"")</f>
        <v/>
      </c>
    </row>
    <row r="272" spans="3:3" x14ac:dyDescent="0.3">
      <c r="C272" s="2" t="str">
        <f>IF(A272&lt;&gt;"",SUM(B272),"")</f>
        <v/>
      </c>
    </row>
    <row r="273" spans="3:3" x14ac:dyDescent="0.3">
      <c r="C273" s="2" t="str">
        <f>IF(A273&lt;&gt;"",SUM(B273),"")</f>
        <v/>
      </c>
    </row>
    <row r="274" spans="3:3" x14ac:dyDescent="0.3">
      <c r="C274" s="2" t="str">
        <f>IF(A274&lt;&gt;"",SUM(B274),"")</f>
        <v/>
      </c>
    </row>
    <row r="275" spans="3:3" x14ac:dyDescent="0.3">
      <c r="C275" s="2" t="str">
        <f>IF(A275&lt;&gt;"",SUM(B275),"")</f>
        <v/>
      </c>
    </row>
    <row r="276" spans="3:3" x14ac:dyDescent="0.3">
      <c r="C276" s="2" t="str">
        <f>IF(A276&lt;&gt;"",SUM(B276),"")</f>
        <v/>
      </c>
    </row>
    <row r="277" spans="3:3" x14ac:dyDescent="0.3">
      <c r="C277" s="2" t="str">
        <f>IF(A277&lt;&gt;"",SUM(B277),"")</f>
        <v/>
      </c>
    </row>
    <row r="278" spans="3:3" x14ac:dyDescent="0.3">
      <c r="C278" s="2" t="str">
        <f>IF(A278&lt;&gt;"",SUM(B278),"")</f>
        <v/>
      </c>
    </row>
    <row r="279" spans="3:3" x14ac:dyDescent="0.3">
      <c r="C279" s="2" t="str">
        <f>IF(A279&lt;&gt;"",SUM(B279),"")</f>
        <v/>
      </c>
    </row>
    <row r="280" spans="3:3" x14ac:dyDescent="0.3">
      <c r="C280" s="2" t="str">
        <f>IF(A280&lt;&gt;"",SUM(B280),"")</f>
        <v/>
      </c>
    </row>
    <row r="281" spans="3:3" x14ac:dyDescent="0.3">
      <c r="C281" s="2" t="str">
        <f>IF(A281&lt;&gt;"",SUM(B281),"")</f>
        <v/>
      </c>
    </row>
    <row r="282" spans="3:3" x14ac:dyDescent="0.3">
      <c r="C282" s="2" t="str">
        <f>IF(A282&lt;&gt;"",SUM(B282),"")</f>
        <v/>
      </c>
    </row>
    <row r="283" spans="3:3" x14ac:dyDescent="0.3">
      <c r="C283" s="2" t="str">
        <f>IF(A283&lt;&gt;"",SUM(B283),"")</f>
        <v/>
      </c>
    </row>
    <row r="284" spans="3:3" x14ac:dyDescent="0.3">
      <c r="C284" s="2" t="str">
        <f>IF(A284&lt;&gt;"",SUM(B284),"")</f>
        <v/>
      </c>
    </row>
    <row r="285" spans="3:3" x14ac:dyDescent="0.3">
      <c r="C285" s="2" t="str">
        <f>IF(A285&lt;&gt;"",SUM(B285),"")</f>
        <v/>
      </c>
    </row>
    <row r="286" spans="3:3" x14ac:dyDescent="0.3">
      <c r="C286" s="2" t="str">
        <f>IF(A286&lt;&gt;"",SUM(B286),"")</f>
        <v/>
      </c>
    </row>
    <row r="287" spans="3:3" x14ac:dyDescent="0.3">
      <c r="C287" s="2" t="str">
        <f>IF(A287&lt;&gt;"",SUM(B287),"")</f>
        <v/>
      </c>
    </row>
    <row r="288" spans="3:3" x14ac:dyDescent="0.3">
      <c r="C288" s="2" t="str">
        <f>IF(A288&lt;&gt;"",SUM(B288),"")</f>
        <v/>
      </c>
    </row>
    <row r="289" spans="3:3" x14ac:dyDescent="0.3">
      <c r="C289" s="2" t="str">
        <f>IF(A289&lt;&gt;"",SUM(B289),"")</f>
        <v/>
      </c>
    </row>
    <row r="290" spans="3:3" x14ac:dyDescent="0.3">
      <c r="C290" s="2" t="str">
        <f>IF(A290&lt;&gt;"",SUM(B290),"")</f>
        <v/>
      </c>
    </row>
    <row r="291" spans="3:3" x14ac:dyDescent="0.3">
      <c r="C291" s="2" t="str">
        <f>IF(A291&lt;&gt;"",SUM(B291),"")</f>
        <v/>
      </c>
    </row>
    <row r="292" spans="3:3" x14ac:dyDescent="0.3">
      <c r="C292" s="2" t="str">
        <f>IF(A292&lt;&gt;"",SUM(B292),"")</f>
        <v/>
      </c>
    </row>
    <row r="293" spans="3:3" x14ac:dyDescent="0.3">
      <c r="C293" s="2" t="str">
        <f>IF(A293&lt;&gt;"",SUM(B293),"")</f>
        <v/>
      </c>
    </row>
    <row r="294" spans="3:3" x14ac:dyDescent="0.3">
      <c r="C294" s="2" t="str">
        <f>IF(A294&lt;&gt;"",SUM(B294),"")</f>
        <v/>
      </c>
    </row>
    <row r="295" spans="3:3" x14ac:dyDescent="0.3">
      <c r="C295" s="2" t="str">
        <f>IF(A295&lt;&gt;"",SUM(B295),"")</f>
        <v/>
      </c>
    </row>
    <row r="296" spans="3:3" x14ac:dyDescent="0.3">
      <c r="C296" s="2" t="str">
        <f>IF(A296&lt;&gt;"",SUM(B296),"")</f>
        <v/>
      </c>
    </row>
    <row r="297" spans="3:3" x14ac:dyDescent="0.3">
      <c r="C297" s="2" t="str">
        <f>IF(A297&lt;&gt;"",SUM(B297),"")</f>
        <v/>
      </c>
    </row>
    <row r="298" spans="3:3" x14ac:dyDescent="0.3">
      <c r="C298" s="2" t="str">
        <f>IF(A298&lt;&gt;"",SUM(B298),"")</f>
        <v/>
      </c>
    </row>
    <row r="299" spans="3:3" x14ac:dyDescent="0.3">
      <c r="C299" s="2" t="str">
        <f>IF(A299&lt;&gt;"",SUM(B299),"")</f>
        <v/>
      </c>
    </row>
    <row r="300" spans="3:3" x14ac:dyDescent="0.3">
      <c r="C300" s="2" t="str">
        <f>IF(A300&lt;&gt;"",SUM(B300),"")</f>
        <v/>
      </c>
    </row>
    <row r="301" spans="3:3" x14ac:dyDescent="0.3">
      <c r="C301" s="2" t="str">
        <f>IF(A301&lt;&gt;"",SUM(B301),"")</f>
        <v/>
      </c>
    </row>
    <row r="302" spans="3:3" x14ac:dyDescent="0.3">
      <c r="C302" s="2" t="str">
        <f>IF(A302&lt;&gt;"",SUM(B302),"")</f>
        <v/>
      </c>
    </row>
    <row r="303" spans="3:3" x14ac:dyDescent="0.3">
      <c r="C303" s="2" t="str">
        <f>IF(A303&lt;&gt;"",SUM(B303),"")</f>
        <v/>
      </c>
    </row>
    <row r="304" spans="3:3" x14ac:dyDescent="0.3">
      <c r="C304" s="2" t="str">
        <f>IF(A304&lt;&gt;"",SUM(B304),"")</f>
        <v/>
      </c>
    </row>
    <row r="305" spans="3:3" x14ac:dyDescent="0.3">
      <c r="C305" s="2" t="str">
        <f>IF(A305&lt;&gt;"",SUM(B305),"")</f>
        <v/>
      </c>
    </row>
    <row r="306" spans="3:3" x14ac:dyDescent="0.3">
      <c r="C306" s="2" t="str">
        <f>IF(A306&lt;&gt;"",SUM(B306),"")</f>
        <v/>
      </c>
    </row>
    <row r="307" spans="3:3" x14ac:dyDescent="0.3">
      <c r="C307" s="2" t="str">
        <f>IF(A307&lt;&gt;"",SUM(B307),"")</f>
        <v/>
      </c>
    </row>
    <row r="308" spans="3:3" x14ac:dyDescent="0.3">
      <c r="C308" s="2" t="str">
        <f>IF(A308&lt;&gt;"",SUM(B308),"")</f>
        <v/>
      </c>
    </row>
    <row r="309" spans="3:3" x14ac:dyDescent="0.3">
      <c r="C309" s="2" t="str">
        <f>IF(A309&lt;&gt;"",SUM(B309),"")</f>
        <v/>
      </c>
    </row>
    <row r="310" spans="3:3" x14ac:dyDescent="0.3">
      <c r="C310" s="2" t="str">
        <f>IF(A310&lt;&gt;"",SUM(B310),"")</f>
        <v/>
      </c>
    </row>
    <row r="311" spans="3:3" x14ac:dyDescent="0.3">
      <c r="C311" s="2" t="str">
        <f>IF(A311&lt;&gt;"",SUM(B311),"")</f>
        <v/>
      </c>
    </row>
    <row r="312" spans="3:3" x14ac:dyDescent="0.3">
      <c r="C312" s="2" t="str">
        <f>IF(A312&lt;&gt;"",SUM(B312),"")</f>
        <v/>
      </c>
    </row>
    <row r="313" spans="3:3" x14ac:dyDescent="0.3">
      <c r="C313" s="2" t="str">
        <f>IF(A313&lt;&gt;"",SUM(B313),"")</f>
        <v/>
      </c>
    </row>
    <row r="314" spans="3:3" x14ac:dyDescent="0.3">
      <c r="C314" s="2" t="str">
        <f>IF(A314&lt;&gt;"",SUM(B314),"")</f>
        <v/>
      </c>
    </row>
    <row r="315" spans="3:3" x14ac:dyDescent="0.3">
      <c r="C315" s="2" t="str">
        <f>IF(A315&lt;&gt;"",SUM(B315),"")</f>
        <v/>
      </c>
    </row>
    <row r="316" spans="3:3" x14ac:dyDescent="0.3">
      <c r="C316" s="2" t="str">
        <f>IF(A316&lt;&gt;"",SUM(B316),"")</f>
        <v/>
      </c>
    </row>
    <row r="317" spans="3:3" x14ac:dyDescent="0.3">
      <c r="C317" s="2" t="str">
        <f>IF(A317&lt;&gt;"",SUM(B317),"")</f>
        <v/>
      </c>
    </row>
    <row r="318" spans="3:3" x14ac:dyDescent="0.3">
      <c r="C318" s="2" t="str">
        <f>IF(A318&lt;&gt;"",SUM(B318),"")</f>
        <v/>
      </c>
    </row>
    <row r="319" spans="3:3" x14ac:dyDescent="0.3">
      <c r="C319" s="2" t="str">
        <f>IF(A319&lt;&gt;"",SUM(B319),"")</f>
        <v/>
      </c>
    </row>
    <row r="320" spans="3:3" x14ac:dyDescent="0.3">
      <c r="C320" s="2" t="str">
        <f>IF(A320&lt;&gt;"",SUM(B320),"")</f>
        <v/>
      </c>
    </row>
    <row r="321" spans="3:3" x14ac:dyDescent="0.3">
      <c r="C321" s="2" t="str">
        <f>IF(A321&lt;&gt;"",SUM(B321),"")</f>
        <v/>
      </c>
    </row>
    <row r="322" spans="3:3" x14ac:dyDescent="0.3">
      <c r="C322" s="2" t="str">
        <f>IF(A322&lt;&gt;"",SUM(B322),"")</f>
        <v/>
      </c>
    </row>
    <row r="323" spans="3:3" x14ac:dyDescent="0.3">
      <c r="C323" s="2" t="str">
        <f>IF(A323&lt;&gt;"",SUM(B323),"")</f>
        <v/>
      </c>
    </row>
    <row r="324" spans="3:3" x14ac:dyDescent="0.3">
      <c r="C324" s="2" t="str">
        <f>IF(A324&lt;&gt;"",SUM(B324),"")</f>
        <v/>
      </c>
    </row>
    <row r="325" spans="3:3" x14ac:dyDescent="0.3">
      <c r="C325" s="2" t="str">
        <f>IF(A325&lt;&gt;"",SUM(B325),"")</f>
        <v/>
      </c>
    </row>
    <row r="326" spans="3:3" x14ac:dyDescent="0.3">
      <c r="C326" s="2" t="str">
        <f>IF(A326&lt;&gt;"",SUM(B326),"")</f>
        <v/>
      </c>
    </row>
    <row r="327" spans="3:3" x14ac:dyDescent="0.3">
      <c r="C327" s="2" t="str">
        <f>IF(A327&lt;&gt;"",SUM(B327),"")</f>
        <v/>
      </c>
    </row>
    <row r="328" spans="3:3" x14ac:dyDescent="0.3">
      <c r="C328" s="2" t="str">
        <f>IF(A328&lt;&gt;"",SUM(B328),"")</f>
        <v/>
      </c>
    </row>
    <row r="329" spans="3:3" x14ac:dyDescent="0.3">
      <c r="C329" s="2" t="str">
        <f>IF(A329&lt;&gt;"",SUM(B329),"")</f>
        <v/>
      </c>
    </row>
    <row r="330" spans="3:3" x14ac:dyDescent="0.3">
      <c r="C330" s="2" t="str">
        <f>IF(A330&lt;&gt;"",SUM(B330),"")</f>
        <v/>
      </c>
    </row>
    <row r="331" spans="3:3" x14ac:dyDescent="0.3">
      <c r="C331" s="2" t="str">
        <f>IF(A331&lt;&gt;"",SUM(B331),"")</f>
        <v/>
      </c>
    </row>
    <row r="332" spans="3:3" x14ac:dyDescent="0.3">
      <c r="C332" s="2" t="str">
        <f>IF(A332&lt;&gt;"",SUM(B332),"")</f>
        <v/>
      </c>
    </row>
    <row r="333" spans="3:3" x14ac:dyDescent="0.3">
      <c r="C333" s="2" t="str">
        <f>IF(A333&lt;&gt;"",SUM(B333),"")</f>
        <v/>
      </c>
    </row>
    <row r="334" spans="3:3" x14ac:dyDescent="0.3">
      <c r="C334" s="2" t="str">
        <f>IF(A334&lt;&gt;"",SUM(B334),"")</f>
        <v/>
      </c>
    </row>
    <row r="335" spans="3:3" x14ac:dyDescent="0.3">
      <c r="C335" s="2" t="str">
        <f>IF(A335&lt;&gt;"",SUM(B335),"")</f>
        <v/>
      </c>
    </row>
    <row r="336" spans="3:3" x14ac:dyDescent="0.3">
      <c r="C336" s="2" t="str">
        <f>IF(A336&lt;&gt;"",SUM(B336),"")</f>
        <v/>
      </c>
    </row>
    <row r="337" spans="3:3" x14ac:dyDescent="0.3">
      <c r="C337" s="2" t="str">
        <f>IF(A337&lt;&gt;"",SUM(B337),"")</f>
        <v/>
      </c>
    </row>
    <row r="338" spans="3:3" x14ac:dyDescent="0.3">
      <c r="C338" s="2" t="str">
        <f>IF(A338&lt;&gt;"",SUM(B338),"")</f>
        <v/>
      </c>
    </row>
    <row r="339" spans="3:3" x14ac:dyDescent="0.3">
      <c r="C339" s="2" t="str">
        <f>IF(A339&lt;&gt;"",SUM(B339),"")</f>
        <v/>
      </c>
    </row>
    <row r="340" spans="3:3" x14ac:dyDescent="0.3">
      <c r="C340" s="2" t="str">
        <f>IF(A340&lt;&gt;"",SUM(B340),"")</f>
        <v/>
      </c>
    </row>
    <row r="341" spans="3:3" x14ac:dyDescent="0.3">
      <c r="C341" s="2" t="str">
        <f>IF(A341&lt;&gt;"",SUM(B341),"")</f>
        <v/>
      </c>
    </row>
    <row r="342" spans="3:3" x14ac:dyDescent="0.3">
      <c r="C342" s="2" t="str">
        <f>IF(A342&lt;&gt;"",SUM(B342),"")</f>
        <v/>
      </c>
    </row>
    <row r="343" spans="3:3" x14ac:dyDescent="0.3">
      <c r="C343" s="2" t="str">
        <f>IF(A343&lt;&gt;"",SUM(B343),"")</f>
        <v/>
      </c>
    </row>
    <row r="344" spans="3:3" x14ac:dyDescent="0.3">
      <c r="C344" s="2" t="str">
        <f>IF(A344&lt;&gt;"",SUM(B344),"")</f>
        <v/>
      </c>
    </row>
    <row r="345" spans="3:3" x14ac:dyDescent="0.3">
      <c r="C345" s="2" t="str">
        <f>IF(A345&lt;&gt;"",SUM(B345),"")</f>
        <v/>
      </c>
    </row>
    <row r="346" spans="3:3" x14ac:dyDescent="0.3">
      <c r="C346" s="2" t="str">
        <f>IF(A346&lt;&gt;"",SUM(B346),"")</f>
        <v/>
      </c>
    </row>
    <row r="347" spans="3:3" x14ac:dyDescent="0.3">
      <c r="C347" s="2" t="str">
        <f>IF(A347&lt;&gt;"",SUM(B347),"")</f>
        <v/>
      </c>
    </row>
    <row r="348" spans="3:3" x14ac:dyDescent="0.3">
      <c r="C348" s="2" t="str">
        <f>IF(A348&lt;&gt;"",SUM(B348),"")</f>
        <v/>
      </c>
    </row>
    <row r="349" spans="3:3" x14ac:dyDescent="0.3">
      <c r="C349" s="2" t="str">
        <f>IF(A349&lt;&gt;"",SUM(B349),"")</f>
        <v/>
      </c>
    </row>
    <row r="350" spans="3:3" x14ac:dyDescent="0.3">
      <c r="C350" s="2" t="str">
        <f>IF(A350&lt;&gt;"",SUM(B350),"")</f>
        <v/>
      </c>
    </row>
    <row r="351" spans="3:3" x14ac:dyDescent="0.3">
      <c r="C351" s="2" t="str">
        <f>IF(A351&lt;&gt;"",SUM(B351),"")</f>
        <v/>
      </c>
    </row>
    <row r="352" spans="3:3" x14ac:dyDescent="0.3">
      <c r="C352" s="2" t="str">
        <f>IF(A352&lt;&gt;"",SUM(B352),"")</f>
        <v/>
      </c>
    </row>
    <row r="353" spans="3:3" x14ac:dyDescent="0.3">
      <c r="C353" s="2" t="str">
        <f>IF(A353&lt;&gt;"",SUM(B353),"")</f>
        <v/>
      </c>
    </row>
    <row r="354" spans="3:3" x14ac:dyDescent="0.3">
      <c r="C354" s="2" t="str">
        <f>IF(A354&lt;&gt;"",SUM(B354),"")</f>
        <v/>
      </c>
    </row>
    <row r="355" spans="3:3" x14ac:dyDescent="0.3">
      <c r="C355" s="2" t="str">
        <f>IF(A355&lt;&gt;"",SUM(B355),"")</f>
        <v/>
      </c>
    </row>
    <row r="356" spans="3:3" x14ac:dyDescent="0.3">
      <c r="C356" s="2" t="str">
        <f>IF(A356&lt;&gt;"",SUM(B356),"")</f>
        <v/>
      </c>
    </row>
    <row r="357" spans="3:3" x14ac:dyDescent="0.3">
      <c r="C357" s="2" t="str">
        <f>IF(A357&lt;&gt;"",SUM(B357),"")</f>
        <v/>
      </c>
    </row>
    <row r="358" spans="3:3" x14ac:dyDescent="0.3">
      <c r="C358" s="2" t="str">
        <f>IF(A358&lt;&gt;"",SUM(B358),"")</f>
        <v/>
      </c>
    </row>
    <row r="359" spans="3:3" x14ac:dyDescent="0.3">
      <c r="C359" s="2" t="str">
        <f>IF(A359&lt;&gt;"",SUM(B359),"")</f>
        <v/>
      </c>
    </row>
    <row r="360" spans="3:3" x14ac:dyDescent="0.3">
      <c r="C360" s="2" t="str">
        <f>IF(A360&lt;&gt;"",SUM(B360),"")</f>
        <v/>
      </c>
    </row>
    <row r="361" spans="3:3" x14ac:dyDescent="0.3">
      <c r="C361" s="2" t="str">
        <f>IF(A361&lt;&gt;"",SUM(B361),"")</f>
        <v/>
      </c>
    </row>
    <row r="362" spans="3:3" x14ac:dyDescent="0.3">
      <c r="C362" s="2" t="str">
        <f>IF(A362&lt;&gt;"",SUM(B362),"")</f>
        <v/>
      </c>
    </row>
    <row r="363" spans="3:3" x14ac:dyDescent="0.3">
      <c r="C363" s="2" t="str">
        <f>IF(A363&lt;&gt;"",SUM(B363),"")</f>
        <v/>
      </c>
    </row>
    <row r="364" spans="3:3" x14ac:dyDescent="0.3">
      <c r="C364" s="2" t="str">
        <f>IF(A364&lt;&gt;"",SUM(B364),"")</f>
        <v/>
      </c>
    </row>
    <row r="365" spans="3:3" x14ac:dyDescent="0.3">
      <c r="C365" s="2" t="str">
        <f>IF(A365&lt;&gt;"",SUM(B365),"")</f>
        <v/>
      </c>
    </row>
    <row r="366" spans="3:3" x14ac:dyDescent="0.3">
      <c r="C366" s="2" t="str">
        <f>IF(A366&lt;&gt;"",SUM(B366),"")</f>
        <v/>
      </c>
    </row>
    <row r="367" spans="3:3" x14ac:dyDescent="0.3">
      <c r="C367" s="2" t="str">
        <f>IF(A367&lt;&gt;"",SUM(B367),"")</f>
        <v/>
      </c>
    </row>
    <row r="368" spans="3:3" x14ac:dyDescent="0.3">
      <c r="C368" s="2" t="str">
        <f>IF(A368&lt;&gt;"",SUM(B368),"")</f>
        <v/>
      </c>
    </row>
    <row r="369" spans="3:3" x14ac:dyDescent="0.3">
      <c r="C369" s="2" t="str">
        <f>IF(A369&lt;&gt;"",SUM(B369),"")</f>
        <v/>
      </c>
    </row>
    <row r="370" spans="3:3" x14ac:dyDescent="0.3">
      <c r="C370" s="2" t="str">
        <f>IF(A370&lt;&gt;"",SUM(B370),"")</f>
        <v/>
      </c>
    </row>
    <row r="371" spans="3:3" x14ac:dyDescent="0.3">
      <c r="C371" s="2" t="str">
        <f>IF(A371&lt;&gt;"",SUM(B371),"")</f>
        <v/>
      </c>
    </row>
    <row r="372" spans="3:3" x14ac:dyDescent="0.3">
      <c r="C372" s="2" t="str">
        <f>IF(A372&lt;&gt;"",SUM(B372),"")</f>
        <v/>
      </c>
    </row>
    <row r="373" spans="3:3" x14ac:dyDescent="0.3">
      <c r="C373" s="2" t="str">
        <f>IF(A373&lt;&gt;"",SUM(B373),"")</f>
        <v/>
      </c>
    </row>
    <row r="374" spans="3:3" x14ac:dyDescent="0.3">
      <c r="C374" s="2" t="str">
        <f>IF(A374&lt;&gt;"",SUM(B374),"")</f>
        <v/>
      </c>
    </row>
    <row r="375" spans="3:3" x14ac:dyDescent="0.3">
      <c r="C375" s="2" t="str">
        <f>IF(A375&lt;&gt;"",SUM(B375),"")</f>
        <v/>
      </c>
    </row>
    <row r="376" spans="3:3" x14ac:dyDescent="0.3">
      <c r="C376" s="2" t="str">
        <f>IF(A376&lt;&gt;"",SUM(B376),"")</f>
        <v/>
      </c>
    </row>
    <row r="377" spans="3:3" x14ac:dyDescent="0.3">
      <c r="C377" s="2" t="str">
        <f>IF(A377&lt;&gt;"",SUM(B377),"")</f>
        <v/>
      </c>
    </row>
    <row r="378" spans="3:3" x14ac:dyDescent="0.3">
      <c r="C378" s="2" t="str">
        <f>IF(A378&lt;&gt;"",SUM(B378),"")</f>
        <v/>
      </c>
    </row>
    <row r="379" spans="3:3" x14ac:dyDescent="0.3">
      <c r="C379" s="2" t="str">
        <f>IF(A379&lt;&gt;"",SUM(B379),"")</f>
        <v/>
      </c>
    </row>
    <row r="380" spans="3:3" x14ac:dyDescent="0.3">
      <c r="C380" s="2" t="str">
        <f>IF(A380&lt;&gt;"",SUM(B380),"")</f>
        <v/>
      </c>
    </row>
    <row r="381" spans="3:3" x14ac:dyDescent="0.3">
      <c r="C381" s="2" t="str">
        <f>IF(A381&lt;&gt;"",SUM(B381),"")</f>
        <v/>
      </c>
    </row>
    <row r="382" spans="3:3" x14ac:dyDescent="0.3">
      <c r="C382" s="2" t="str">
        <f>IF(A382&lt;&gt;"",SUM(B382),"")</f>
        <v/>
      </c>
    </row>
    <row r="383" spans="3:3" x14ac:dyDescent="0.3">
      <c r="C383" s="2" t="str">
        <f>IF(A383&lt;&gt;"",SUM(B383),"")</f>
        <v/>
      </c>
    </row>
    <row r="384" spans="3:3" x14ac:dyDescent="0.3">
      <c r="C384" s="2" t="str">
        <f>IF(A384&lt;&gt;"",SUM(B384),"")</f>
        <v/>
      </c>
    </row>
    <row r="385" spans="3:3" x14ac:dyDescent="0.3">
      <c r="C385" s="2" t="str">
        <f>IF(A385&lt;&gt;"",SUM(B385),"")</f>
        <v/>
      </c>
    </row>
    <row r="386" spans="3:3" x14ac:dyDescent="0.3">
      <c r="C386" s="2" t="str">
        <f>IF(A386&lt;&gt;"",SUM(B386),"")</f>
        <v/>
      </c>
    </row>
    <row r="387" spans="3:3" x14ac:dyDescent="0.3">
      <c r="C387" s="2" t="str">
        <f>IF(A387&lt;&gt;"",SUM(B387),"")</f>
        <v/>
      </c>
    </row>
    <row r="388" spans="3:3" x14ac:dyDescent="0.3">
      <c r="C388" s="2" t="str">
        <f>IF(A388&lt;&gt;"",SUM(B388),"")</f>
        <v/>
      </c>
    </row>
    <row r="389" spans="3:3" x14ac:dyDescent="0.3">
      <c r="C389" s="2" t="str">
        <f>IF(A389&lt;&gt;"",SUM(B389),"")</f>
        <v/>
      </c>
    </row>
    <row r="390" spans="3:3" x14ac:dyDescent="0.3">
      <c r="C390" s="2" t="str">
        <f>IF(A390&lt;&gt;"",SUM(B390),"")</f>
        <v/>
      </c>
    </row>
    <row r="391" spans="3:3" x14ac:dyDescent="0.3">
      <c r="C391" s="2" t="str">
        <f>IF(A391&lt;&gt;"",SUM(B391),"")</f>
        <v/>
      </c>
    </row>
    <row r="392" spans="3:3" x14ac:dyDescent="0.3">
      <c r="C392" s="2" t="str">
        <f>IF(A392&lt;&gt;"",SUM(B392),"")</f>
        <v/>
      </c>
    </row>
    <row r="393" spans="3:3" x14ac:dyDescent="0.3">
      <c r="C393" s="2" t="str">
        <f>IF(A393&lt;&gt;"",SUM(B393),"")</f>
        <v/>
      </c>
    </row>
    <row r="394" spans="3:3" x14ac:dyDescent="0.3">
      <c r="C394" s="2" t="str">
        <f>IF(A394&lt;&gt;"",SUM(B394),"")</f>
        <v/>
      </c>
    </row>
    <row r="395" spans="3:3" x14ac:dyDescent="0.3">
      <c r="C395" s="2" t="str">
        <f>IF(A395&lt;&gt;"",SUM(B395),"")</f>
        <v/>
      </c>
    </row>
    <row r="396" spans="3:3" x14ac:dyDescent="0.3">
      <c r="C396" s="2" t="str">
        <f>IF(A396&lt;&gt;"",SUM(B396),"")</f>
        <v/>
      </c>
    </row>
    <row r="397" spans="3:3" x14ac:dyDescent="0.3">
      <c r="C397" s="2" t="str">
        <f>IF(A397&lt;&gt;"",SUM(B397),"")</f>
        <v/>
      </c>
    </row>
    <row r="398" spans="3:3" x14ac:dyDescent="0.3">
      <c r="C398" s="2" t="str">
        <f>IF(A398&lt;&gt;"",SUM(B398),"")</f>
        <v/>
      </c>
    </row>
    <row r="399" spans="3:3" x14ac:dyDescent="0.3">
      <c r="C399" s="2" t="str">
        <f>IF(A399&lt;&gt;"",SUM(B399),"")</f>
        <v/>
      </c>
    </row>
    <row r="400" spans="3:3" x14ac:dyDescent="0.3">
      <c r="C400" s="2" t="str">
        <f>IF(A400&lt;&gt;"",SUM(B400),"")</f>
        <v/>
      </c>
    </row>
    <row r="401" spans="3:3" x14ac:dyDescent="0.3">
      <c r="C401" s="2" t="str">
        <f>IF(A401&lt;&gt;"",SUM(B401),"")</f>
        <v/>
      </c>
    </row>
    <row r="402" spans="3:3" x14ac:dyDescent="0.3">
      <c r="C402" s="2" t="str">
        <f>IF(A402&lt;&gt;"",SUM(B402),"")</f>
        <v/>
      </c>
    </row>
    <row r="403" spans="3:3" x14ac:dyDescent="0.3">
      <c r="C403" s="2" t="str">
        <f>IF(A403&lt;&gt;"",SUM(B403),"")</f>
        <v/>
      </c>
    </row>
    <row r="404" spans="3:3" x14ac:dyDescent="0.3">
      <c r="C404" s="2" t="str">
        <f>IF(A404&lt;&gt;"",SUM(B404),"")</f>
        <v/>
      </c>
    </row>
    <row r="405" spans="3:3" x14ac:dyDescent="0.3">
      <c r="C405" s="2" t="str">
        <f>IF(A405&lt;&gt;"",SUM(B405),"")</f>
        <v/>
      </c>
    </row>
    <row r="406" spans="3:3" x14ac:dyDescent="0.3">
      <c r="C406" s="2" t="str">
        <f>IF(A406&lt;&gt;"",SUM(B406),"")</f>
        <v/>
      </c>
    </row>
    <row r="407" spans="3:3" x14ac:dyDescent="0.3">
      <c r="C407" s="2" t="str">
        <f>IF(A407&lt;&gt;"",SUM(B407),"")</f>
        <v/>
      </c>
    </row>
    <row r="408" spans="3:3" x14ac:dyDescent="0.3">
      <c r="C408" s="2" t="str">
        <f>IF(A408&lt;&gt;"",SUM(B408),"")</f>
        <v/>
      </c>
    </row>
    <row r="409" spans="3:3" x14ac:dyDescent="0.3">
      <c r="C409" s="2" t="str">
        <f>IF(A409&lt;&gt;"",SUM(B409),"")</f>
        <v/>
      </c>
    </row>
    <row r="410" spans="3:3" x14ac:dyDescent="0.3">
      <c r="C410" s="2" t="str">
        <f>IF(A410&lt;&gt;"",SUM(B410),"")</f>
        <v/>
      </c>
    </row>
    <row r="411" spans="3:3" x14ac:dyDescent="0.3">
      <c r="C411" s="2" t="str">
        <f>IF(A411&lt;&gt;"",SUM(B411),"")</f>
        <v/>
      </c>
    </row>
    <row r="412" spans="3:3" x14ac:dyDescent="0.3">
      <c r="C412" s="2" t="str">
        <f>IF(A412&lt;&gt;"",SUM(B412),"")</f>
        <v/>
      </c>
    </row>
    <row r="413" spans="3:3" x14ac:dyDescent="0.3">
      <c r="C413" s="2" t="str">
        <f>IF(A413&lt;&gt;"",SUM(B413),"")</f>
        <v/>
      </c>
    </row>
    <row r="414" spans="3:3" x14ac:dyDescent="0.3">
      <c r="C414" s="2" t="str">
        <f>IF(A414&lt;&gt;"",SUM(B414),"")</f>
        <v/>
      </c>
    </row>
    <row r="415" spans="3:3" x14ac:dyDescent="0.3">
      <c r="C415" s="2" t="str">
        <f>IF(A415&lt;&gt;"",SUM(B415),"")</f>
        <v/>
      </c>
    </row>
    <row r="416" spans="3:3" x14ac:dyDescent="0.3">
      <c r="C416" s="2" t="str">
        <f>IF(A416&lt;&gt;"",SUM(B416),"")</f>
        <v/>
      </c>
    </row>
    <row r="417" spans="3:3" x14ac:dyDescent="0.3">
      <c r="C417" s="2" t="str">
        <f>IF(A417&lt;&gt;"",SUM(B417),"")</f>
        <v/>
      </c>
    </row>
    <row r="418" spans="3:3" x14ac:dyDescent="0.3">
      <c r="C418" s="2" t="str">
        <f>IF(A418&lt;&gt;"",SUM(B418),"")</f>
        <v/>
      </c>
    </row>
    <row r="419" spans="3:3" x14ac:dyDescent="0.3">
      <c r="C419" s="2" t="str">
        <f>IF(A419&lt;&gt;"",SUM(B419),"")</f>
        <v/>
      </c>
    </row>
    <row r="420" spans="3:3" x14ac:dyDescent="0.3">
      <c r="C420" s="2" t="str">
        <f>IF(A420&lt;&gt;"",SUM(B420),"")</f>
        <v/>
      </c>
    </row>
    <row r="421" spans="3:3" x14ac:dyDescent="0.3">
      <c r="C421" s="2" t="str">
        <f>IF(A421&lt;&gt;"",SUM(B421),"")</f>
        <v/>
      </c>
    </row>
    <row r="422" spans="3:3" x14ac:dyDescent="0.3">
      <c r="C422" s="2" t="str">
        <f>IF(A422&lt;&gt;"",SUM(B422),"")</f>
        <v/>
      </c>
    </row>
    <row r="423" spans="3:3" x14ac:dyDescent="0.3">
      <c r="C423" s="2" t="str">
        <f>IF(A423&lt;&gt;"",SUM(B423),"")</f>
        <v/>
      </c>
    </row>
    <row r="424" spans="3:3" x14ac:dyDescent="0.3">
      <c r="C424" s="2" t="str">
        <f>IF(A424&lt;&gt;"",SUM(B424),"")</f>
        <v/>
      </c>
    </row>
    <row r="425" spans="3:3" x14ac:dyDescent="0.3">
      <c r="C425" s="2" t="str">
        <f>IF(A425&lt;&gt;"",SUM(B425),"")</f>
        <v/>
      </c>
    </row>
    <row r="426" spans="3:3" x14ac:dyDescent="0.3">
      <c r="C426" s="2" t="str">
        <f>IF(A426&lt;&gt;"",SUM(B426),"")</f>
        <v/>
      </c>
    </row>
    <row r="427" spans="3:3" x14ac:dyDescent="0.3">
      <c r="C427" s="2" t="str">
        <f>IF(A427&lt;&gt;"",SUM(B427),"")</f>
        <v/>
      </c>
    </row>
    <row r="428" spans="3:3" x14ac:dyDescent="0.3">
      <c r="C428" s="2" t="str">
        <f>IF(A428&lt;&gt;"",SUM(B428),"")</f>
        <v/>
      </c>
    </row>
    <row r="429" spans="3:3" x14ac:dyDescent="0.3">
      <c r="C429" s="2" t="str">
        <f>IF(A429&lt;&gt;"",SUM(B429),"")</f>
        <v/>
      </c>
    </row>
    <row r="430" spans="3:3" x14ac:dyDescent="0.3">
      <c r="C430" s="2" t="str">
        <f>IF(A430&lt;&gt;"",SUM(B430),"")</f>
        <v/>
      </c>
    </row>
    <row r="431" spans="3:3" x14ac:dyDescent="0.3">
      <c r="C431" s="2" t="str">
        <f>IF(A431&lt;&gt;"",SUM(B431),"")</f>
        <v/>
      </c>
    </row>
    <row r="432" spans="3:3" x14ac:dyDescent="0.3">
      <c r="C432" s="2" t="str">
        <f>IF(A432&lt;&gt;"",SUM(B432),"")</f>
        <v/>
      </c>
    </row>
    <row r="433" spans="3:3" x14ac:dyDescent="0.3">
      <c r="C433" s="2" t="str">
        <f>IF(A433&lt;&gt;"",SUM(B433),"")</f>
        <v/>
      </c>
    </row>
    <row r="434" spans="3:3" x14ac:dyDescent="0.3">
      <c r="C434" s="2" t="str">
        <f>IF(A434&lt;&gt;"",SUM(B434),"")</f>
        <v/>
      </c>
    </row>
    <row r="435" spans="3:3" x14ac:dyDescent="0.3">
      <c r="C435" s="2" t="str">
        <f>IF(A435&lt;&gt;"",SUM(B435),"")</f>
        <v/>
      </c>
    </row>
    <row r="436" spans="3:3" x14ac:dyDescent="0.3">
      <c r="C436" s="2" t="str">
        <f>IF(A436&lt;&gt;"",SUM(B436),"")</f>
        <v/>
      </c>
    </row>
    <row r="437" spans="3:3" x14ac:dyDescent="0.3">
      <c r="C437" s="2" t="str">
        <f>IF(A437&lt;&gt;"",SUM(B437),"")</f>
        <v/>
      </c>
    </row>
    <row r="438" spans="3:3" x14ac:dyDescent="0.3">
      <c r="C438" s="2" t="str">
        <f>IF(A438&lt;&gt;"",SUM(B438),"")</f>
        <v/>
      </c>
    </row>
    <row r="439" spans="3:3" x14ac:dyDescent="0.3">
      <c r="C439" s="2" t="str">
        <f>IF(A439&lt;&gt;"",SUM(B439),"")</f>
        <v/>
      </c>
    </row>
    <row r="440" spans="3:3" x14ac:dyDescent="0.3">
      <c r="C440" s="2" t="str">
        <f>IF(A440&lt;&gt;"",SUM(B440),"")</f>
        <v/>
      </c>
    </row>
    <row r="441" spans="3:3" x14ac:dyDescent="0.3">
      <c r="C441" s="2" t="str">
        <f>IF(A441&lt;&gt;"",SUM(B441),"")</f>
        <v/>
      </c>
    </row>
    <row r="442" spans="3:3" x14ac:dyDescent="0.3">
      <c r="C442" s="2" t="str">
        <f>IF(A442&lt;&gt;"",SUM(B442),"")</f>
        <v/>
      </c>
    </row>
    <row r="443" spans="3:3" x14ac:dyDescent="0.3">
      <c r="C443" s="2" t="str">
        <f>IF(A443&lt;&gt;"",SUM(B443),"")</f>
        <v/>
      </c>
    </row>
    <row r="444" spans="3:3" x14ac:dyDescent="0.3">
      <c r="C444" s="2" t="str">
        <f>IF(A444&lt;&gt;"",SUM(B444),"")</f>
        <v/>
      </c>
    </row>
    <row r="445" spans="3:3" x14ac:dyDescent="0.3">
      <c r="C445" s="2" t="str">
        <f>IF(A445&lt;&gt;"",SUM(B445),"")</f>
        <v/>
      </c>
    </row>
    <row r="446" spans="3:3" x14ac:dyDescent="0.3">
      <c r="C446" s="2" t="str">
        <f>IF(A446&lt;&gt;"",SUM(B446),"")</f>
        <v/>
      </c>
    </row>
    <row r="447" spans="3:3" x14ac:dyDescent="0.3">
      <c r="C447" s="2" t="str">
        <f>IF(A447&lt;&gt;"",SUM(B447),"")</f>
        <v/>
      </c>
    </row>
    <row r="448" spans="3:3" x14ac:dyDescent="0.3">
      <c r="C448" s="2" t="str">
        <f>IF(A448&lt;&gt;"",SUM(B448),"")</f>
        <v/>
      </c>
    </row>
    <row r="449" spans="3:3" x14ac:dyDescent="0.3">
      <c r="C449" s="2" t="str">
        <f>IF(A449&lt;&gt;"",SUM(B449),"")</f>
        <v/>
      </c>
    </row>
    <row r="450" spans="3:3" x14ac:dyDescent="0.3">
      <c r="C450" s="2" t="str">
        <f>IF(A450&lt;&gt;"",SUM(B450),"")</f>
        <v/>
      </c>
    </row>
    <row r="451" spans="3:3" x14ac:dyDescent="0.3">
      <c r="C451" s="2" t="str">
        <f>IF(A451&lt;&gt;"",SUM(B451),"")</f>
        <v/>
      </c>
    </row>
    <row r="452" spans="3:3" x14ac:dyDescent="0.3">
      <c r="C452" s="2" t="str">
        <f>IF(A452&lt;&gt;"",SUM(B452),"")</f>
        <v/>
      </c>
    </row>
    <row r="453" spans="3:3" x14ac:dyDescent="0.3">
      <c r="C453" s="2" t="str">
        <f>IF(A453&lt;&gt;"",SUM(B453),"")</f>
        <v/>
      </c>
    </row>
    <row r="454" spans="3:3" x14ac:dyDescent="0.3">
      <c r="C454" s="2" t="str">
        <f>IF(A454&lt;&gt;"",SUM(B454),"")</f>
        <v/>
      </c>
    </row>
    <row r="455" spans="3:3" x14ac:dyDescent="0.3">
      <c r="C455" s="2" t="str">
        <f>IF(A455&lt;&gt;"",SUM(B455),"")</f>
        <v/>
      </c>
    </row>
    <row r="456" spans="3:3" x14ac:dyDescent="0.3">
      <c r="C456" s="2" t="str">
        <f>IF(A456&lt;&gt;"",SUM(B456),"")</f>
        <v/>
      </c>
    </row>
    <row r="457" spans="3:3" x14ac:dyDescent="0.3">
      <c r="C457" s="2" t="str">
        <f>IF(A457&lt;&gt;"",SUM(B457),"")</f>
        <v/>
      </c>
    </row>
    <row r="458" spans="3:3" x14ac:dyDescent="0.3">
      <c r="C458" s="2" t="str">
        <f>IF(A458&lt;&gt;"",SUM(B458),"")</f>
        <v/>
      </c>
    </row>
    <row r="459" spans="3:3" x14ac:dyDescent="0.3">
      <c r="C459" s="2" t="str">
        <f>IF(A459&lt;&gt;"",SUM(B459),"")</f>
        <v/>
      </c>
    </row>
    <row r="460" spans="3:3" x14ac:dyDescent="0.3">
      <c r="C460" s="2" t="str">
        <f>IF(A460&lt;&gt;"",SUM(B460),"")</f>
        <v/>
      </c>
    </row>
    <row r="461" spans="3:3" x14ac:dyDescent="0.3">
      <c r="C461" s="2" t="str">
        <f>IF(A461&lt;&gt;"",SUM(B461),"")</f>
        <v/>
      </c>
    </row>
    <row r="462" spans="3:3" x14ac:dyDescent="0.3">
      <c r="C462" s="2" t="str">
        <f>IF(A462&lt;&gt;"",SUM(B462),"")</f>
        <v/>
      </c>
    </row>
    <row r="463" spans="3:3" x14ac:dyDescent="0.3">
      <c r="C463" s="2" t="str">
        <f>IF(A463&lt;&gt;"",SUM(B463),"")</f>
        <v/>
      </c>
    </row>
    <row r="464" spans="3:3" x14ac:dyDescent="0.3">
      <c r="C464" s="2" t="str">
        <f>IF(A464&lt;&gt;"",SUM(B464),"")</f>
        <v/>
      </c>
    </row>
    <row r="465" spans="3:3" x14ac:dyDescent="0.3">
      <c r="C465" s="2" t="str">
        <f>IF(A465&lt;&gt;"",SUM(B465),"")</f>
        <v/>
      </c>
    </row>
    <row r="466" spans="3:3" x14ac:dyDescent="0.3">
      <c r="C466" s="2" t="str">
        <f>IF(A466&lt;&gt;"",SUM(B466),"")</f>
        <v/>
      </c>
    </row>
    <row r="467" spans="3:3" x14ac:dyDescent="0.3">
      <c r="C467" s="2" t="str">
        <f>IF(A467&lt;&gt;"",SUM(B467),"")</f>
        <v/>
      </c>
    </row>
    <row r="468" spans="3:3" x14ac:dyDescent="0.3">
      <c r="C468" s="2" t="str">
        <f>IF(A468&lt;&gt;"",SUM(B468),"")</f>
        <v/>
      </c>
    </row>
    <row r="469" spans="3:3" x14ac:dyDescent="0.3">
      <c r="C469" s="2" t="str">
        <f>IF(A469&lt;&gt;"",SUM(B469),"")</f>
        <v/>
      </c>
    </row>
    <row r="470" spans="3:3" x14ac:dyDescent="0.3">
      <c r="C470" s="2" t="str">
        <f>IF(A470&lt;&gt;"",SUM(B470),"")</f>
        <v/>
      </c>
    </row>
    <row r="471" spans="3:3" x14ac:dyDescent="0.3">
      <c r="C471" s="2" t="str">
        <f>IF(A471&lt;&gt;"",SUM(B471),"")</f>
        <v/>
      </c>
    </row>
    <row r="472" spans="3:3" x14ac:dyDescent="0.3">
      <c r="C472" s="2" t="str">
        <f>IF(A472&lt;&gt;"",SUM(B472),"")</f>
        <v/>
      </c>
    </row>
    <row r="473" spans="3:3" x14ac:dyDescent="0.3">
      <c r="C473" s="2" t="str">
        <f>IF(A473&lt;&gt;"",SUM(B473),"")</f>
        <v/>
      </c>
    </row>
    <row r="474" spans="3:3" x14ac:dyDescent="0.3">
      <c r="C474" s="2" t="str">
        <f>IF(A474&lt;&gt;"",SUM(B474),"")</f>
        <v/>
      </c>
    </row>
    <row r="475" spans="3:3" x14ac:dyDescent="0.3">
      <c r="C475" s="2" t="str">
        <f>IF(A475&lt;&gt;"",SUM(B475),"")</f>
        <v/>
      </c>
    </row>
    <row r="476" spans="3:3" x14ac:dyDescent="0.3">
      <c r="C476" s="2" t="str">
        <f>IF(A476&lt;&gt;"",SUM(B476),"")</f>
        <v/>
      </c>
    </row>
    <row r="477" spans="3:3" x14ac:dyDescent="0.3">
      <c r="C477" s="2" t="str">
        <f>IF(A477&lt;&gt;"",SUM(B477),"")</f>
        <v/>
      </c>
    </row>
    <row r="478" spans="3:3" x14ac:dyDescent="0.3">
      <c r="C478" s="2" t="str">
        <f>IF(A478&lt;&gt;"",SUM(B478),"")</f>
        <v/>
      </c>
    </row>
    <row r="479" spans="3:3" x14ac:dyDescent="0.3">
      <c r="C479" s="2" t="str">
        <f>IF(A479&lt;&gt;"",SUM(B479),"")</f>
        <v/>
      </c>
    </row>
    <row r="480" spans="3:3" x14ac:dyDescent="0.3">
      <c r="C480" s="2" t="str">
        <f>IF(A480&lt;&gt;"",SUM(B480),"")</f>
        <v/>
      </c>
    </row>
    <row r="481" spans="3:3" x14ac:dyDescent="0.3">
      <c r="C481" s="2" t="str">
        <f>IF(A481&lt;&gt;"",SUM(B481),"")</f>
        <v/>
      </c>
    </row>
    <row r="482" spans="3:3" x14ac:dyDescent="0.3">
      <c r="C482" s="2" t="str">
        <f>IF(A482&lt;&gt;"",SUM(B482),"")</f>
        <v/>
      </c>
    </row>
    <row r="483" spans="3:3" x14ac:dyDescent="0.3">
      <c r="C483" s="2" t="str">
        <f>IF(A483&lt;&gt;"",SUM(B483),"")</f>
        <v/>
      </c>
    </row>
    <row r="484" spans="3:3" x14ac:dyDescent="0.3">
      <c r="C484" s="2" t="str">
        <f>IF(A484&lt;&gt;"",SUM(B484),"")</f>
        <v/>
      </c>
    </row>
    <row r="485" spans="3:3" x14ac:dyDescent="0.3">
      <c r="C485" s="2" t="str">
        <f>IF(A485&lt;&gt;"",SUM(B485),"")</f>
        <v/>
      </c>
    </row>
    <row r="486" spans="3:3" x14ac:dyDescent="0.3">
      <c r="C486" s="2" t="str">
        <f>IF(A486&lt;&gt;"",SUM(B486),"")</f>
        <v/>
      </c>
    </row>
    <row r="487" spans="3:3" x14ac:dyDescent="0.3">
      <c r="C487" s="2" t="str">
        <f>IF(A487&lt;&gt;"",SUM(B487),"")</f>
        <v/>
      </c>
    </row>
    <row r="488" spans="3:3" x14ac:dyDescent="0.3">
      <c r="C488" s="2" t="str">
        <f>IF(A488&lt;&gt;"",SUM(B488),"")</f>
        <v/>
      </c>
    </row>
    <row r="489" spans="3:3" x14ac:dyDescent="0.3">
      <c r="C489" s="2" t="str">
        <f>IF(A489&lt;&gt;"",SUM(B489),"")</f>
        <v/>
      </c>
    </row>
    <row r="490" spans="3:3" x14ac:dyDescent="0.3">
      <c r="C490" s="2" t="str">
        <f>IF(A490&lt;&gt;"",SUM(B490),"")</f>
        <v/>
      </c>
    </row>
    <row r="491" spans="3:3" x14ac:dyDescent="0.3">
      <c r="C491" s="2" t="str">
        <f>IF(A491&lt;&gt;"",SUM(B491),"")</f>
        <v/>
      </c>
    </row>
    <row r="492" spans="3:3" x14ac:dyDescent="0.3">
      <c r="C492" s="2" t="str">
        <f>IF(A492&lt;&gt;"",SUM(B492),"")</f>
        <v/>
      </c>
    </row>
    <row r="493" spans="3:3" x14ac:dyDescent="0.3">
      <c r="C493" s="2" t="str">
        <f>IF(A493&lt;&gt;"",SUM(B493),"")</f>
        <v/>
      </c>
    </row>
    <row r="494" spans="3:3" x14ac:dyDescent="0.3">
      <c r="C494" s="2" t="str">
        <f>IF(A494&lt;&gt;"",SUM(B494),"")</f>
        <v/>
      </c>
    </row>
    <row r="495" spans="3:3" x14ac:dyDescent="0.3">
      <c r="C495" s="2" t="str">
        <f>IF(A495&lt;&gt;"",SUM(B495),"")</f>
        <v/>
      </c>
    </row>
    <row r="496" spans="3:3" x14ac:dyDescent="0.3">
      <c r="C496" s="2" t="str">
        <f>IF(A496&lt;&gt;"",SUM(B496),"")</f>
        <v/>
      </c>
    </row>
    <row r="497" spans="3:3" x14ac:dyDescent="0.3">
      <c r="C497" s="2" t="str">
        <f>IF(A497&lt;&gt;"",SUM(B497),"")</f>
        <v/>
      </c>
    </row>
    <row r="498" spans="3:3" x14ac:dyDescent="0.3">
      <c r="C498" s="2" t="str">
        <f>IF(A498&lt;&gt;"",SUM(B498),"")</f>
        <v/>
      </c>
    </row>
    <row r="499" spans="3:3" x14ac:dyDescent="0.3">
      <c r="C499" s="2" t="str">
        <f>IF(A499&lt;&gt;"",SUM(B499),"")</f>
        <v/>
      </c>
    </row>
    <row r="500" spans="3:3" x14ac:dyDescent="0.3">
      <c r="C500" s="2" t="str">
        <f>IF(A500&lt;&gt;"",SUM(B500),"")</f>
        <v/>
      </c>
    </row>
    <row r="501" spans="3:3" x14ac:dyDescent="0.3">
      <c r="C501" s="2" t="str">
        <f>IF(A501&lt;&gt;"",SUM(B501),"")</f>
        <v/>
      </c>
    </row>
    <row r="502" spans="3:3" x14ac:dyDescent="0.3">
      <c r="C502" s="2" t="str">
        <f>IF(A502&lt;&gt;"",SUM(B502),"")</f>
        <v/>
      </c>
    </row>
    <row r="503" spans="3:3" x14ac:dyDescent="0.3">
      <c r="C503" s="2" t="str">
        <f>IF(A503&lt;&gt;"",SUM(B503),"")</f>
        <v/>
      </c>
    </row>
    <row r="504" spans="3:3" x14ac:dyDescent="0.3">
      <c r="C504" s="2" t="str">
        <f>IF(A504&lt;&gt;"",SUM(B504),"")</f>
        <v/>
      </c>
    </row>
    <row r="505" spans="3:3" x14ac:dyDescent="0.3">
      <c r="C505" s="2" t="str">
        <f>IF(A505&lt;&gt;"",SUM(B505),"")</f>
        <v/>
      </c>
    </row>
    <row r="506" spans="3:3" x14ac:dyDescent="0.3">
      <c r="C506" s="2" t="str">
        <f>IF(A506&lt;&gt;"",SUM(B506),"")</f>
        <v/>
      </c>
    </row>
    <row r="507" spans="3:3" x14ac:dyDescent="0.3">
      <c r="C507" s="2" t="str">
        <f>IF(A507&lt;&gt;"",SUM(B507),"")</f>
        <v/>
      </c>
    </row>
    <row r="508" spans="3:3" x14ac:dyDescent="0.3">
      <c r="C508" s="2" t="str">
        <f>IF(A508&lt;&gt;"",SUM(B508),"")</f>
        <v/>
      </c>
    </row>
    <row r="509" spans="3:3" x14ac:dyDescent="0.3">
      <c r="C509" s="2" t="str">
        <f>IF(A509&lt;&gt;"",SUM(B509),"")</f>
        <v/>
      </c>
    </row>
    <row r="510" spans="3:3" x14ac:dyDescent="0.3">
      <c r="C510" s="2" t="str">
        <f>IF(A510&lt;&gt;"",SUM(B510),"")</f>
        <v/>
      </c>
    </row>
    <row r="511" spans="3:3" x14ac:dyDescent="0.3">
      <c r="C511" s="2" t="str">
        <f>IF(A511&lt;&gt;"",SUM(B511),"")</f>
        <v/>
      </c>
    </row>
    <row r="512" spans="3:3" x14ac:dyDescent="0.3">
      <c r="C512" s="2" t="str">
        <f>IF(A512&lt;&gt;"",SUM(B512),"")</f>
        <v/>
      </c>
    </row>
    <row r="513" spans="3:3" x14ac:dyDescent="0.3">
      <c r="C513" s="2" t="str">
        <f>IF(A513&lt;&gt;"",SUM(B513),"")</f>
        <v/>
      </c>
    </row>
    <row r="514" spans="3:3" x14ac:dyDescent="0.3">
      <c r="C514" s="2" t="str">
        <f>IF(A514&lt;&gt;"",SUM(B514),"")</f>
        <v/>
      </c>
    </row>
    <row r="515" spans="3:3" x14ac:dyDescent="0.3">
      <c r="C515" s="2" t="str">
        <f>IF(A515&lt;&gt;"",SUM(B515),"")</f>
        <v/>
      </c>
    </row>
    <row r="516" spans="3:3" x14ac:dyDescent="0.3">
      <c r="C516" s="2" t="str">
        <f>IF(A516&lt;&gt;"",SUM(B516),"")</f>
        <v/>
      </c>
    </row>
    <row r="517" spans="3:3" x14ac:dyDescent="0.3">
      <c r="C517" s="2" t="str">
        <f>IF(A517&lt;&gt;"",SUM(B517),"")</f>
        <v/>
      </c>
    </row>
    <row r="518" spans="3:3" x14ac:dyDescent="0.3">
      <c r="C518" s="2" t="str">
        <f>IF(A518&lt;&gt;"",SUM(B518),"")</f>
        <v/>
      </c>
    </row>
    <row r="519" spans="3:3" x14ac:dyDescent="0.3">
      <c r="C519" s="2" t="str">
        <f>IF(A519&lt;&gt;"",SUM(B519),"")</f>
        <v/>
      </c>
    </row>
    <row r="520" spans="3:3" x14ac:dyDescent="0.3">
      <c r="C520" s="2" t="str">
        <f>IF(A520&lt;&gt;"",SUM(B520),"")</f>
        <v/>
      </c>
    </row>
    <row r="521" spans="3:3" x14ac:dyDescent="0.3">
      <c r="C521" s="2" t="str">
        <f>IF(A521&lt;&gt;"",SUM(B521),"")</f>
        <v/>
      </c>
    </row>
    <row r="522" spans="3:3" x14ac:dyDescent="0.3">
      <c r="C522" s="2" t="str">
        <f>IF(A522&lt;&gt;"",SUM(B522),"")</f>
        <v/>
      </c>
    </row>
    <row r="523" spans="3:3" x14ac:dyDescent="0.3">
      <c r="C523" s="2" t="str">
        <f>IF(A523&lt;&gt;"",SUM(B523),"")</f>
        <v/>
      </c>
    </row>
    <row r="524" spans="3:3" x14ac:dyDescent="0.3">
      <c r="C524" s="2" t="str">
        <f>IF(A524&lt;&gt;"",SUM(B524),"")</f>
        <v/>
      </c>
    </row>
    <row r="525" spans="3:3" x14ac:dyDescent="0.3">
      <c r="C525" s="2" t="str">
        <f>IF(A525&lt;&gt;"",SUM(B525),"")</f>
        <v/>
      </c>
    </row>
    <row r="526" spans="3:3" x14ac:dyDescent="0.3">
      <c r="C526" s="2" t="str">
        <f>IF(A526&lt;&gt;"",SUM(B526),"")</f>
        <v/>
      </c>
    </row>
    <row r="527" spans="3:3" x14ac:dyDescent="0.3">
      <c r="C527" s="2" t="str">
        <f>IF(A527&lt;&gt;"",SUM(B527),"")</f>
        <v/>
      </c>
    </row>
    <row r="528" spans="3:3" x14ac:dyDescent="0.3">
      <c r="C528" s="2" t="str">
        <f>IF(A528&lt;&gt;"",SUM(B528),"")</f>
        <v/>
      </c>
    </row>
    <row r="529" spans="3:3" x14ac:dyDescent="0.3">
      <c r="C529" s="2" t="str">
        <f>IF(A529&lt;&gt;"",SUM(B529),"")</f>
        <v/>
      </c>
    </row>
    <row r="530" spans="3:3" x14ac:dyDescent="0.3">
      <c r="C530" s="2" t="str">
        <f>IF(A530&lt;&gt;"",SUM(B530),"")</f>
        <v/>
      </c>
    </row>
    <row r="531" spans="3:3" x14ac:dyDescent="0.3">
      <c r="C531" s="2" t="str">
        <f>IF(A531&lt;&gt;"",SUM(B531),"")</f>
        <v/>
      </c>
    </row>
    <row r="532" spans="3:3" x14ac:dyDescent="0.3">
      <c r="C532" s="2" t="str">
        <f>IF(A532&lt;&gt;"",SUM(B532),"")</f>
        <v/>
      </c>
    </row>
    <row r="533" spans="3:3" x14ac:dyDescent="0.3">
      <c r="C533" s="2" t="str">
        <f>IF(A533&lt;&gt;"",SUM(B533),"")</f>
        <v/>
      </c>
    </row>
    <row r="534" spans="3:3" x14ac:dyDescent="0.3">
      <c r="C534" s="2" t="str">
        <f>IF(A534&lt;&gt;"",SUM(B534),"")</f>
        <v/>
      </c>
    </row>
    <row r="535" spans="3:3" x14ac:dyDescent="0.3">
      <c r="C535" s="2" t="str">
        <f>IF(A535&lt;&gt;"",SUM(B535),"")</f>
        <v/>
      </c>
    </row>
    <row r="536" spans="3:3" x14ac:dyDescent="0.3">
      <c r="C536" s="2" t="str">
        <f>IF(A536&lt;&gt;"",SUM(B536),"")</f>
        <v/>
      </c>
    </row>
    <row r="537" spans="3:3" x14ac:dyDescent="0.3">
      <c r="C537" s="2" t="str">
        <f>IF(A537&lt;&gt;"",SUM(B537),"")</f>
        <v/>
      </c>
    </row>
    <row r="538" spans="3:3" x14ac:dyDescent="0.3">
      <c r="C538" s="2" t="str">
        <f>IF(A538&lt;&gt;"",SUM(B538),"")</f>
        <v/>
      </c>
    </row>
    <row r="539" spans="3:3" x14ac:dyDescent="0.3">
      <c r="C539" s="2" t="str">
        <f>IF(A539&lt;&gt;"",SUM(B539),"")</f>
        <v/>
      </c>
    </row>
    <row r="540" spans="3:3" x14ac:dyDescent="0.3">
      <c r="C540" s="2" t="str">
        <f>IF(A540&lt;&gt;"",SUM(B540),"")</f>
        <v/>
      </c>
    </row>
    <row r="541" spans="3:3" x14ac:dyDescent="0.3">
      <c r="C541" s="2" t="str">
        <f>IF(A541&lt;&gt;"",SUM(B541),"")</f>
        <v/>
      </c>
    </row>
    <row r="542" spans="3:3" x14ac:dyDescent="0.3">
      <c r="C542" s="2" t="str">
        <f>IF(A542&lt;&gt;"",SUM(B542),"")</f>
        <v/>
      </c>
    </row>
    <row r="543" spans="3:3" x14ac:dyDescent="0.3">
      <c r="C543" s="2" t="str">
        <f>IF(A543&lt;&gt;"",SUM(B543),"")</f>
        <v/>
      </c>
    </row>
    <row r="544" spans="3:3" x14ac:dyDescent="0.3">
      <c r="C544" s="2" t="str">
        <f>IF(A544&lt;&gt;"",SUM(B544),"")</f>
        <v/>
      </c>
    </row>
    <row r="545" spans="3:3" x14ac:dyDescent="0.3">
      <c r="C545" s="2" t="str">
        <f>IF(A545&lt;&gt;"",SUM(B545),"")</f>
        <v/>
      </c>
    </row>
    <row r="546" spans="3:3" x14ac:dyDescent="0.3">
      <c r="C546" s="2" t="str">
        <f>IF(A546&lt;&gt;"",SUM(B546),"")</f>
        <v/>
      </c>
    </row>
    <row r="547" spans="3:3" x14ac:dyDescent="0.3">
      <c r="C547" s="2" t="str">
        <f>IF(A547&lt;&gt;"",SUM(B547),"")</f>
        <v/>
      </c>
    </row>
    <row r="548" spans="3:3" x14ac:dyDescent="0.3">
      <c r="C548" s="2" t="str">
        <f>IF(A548&lt;&gt;"",SUM(B548),"")</f>
        <v/>
      </c>
    </row>
    <row r="549" spans="3:3" x14ac:dyDescent="0.3">
      <c r="C549" s="2" t="str">
        <f>IF(A549&lt;&gt;"",SUM(B549),"")</f>
        <v/>
      </c>
    </row>
    <row r="550" spans="3:3" x14ac:dyDescent="0.3">
      <c r="C550" s="2" t="str">
        <f>IF(A550&lt;&gt;"",SUM(B550),"")</f>
        <v/>
      </c>
    </row>
    <row r="551" spans="3:3" x14ac:dyDescent="0.3">
      <c r="C551" s="2" t="str">
        <f>IF(A551&lt;&gt;"",SUM(B551),"")</f>
        <v/>
      </c>
    </row>
    <row r="552" spans="3:3" x14ac:dyDescent="0.3">
      <c r="C552" s="2" t="str">
        <f>IF(A552&lt;&gt;"",SUM(B552),"")</f>
        <v/>
      </c>
    </row>
    <row r="553" spans="3:3" x14ac:dyDescent="0.3">
      <c r="C553" s="2" t="str">
        <f>IF(A553&lt;&gt;"",SUM(B553),"")</f>
        <v/>
      </c>
    </row>
    <row r="554" spans="3:3" x14ac:dyDescent="0.3">
      <c r="C554" s="2" t="str">
        <f>IF(A554&lt;&gt;"",SUM(B554),"")</f>
        <v/>
      </c>
    </row>
    <row r="555" spans="3:3" x14ac:dyDescent="0.3">
      <c r="C555" s="2" t="str">
        <f>IF(A555&lt;&gt;"",SUM(B555),"")</f>
        <v/>
      </c>
    </row>
    <row r="556" spans="3:3" x14ac:dyDescent="0.3">
      <c r="C556" s="2" t="str">
        <f>IF(A556&lt;&gt;"",SUM(B556),"")</f>
        <v/>
      </c>
    </row>
    <row r="557" spans="3:3" x14ac:dyDescent="0.3">
      <c r="C557" s="2" t="str">
        <f>IF(A557&lt;&gt;"",SUM(B557),"")</f>
        <v/>
      </c>
    </row>
    <row r="558" spans="3:3" x14ac:dyDescent="0.3">
      <c r="C558" s="2" t="str">
        <f>IF(A558&lt;&gt;"",SUM(B558),"")</f>
        <v/>
      </c>
    </row>
    <row r="559" spans="3:3" x14ac:dyDescent="0.3">
      <c r="C559" s="2" t="str">
        <f>IF(A559&lt;&gt;"",SUM(B559),"")</f>
        <v/>
      </c>
    </row>
    <row r="560" spans="3:3" x14ac:dyDescent="0.3">
      <c r="C560" s="2" t="str">
        <f>IF(A560&lt;&gt;"",SUM(B560),"")</f>
        <v/>
      </c>
    </row>
    <row r="561" spans="3:3" x14ac:dyDescent="0.3">
      <c r="C561" s="2" t="str">
        <f>IF(A561&lt;&gt;"",SUM(B561),"")</f>
        <v/>
      </c>
    </row>
    <row r="562" spans="3:3" x14ac:dyDescent="0.3">
      <c r="C562" s="2" t="str">
        <f>IF(A562&lt;&gt;"",SUM(B562),"")</f>
        <v/>
      </c>
    </row>
    <row r="563" spans="3:3" x14ac:dyDescent="0.3">
      <c r="C563" s="2" t="str">
        <f>IF(A563&lt;&gt;"",SUM(B563),"")</f>
        <v/>
      </c>
    </row>
    <row r="564" spans="3:3" x14ac:dyDescent="0.3">
      <c r="C564" s="2" t="str">
        <f>IF(A564&lt;&gt;"",SUM(B564),"")</f>
        <v/>
      </c>
    </row>
    <row r="565" spans="3:3" x14ac:dyDescent="0.3">
      <c r="C565" s="2" t="str">
        <f>IF(A565&lt;&gt;"",SUM(B565),"")</f>
        <v/>
      </c>
    </row>
    <row r="566" spans="3:3" x14ac:dyDescent="0.3">
      <c r="C566" s="2" t="str">
        <f>IF(A566&lt;&gt;"",SUM(B566),"")</f>
        <v/>
      </c>
    </row>
    <row r="567" spans="3:3" x14ac:dyDescent="0.3">
      <c r="C567" s="2" t="str">
        <f>IF(A567&lt;&gt;"",SUM(B567),"")</f>
        <v/>
      </c>
    </row>
    <row r="568" spans="3:3" x14ac:dyDescent="0.3">
      <c r="C568" s="2" t="str">
        <f>IF(A568&lt;&gt;"",SUM(B568),"")</f>
        <v/>
      </c>
    </row>
    <row r="569" spans="3:3" x14ac:dyDescent="0.3">
      <c r="C569" s="2" t="str">
        <f>IF(A569&lt;&gt;"",SUM(B569),"")</f>
        <v/>
      </c>
    </row>
    <row r="570" spans="3:3" x14ac:dyDescent="0.3">
      <c r="C570" s="2" t="str">
        <f>IF(A570&lt;&gt;"",SUM(B570),"")</f>
        <v/>
      </c>
    </row>
    <row r="571" spans="3:3" x14ac:dyDescent="0.3">
      <c r="C571" s="2" t="str">
        <f>IF(A571&lt;&gt;"",SUM(B571),"")</f>
        <v/>
      </c>
    </row>
    <row r="572" spans="3:3" x14ac:dyDescent="0.3">
      <c r="C572" s="2" t="str">
        <f>IF(A572&lt;&gt;"",SUM(B572),"")</f>
        <v/>
      </c>
    </row>
    <row r="573" spans="3:3" x14ac:dyDescent="0.3">
      <c r="C573" s="2" t="str">
        <f>IF(A573&lt;&gt;"",SUM(B573),"")</f>
        <v/>
      </c>
    </row>
    <row r="574" spans="3:3" x14ac:dyDescent="0.3">
      <c r="C574" s="2" t="str">
        <f>IF(A574&lt;&gt;"",SUM(B574),"")</f>
        <v/>
      </c>
    </row>
    <row r="575" spans="3:3" x14ac:dyDescent="0.3">
      <c r="C575" s="2" t="str">
        <f>IF(A575&lt;&gt;"",SUM(B575),"")</f>
        <v/>
      </c>
    </row>
    <row r="576" spans="3:3" x14ac:dyDescent="0.3">
      <c r="C576" s="2" t="str">
        <f>IF(A576&lt;&gt;"",SUM(B576),"")</f>
        <v/>
      </c>
    </row>
    <row r="577" spans="3:3" x14ac:dyDescent="0.3">
      <c r="C577" s="2" t="str">
        <f>IF(A577&lt;&gt;"",SUM(B577),"")</f>
        <v/>
      </c>
    </row>
    <row r="578" spans="3:3" x14ac:dyDescent="0.3">
      <c r="C578" s="2" t="str">
        <f>IF(A578&lt;&gt;"",SUM(B578),"")</f>
        <v/>
      </c>
    </row>
    <row r="579" spans="3:3" x14ac:dyDescent="0.3">
      <c r="C579" s="2" t="str">
        <f>IF(A579&lt;&gt;"",SUM(B579),"")</f>
        <v/>
      </c>
    </row>
    <row r="580" spans="3:3" x14ac:dyDescent="0.3">
      <c r="C580" s="2" t="str">
        <f>IF(A580&lt;&gt;"",SUM(B580),"")</f>
        <v/>
      </c>
    </row>
    <row r="581" spans="3:3" x14ac:dyDescent="0.3">
      <c r="C581" s="2" t="str">
        <f>IF(A581&lt;&gt;"",SUM(B581),"")</f>
        <v/>
      </c>
    </row>
    <row r="582" spans="3:3" x14ac:dyDescent="0.3">
      <c r="C582" s="2" t="str">
        <f>IF(A582&lt;&gt;"",SUM(B582),"")</f>
        <v/>
      </c>
    </row>
    <row r="583" spans="3:3" x14ac:dyDescent="0.3">
      <c r="C583" s="2" t="str">
        <f>IF(A583&lt;&gt;"",SUM(B583),"")</f>
        <v/>
      </c>
    </row>
    <row r="584" spans="3:3" x14ac:dyDescent="0.3">
      <c r="C584" s="2" t="str">
        <f>IF(A584&lt;&gt;"",SUM(B584),"")</f>
        <v/>
      </c>
    </row>
    <row r="585" spans="3:3" x14ac:dyDescent="0.3">
      <c r="C585" s="2" t="str">
        <f>IF(A585&lt;&gt;"",SUM(B585),"")</f>
        <v/>
      </c>
    </row>
    <row r="586" spans="3:3" x14ac:dyDescent="0.3">
      <c r="C586" s="2" t="str">
        <f>IF(A586&lt;&gt;"",SUM(B586),"")</f>
        <v/>
      </c>
    </row>
    <row r="587" spans="3:3" x14ac:dyDescent="0.3">
      <c r="C587" s="2" t="str">
        <f>IF(A587&lt;&gt;"",SUM(B587),"")</f>
        <v/>
      </c>
    </row>
    <row r="588" spans="3:3" x14ac:dyDescent="0.3">
      <c r="C588" s="2" t="str">
        <f>IF(A588&lt;&gt;"",SUM(B588),"")</f>
        <v/>
      </c>
    </row>
    <row r="589" spans="3:3" x14ac:dyDescent="0.3">
      <c r="C589" s="2" t="str">
        <f>IF(A589&lt;&gt;"",SUM(B589),"")</f>
        <v/>
      </c>
    </row>
    <row r="590" spans="3:3" x14ac:dyDescent="0.3">
      <c r="C590" s="2" t="str">
        <f>IF(A590&lt;&gt;"",SUM(B590),"")</f>
        <v/>
      </c>
    </row>
    <row r="591" spans="3:3" x14ac:dyDescent="0.3">
      <c r="C591" s="2" t="str">
        <f>IF(A591&lt;&gt;"",SUM(B591),"")</f>
        <v/>
      </c>
    </row>
    <row r="592" spans="3:3" x14ac:dyDescent="0.3">
      <c r="C592" s="2" t="str">
        <f>IF(A592&lt;&gt;"",SUM(B592),"")</f>
        <v/>
      </c>
    </row>
    <row r="593" spans="3:3" x14ac:dyDescent="0.3">
      <c r="C593" s="2" t="str">
        <f>IF(A593&lt;&gt;"",SUM(B593),"")</f>
        <v/>
      </c>
    </row>
    <row r="594" spans="3:3" x14ac:dyDescent="0.3">
      <c r="C594" s="2" t="str">
        <f>IF(A594&lt;&gt;"",SUM(B594),"")</f>
        <v/>
      </c>
    </row>
    <row r="595" spans="3:3" x14ac:dyDescent="0.3">
      <c r="C595" s="2" t="str">
        <f>IF(A595&lt;&gt;"",SUM(B595),"")</f>
        <v/>
      </c>
    </row>
    <row r="596" spans="3:3" x14ac:dyDescent="0.3">
      <c r="C596" s="2" t="str">
        <f>IF(A596&lt;&gt;"",SUM(B596),"")</f>
        <v/>
      </c>
    </row>
    <row r="597" spans="3:3" x14ac:dyDescent="0.3">
      <c r="C597" s="2" t="str">
        <f>IF(A597&lt;&gt;"",SUM(B597),"")</f>
        <v/>
      </c>
    </row>
    <row r="598" spans="3:3" x14ac:dyDescent="0.3">
      <c r="C598" s="2" t="str">
        <f>IF(A598&lt;&gt;"",SUM(B598),"")</f>
        <v/>
      </c>
    </row>
    <row r="599" spans="3:3" x14ac:dyDescent="0.3">
      <c r="C599" s="2" t="str">
        <f>IF(A599&lt;&gt;"",SUM(B599),"")</f>
        <v/>
      </c>
    </row>
    <row r="600" spans="3:3" x14ac:dyDescent="0.3">
      <c r="C600" s="2" t="str">
        <f>IF(A600&lt;&gt;"",SUM(B600),"")</f>
        <v/>
      </c>
    </row>
    <row r="601" spans="3:3" x14ac:dyDescent="0.3">
      <c r="C601" s="2" t="str">
        <f>IF(A601&lt;&gt;"",SUM(B601),"")</f>
        <v/>
      </c>
    </row>
    <row r="602" spans="3:3" x14ac:dyDescent="0.3">
      <c r="C602" s="2" t="str">
        <f>IF(A602&lt;&gt;"",SUM(B602),"")</f>
        <v/>
      </c>
    </row>
    <row r="603" spans="3:3" x14ac:dyDescent="0.3">
      <c r="C603" s="2" t="str">
        <f>IF(A603&lt;&gt;"",SUM(B603),"")</f>
        <v/>
      </c>
    </row>
    <row r="604" spans="3:3" x14ac:dyDescent="0.3">
      <c r="C604" s="2" t="str">
        <f>IF(A604&lt;&gt;"",SUM(B604),"")</f>
        <v/>
      </c>
    </row>
    <row r="605" spans="3:3" x14ac:dyDescent="0.3">
      <c r="C605" s="2" t="str">
        <f>IF(A605&lt;&gt;"",SUM(B605),"")</f>
        <v/>
      </c>
    </row>
    <row r="606" spans="3:3" x14ac:dyDescent="0.3">
      <c r="C606" s="2" t="str">
        <f>IF(A606&lt;&gt;"",SUM(B606),"")</f>
        <v/>
      </c>
    </row>
    <row r="607" spans="3:3" x14ac:dyDescent="0.3">
      <c r="C607" s="2" t="str">
        <f>IF(A607&lt;&gt;"",SUM(B607),"")</f>
        <v/>
      </c>
    </row>
    <row r="608" spans="3:3" x14ac:dyDescent="0.3">
      <c r="C608" s="2" t="str">
        <f>IF(A608&lt;&gt;"",SUM(B608),"")</f>
        <v/>
      </c>
    </row>
    <row r="609" spans="3:3" x14ac:dyDescent="0.3">
      <c r="C609" s="2" t="str">
        <f>IF(A609&lt;&gt;"",SUM(B609),"")</f>
        <v/>
      </c>
    </row>
    <row r="610" spans="3:3" x14ac:dyDescent="0.3">
      <c r="C610" s="2" t="str">
        <f>IF(A610&lt;&gt;"",SUM(B610),"")</f>
        <v/>
      </c>
    </row>
    <row r="611" spans="3:3" x14ac:dyDescent="0.3">
      <c r="C611" s="2" t="str">
        <f>IF(A611&lt;&gt;"",SUM(B611),"")</f>
        <v/>
      </c>
    </row>
    <row r="612" spans="3:3" x14ac:dyDescent="0.3">
      <c r="C612" s="2" t="str">
        <f>IF(A612&lt;&gt;"",SUM(B612),"")</f>
        <v/>
      </c>
    </row>
    <row r="613" spans="3:3" x14ac:dyDescent="0.3">
      <c r="C613" s="2" t="str">
        <f>IF(A613&lt;&gt;"",SUM(B613),"")</f>
        <v/>
      </c>
    </row>
    <row r="614" spans="3:3" x14ac:dyDescent="0.3">
      <c r="C614" s="2" t="str">
        <f>IF(A614&lt;&gt;"",SUM(B614),"")</f>
        <v/>
      </c>
    </row>
    <row r="615" spans="3:3" x14ac:dyDescent="0.3">
      <c r="C615" s="2" t="str">
        <f>IF(A615&lt;&gt;"",SUM(B615),"")</f>
        <v/>
      </c>
    </row>
    <row r="616" spans="3:3" x14ac:dyDescent="0.3">
      <c r="C616" s="2" t="str">
        <f>IF(A616&lt;&gt;"",SUM(B616),"")</f>
        <v/>
      </c>
    </row>
    <row r="617" spans="3:3" x14ac:dyDescent="0.3">
      <c r="C617" s="2" t="str">
        <f>IF(A617&lt;&gt;"",SUM(B617),"")</f>
        <v/>
      </c>
    </row>
    <row r="618" spans="3:3" x14ac:dyDescent="0.3">
      <c r="C618" s="2" t="str">
        <f>IF(A618&lt;&gt;"",SUM(B618),"")</f>
        <v/>
      </c>
    </row>
    <row r="619" spans="3:3" x14ac:dyDescent="0.3">
      <c r="C619" s="2" t="str">
        <f>IF(A619&lt;&gt;"",SUM(B619),"")</f>
        <v/>
      </c>
    </row>
    <row r="620" spans="3:3" x14ac:dyDescent="0.3">
      <c r="C620" s="2" t="str">
        <f>IF(A620&lt;&gt;"",SUM(B620),"")</f>
        <v/>
      </c>
    </row>
    <row r="621" spans="3:3" x14ac:dyDescent="0.3">
      <c r="C621" s="2" t="str">
        <f>IF(A621&lt;&gt;"",SUM(B621),"")</f>
        <v/>
      </c>
    </row>
    <row r="622" spans="3:3" x14ac:dyDescent="0.3">
      <c r="C622" s="2" t="str">
        <f>IF(A622&lt;&gt;"",SUM(B622),"")</f>
        <v/>
      </c>
    </row>
    <row r="623" spans="3:3" x14ac:dyDescent="0.3">
      <c r="C623" s="2" t="str">
        <f>IF(A623&lt;&gt;"",SUM(B623),"")</f>
        <v/>
      </c>
    </row>
    <row r="624" spans="3:3" x14ac:dyDescent="0.3">
      <c r="C624" s="2" t="str">
        <f>IF(A624&lt;&gt;"",SUM(B624),"")</f>
        <v/>
      </c>
    </row>
    <row r="625" spans="3:3" x14ac:dyDescent="0.3">
      <c r="C625" s="2" t="str">
        <f>IF(A625&lt;&gt;"",SUM(B625),"")</f>
        <v/>
      </c>
    </row>
    <row r="626" spans="3:3" x14ac:dyDescent="0.3">
      <c r="C626" s="2" t="str">
        <f>IF(A626&lt;&gt;"",SUM(B626),"")</f>
        <v/>
      </c>
    </row>
    <row r="627" spans="3:3" x14ac:dyDescent="0.3">
      <c r="C627" s="2" t="str">
        <f>IF(A627&lt;&gt;"",SUM(B627),"")</f>
        <v/>
      </c>
    </row>
    <row r="628" spans="3:3" x14ac:dyDescent="0.3">
      <c r="C628" s="2" t="str">
        <f>IF(A628&lt;&gt;"",SUM(B628),"")</f>
        <v/>
      </c>
    </row>
    <row r="629" spans="3:3" x14ac:dyDescent="0.3">
      <c r="C629" s="2" t="str">
        <f>IF(A629&lt;&gt;"",SUM(B629),"")</f>
        <v/>
      </c>
    </row>
    <row r="630" spans="3:3" x14ac:dyDescent="0.3">
      <c r="C630" s="2" t="str">
        <f>IF(A630&lt;&gt;"",SUM(B630),"")</f>
        <v/>
      </c>
    </row>
    <row r="631" spans="3:3" x14ac:dyDescent="0.3">
      <c r="C631" s="2" t="str">
        <f>IF(A631&lt;&gt;"",SUM(B631),"")</f>
        <v/>
      </c>
    </row>
    <row r="632" spans="3:3" x14ac:dyDescent="0.3">
      <c r="C632" s="2" t="str">
        <f>IF(A632&lt;&gt;"",SUM(B632),"")</f>
        <v/>
      </c>
    </row>
    <row r="633" spans="3:3" x14ac:dyDescent="0.3">
      <c r="C633" s="2" t="str">
        <f>IF(A633&lt;&gt;"",SUM(B633),"")</f>
        <v/>
      </c>
    </row>
    <row r="634" spans="3:3" x14ac:dyDescent="0.3">
      <c r="C634" s="2" t="str">
        <f>IF(A634&lt;&gt;"",SUM(B634),"")</f>
        <v/>
      </c>
    </row>
    <row r="635" spans="3:3" x14ac:dyDescent="0.3">
      <c r="C635" s="2" t="str">
        <f>IF(A635&lt;&gt;"",SUM(B635),"")</f>
        <v/>
      </c>
    </row>
    <row r="636" spans="3:3" x14ac:dyDescent="0.3">
      <c r="C636" s="2" t="str">
        <f>IF(A636&lt;&gt;"",SUM(B636),"")</f>
        <v/>
      </c>
    </row>
    <row r="637" spans="3:3" x14ac:dyDescent="0.3">
      <c r="C637" s="2" t="str">
        <f>IF(A637&lt;&gt;"",SUM(B637),"")</f>
        <v/>
      </c>
    </row>
    <row r="638" spans="3:3" x14ac:dyDescent="0.3">
      <c r="C638" s="2" t="str">
        <f>IF(A638&lt;&gt;"",SUM(B638),"")</f>
        <v/>
      </c>
    </row>
    <row r="639" spans="3:3" x14ac:dyDescent="0.3">
      <c r="C639" s="2" t="str">
        <f>IF(A639&lt;&gt;"",SUM(B639),"")</f>
        <v/>
      </c>
    </row>
    <row r="640" spans="3:3" x14ac:dyDescent="0.3">
      <c r="C640" s="2" t="str">
        <f>IF(A640&lt;&gt;"",SUM(B640),"")</f>
        <v/>
      </c>
    </row>
    <row r="641" spans="3:3" x14ac:dyDescent="0.3">
      <c r="C641" s="2" t="str">
        <f>IF(A641&lt;&gt;"",SUM(B641),"")</f>
        <v/>
      </c>
    </row>
    <row r="642" spans="3:3" x14ac:dyDescent="0.3">
      <c r="C642" s="2" t="str">
        <f>IF(A642&lt;&gt;"",SUM(B642),"")</f>
        <v/>
      </c>
    </row>
    <row r="643" spans="3:3" x14ac:dyDescent="0.3">
      <c r="C643" s="2" t="str">
        <f>IF(A643&lt;&gt;"",SUM(B643),"")</f>
        <v/>
      </c>
    </row>
    <row r="644" spans="3:3" x14ac:dyDescent="0.3">
      <c r="C644" s="2" t="str">
        <f>IF(A644&lt;&gt;"",SUM(B644),"")</f>
        <v/>
      </c>
    </row>
    <row r="645" spans="3:3" x14ac:dyDescent="0.3">
      <c r="C645" s="2" t="str">
        <f>IF(A645&lt;&gt;"",SUM(B645),"")</f>
        <v/>
      </c>
    </row>
    <row r="646" spans="3:3" x14ac:dyDescent="0.3">
      <c r="C646" s="2" t="str">
        <f>IF(A646&lt;&gt;"",SUM(B646),"")</f>
        <v/>
      </c>
    </row>
    <row r="647" spans="3:3" x14ac:dyDescent="0.3">
      <c r="C647" s="2" t="str">
        <f>IF(A647&lt;&gt;"",SUM(B647),"")</f>
        <v/>
      </c>
    </row>
    <row r="648" spans="3:3" x14ac:dyDescent="0.3">
      <c r="C648" s="2" t="str">
        <f>IF(A648&lt;&gt;"",SUM(B648),"")</f>
        <v/>
      </c>
    </row>
    <row r="649" spans="3:3" x14ac:dyDescent="0.3">
      <c r="C649" s="2" t="str">
        <f>IF(A649&lt;&gt;"",SUM(B649),"")</f>
        <v/>
      </c>
    </row>
    <row r="650" spans="3:3" x14ac:dyDescent="0.3">
      <c r="C650" s="2" t="str">
        <f>IF(A650&lt;&gt;"",SUM(B650),"")</f>
        <v/>
      </c>
    </row>
    <row r="651" spans="3:3" x14ac:dyDescent="0.3">
      <c r="C651" s="2" t="str">
        <f>IF(A651&lt;&gt;"",SUM(B651),"")</f>
        <v/>
      </c>
    </row>
    <row r="652" spans="3:3" x14ac:dyDescent="0.3">
      <c r="C652" s="2" t="str">
        <f>IF(A652&lt;&gt;"",SUM(B652),"")</f>
        <v/>
      </c>
    </row>
    <row r="653" spans="3:3" x14ac:dyDescent="0.3">
      <c r="C653" s="2" t="str">
        <f>IF(A653&lt;&gt;"",SUM(B653),"")</f>
        <v/>
      </c>
    </row>
    <row r="654" spans="3:3" x14ac:dyDescent="0.3">
      <c r="C654" s="2" t="str">
        <f>IF(A654&lt;&gt;"",SUM(B654),"")</f>
        <v/>
      </c>
    </row>
    <row r="655" spans="3:3" x14ac:dyDescent="0.3">
      <c r="C655" s="2" t="str">
        <f>IF(A655&lt;&gt;"",SUM(B655),"")</f>
        <v/>
      </c>
    </row>
    <row r="656" spans="3:3" x14ac:dyDescent="0.3">
      <c r="C656" s="2" t="str">
        <f>IF(A656&lt;&gt;"",SUM(B656),"")</f>
        <v/>
      </c>
    </row>
    <row r="657" spans="3:3" x14ac:dyDescent="0.3">
      <c r="C657" s="2" t="str">
        <f>IF(A657&lt;&gt;"",SUM(B657),"")</f>
        <v/>
      </c>
    </row>
    <row r="658" spans="3:3" x14ac:dyDescent="0.3">
      <c r="C658" s="2" t="str">
        <f>IF(A658&lt;&gt;"",SUM(B658),"")</f>
        <v/>
      </c>
    </row>
    <row r="659" spans="3:3" x14ac:dyDescent="0.3">
      <c r="C659" s="2" t="str">
        <f>IF(A659&lt;&gt;"",SUM(B659),"")</f>
        <v/>
      </c>
    </row>
    <row r="660" spans="3:3" x14ac:dyDescent="0.3">
      <c r="C660" s="2" t="str">
        <f>IF(A660&lt;&gt;"",SUM(B660),"")</f>
        <v/>
      </c>
    </row>
    <row r="661" spans="3:3" x14ac:dyDescent="0.3">
      <c r="C661" s="2" t="str">
        <f>IF(A661&lt;&gt;"",SUM(B661),"")</f>
        <v/>
      </c>
    </row>
    <row r="662" spans="3:3" x14ac:dyDescent="0.3">
      <c r="C662" s="2" t="str">
        <f>IF(A662&lt;&gt;"",SUM(B662),"")</f>
        <v/>
      </c>
    </row>
    <row r="663" spans="3:3" x14ac:dyDescent="0.3">
      <c r="C663" s="2" t="str">
        <f>IF(A663&lt;&gt;"",SUM(B663),"")</f>
        <v/>
      </c>
    </row>
    <row r="664" spans="3:3" x14ac:dyDescent="0.3">
      <c r="C664" s="2" t="str">
        <f>IF(A664&lt;&gt;"",SUM(B664),"")</f>
        <v/>
      </c>
    </row>
    <row r="665" spans="3:3" x14ac:dyDescent="0.3">
      <c r="C665" s="2" t="str">
        <f>IF(A665&lt;&gt;"",SUM(B665),"")</f>
        <v/>
      </c>
    </row>
    <row r="666" spans="3:3" x14ac:dyDescent="0.3">
      <c r="C666" s="2" t="str">
        <f>IF(A666&lt;&gt;"",SUM(B666),"")</f>
        <v/>
      </c>
    </row>
    <row r="667" spans="3:3" x14ac:dyDescent="0.3">
      <c r="C667" s="2" t="str">
        <f>IF(A667&lt;&gt;"",SUM(B667),"")</f>
        <v/>
      </c>
    </row>
    <row r="668" spans="3:3" x14ac:dyDescent="0.3">
      <c r="C668" s="2" t="str">
        <f>IF(A668&lt;&gt;"",SUM(B668),"")</f>
        <v/>
      </c>
    </row>
    <row r="669" spans="3:3" x14ac:dyDescent="0.3">
      <c r="C669" s="2" t="str">
        <f>IF(A669&lt;&gt;"",SUM(B669),"")</f>
        <v/>
      </c>
    </row>
    <row r="670" spans="3:3" x14ac:dyDescent="0.3">
      <c r="C670" s="2" t="str">
        <f>IF(A670&lt;&gt;"",SUM(B670),"")</f>
        <v/>
      </c>
    </row>
    <row r="671" spans="3:3" x14ac:dyDescent="0.3">
      <c r="C671" s="2" t="str">
        <f>IF(A671&lt;&gt;"",SUM(B671),"")</f>
        <v/>
      </c>
    </row>
    <row r="672" spans="3:3" x14ac:dyDescent="0.3">
      <c r="C672" s="2" t="str">
        <f>IF(A672&lt;&gt;"",SUM(B672),"")</f>
        <v/>
      </c>
    </row>
    <row r="673" spans="3:3" x14ac:dyDescent="0.3">
      <c r="C673" s="2" t="str">
        <f>IF(A673&lt;&gt;"",SUM(B673),"")</f>
        <v/>
      </c>
    </row>
    <row r="674" spans="3:3" x14ac:dyDescent="0.3">
      <c r="C674" s="2" t="str">
        <f>IF(A674&lt;&gt;"",SUM(B674),"")</f>
        <v/>
      </c>
    </row>
    <row r="675" spans="3:3" x14ac:dyDescent="0.3">
      <c r="C675" s="2" t="str">
        <f>IF(A675&lt;&gt;"",SUM(B675),"")</f>
        <v/>
      </c>
    </row>
    <row r="676" spans="3:3" x14ac:dyDescent="0.3">
      <c r="C676" s="2" t="str">
        <f>IF(A676&lt;&gt;"",SUM(B676),"")</f>
        <v/>
      </c>
    </row>
    <row r="677" spans="3:3" x14ac:dyDescent="0.3">
      <c r="C677" s="2" t="str">
        <f>IF(A677&lt;&gt;"",SUM(B677),"")</f>
        <v/>
      </c>
    </row>
    <row r="678" spans="3:3" x14ac:dyDescent="0.3">
      <c r="C678" s="2" t="str">
        <f>IF(A678&lt;&gt;"",SUM(B678),"")</f>
        <v/>
      </c>
    </row>
    <row r="679" spans="3:3" x14ac:dyDescent="0.3">
      <c r="C679" s="2" t="str">
        <f>IF(A679&lt;&gt;"",SUM(B679),"")</f>
        <v/>
      </c>
    </row>
    <row r="680" spans="3:3" x14ac:dyDescent="0.3">
      <c r="C680" s="2" t="str">
        <f>IF(A680&lt;&gt;"",SUM(B680),"")</f>
        <v/>
      </c>
    </row>
    <row r="681" spans="3:3" x14ac:dyDescent="0.3">
      <c r="C681" s="2" t="str">
        <f>IF(A681&lt;&gt;"",SUM(B681),"")</f>
        <v/>
      </c>
    </row>
    <row r="682" spans="3:3" x14ac:dyDescent="0.3">
      <c r="C682" s="2" t="str">
        <f>IF(A682&lt;&gt;"",SUM(B682),"")</f>
        <v/>
      </c>
    </row>
    <row r="683" spans="3:3" x14ac:dyDescent="0.3">
      <c r="C683" s="2" t="str">
        <f>IF(A683&lt;&gt;"",SUM(B683),"")</f>
        <v/>
      </c>
    </row>
    <row r="684" spans="3:3" x14ac:dyDescent="0.3">
      <c r="C684" s="2" t="str">
        <f>IF(A684&lt;&gt;"",SUM(B684),"")</f>
        <v/>
      </c>
    </row>
    <row r="685" spans="3:3" x14ac:dyDescent="0.3">
      <c r="C685" s="2" t="str">
        <f>IF(A685&lt;&gt;"",SUM(B685),"")</f>
        <v/>
      </c>
    </row>
    <row r="686" spans="3:3" x14ac:dyDescent="0.3">
      <c r="C686" s="2" t="str">
        <f>IF(A686&lt;&gt;"",SUM(B686),"")</f>
        <v/>
      </c>
    </row>
    <row r="687" spans="3:3" x14ac:dyDescent="0.3">
      <c r="C687" s="2" t="str">
        <f>IF(A687&lt;&gt;"",SUM(B687),"")</f>
        <v/>
      </c>
    </row>
    <row r="688" spans="3:3" x14ac:dyDescent="0.3">
      <c r="C688" s="2" t="str">
        <f>IF(A688&lt;&gt;"",SUM(B688),"")</f>
        <v/>
      </c>
    </row>
    <row r="689" spans="3:3" x14ac:dyDescent="0.3">
      <c r="C689" s="2" t="str">
        <f>IF(A689&lt;&gt;"",SUM(B689),"")</f>
        <v/>
      </c>
    </row>
    <row r="690" spans="3:3" x14ac:dyDescent="0.3">
      <c r="C690" s="2" t="str">
        <f>IF(A690&lt;&gt;"",SUM(B690),"")</f>
        <v/>
      </c>
    </row>
    <row r="691" spans="3:3" x14ac:dyDescent="0.3">
      <c r="C691" s="2" t="str">
        <f>IF(A691&lt;&gt;"",SUM(B691),"")</f>
        <v/>
      </c>
    </row>
    <row r="692" spans="3:3" x14ac:dyDescent="0.3">
      <c r="C692" s="2" t="str">
        <f>IF(A692&lt;&gt;"",SUM(B692),"")</f>
        <v/>
      </c>
    </row>
    <row r="693" spans="3:3" x14ac:dyDescent="0.3">
      <c r="C693" s="2" t="str">
        <f>IF(A693&lt;&gt;"",SUM(B693),"")</f>
        <v/>
      </c>
    </row>
    <row r="694" spans="3:3" x14ac:dyDescent="0.3">
      <c r="C694" s="2" t="str">
        <f>IF(A694&lt;&gt;"",SUM(B694),"")</f>
        <v/>
      </c>
    </row>
    <row r="695" spans="3:3" x14ac:dyDescent="0.3">
      <c r="C695" s="2" t="str">
        <f>IF(A695&lt;&gt;"",SUM(B695),"")</f>
        <v/>
      </c>
    </row>
    <row r="696" spans="3:3" x14ac:dyDescent="0.3">
      <c r="C696" s="2" t="str">
        <f>IF(A696&lt;&gt;"",SUM(B696),"")</f>
        <v/>
      </c>
    </row>
    <row r="697" spans="3:3" x14ac:dyDescent="0.3">
      <c r="C697" s="2" t="str">
        <f>IF(A697&lt;&gt;"",SUM(B697),"")</f>
        <v/>
      </c>
    </row>
    <row r="698" spans="3:3" x14ac:dyDescent="0.3">
      <c r="C698" s="2" t="str">
        <f>IF(A698&lt;&gt;"",SUM(B698),"")</f>
        <v/>
      </c>
    </row>
    <row r="699" spans="3:3" x14ac:dyDescent="0.3">
      <c r="C699" s="2" t="str">
        <f>IF(A699&lt;&gt;"",SUM(B699),"")</f>
        <v/>
      </c>
    </row>
    <row r="700" spans="3:3" x14ac:dyDescent="0.3">
      <c r="C700" s="2" t="str">
        <f>IF(A700&lt;&gt;"",SUM(B700),"")</f>
        <v/>
      </c>
    </row>
    <row r="701" spans="3:3" x14ac:dyDescent="0.3">
      <c r="C701" s="2" t="str">
        <f>IF(A701&lt;&gt;"",SUM(B701),"")</f>
        <v/>
      </c>
    </row>
    <row r="702" spans="3:3" x14ac:dyDescent="0.3">
      <c r="C702" s="2" t="str">
        <f>IF(A702&lt;&gt;"",SUM(B702),"")</f>
        <v/>
      </c>
    </row>
    <row r="703" spans="3:3" x14ac:dyDescent="0.3">
      <c r="C703" s="2" t="str">
        <f>IF(A703&lt;&gt;"",SUM(B703),"")</f>
        <v/>
      </c>
    </row>
    <row r="704" spans="3:3" x14ac:dyDescent="0.3">
      <c r="C704" s="2" t="str">
        <f>IF(A704&lt;&gt;"",SUM(B704),"")</f>
        <v/>
      </c>
    </row>
    <row r="705" spans="3:3" x14ac:dyDescent="0.3">
      <c r="C705" s="2" t="str">
        <f>IF(A705&lt;&gt;"",SUM(B705),"")</f>
        <v/>
      </c>
    </row>
    <row r="706" spans="3:3" x14ac:dyDescent="0.3">
      <c r="C706" s="2" t="str">
        <f>IF(A706&lt;&gt;"",SUM(B706),"")</f>
        <v/>
      </c>
    </row>
    <row r="707" spans="3:3" x14ac:dyDescent="0.3">
      <c r="C707" s="2" t="str">
        <f>IF(A707&lt;&gt;"",SUM(B707),"")</f>
        <v/>
      </c>
    </row>
    <row r="708" spans="3:3" x14ac:dyDescent="0.3">
      <c r="C708" s="2" t="str">
        <f>IF(A708&lt;&gt;"",SUM(B708),"")</f>
        <v/>
      </c>
    </row>
    <row r="709" spans="3:3" x14ac:dyDescent="0.3">
      <c r="C709" s="2" t="str">
        <f>IF(A709&lt;&gt;"",SUM(B709),"")</f>
        <v/>
      </c>
    </row>
    <row r="710" spans="3:3" x14ac:dyDescent="0.3">
      <c r="C710" s="2" t="str">
        <f>IF(A710&lt;&gt;"",SUM(B710),"")</f>
        <v/>
      </c>
    </row>
    <row r="711" spans="3:3" x14ac:dyDescent="0.3">
      <c r="C711" s="2" t="str">
        <f>IF(A711&lt;&gt;"",SUM(B711),"")</f>
        <v/>
      </c>
    </row>
    <row r="712" spans="3:3" x14ac:dyDescent="0.3">
      <c r="C712" s="2" t="str">
        <f>IF(A712&lt;&gt;"",SUM(B712),"")</f>
        <v/>
      </c>
    </row>
    <row r="713" spans="3:3" x14ac:dyDescent="0.3">
      <c r="C713" s="2" t="str">
        <f>IF(A713&lt;&gt;"",SUM(B713),"")</f>
        <v/>
      </c>
    </row>
    <row r="714" spans="3:3" x14ac:dyDescent="0.3">
      <c r="C714" s="2" t="str">
        <f>IF(A714&lt;&gt;"",SUM(B714),"")</f>
        <v/>
      </c>
    </row>
    <row r="715" spans="3:3" x14ac:dyDescent="0.3">
      <c r="C715" s="2" t="str">
        <f>IF(A715&lt;&gt;"",SUM(B715),"")</f>
        <v/>
      </c>
    </row>
    <row r="716" spans="3:3" x14ac:dyDescent="0.3">
      <c r="C716" s="2" t="str">
        <f>IF(A716&lt;&gt;"",SUM(B716),"")</f>
        <v/>
      </c>
    </row>
    <row r="717" spans="3:3" x14ac:dyDescent="0.3">
      <c r="C717" s="2" t="str">
        <f>IF(A717&lt;&gt;"",SUM(B717),"")</f>
        <v/>
      </c>
    </row>
    <row r="718" spans="3:3" x14ac:dyDescent="0.3">
      <c r="C718" s="2" t="str">
        <f>IF(A718&lt;&gt;"",SUM(B718),"")</f>
        <v/>
      </c>
    </row>
    <row r="719" spans="3:3" x14ac:dyDescent="0.3">
      <c r="C719" s="2" t="str">
        <f>IF(A719&lt;&gt;"",SUM(B719),"")</f>
        <v/>
      </c>
    </row>
    <row r="720" spans="3:3" x14ac:dyDescent="0.3">
      <c r="C720" s="2" t="str">
        <f>IF(A720&lt;&gt;"",SUM(B720),"")</f>
        <v/>
      </c>
    </row>
    <row r="721" spans="3:3" x14ac:dyDescent="0.3">
      <c r="C721" s="2" t="str">
        <f>IF(A721&lt;&gt;"",SUM(B721),"")</f>
        <v/>
      </c>
    </row>
    <row r="722" spans="3:3" x14ac:dyDescent="0.3">
      <c r="C722" s="2" t="str">
        <f>IF(A722&lt;&gt;"",SUM(B722),"")</f>
        <v/>
      </c>
    </row>
    <row r="723" spans="3:3" x14ac:dyDescent="0.3">
      <c r="C723" s="2" t="str">
        <f>IF(A723&lt;&gt;"",SUM(B723),"")</f>
        <v/>
      </c>
    </row>
    <row r="724" spans="3:3" x14ac:dyDescent="0.3">
      <c r="C724" s="2" t="str">
        <f>IF(A724&lt;&gt;"",SUM(B724),"")</f>
        <v/>
      </c>
    </row>
    <row r="725" spans="3:3" x14ac:dyDescent="0.3">
      <c r="C725" s="2" t="str">
        <f>IF(A725&lt;&gt;"",SUM(B725),"")</f>
        <v/>
      </c>
    </row>
    <row r="726" spans="3:3" x14ac:dyDescent="0.3">
      <c r="C726" s="2" t="str">
        <f>IF(A726&lt;&gt;"",SUM(B726),"")</f>
        <v/>
      </c>
    </row>
    <row r="727" spans="3:3" x14ac:dyDescent="0.3">
      <c r="C727" s="2" t="str">
        <f>IF(A727&lt;&gt;"",SUM(B727),"")</f>
        <v/>
      </c>
    </row>
    <row r="728" spans="3:3" x14ac:dyDescent="0.3">
      <c r="C728" s="2" t="str">
        <f>IF(A728&lt;&gt;"",SUM(B728),"")</f>
        <v/>
      </c>
    </row>
    <row r="729" spans="3:3" x14ac:dyDescent="0.3">
      <c r="C729" s="2" t="str">
        <f>IF(A729&lt;&gt;"",SUM(B729),"")</f>
        <v/>
      </c>
    </row>
    <row r="730" spans="3:3" x14ac:dyDescent="0.3">
      <c r="C730" s="2" t="str">
        <f>IF(A730&lt;&gt;"",SUM(B730),"")</f>
        <v/>
      </c>
    </row>
    <row r="731" spans="3:3" x14ac:dyDescent="0.3">
      <c r="C731" s="2" t="str">
        <f>IF(A731&lt;&gt;"",SUM(B731),"")</f>
        <v/>
      </c>
    </row>
    <row r="732" spans="3:3" x14ac:dyDescent="0.3">
      <c r="C732" s="2" t="str">
        <f>IF(A732&lt;&gt;"",SUM(B732),"")</f>
        <v/>
      </c>
    </row>
    <row r="733" spans="3:3" x14ac:dyDescent="0.3">
      <c r="C733" s="2" t="str">
        <f>IF(A733&lt;&gt;"",SUM(B733),"")</f>
        <v/>
      </c>
    </row>
    <row r="734" spans="3:3" x14ac:dyDescent="0.3">
      <c r="C734" s="2" t="str">
        <f>IF(A734&lt;&gt;"",SUM(B734),"")</f>
        <v/>
      </c>
    </row>
    <row r="735" spans="3:3" x14ac:dyDescent="0.3">
      <c r="C735" s="2" t="str">
        <f>IF(A735&lt;&gt;"",SUM(B735),"")</f>
        <v/>
      </c>
    </row>
    <row r="736" spans="3:3" x14ac:dyDescent="0.3">
      <c r="C736" s="2" t="str">
        <f>IF(A736&lt;&gt;"",SUM(B736),"")</f>
        <v/>
      </c>
    </row>
    <row r="737" spans="3:3" x14ac:dyDescent="0.3">
      <c r="C737" s="2" t="str">
        <f>IF(A737&lt;&gt;"",SUM(B737),"")</f>
        <v/>
      </c>
    </row>
    <row r="738" spans="3:3" x14ac:dyDescent="0.3">
      <c r="C738" s="2" t="str">
        <f>IF(A738&lt;&gt;"",SUM(B738),"")</f>
        <v/>
      </c>
    </row>
    <row r="739" spans="3:3" x14ac:dyDescent="0.3">
      <c r="C739" s="2" t="str">
        <f>IF(A739&lt;&gt;"",SUM(B739),"")</f>
        <v/>
      </c>
    </row>
    <row r="740" spans="3:3" x14ac:dyDescent="0.3">
      <c r="C740" s="2" t="str">
        <f>IF(A740&lt;&gt;"",SUM(B740),"")</f>
        <v/>
      </c>
    </row>
    <row r="741" spans="3:3" x14ac:dyDescent="0.3">
      <c r="C741" s="2" t="str">
        <f>IF(A741&lt;&gt;"",SUM(B741),"")</f>
        <v/>
      </c>
    </row>
    <row r="742" spans="3:3" x14ac:dyDescent="0.3">
      <c r="C742" s="2" t="str">
        <f>IF(A742&lt;&gt;"",SUM(B742),"")</f>
        <v/>
      </c>
    </row>
    <row r="743" spans="3:3" x14ac:dyDescent="0.3">
      <c r="C743" s="2" t="str">
        <f>IF(A743&lt;&gt;"",SUM(B743),"")</f>
        <v/>
      </c>
    </row>
    <row r="744" spans="3:3" x14ac:dyDescent="0.3">
      <c r="C744" s="2" t="str">
        <f>IF(A744&lt;&gt;"",SUM(B744),"")</f>
        <v/>
      </c>
    </row>
    <row r="745" spans="3:3" x14ac:dyDescent="0.3">
      <c r="C745" s="2" t="str">
        <f>IF(A745&lt;&gt;"",SUM(B745),"")</f>
        <v/>
      </c>
    </row>
    <row r="746" spans="3:3" x14ac:dyDescent="0.3">
      <c r="C746" s="2" t="str">
        <f>IF(A746&lt;&gt;"",SUM(B746),"")</f>
        <v/>
      </c>
    </row>
    <row r="747" spans="3:3" x14ac:dyDescent="0.3">
      <c r="C747" s="2" t="str">
        <f>IF(A747&lt;&gt;"",SUM(B747),"")</f>
        <v/>
      </c>
    </row>
    <row r="748" spans="3:3" x14ac:dyDescent="0.3">
      <c r="C748" s="2" t="str">
        <f>IF(A748&lt;&gt;"",SUM(B748),"")</f>
        <v/>
      </c>
    </row>
    <row r="749" spans="3:3" x14ac:dyDescent="0.3">
      <c r="C749" s="2" t="str">
        <f>IF(A749&lt;&gt;"",SUM(B749),"")</f>
        <v/>
      </c>
    </row>
    <row r="750" spans="3:3" x14ac:dyDescent="0.3">
      <c r="C750" s="2" t="str">
        <f>IF(A750&lt;&gt;"",SUM(B750),"")</f>
        <v/>
      </c>
    </row>
    <row r="751" spans="3:3" x14ac:dyDescent="0.3">
      <c r="C751" s="2" t="str">
        <f>IF(A751&lt;&gt;"",SUM(B751),"")</f>
        <v/>
      </c>
    </row>
    <row r="752" spans="3:3" x14ac:dyDescent="0.3">
      <c r="C752" s="2" t="str">
        <f>IF(A752&lt;&gt;"",SUM(B752),"")</f>
        <v/>
      </c>
    </row>
    <row r="753" spans="3:3" x14ac:dyDescent="0.3">
      <c r="C753" s="2" t="str">
        <f>IF(A753&lt;&gt;"",SUM(B753),"")</f>
        <v/>
      </c>
    </row>
    <row r="754" spans="3:3" x14ac:dyDescent="0.3">
      <c r="C754" s="2" t="str">
        <f>IF(A754&lt;&gt;"",SUM(B754),"")</f>
        <v/>
      </c>
    </row>
    <row r="755" spans="3:3" x14ac:dyDescent="0.3">
      <c r="C755" s="2" t="str">
        <f>IF(A755&lt;&gt;"",SUM(B755),"")</f>
        <v/>
      </c>
    </row>
    <row r="756" spans="3:3" x14ac:dyDescent="0.3">
      <c r="C756" s="2" t="str">
        <f>IF(A756&lt;&gt;"",SUM(B756),"")</f>
        <v/>
      </c>
    </row>
    <row r="757" spans="3:3" x14ac:dyDescent="0.3">
      <c r="C757" s="2" t="str">
        <f>IF(A757&lt;&gt;"",SUM(B757),"")</f>
        <v/>
      </c>
    </row>
    <row r="758" spans="3:3" x14ac:dyDescent="0.3">
      <c r="C758" s="2" t="str">
        <f>IF(A758&lt;&gt;"",SUM(B758),"")</f>
        <v/>
      </c>
    </row>
    <row r="759" spans="3:3" x14ac:dyDescent="0.3">
      <c r="C759" s="2" t="str">
        <f>IF(A759&lt;&gt;"",SUM(B759),"")</f>
        <v/>
      </c>
    </row>
    <row r="760" spans="3:3" x14ac:dyDescent="0.3">
      <c r="C760" s="2" t="str">
        <f>IF(A760&lt;&gt;"",SUM(B760),"")</f>
        <v/>
      </c>
    </row>
    <row r="761" spans="3:3" x14ac:dyDescent="0.3">
      <c r="C761" s="2" t="str">
        <f>IF(A761&lt;&gt;"",SUM(B761),"")</f>
        <v/>
      </c>
    </row>
    <row r="762" spans="3:3" x14ac:dyDescent="0.3">
      <c r="C762" s="2" t="str">
        <f>IF(A762&lt;&gt;"",SUM(B762),"")</f>
        <v/>
      </c>
    </row>
    <row r="763" spans="3:3" x14ac:dyDescent="0.3">
      <c r="C763" s="2" t="str">
        <f>IF(A763&lt;&gt;"",SUM(B763),"")</f>
        <v/>
      </c>
    </row>
    <row r="764" spans="3:3" x14ac:dyDescent="0.3">
      <c r="C764" s="2" t="str">
        <f>IF(A764&lt;&gt;"",SUM(B764),"")</f>
        <v/>
      </c>
    </row>
    <row r="765" spans="3:3" x14ac:dyDescent="0.3">
      <c r="C765" s="2" t="str">
        <f>IF(A765&lt;&gt;"",SUM(B765),"")</f>
        <v/>
      </c>
    </row>
    <row r="766" spans="3:3" x14ac:dyDescent="0.3">
      <c r="C766" s="2" t="str">
        <f>IF(A766&lt;&gt;"",SUM(B766),"")</f>
        <v/>
      </c>
    </row>
    <row r="767" spans="3:3" x14ac:dyDescent="0.3">
      <c r="C767" s="2" t="str">
        <f>IF(A767&lt;&gt;"",SUM(B767),"")</f>
        <v/>
      </c>
    </row>
    <row r="768" spans="3:3" x14ac:dyDescent="0.3">
      <c r="C768" s="2" t="str">
        <f>IF(A768&lt;&gt;"",SUM(B768),"")</f>
        <v/>
      </c>
    </row>
    <row r="769" spans="3:3" x14ac:dyDescent="0.3">
      <c r="C769" s="2" t="str">
        <f>IF(A769&lt;&gt;"",SUM(B769),"")</f>
        <v/>
      </c>
    </row>
    <row r="770" spans="3:3" x14ac:dyDescent="0.3">
      <c r="C770" s="2" t="str">
        <f>IF(A770&lt;&gt;"",SUM(B770),"")</f>
        <v/>
      </c>
    </row>
    <row r="771" spans="3:3" x14ac:dyDescent="0.3">
      <c r="C771" s="2" t="str">
        <f>IF(A771&lt;&gt;"",SUM(B771),"")</f>
        <v/>
      </c>
    </row>
    <row r="772" spans="3:3" x14ac:dyDescent="0.3">
      <c r="C772" s="2" t="str">
        <f>IF(A772&lt;&gt;"",SUM(B772),"")</f>
        <v/>
      </c>
    </row>
    <row r="773" spans="3:3" x14ac:dyDescent="0.3">
      <c r="C773" s="2" t="str">
        <f>IF(A773&lt;&gt;"",SUM(B773),"")</f>
        <v/>
      </c>
    </row>
    <row r="774" spans="3:3" x14ac:dyDescent="0.3">
      <c r="C774" s="2" t="str">
        <f>IF(A774&lt;&gt;"",SUM(B774),"")</f>
        <v/>
      </c>
    </row>
    <row r="775" spans="3:3" x14ac:dyDescent="0.3">
      <c r="C775" s="2" t="str">
        <f>IF(A775&lt;&gt;"",SUM(B775),"")</f>
        <v/>
      </c>
    </row>
    <row r="776" spans="3:3" x14ac:dyDescent="0.3">
      <c r="C776" s="2" t="str">
        <f>IF(A776&lt;&gt;"",SUM(B776),"")</f>
        <v/>
      </c>
    </row>
    <row r="777" spans="3:3" x14ac:dyDescent="0.3">
      <c r="C777" s="2" t="str">
        <f>IF(A777&lt;&gt;"",SUM(B777),"")</f>
        <v/>
      </c>
    </row>
    <row r="778" spans="3:3" x14ac:dyDescent="0.3">
      <c r="C778" s="2" t="str">
        <f>IF(A778&lt;&gt;"",SUM(B778),"")</f>
        <v/>
      </c>
    </row>
    <row r="779" spans="3:3" x14ac:dyDescent="0.3">
      <c r="C779" s="2" t="str">
        <f>IF(A779&lt;&gt;"",SUM(B779),"")</f>
        <v/>
      </c>
    </row>
    <row r="780" spans="3:3" x14ac:dyDescent="0.3">
      <c r="C780" s="2" t="str">
        <f>IF(A780&lt;&gt;"",SUM(B780),"")</f>
        <v/>
      </c>
    </row>
    <row r="781" spans="3:3" x14ac:dyDescent="0.3">
      <c r="C781" s="2" t="str">
        <f>IF(A781&lt;&gt;"",SUM(B781),"")</f>
        <v/>
      </c>
    </row>
    <row r="782" spans="3:3" x14ac:dyDescent="0.3">
      <c r="C782" s="2" t="str">
        <f>IF(A782&lt;&gt;"",SUM(B782),"")</f>
        <v/>
      </c>
    </row>
    <row r="783" spans="3:3" x14ac:dyDescent="0.3">
      <c r="C783" s="2" t="str">
        <f>IF(A783&lt;&gt;"",SUM(B783),"")</f>
        <v/>
      </c>
    </row>
    <row r="784" spans="3:3" x14ac:dyDescent="0.3">
      <c r="C784" s="2" t="str">
        <f>IF(A784&lt;&gt;"",SUM(B784),"")</f>
        <v/>
      </c>
    </row>
    <row r="785" spans="3:3" x14ac:dyDescent="0.3">
      <c r="C785" s="2" t="str">
        <f>IF(A785&lt;&gt;"",SUM(B785),"")</f>
        <v/>
      </c>
    </row>
    <row r="786" spans="3:3" x14ac:dyDescent="0.3">
      <c r="C786" s="2" t="str">
        <f>IF(A786&lt;&gt;"",SUM(B786),"")</f>
        <v/>
      </c>
    </row>
    <row r="787" spans="3:3" x14ac:dyDescent="0.3">
      <c r="C787" s="2" t="str">
        <f>IF(A787&lt;&gt;"",SUM(B787),"")</f>
        <v/>
      </c>
    </row>
    <row r="788" spans="3:3" x14ac:dyDescent="0.3">
      <c r="C788" s="2" t="str">
        <f>IF(A788&lt;&gt;"",SUM(B788),"")</f>
        <v/>
      </c>
    </row>
    <row r="789" spans="3:3" x14ac:dyDescent="0.3">
      <c r="C789" s="2" t="str">
        <f>IF(A789&lt;&gt;"",SUM(B789),"")</f>
        <v/>
      </c>
    </row>
    <row r="790" spans="3:3" x14ac:dyDescent="0.3">
      <c r="C790" s="2" t="str">
        <f>IF(A790&lt;&gt;"",SUM(B790),"")</f>
        <v/>
      </c>
    </row>
    <row r="791" spans="3:3" x14ac:dyDescent="0.3">
      <c r="C791" s="2" t="str">
        <f>IF(A791&lt;&gt;"",SUM(B791),"")</f>
        <v/>
      </c>
    </row>
    <row r="792" spans="3:3" x14ac:dyDescent="0.3">
      <c r="C792" s="2" t="str">
        <f>IF(A792&lt;&gt;"",SUM(B792),"")</f>
        <v/>
      </c>
    </row>
    <row r="793" spans="3:3" x14ac:dyDescent="0.3">
      <c r="C793" s="2" t="str">
        <f>IF(A793&lt;&gt;"",SUM(B793),"")</f>
        <v/>
      </c>
    </row>
    <row r="794" spans="3:3" x14ac:dyDescent="0.3">
      <c r="C794" s="2" t="str">
        <f>IF(A794&lt;&gt;"",SUM(B794),"")</f>
        <v/>
      </c>
    </row>
    <row r="795" spans="3:3" x14ac:dyDescent="0.3">
      <c r="C795" s="2" t="str">
        <f>IF(A795&lt;&gt;"",SUM(B795),"")</f>
        <v/>
      </c>
    </row>
    <row r="796" spans="3:3" x14ac:dyDescent="0.3">
      <c r="C796" s="2" t="str">
        <f>IF(A796&lt;&gt;"",SUM(B796),"")</f>
        <v/>
      </c>
    </row>
    <row r="797" spans="3:3" x14ac:dyDescent="0.3">
      <c r="C797" s="2" t="str">
        <f>IF(A797&lt;&gt;"",SUM(B797),"")</f>
        <v/>
      </c>
    </row>
    <row r="798" spans="3:3" x14ac:dyDescent="0.3">
      <c r="C798" s="2" t="str">
        <f>IF(A798&lt;&gt;"",SUM(B798),"")</f>
        <v/>
      </c>
    </row>
    <row r="799" spans="3:3" x14ac:dyDescent="0.3">
      <c r="C799" s="2" t="str">
        <f>IF(A799&lt;&gt;"",SUM(B799),"")</f>
        <v/>
      </c>
    </row>
    <row r="800" spans="3:3" x14ac:dyDescent="0.3">
      <c r="C800" s="2" t="str">
        <f>IF(A800&lt;&gt;"",SUM(B800),"")</f>
        <v/>
      </c>
    </row>
    <row r="801" spans="3:3" x14ac:dyDescent="0.3">
      <c r="C801" s="2" t="str">
        <f>IF(A801&lt;&gt;"",SUM(B801),"")</f>
        <v/>
      </c>
    </row>
    <row r="802" spans="3:3" x14ac:dyDescent="0.3">
      <c r="C802" s="2" t="str">
        <f>IF(A802&lt;&gt;"",SUM(B802),"")</f>
        <v/>
      </c>
    </row>
    <row r="803" spans="3:3" x14ac:dyDescent="0.3">
      <c r="C803" s="2" t="str">
        <f>IF(A803&lt;&gt;"",SUM(B803),"")</f>
        <v/>
      </c>
    </row>
    <row r="804" spans="3:3" x14ac:dyDescent="0.3">
      <c r="C804" s="2" t="str">
        <f>IF(A804&lt;&gt;"",SUM(B804),"")</f>
        <v/>
      </c>
    </row>
    <row r="805" spans="3:3" x14ac:dyDescent="0.3">
      <c r="C805" s="2" t="str">
        <f>IF(A805&lt;&gt;"",SUM(B805),"")</f>
        <v/>
      </c>
    </row>
    <row r="806" spans="3:3" x14ac:dyDescent="0.3">
      <c r="C806" s="2" t="str">
        <f>IF(A806&lt;&gt;"",SUM(B806),"")</f>
        <v/>
      </c>
    </row>
    <row r="807" spans="3:3" x14ac:dyDescent="0.3">
      <c r="C807" s="2" t="str">
        <f>IF(A807&lt;&gt;"",SUM(B807),"")</f>
        <v/>
      </c>
    </row>
    <row r="808" spans="3:3" x14ac:dyDescent="0.3">
      <c r="C808" s="2" t="str">
        <f>IF(A808&lt;&gt;"",SUM(B808),"")</f>
        <v/>
      </c>
    </row>
    <row r="809" spans="3:3" x14ac:dyDescent="0.3">
      <c r="C809" s="2" t="str">
        <f>IF(A809&lt;&gt;"",SUM(B809),"")</f>
        <v/>
      </c>
    </row>
    <row r="810" spans="3:3" x14ac:dyDescent="0.3">
      <c r="C810" s="2" t="str">
        <f>IF(A810&lt;&gt;"",SUM(B810),"")</f>
        <v/>
      </c>
    </row>
    <row r="811" spans="3:3" x14ac:dyDescent="0.3">
      <c r="C811" s="2" t="str">
        <f>IF(A811&lt;&gt;"",SUM(B811),"")</f>
        <v/>
      </c>
    </row>
    <row r="812" spans="3:3" x14ac:dyDescent="0.3">
      <c r="C812" s="2" t="str">
        <f>IF(A812&lt;&gt;"",SUM(B812),"")</f>
        <v/>
      </c>
    </row>
    <row r="813" spans="3:3" x14ac:dyDescent="0.3">
      <c r="C813" s="2" t="str">
        <f>IF(A813&lt;&gt;"",SUM(B813),"")</f>
        <v/>
      </c>
    </row>
    <row r="814" spans="3:3" x14ac:dyDescent="0.3">
      <c r="C814" s="2" t="str">
        <f>IF(A814&lt;&gt;"",SUM(B814),"")</f>
        <v/>
      </c>
    </row>
    <row r="815" spans="3:3" x14ac:dyDescent="0.3">
      <c r="C815" s="2" t="str">
        <f>IF(A815&lt;&gt;"",SUM(B815),"")</f>
        <v/>
      </c>
    </row>
    <row r="816" spans="3:3" x14ac:dyDescent="0.3">
      <c r="C816" s="2" t="str">
        <f>IF(A816&lt;&gt;"",SUM(B816),"")</f>
        <v/>
      </c>
    </row>
    <row r="817" spans="3:3" x14ac:dyDescent="0.3">
      <c r="C817" s="2" t="str">
        <f>IF(A817&lt;&gt;"",SUM(B817),"")</f>
        <v/>
      </c>
    </row>
    <row r="818" spans="3:3" x14ac:dyDescent="0.3">
      <c r="C818" s="2" t="str">
        <f>IF(A818&lt;&gt;"",SUM(B818),"")</f>
        <v/>
      </c>
    </row>
    <row r="819" spans="3:3" x14ac:dyDescent="0.3">
      <c r="C819" s="2" t="str">
        <f>IF(A819&lt;&gt;"",SUM(B819),"")</f>
        <v/>
      </c>
    </row>
    <row r="820" spans="3:3" x14ac:dyDescent="0.3">
      <c r="C820" s="2" t="str">
        <f>IF(A820&lt;&gt;"",SUM(B820),"")</f>
        <v/>
      </c>
    </row>
    <row r="821" spans="3:3" x14ac:dyDescent="0.3">
      <c r="C821" s="2" t="str">
        <f>IF(A821&lt;&gt;"",SUM(B821),"")</f>
        <v/>
      </c>
    </row>
    <row r="822" spans="3:3" x14ac:dyDescent="0.3">
      <c r="C822" s="2" t="str">
        <f>IF(A822&lt;&gt;"",SUM(B822),"")</f>
        <v/>
      </c>
    </row>
    <row r="823" spans="3:3" x14ac:dyDescent="0.3">
      <c r="C823" s="2" t="str">
        <f>IF(A823&lt;&gt;"",SUM(B823),"")</f>
        <v/>
      </c>
    </row>
    <row r="824" spans="3:3" x14ac:dyDescent="0.3">
      <c r="C824" s="2" t="str">
        <f>IF(A824&lt;&gt;"",SUM(B824),"")</f>
        <v/>
      </c>
    </row>
    <row r="825" spans="3:3" x14ac:dyDescent="0.3">
      <c r="C825" s="2" t="str">
        <f>IF(A825&lt;&gt;"",SUM(B825),"")</f>
        <v/>
      </c>
    </row>
    <row r="826" spans="3:3" x14ac:dyDescent="0.3">
      <c r="C826" s="2" t="str">
        <f>IF(A826&lt;&gt;"",SUM(B826),"")</f>
        <v/>
      </c>
    </row>
    <row r="827" spans="3:3" x14ac:dyDescent="0.3">
      <c r="C827" s="2" t="str">
        <f>IF(A827&lt;&gt;"",SUM(B827),"")</f>
        <v/>
      </c>
    </row>
    <row r="828" spans="3:3" x14ac:dyDescent="0.3">
      <c r="C828" s="2" t="str">
        <f>IF(A828&lt;&gt;"",SUM(B828),"")</f>
        <v/>
      </c>
    </row>
    <row r="829" spans="3:3" x14ac:dyDescent="0.3">
      <c r="C829" s="2" t="str">
        <f>IF(A829&lt;&gt;"",SUM(B829),"")</f>
        <v/>
      </c>
    </row>
    <row r="830" spans="3:3" x14ac:dyDescent="0.3">
      <c r="C830" s="2" t="str">
        <f>IF(A830&lt;&gt;"",SUM(B830),"")</f>
        <v/>
      </c>
    </row>
    <row r="831" spans="3:3" x14ac:dyDescent="0.3">
      <c r="C831" s="2" t="str">
        <f>IF(A831&lt;&gt;"",SUM(B831),"")</f>
        <v/>
      </c>
    </row>
    <row r="832" spans="3:3" x14ac:dyDescent="0.3">
      <c r="C832" s="2" t="str">
        <f>IF(A832&lt;&gt;"",SUM(B832),"")</f>
        <v/>
      </c>
    </row>
    <row r="833" spans="3:3" x14ac:dyDescent="0.3">
      <c r="C833" s="2" t="str">
        <f>IF(A833&lt;&gt;"",SUM(B833),"")</f>
        <v/>
      </c>
    </row>
    <row r="834" spans="3:3" x14ac:dyDescent="0.3">
      <c r="C834" s="2" t="str">
        <f>IF(A834&lt;&gt;"",SUM(B834),"")</f>
        <v/>
      </c>
    </row>
    <row r="835" spans="3:3" x14ac:dyDescent="0.3">
      <c r="C835" s="2" t="str">
        <f>IF(A835&lt;&gt;"",SUM(B835),"")</f>
        <v/>
      </c>
    </row>
    <row r="836" spans="3:3" x14ac:dyDescent="0.3">
      <c r="C836" s="2" t="str">
        <f>IF(A836&lt;&gt;"",SUM(B836),"")</f>
        <v/>
      </c>
    </row>
    <row r="837" spans="3:3" x14ac:dyDescent="0.3">
      <c r="C837" s="2" t="str">
        <f>IF(A837&lt;&gt;"",SUM(B837),"")</f>
        <v/>
      </c>
    </row>
    <row r="838" spans="3:3" x14ac:dyDescent="0.3">
      <c r="C838" s="2" t="str">
        <f>IF(A838&lt;&gt;"",SUM(B838),"")</f>
        <v/>
      </c>
    </row>
    <row r="839" spans="3:3" x14ac:dyDescent="0.3">
      <c r="C839" s="2" t="str">
        <f>IF(A839&lt;&gt;"",SUM(B839),"")</f>
        <v/>
      </c>
    </row>
    <row r="840" spans="3:3" x14ac:dyDescent="0.3">
      <c r="C840" s="2" t="str">
        <f>IF(A840&lt;&gt;"",SUM(B840),"")</f>
        <v/>
      </c>
    </row>
    <row r="841" spans="3:3" x14ac:dyDescent="0.3">
      <c r="C841" s="2" t="str">
        <f>IF(A841&lt;&gt;"",SUM(B841),"")</f>
        <v/>
      </c>
    </row>
    <row r="842" spans="3:3" x14ac:dyDescent="0.3">
      <c r="C842" s="2" t="str">
        <f>IF(A842&lt;&gt;"",SUM(B842),"")</f>
        <v/>
      </c>
    </row>
    <row r="843" spans="3:3" x14ac:dyDescent="0.3">
      <c r="C843" s="2" t="str">
        <f>IF(A843&lt;&gt;"",SUM(B843),"")</f>
        <v/>
      </c>
    </row>
    <row r="844" spans="3:3" x14ac:dyDescent="0.3">
      <c r="C844" s="2" t="str">
        <f>IF(A844&lt;&gt;"",SUM(B844),"")</f>
        <v/>
      </c>
    </row>
    <row r="845" spans="3:3" x14ac:dyDescent="0.3">
      <c r="C845" s="2" t="str">
        <f>IF(A845&lt;&gt;"",SUM(B845),"")</f>
        <v/>
      </c>
    </row>
    <row r="846" spans="3:3" x14ac:dyDescent="0.3">
      <c r="C846" s="2" t="str">
        <f>IF(A846&lt;&gt;"",SUM(B846),"")</f>
        <v/>
      </c>
    </row>
    <row r="847" spans="3:3" x14ac:dyDescent="0.3">
      <c r="C847" s="2" t="str">
        <f>IF(A847&lt;&gt;"",SUM(B847),"")</f>
        <v/>
      </c>
    </row>
    <row r="848" spans="3:3" x14ac:dyDescent="0.3">
      <c r="C848" s="2" t="str">
        <f>IF(A848&lt;&gt;"",SUM(B848),"")</f>
        <v/>
      </c>
    </row>
    <row r="849" spans="3:3" x14ac:dyDescent="0.3">
      <c r="C849" s="2" t="str">
        <f>IF(A849&lt;&gt;"",SUM(B849),"")</f>
        <v/>
      </c>
    </row>
    <row r="850" spans="3:3" x14ac:dyDescent="0.3">
      <c r="C850" s="2" t="str">
        <f>IF(A850&lt;&gt;"",SUM(B850),"")</f>
        <v/>
      </c>
    </row>
    <row r="851" spans="3:3" x14ac:dyDescent="0.3">
      <c r="C851" s="2" t="str">
        <f>IF(A851&lt;&gt;"",SUM(B851),"")</f>
        <v/>
      </c>
    </row>
    <row r="852" spans="3:3" x14ac:dyDescent="0.3">
      <c r="C852" s="2" t="str">
        <f>IF(A852&lt;&gt;"",SUM(B852),"")</f>
        <v/>
      </c>
    </row>
    <row r="853" spans="3:3" x14ac:dyDescent="0.3">
      <c r="C853" s="2" t="str">
        <f>IF(A853&lt;&gt;"",SUM(B853),"")</f>
        <v/>
      </c>
    </row>
    <row r="854" spans="3:3" x14ac:dyDescent="0.3">
      <c r="C854" s="2" t="str">
        <f>IF(A854&lt;&gt;"",SUM(B854),"")</f>
        <v/>
      </c>
    </row>
    <row r="855" spans="3:3" x14ac:dyDescent="0.3">
      <c r="C855" s="2" t="str">
        <f>IF(A855&lt;&gt;"",SUM(B855),"")</f>
        <v/>
      </c>
    </row>
    <row r="856" spans="3:3" x14ac:dyDescent="0.3">
      <c r="C856" s="2" t="str">
        <f>IF(A856&lt;&gt;"",SUM(B856),"")</f>
        <v/>
      </c>
    </row>
    <row r="857" spans="3:3" x14ac:dyDescent="0.3">
      <c r="C857" s="2" t="str">
        <f>IF(A857&lt;&gt;"",SUM(B857),"")</f>
        <v/>
      </c>
    </row>
    <row r="858" spans="3:3" x14ac:dyDescent="0.3">
      <c r="C858" s="2" t="str">
        <f>IF(A858&lt;&gt;"",SUM(B858),"")</f>
        <v/>
      </c>
    </row>
    <row r="859" spans="3:3" x14ac:dyDescent="0.3">
      <c r="C859" s="2" t="str">
        <f>IF(A859&lt;&gt;"",SUM(B859),"")</f>
        <v/>
      </c>
    </row>
    <row r="860" spans="3:3" x14ac:dyDescent="0.3">
      <c r="C860" s="2" t="str">
        <f>IF(A860&lt;&gt;"",SUM(B860),"")</f>
        <v/>
      </c>
    </row>
    <row r="861" spans="3:3" x14ac:dyDescent="0.3">
      <c r="C861" s="2" t="str">
        <f>IF(A861&lt;&gt;"",SUM(B861),"")</f>
        <v/>
      </c>
    </row>
    <row r="862" spans="3:3" x14ac:dyDescent="0.3">
      <c r="C862" s="2" t="str">
        <f>IF(A862&lt;&gt;"",SUM(B862),"")</f>
        <v/>
      </c>
    </row>
    <row r="863" spans="3:3" x14ac:dyDescent="0.3">
      <c r="C863" s="2" t="str">
        <f>IF(A863&lt;&gt;"",SUM(B863),"")</f>
        <v/>
      </c>
    </row>
    <row r="864" spans="3:3" x14ac:dyDescent="0.3">
      <c r="C864" s="2" t="str">
        <f>IF(A864&lt;&gt;"",SUM(B864),"")</f>
        <v/>
      </c>
    </row>
    <row r="865" spans="3:3" x14ac:dyDescent="0.3">
      <c r="C865" s="2" t="str">
        <f>IF(A865&lt;&gt;"",SUM(B865),"")</f>
        <v/>
      </c>
    </row>
    <row r="866" spans="3:3" x14ac:dyDescent="0.3">
      <c r="C866" s="2" t="str">
        <f>IF(A866&lt;&gt;"",SUM(B866),"")</f>
        <v/>
      </c>
    </row>
    <row r="867" spans="3:3" x14ac:dyDescent="0.3">
      <c r="C867" s="2" t="str">
        <f>IF(A867&lt;&gt;"",SUM(B867),"")</f>
        <v/>
      </c>
    </row>
    <row r="868" spans="3:3" x14ac:dyDescent="0.3">
      <c r="C868" s="2" t="str">
        <f>IF(A868&lt;&gt;"",SUM(B868),"")</f>
        <v/>
      </c>
    </row>
    <row r="869" spans="3:3" x14ac:dyDescent="0.3">
      <c r="C869" s="2" t="str">
        <f>IF(A869&lt;&gt;"",SUM(B869),"")</f>
        <v/>
      </c>
    </row>
    <row r="870" spans="3:3" x14ac:dyDescent="0.3">
      <c r="C870" s="2" t="str">
        <f>IF(A870&lt;&gt;"",SUM(B870),"")</f>
        <v/>
      </c>
    </row>
    <row r="871" spans="3:3" x14ac:dyDescent="0.3">
      <c r="C871" s="2" t="str">
        <f>IF(A871&lt;&gt;"",SUM(B871),"")</f>
        <v/>
      </c>
    </row>
    <row r="872" spans="3:3" x14ac:dyDescent="0.3">
      <c r="C872" s="2" t="str">
        <f>IF(A872&lt;&gt;"",SUM(B872),"")</f>
        <v/>
      </c>
    </row>
    <row r="873" spans="3:3" x14ac:dyDescent="0.3">
      <c r="C873" s="2" t="str">
        <f>IF(A873&lt;&gt;"",SUM(B873),"")</f>
        <v/>
      </c>
    </row>
    <row r="874" spans="3:3" x14ac:dyDescent="0.3">
      <c r="C874" s="2" t="str">
        <f>IF(A874&lt;&gt;"",SUM(B874),"")</f>
        <v/>
      </c>
    </row>
    <row r="875" spans="3:3" x14ac:dyDescent="0.3">
      <c r="C875" s="2" t="str">
        <f>IF(A875&lt;&gt;"",SUM(B875),"")</f>
        <v/>
      </c>
    </row>
    <row r="876" spans="3:3" x14ac:dyDescent="0.3">
      <c r="C876" s="2" t="str">
        <f>IF(A876&lt;&gt;"",SUM(B876),"")</f>
        <v/>
      </c>
    </row>
    <row r="877" spans="3:3" x14ac:dyDescent="0.3">
      <c r="C877" s="2" t="str">
        <f>IF(A877&lt;&gt;"",SUM(B877),"")</f>
        <v/>
      </c>
    </row>
    <row r="878" spans="3:3" x14ac:dyDescent="0.3">
      <c r="C878" s="2" t="str">
        <f>IF(A878&lt;&gt;"",SUM(B878),"")</f>
        <v/>
      </c>
    </row>
    <row r="879" spans="3:3" x14ac:dyDescent="0.3">
      <c r="C879" s="2" t="str">
        <f>IF(A879&lt;&gt;"",SUM(B879),"")</f>
        <v/>
      </c>
    </row>
    <row r="880" spans="3:3" x14ac:dyDescent="0.3">
      <c r="C880" s="2" t="str">
        <f>IF(A880&lt;&gt;"",SUM(B880),"")</f>
        <v/>
      </c>
    </row>
    <row r="881" spans="3:3" x14ac:dyDescent="0.3">
      <c r="C881" s="2" t="str">
        <f>IF(A881&lt;&gt;"",SUM(B881),"")</f>
        <v/>
      </c>
    </row>
    <row r="882" spans="3:3" x14ac:dyDescent="0.3">
      <c r="C882" s="2" t="str">
        <f>IF(A882&lt;&gt;"",SUM(B882),"")</f>
        <v/>
      </c>
    </row>
    <row r="883" spans="3:3" x14ac:dyDescent="0.3">
      <c r="C883" s="2" t="str">
        <f>IF(A883&lt;&gt;"",SUM(B883),"")</f>
        <v/>
      </c>
    </row>
    <row r="884" spans="3:3" x14ac:dyDescent="0.3">
      <c r="C884" s="2" t="str">
        <f>IF(A884&lt;&gt;"",SUM(B884),"")</f>
        <v/>
      </c>
    </row>
    <row r="885" spans="3:3" x14ac:dyDescent="0.3">
      <c r="C885" s="2" t="str">
        <f>IF(A885&lt;&gt;"",SUM(B885),"")</f>
        <v/>
      </c>
    </row>
    <row r="886" spans="3:3" x14ac:dyDescent="0.3">
      <c r="C886" s="2" t="str">
        <f>IF(A886&lt;&gt;"",SUM(B886),"")</f>
        <v/>
      </c>
    </row>
    <row r="887" spans="3:3" x14ac:dyDescent="0.3">
      <c r="C887" s="2" t="str">
        <f>IF(A887&lt;&gt;"",SUM(B887),"")</f>
        <v/>
      </c>
    </row>
    <row r="888" spans="3:3" x14ac:dyDescent="0.3">
      <c r="C888" s="2" t="str">
        <f>IF(A888&lt;&gt;"",SUM(B888),"")</f>
        <v/>
      </c>
    </row>
    <row r="889" spans="3:3" x14ac:dyDescent="0.3">
      <c r="C889" s="2" t="str">
        <f>IF(A889&lt;&gt;"",SUM(B889),"")</f>
        <v/>
      </c>
    </row>
    <row r="890" spans="3:3" x14ac:dyDescent="0.3">
      <c r="C890" s="2" t="str">
        <f>IF(A890&lt;&gt;"",SUM(B890),"")</f>
        <v/>
      </c>
    </row>
    <row r="891" spans="3:3" x14ac:dyDescent="0.3">
      <c r="C891" s="2" t="str">
        <f>IF(A891&lt;&gt;"",SUM(B891),"")</f>
        <v/>
      </c>
    </row>
    <row r="892" spans="3:3" x14ac:dyDescent="0.3">
      <c r="C892" s="2" t="str">
        <f>IF(A892&lt;&gt;"",SUM(B892),"")</f>
        <v/>
      </c>
    </row>
    <row r="893" spans="3:3" x14ac:dyDescent="0.3">
      <c r="C893" s="2" t="str">
        <f>IF(A893&lt;&gt;"",SUM(B893),"")</f>
        <v/>
      </c>
    </row>
    <row r="894" spans="3:3" x14ac:dyDescent="0.3">
      <c r="C894" s="2" t="str">
        <f>IF(A894&lt;&gt;"",SUM(B894),"")</f>
        <v/>
      </c>
    </row>
    <row r="895" spans="3:3" x14ac:dyDescent="0.3">
      <c r="C895" s="2" t="str">
        <f>IF(A895&lt;&gt;"",SUM(B895),"")</f>
        <v/>
      </c>
    </row>
    <row r="896" spans="3:3" x14ac:dyDescent="0.3">
      <c r="C896" s="2" t="str">
        <f>IF(A896&lt;&gt;"",SUM(B896),"")</f>
        <v/>
      </c>
    </row>
    <row r="897" spans="3:3" x14ac:dyDescent="0.3">
      <c r="C897" s="2" t="str">
        <f>IF(A897&lt;&gt;"",SUM(B897),"")</f>
        <v/>
      </c>
    </row>
    <row r="898" spans="3:3" x14ac:dyDescent="0.3">
      <c r="C898" s="2" t="str">
        <f>IF(A898&lt;&gt;"",SUM(B898),"")</f>
        <v/>
      </c>
    </row>
    <row r="899" spans="3:3" x14ac:dyDescent="0.3">
      <c r="C899" s="2" t="str">
        <f>IF(A899&lt;&gt;"",SUM(B899),"")</f>
        <v/>
      </c>
    </row>
    <row r="900" spans="3:3" x14ac:dyDescent="0.3">
      <c r="C900" s="2" t="str">
        <f>IF(A900&lt;&gt;"",SUM(B900),"")</f>
        <v/>
      </c>
    </row>
    <row r="901" spans="3:3" x14ac:dyDescent="0.3">
      <c r="C901" s="2" t="str">
        <f>IF(A901&lt;&gt;"",SUM(B901),"")</f>
        <v/>
      </c>
    </row>
    <row r="902" spans="3:3" x14ac:dyDescent="0.3">
      <c r="C902" s="2" t="str">
        <f>IF(A902&lt;&gt;"",SUM(B902),"")</f>
        <v/>
      </c>
    </row>
    <row r="903" spans="3:3" x14ac:dyDescent="0.3">
      <c r="C903" s="2" t="str">
        <f>IF(A903&lt;&gt;"",SUM(B903),"")</f>
        <v/>
      </c>
    </row>
    <row r="904" spans="3:3" x14ac:dyDescent="0.3">
      <c r="C904" s="2" t="str">
        <f>IF(A904&lt;&gt;"",SUM(B904),"")</f>
        <v/>
      </c>
    </row>
    <row r="905" spans="3:3" x14ac:dyDescent="0.3">
      <c r="C905" s="2" t="str">
        <f>IF(A905&lt;&gt;"",SUM(B905),"")</f>
        <v/>
      </c>
    </row>
    <row r="906" spans="3:3" x14ac:dyDescent="0.3">
      <c r="C906" s="2" t="str">
        <f>IF(A906&lt;&gt;"",SUM(B906),"")</f>
        <v/>
      </c>
    </row>
    <row r="907" spans="3:3" x14ac:dyDescent="0.3">
      <c r="C907" s="2" t="str">
        <f>IF(A907&lt;&gt;"",SUM(B907),"")</f>
        <v/>
      </c>
    </row>
    <row r="908" spans="3:3" x14ac:dyDescent="0.3">
      <c r="C908" s="2" t="str">
        <f>IF(A908&lt;&gt;"",SUM(B908),"")</f>
        <v/>
      </c>
    </row>
    <row r="909" spans="3:3" x14ac:dyDescent="0.3">
      <c r="C909" s="2" t="str">
        <f>IF(A909&lt;&gt;"",SUM(B909),"")</f>
        <v/>
      </c>
    </row>
    <row r="910" spans="3:3" x14ac:dyDescent="0.3">
      <c r="C910" s="2" t="str">
        <f>IF(A910&lt;&gt;"",SUM(B910),"")</f>
        <v/>
      </c>
    </row>
    <row r="911" spans="3:3" x14ac:dyDescent="0.3">
      <c r="C911" s="2" t="str">
        <f>IF(A911&lt;&gt;"",SUM(B911),"")</f>
        <v/>
      </c>
    </row>
    <row r="912" spans="3:3" x14ac:dyDescent="0.3">
      <c r="C912" s="2" t="str">
        <f>IF(A912&lt;&gt;"",SUM(B912),"")</f>
        <v/>
      </c>
    </row>
    <row r="913" spans="3:3" x14ac:dyDescent="0.3">
      <c r="C913" s="2" t="str">
        <f>IF(A913&lt;&gt;"",SUM(B913),"")</f>
        <v/>
      </c>
    </row>
    <row r="914" spans="3:3" x14ac:dyDescent="0.3">
      <c r="C914" s="2" t="str">
        <f>IF(A914&lt;&gt;"",SUM(B914),"")</f>
        <v/>
      </c>
    </row>
    <row r="915" spans="3:3" x14ac:dyDescent="0.3">
      <c r="C915" s="2" t="str">
        <f>IF(A915&lt;&gt;"",SUM(B915),"")</f>
        <v/>
      </c>
    </row>
    <row r="916" spans="3:3" x14ac:dyDescent="0.3">
      <c r="C916" s="2" t="str">
        <f>IF(A916&lt;&gt;"",SUM(B916),"")</f>
        <v/>
      </c>
    </row>
    <row r="917" spans="3:3" x14ac:dyDescent="0.3">
      <c r="C917" s="2" t="str">
        <f>IF(A917&lt;&gt;"",SUM(B917),"")</f>
        <v/>
      </c>
    </row>
    <row r="918" spans="3:3" x14ac:dyDescent="0.3">
      <c r="C918" s="2" t="str">
        <f>IF(A918&lt;&gt;"",SUM(B918),"")</f>
        <v/>
      </c>
    </row>
    <row r="919" spans="3:3" x14ac:dyDescent="0.3">
      <c r="C919" s="2" t="str">
        <f>IF(A919&lt;&gt;"",SUM(B919),"")</f>
        <v/>
      </c>
    </row>
    <row r="920" spans="3:3" x14ac:dyDescent="0.3">
      <c r="C920" s="2" t="str">
        <f>IF(A920&lt;&gt;"",SUM(B920),"")</f>
        <v/>
      </c>
    </row>
    <row r="921" spans="3:3" x14ac:dyDescent="0.3">
      <c r="C921" s="2" t="str">
        <f>IF(A921&lt;&gt;"",SUM(B921),"")</f>
        <v/>
      </c>
    </row>
    <row r="922" spans="3:3" x14ac:dyDescent="0.3">
      <c r="C922" s="2" t="str">
        <f>IF(A922&lt;&gt;"",SUM(B922),"")</f>
        <v/>
      </c>
    </row>
    <row r="923" spans="3:3" x14ac:dyDescent="0.3">
      <c r="C923" s="2" t="str">
        <f>IF(A923&lt;&gt;"",SUM(B923),"")</f>
        <v/>
      </c>
    </row>
    <row r="924" spans="3:3" x14ac:dyDescent="0.3">
      <c r="C924" s="2" t="str">
        <f>IF(A924&lt;&gt;"",SUM(B924),"")</f>
        <v/>
      </c>
    </row>
    <row r="925" spans="3:3" x14ac:dyDescent="0.3">
      <c r="C925" s="2" t="str">
        <f>IF(A925&lt;&gt;"",SUM(B925),"")</f>
        <v/>
      </c>
    </row>
    <row r="926" spans="3:3" x14ac:dyDescent="0.3">
      <c r="C926" s="2" t="str">
        <f>IF(A926&lt;&gt;"",SUM(B926),"")</f>
        <v/>
      </c>
    </row>
    <row r="927" spans="3:3" x14ac:dyDescent="0.3">
      <c r="C927" s="2" t="str">
        <f>IF(A927&lt;&gt;"",SUM(B927),"")</f>
        <v/>
      </c>
    </row>
    <row r="928" spans="3:3" x14ac:dyDescent="0.3">
      <c r="C928" s="2" t="str">
        <f>IF(A928&lt;&gt;"",SUM(B928),"")</f>
        <v/>
      </c>
    </row>
    <row r="929" spans="3:3" x14ac:dyDescent="0.3">
      <c r="C929" s="2" t="str">
        <f>IF(A929&lt;&gt;"",SUM(B929),"")</f>
        <v/>
      </c>
    </row>
    <row r="930" spans="3:3" x14ac:dyDescent="0.3">
      <c r="C930" s="2" t="str">
        <f>IF(A930&lt;&gt;"",SUM(B930),"")</f>
        <v/>
      </c>
    </row>
    <row r="931" spans="3:3" x14ac:dyDescent="0.3">
      <c r="C931" s="2" t="str">
        <f>IF(A931&lt;&gt;"",SUM(B931),"")</f>
        <v/>
      </c>
    </row>
    <row r="932" spans="3:3" x14ac:dyDescent="0.3">
      <c r="C932" s="2" t="str">
        <f>IF(A932&lt;&gt;"",SUM(B932),"")</f>
        <v/>
      </c>
    </row>
    <row r="933" spans="3:3" x14ac:dyDescent="0.3">
      <c r="C933" s="2" t="str">
        <f>IF(A933&lt;&gt;"",SUM(B933),"")</f>
        <v/>
      </c>
    </row>
    <row r="934" spans="3:3" x14ac:dyDescent="0.3">
      <c r="C934" s="2" t="str">
        <f>IF(A934&lt;&gt;"",SUM(B934),"")</f>
        <v/>
      </c>
    </row>
    <row r="935" spans="3:3" x14ac:dyDescent="0.3">
      <c r="C935" s="2" t="str">
        <f>IF(A935&lt;&gt;"",SUM(B935),"")</f>
        <v/>
      </c>
    </row>
    <row r="936" spans="3:3" x14ac:dyDescent="0.3">
      <c r="C936" s="2" t="str">
        <f>IF(A936&lt;&gt;"",SUM(B936),"")</f>
        <v/>
      </c>
    </row>
    <row r="937" spans="3:3" x14ac:dyDescent="0.3">
      <c r="C937" s="2" t="str">
        <f>IF(A937&lt;&gt;"",SUM(B937),"")</f>
        <v/>
      </c>
    </row>
    <row r="938" spans="3:3" x14ac:dyDescent="0.3">
      <c r="C938" s="2" t="str">
        <f>IF(A938&lt;&gt;"",SUM(B938),"")</f>
        <v/>
      </c>
    </row>
    <row r="939" spans="3:3" x14ac:dyDescent="0.3">
      <c r="C939" s="2" t="str">
        <f>IF(A939&lt;&gt;"",SUM(B939),"")</f>
        <v/>
      </c>
    </row>
    <row r="940" spans="3:3" x14ac:dyDescent="0.3">
      <c r="C940" s="2" t="str">
        <f>IF(A940&lt;&gt;"",SUM(B940),"")</f>
        <v/>
      </c>
    </row>
    <row r="941" spans="3:3" x14ac:dyDescent="0.3">
      <c r="C941" s="2" t="str">
        <f>IF(A941&lt;&gt;"",SUM(B941),"")</f>
        <v/>
      </c>
    </row>
    <row r="942" spans="3:3" x14ac:dyDescent="0.3">
      <c r="C942" s="2" t="str">
        <f>IF(A942&lt;&gt;"",SUM(B942),"")</f>
        <v/>
      </c>
    </row>
    <row r="943" spans="3:3" x14ac:dyDescent="0.3">
      <c r="C943" s="2" t="str">
        <f>IF(A943&lt;&gt;"",SUM(B943),"")</f>
        <v/>
      </c>
    </row>
    <row r="944" spans="3:3" x14ac:dyDescent="0.3">
      <c r="C944" s="2" t="str">
        <f>IF(A944&lt;&gt;"",SUM(B944),"")</f>
        <v/>
      </c>
    </row>
    <row r="945" spans="3:3" x14ac:dyDescent="0.3">
      <c r="C945" s="2" t="str">
        <f>IF(A945&lt;&gt;"",SUM(B945),"")</f>
        <v/>
      </c>
    </row>
    <row r="946" spans="3:3" x14ac:dyDescent="0.3">
      <c r="C946" s="2" t="str">
        <f>IF(A946&lt;&gt;"",SUM(B946),"")</f>
        <v/>
      </c>
    </row>
    <row r="947" spans="3:3" x14ac:dyDescent="0.3">
      <c r="C947" s="2" t="str">
        <f>IF(A947&lt;&gt;"",SUM(B947),"")</f>
        <v/>
      </c>
    </row>
    <row r="948" spans="3:3" x14ac:dyDescent="0.3">
      <c r="C948" s="2" t="str">
        <f>IF(A948&lt;&gt;"",SUM(B948),"")</f>
        <v/>
      </c>
    </row>
    <row r="949" spans="3:3" x14ac:dyDescent="0.3">
      <c r="C949" s="2" t="str">
        <f>IF(A949&lt;&gt;"",SUM(B949),"")</f>
        <v/>
      </c>
    </row>
    <row r="950" spans="3:3" x14ac:dyDescent="0.3">
      <c r="C950" s="2" t="str">
        <f>IF(A950&lt;&gt;"",SUM(B950),"")</f>
        <v/>
      </c>
    </row>
    <row r="951" spans="3:3" x14ac:dyDescent="0.3">
      <c r="C951" s="2" t="str">
        <f>IF(A951&lt;&gt;"",SUM(B951),"")</f>
        <v/>
      </c>
    </row>
    <row r="952" spans="3:3" x14ac:dyDescent="0.3">
      <c r="C952" s="2" t="str">
        <f>IF(A952&lt;&gt;"",SUM(B952),"")</f>
        <v/>
      </c>
    </row>
    <row r="953" spans="3:3" x14ac:dyDescent="0.3">
      <c r="C953" s="2" t="str">
        <f>IF(A953&lt;&gt;"",SUM(B953),"")</f>
        <v/>
      </c>
    </row>
    <row r="954" spans="3:3" x14ac:dyDescent="0.3">
      <c r="C954" s="2" t="str">
        <f>IF(A954&lt;&gt;"",SUM(B954),"")</f>
        <v/>
      </c>
    </row>
    <row r="955" spans="3:3" x14ac:dyDescent="0.3">
      <c r="C955" s="2" t="str">
        <f>IF(A955&lt;&gt;"",SUM(B955),"")</f>
        <v/>
      </c>
    </row>
    <row r="956" spans="3:3" x14ac:dyDescent="0.3">
      <c r="C956" s="2" t="str">
        <f>IF(A956&lt;&gt;"",SUM(B956),"")</f>
        <v/>
      </c>
    </row>
    <row r="957" spans="3:3" x14ac:dyDescent="0.3">
      <c r="C957" s="2" t="str">
        <f>IF(A957&lt;&gt;"",SUM(B957),"")</f>
        <v/>
      </c>
    </row>
    <row r="958" spans="3:3" x14ac:dyDescent="0.3">
      <c r="C958" s="2" t="str">
        <f>IF(A958&lt;&gt;"",SUM(B958),"")</f>
        <v/>
      </c>
    </row>
    <row r="959" spans="3:3" x14ac:dyDescent="0.3">
      <c r="C959" s="2" t="str">
        <f>IF(A959&lt;&gt;"",SUM(B959),"")</f>
        <v/>
      </c>
    </row>
    <row r="960" spans="3:3" x14ac:dyDescent="0.3">
      <c r="C960" s="2" t="str">
        <f>IF(A960&lt;&gt;"",SUM(B960),"")</f>
        <v/>
      </c>
    </row>
    <row r="961" spans="3:3" x14ac:dyDescent="0.3">
      <c r="C961" s="2" t="str">
        <f>IF(A961&lt;&gt;"",SUM(B961),"")</f>
        <v/>
      </c>
    </row>
    <row r="962" spans="3:3" x14ac:dyDescent="0.3">
      <c r="C962" s="2" t="str">
        <f>IF(A962&lt;&gt;"",SUM(B962),"")</f>
        <v/>
      </c>
    </row>
    <row r="963" spans="3:3" x14ac:dyDescent="0.3">
      <c r="C963" s="2" t="str">
        <f>IF(A963&lt;&gt;"",SUM(B963),"")</f>
        <v/>
      </c>
    </row>
    <row r="964" spans="3:3" x14ac:dyDescent="0.3">
      <c r="C964" s="2" t="str">
        <f>IF(A964&lt;&gt;"",SUM(B964),"")</f>
        <v/>
      </c>
    </row>
    <row r="965" spans="3:3" x14ac:dyDescent="0.3">
      <c r="C965" s="2" t="str">
        <f>IF(A965&lt;&gt;"",SUM(B965),"")</f>
        <v/>
      </c>
    </row>
    <row r="966" spans="3:3" x14ac:dyDescent="0.3">
      <c r="C966" s="2" t="str">
        <f>IF(A966&lt;&gt;"",SUM(B966),"")</f>
        <v/>
      </c>
    </row>
    <row r="967" spans="3:3" x14ac:dyDescent="0.3">
      <c r="C967" s="2" t="str">
        <f>IF(A967&lt;&gt;"",SUM(B967),"")</f>
        <v/>
      </c>
    </row>
    <row r="968" spans="3:3" x14ac:dyDescent="0.3">
      <c r="C968" s="2" t="str">
        <f>IF(A968&lt;&gt;"",SUM(B968),"")</f>
        <v/>
      </c>
    </row>
    <row r="969" spans="3:3" x14ac:dyDescent="0.3">
      <c r="C969" s="2" t="str">
        <f>IF(A969&lt;&gt;"",SUM(B969),"")</f>
        <v/>
      </c>
    </row>
    <row r="970" spans="3:3" x14ac:dyDescent="0.3">
      <c r="C970" s="2" t="str">
        <f>IF(A970&lt;&gt;"",SUM(B970),"")</f>
        <v/>
      </c>
    </row>
    <row r="971" spans="3:3" x14ac:dyDescent="0.3">
      <c r="C971" s="2" t="str">
        <f>IF(A971&lt;&gt;"",SUM(B971),"")</f>
        <v/>
      </c>
    </row>
    <row r="972" spans="3:3" x14ac:dyDescent="0.3">
      <c r="C972" s="2" t="str">
        <f>IF(A972&lt;&gt;"",SUM(B972),"")</f>
        <v/>
      </c>
    </row>
    <row r="973" spans="3:3" x14ac:dyDescent="0.3">
      <c r="C973" s="2" t="str">
        <f>IF(A973&lt;&gt;"",SUM(B973),"")</f>
        <v/>
      </c>
    </row>
    <row r="974" spans="3:3" x14ac:dyDescent="0.3">
      <c r="C974" s="2" t="str">
        <f>IF(A974&lt;&gt;"",SUM(B974),"")</f>
        <v/>
      </c>
    </row>
    <row r="975" spans="3:3" x14ac:dyDescent="0.3">
      <c r="C975" s="2" t="str">
        <f>IF(A975&lt;&gt;"",SUM(B975),"")</f>
        <v/>
      </c>
    </row>
    <row r="976" spans="3:3" x14ac:dyDescent="0.3">
      <c r="C976" s="2" t="str">
        <f>IF(A976&lt;&gt;"",SUM(B976),"")</f>
        <v/>
      </c>
    </row>
    <row r="977" spans="3:3" x14ac:dyDescent="0.3">
      <c r="C977" s="2" t="str">
        <f>IF(A977&lt;&gt;"",SUM(B977),"")</f>
        <v/>
      </c>
    </row>
    <row r="978" spans="3:3" x14ac:dyDescent="0.3">
      <c r="C978" s="2" t="str">
        <f>IF(A978&lt;&gt;"",SUM(B978),"")</f>
        <v/>
      </c>
    </row>
    <row r="979" spans="3:3" x14ac:dyDescent="0.3">
      <c r="C979" s="2" t="str">
        <f>IF(A979&lt;&gt;"",SUM(B979),"")</f>
        <v/>
      </c>
    </row>
    <row r="980" spans="3:3" x14ac:dyDescent="0.3">
      <c r="C980" s="2" t="str">
        <f>IF(A980&lt;&gt;"",SUM(B980),"")</f>
        <v/>
      </c>
    </row>
    <row r="981" spans="3:3" x14ac:dyDescent="0.3">
      <c r="C981" s="2" t="str">
        <f>IF(A981&lt;&gt;"",SUM(B981),"")</f>
        <v/>
      </c>
    </row>
    <row r="982" spans="3:3" x14ac:dyDescent="0.3">
      <c r="C982" s="2" t="str">
        <f>IF(A982&lt;&gt;"",SUM(B982),"")</f>
        <v/>
      </c>
    </row>
    <row r="983" spans="3:3" x14ac:dyDescent="0.3">
      <c r="C983" s="2" t="str">
        <f>IF(A983&lt;&gt;"",SUM(B983),"")</f>
        <v/>
      </c>
    </row>
    <row r="984" spans="3:3" x14ac:dyDescent="0.3">
      <c r="C984" s="2" t="str">
        <f>IF(A984&lt;&gt;"",SUM(B984),"")</f>
        <v/>
      </c>
    </row>
    <row r="985" spans="3:3" x14ac:dyDescent="0.3">
      <c r="C985" s="2" t="str">
        <f>IF(A985&lt;&gt;"",SUM(B985),"")</f>
        <v/>
      </c>
    </row>
    <row r="986" spans="3:3" x14ac:dyDescent="0.3">
      <c r="C986" s="2" t="str">
        <f>IF(A986&lt;&gt;"",SUM(B986),"")</f>
        <v/>
      </c>
    </row>
    <row r="987" spans="3:3" x14ac:dyDescent="0.3">
      <c r="C987" s="2" t="str">
        <f>IF(A987&lt;&gt;"",SUM(B987),"")</f>
        <v/>
      </c>
    </row>
    <row r="988" spans="3:3" x14ac:dyDescent="0.3">
      <c r="C988" s="2" t="str">
        <f>IF(A988&lt;&gt;"",SUM(B988),"")</f>
        <v/>
      </c>
    </row>
    <row r="989" spans="3:3" x14ac:dyDescent="0.3">
      <c r="C989" s="2" t="str">
        <f>IF(A989&lt;&gt;"",SUM(B989),"")</f>
        <v/>
      </c>
    </row>
    <row r="990" spans="3:3" x14ac:dyDescent="0.3">
      <c r="C990" s="2" t="str">
        <f>IF(A990&lt;&gt;"",SUM(B990),"")</f>
        <v/>
      </c>
    </row>
    <row r="991" spans="3:3" x14ac:dyDescent="0.3">
      <c r="C991" s="2" t="str">
        <f>IF(A991&lt;&gt;"",SUM(B991),"")</f>
        <v/>
      </c>
    </row>
    <row r="992" spans="3:3" x14ac:dyDescent="0.3">
      <c r="C992" s="2" t="str">
        <f>IF(A992&lt;&gt;"",SUM(B992),"")</f>
        <v/>
      </c>
    </row>
    <row r="993" spans="3:3" x14ac:dyDescent="0.3">
      <c r="C993" s="2" t="str">
        <f>IF(A993&lt;&gt;"",SUM(B993),"")</f>
        <v/>
      </c>
    </row>
    <row r="994" spans="3:3" x14ac:dyDescent="0.3">
      <c r="C994" s="2" t="str">
        <f>IF(A994&lt;&gt;"",SUM(B994),"")</f>
        <v/>
      </c>
    </row>
    <row r="995" spans="3:3" x14ac:dyDescent="0.3">
      <c r="C995" s="2" t="str">
        <f>IF(A995&lt;&gt;"",SUM(B995),"")</f>
        <v/>
      </c>
    </row>
    <row r="996" spans="3:3" x14ac:dyDescent="0.3">
      <c r="C996" s="2" t="str">
        <f>IF(A996&lt;&gt;"",SUM(B996),"")</f>
        <v/>
      </c>
    </row>
    <row r="997" spans="3:3" x14ac:dyDescent="0.3">
      <c r="C997" s="2" t="str">
        <f>IF(A997&lt;&gt;"",SUM(B997),"")</f>
        <v/>
      </c>
    </row>
    <row r="998" spans="3:3" x14ac:dyDescent="0.3">
      <c r="C998" s="2" t="str">
        <f>IF(A998&lt;&gt;"",SUM(B998),"")</f>
        <v/>
      </c>
    </row>
    <row r="999" spans="3:3" x14ac:dyDescent="0.3">
      <c r="C999" s="2" t="str">
        <f>IF(A999&lt;&gt;"",SUM(B999),"")</f>
        <v/>
      </c>
    </row>
    <row r="1000" spans="3:3" x14ac:dyDescent="0.3">
      <c r="C1000" s="2" t="str">
        <f>IF(A1000&lt;&gt;"",SUM(B1000),"")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0D3DA-7D1B-4327-921C-869CD9B8A452}">
  <sheetPr codeName="Folha95"/>
  <dimension ref="A1:ZZ1000"/>
  <sheetViews>
    <sheetView workbookViewId="0">
      <selection activeCell="B4" sqref="B4"/>
    </sheetView>
  </sheetViews>
  <sheetFormatPr defaultRowHeight="14.4" x14ac:dyDescent="0.3"/>
  <cols>
    <col min="1" max="1" width="6.88671875" style="2" bestFit="1" customWidth="1"/>
    <col min="2" max="2" width="3.109375" style="2" bestFit="1" customWidth="1"/>
    <col min="3" max="3" width="5.109375" style="2" bestFit="1" customWidth="1"/>
    <col min="4" max="702" width="8.88671875" style="2"/>
  </cols>
  <sheetData>
    <row r="1" spans="1:3" x14ac:dyDescent="0.3">
      <c r="B1" s="8">
        <v>20</v>
      </c>
      <c r="C1" s="8">
        <v>20</v>
      </c>
    </row>
    <row r="2" spans="1:3" x14ac:dyDescent="0.3">
      <c r="A2" s="7" t="s">
        <v>11</v>
      </c>
      <c r="B2" s="7" t="s">
        <v>19</v>
      </c>
      <c r="C2" s="7" t="s">
        <v>12</v>
      </c>
    </row>
    <row r="3" spans="1:3" x14ac:dyDescent="0.3">
      <c r="A3" s="2" t="s">
        <v>15</v>
      </c>
      <c r="B3" s="2">
        <v>1</v>
      </c>
      <c r="C3" s="2">
        <f>IF(A3&lt;&gt;"",SUM(B3),"")</f>
        <v>1</v>
      </c>
    </row>
    <row r="4" spans="1:3" x14ac:dyDescent="0.3">
      <c r="A4" s="2" t="s">
        <v>17</v>
      </c>
      <c r="B4" s="2">
        <v>16</v>
      </c>
      <c r="C4" s="2">
        <f>IF(A4&lt;&gt;"",SUM(B4),"")</f>
        <v>16</v>
      </c>
    </row>
    <row r="5" spans="1:3" x14ac:dyDescent="0.3">
      <c r="C5" s="2" t="str">
        <f>IF(A5&lt;&gt;"",SUM(B5),"")</f>
        <v/>
      </c>
    </row>
    <row r="6" spans="1:3" x14ac:dyDescent="0.3">
      <c r="C6" s="2" t="str">
        <f>IF(A6&lt;&gt;"",SUM(B6),"")</f>
        <v/>
      </c>
    </row>
    <row r="7" spans="1:3" x14ac:dyDescent="0.3">
      <c r="C7" s="2" t="str">
        <f>IF(A7&lt;&gt;"",SUM(B7),"")</f>
        <v/>
      </c>
    </row>
    <row r="8" spans="1:3" x14ac:dyDescent="0.3">
      <c r="C8" s="2" t="str">
        <f>IF(A8&lt;&gt;"",SUM(B8),"")</f>
        <v/>
      </c>
    </row>
    <row r="9" spans="1:3" x14ac:dyDescent="0.3">
      <c r="C9" s="2" t="str">
        <f>IF(A9&lt;&gt;"",SUM(B9),"")</f>
        <v/>
      </c>
    </row>
    <row r="10" spans="1:3" x14ac:dyDescent="0.3">
      <c r="C10" s="2" t="str">
        <f>IF(A10&lt;&gt;"",SUM(B10),"")</f>
        <v/>
      </c>
    </row>
    <row r="11" spans="1:3" x14ac:dyDescent="0.3">
      <c r="C11" s="2" t="str">
        <f>IF(A11&lt;&gt;"",SUM(B11),"")</f>
        <v/>
      </c>
    </row>
    <row r="12" spans="1:3" x14ac:dyDescent="0.3">
      <c r="C12" s="2" t="str">
        <f>IF(A12&lt;&gt;"",SUM(B12),"")</f>
        <v/>
      </c>
    </row>
    <row r="13" spans="1:3" x14ac:dyDescent="0.3">
      <c r="C13" s="2" t="str">
        <f>IF(A13&lt;&gt;"",SUM(B13),"")</f>
        <v/>
      </c>
    </row>
    <row r="14" spans="1:3" x14ac:dyDescent="0.3">
      <c r="C14" s="2" t="str">
        <f>IF(A14&lt;&gt;"",SUM(B14),"")</f>
        <v/>
      </c>
    </row>
    <row r="15" spans="1:3" x14ac:dyDescent="0.3">
      <c r="C15" s="2" t="str">
        <f>IF(A15&lt;&gt;"",SUM(B15),"")</f>
        <v/>
      </c>
    </row>
    <row r="16" spans="1:3" x14ac:dyDescent="0.3">
      <c r="C16" s="2" t="str">
        <f>IF(A16&lt;&gt;"",SUM(B16),"")</f>
        <v/>
      </c>
    </row>
    <row r="17" spans="3:3" x14ac:dyDescent="0.3">
      <c r="C17" s="2" t="str">
        <f>IF(A17&lt;&gt;"",SUM(B17),"")</f>
        <v/>
      </c>
    </row>
    <row r="18" spans="3:3" x14ac:dyDescent="0.3">
      <c r="C18" s="2" t="str">
        <f>IF(A18&lt;&gt;"",SUM(B18),"")</f>
        <v/>
      </c>
    </row>
    <row r="19" spans="3:3" x14ac:dyDescent="0.3">
      <c r="C19" s="2" t="str">
        <f>IF(A19&lt;&gt;"",SUM(B19),"")</f>
        <v/>
      </c>
    </row>
    <row r="20" spans="3:3" x14ac:dyDescent="0.3">
      <c r="C20" s="2" t="str">
        <f>IF(A20&lt;&gt;"",SUM(B20),"")</f>
        <v/>
      </c>
    </row>
    <row r="21" spans="3:3" x14ac:dyDescent="0.3">
      <c r="C21" s="2" t="str">
        <f>IF(A21&lt;&gt;"",SUM(B21),"")</f>
        <v/>
      </c>
    </row>
    <row r="22" spans="3:3" x14ac:dyDescent="0.3">
      <c r="C22" s="2" t="str">
        <f>IF(A22&lt;&gt;"",SUM(B22),"")</f>
        <v/>
      </c>
    </row>
    <row r="23" spans="3:3" x14ac:dyDescent="0.3">
      <c r="C23" s="2" t="str">
        <f>IF(A23&lt;&gt;"",SUM(B23),"")</f>
        <v/>
      </c>
    </row>
    <row r="24" spans="3:3" x14ac:dyDescent="0.3">
      <c r="C24" s="2" t="str">
        <f>IF(A24&lt;&gt;"",SUM(B24),"")</f>
        <v/>
      </c>
    </row>
    <row r="25" spans="3:3" x14ac:dyDescent="0.3">
      <c r="C25" s="2" t="str">
        <f>IF(A25&lt;&gt;"",SUM(B25),"")</f>
        <v/>
      </c>
    </row>
    <row r="26" spans="3:3" x14ac:dyDescent="0.3">
      <c r="C26" s="2" t="str">
        <f>IF(A26&lt;&gt;"",SUM(B26),"")</f>
        <v/>
      </c>
    </row>
    <row r="27" spans="3:3" x14ac:dyDescent="0.3">
      <c r="C27" s="2" t="str">
        <f>IF(A27&lt;&gt;"",SUM(B27),"")</f>
        <v/>
      </c>
    </row>
    <row r="28" spans="3:3" x14ac:dyDescent="0.3">
      <c r="C28" s="2" t="str">
        <f>IF(A28&lt;&gt;"",SUM(B28),"")</f>
        <v/>
      </c>
    </row>
    <row r="29" spans="3:3" x14ac:dyDescent="0.3">
      <c r="C29" s="2" t="str">
        <f>IF(A29&lt;&gt;"",SUM(B29),"")</f>
        <v/>
      </c>
    </row>
    <row r="30" spans="3:3" x14ac:dyDescent="0.3">
      <c r="C30" s="2" t="str">
        <f>IF(A30&lt;&gt;"",SUM(B30),"")</f>
        <v/>
      </c>
    </row>
    <row r="31" spans="3:3" x14ac:dyDescent="0.3">
      <c r="C31" s="2" t="str">
        <f>IF(A31&lt;&gt;"",SUM(B31),"")</f>
        <v/>
      </c>
    </row>
    <row r="32" spans="3:3" x14ac:dyDescent="0.3">
      <c r="C32" s="2" t="str">
        <f>IF(A32&lt;&gt;"",SUM(B32),"")</f>
        <v/>
      </c>
    </row>
    <row r="33" spans="3:3" x14ac:dyDescent="0.3">
      <c r="C33" s="2" t="str">
        <f>IF(A33&lt;&gt;"",SUM(B33),"")</f>
        <v/>
      </c>
    </row>
    <row r="34" spans="3:3" x14ac:dyDescent="0.3">
      <c r="C34" s="2" t="str">
        <f>IF(A34&lt;&gt;"",SUM(B34),"")</f>
        <v/>
      </c>
    </row>
    <row r="35" spans="3:3" x14ac:dyDescent="0.3">
      <c r="C35" s="2" t="str">
        <f>IF(A35&lt;&gt;"",SUM(B35),"")</f>
        <v/>
      </c>
    </row>
    <row r="36" spans="3:3" x14ac:dyDescent="0.3">
      <c r="C36" s="2" t="str">
        <f>IF(A36&lt;&gt;"",SUM(B36),"")</f>
        <v/>
      </c>
    </row>
    <row r="37" spans="3:3" x14ac:dyDescent="0.3">
      <c r="C37" s="2" t="str">
        <f>IF(A37&lt;&gt;"",SUM(B37),"")</f>
        <v/>
      </c>
    </row>
    <row r="38" spans="3:3" x14ac:dyDescent="0.3">
      <c r="C38" s="2" t="str">
        <f>IF(A38&lt;&gt;"",SUM(B38),"")</f>
        <v/>
      </c>
    </row>
    <row r="39" spans="3:3" x14ac:dyDescent="0.3">
      <c r="C39" s="2" t="str">
        <f>IF(A39&lt;&gt;"",SUM(B39),"")</f>
        <v/>
      </c>
    </row>
    <row r="40" spans="3:3" x14ac:dyDescent="0.3">
      <c r="C40" s="2" t="str">
        <f>IF(A40&lt;&gt;"",SUM(B40),"")</f>
        <v/>
      </c>
    </row>
    <row r="41" spans="3:3" x14ac:dyDescent="0.3">
      <c r="C41" s="2" t="str">
        <f>IF(A41&lt;&gt;"",SUM(B41),"")</f>
        <v/>
      </c>
    </row>
    <row r="42" spans="3:3" x14ac:dyDescent="0.3">
      <c r="C42" s="2" t="str">
        <f>IF(A42&lt;&gt;"",SUM(B42),"")</f>
        <v/>
      </c>
    </row>
    <row r="43" spans="3:3" x14ac:dyDescent="0.3">
      <c r="C43" s="2" t="str">
        <f>IF(A43&lt;&gt;"",SUM(B43),"")</f>
        <v/>
      </c>
    </row>
    <row r="44" spans="3:3" x14ac:dyDescent="0.3">
      <c r="C44" s="2" t="str">
        <f>IF(A44&lt;&gt;"",SUM(B44),"")</f>
        <v/>
      </c>
    </row>
    <row r="45" spans="3:3" x14ac:dyDescent="0.3">
      <c r="C45" s="2" t="str">
        <f>IF(A45&lt;&gt;"",SUM(B45),"")</f>
        <v/>
      </c>
    </row>
    <row r="46" spans="3:3" x14ac:dyDescent="0.3">
      <c r="C46" s="2" t="str">
        <f>IF(A46&lt;&gt;"",SUM(B46),"")</f>
        <v/>
      </c>
    </row>
    <row r="47" spans="3:3" x14ac:dyDescent="0.3">
      <c r="C47" s="2" t="str">
        <f>IF(A47&lt;&gt;"",SUM(B47),"")</f>
        <v/>
      </c>
    </row>
    <row r="48" spans="3:3" x14ac:dyDescent="0.3">
      <c r="C48" s="2" t="str">
        <f>IF(A48&lt;&gt;"",SUM(B48),"")</f>
        <v/>
      </c>
    </row>
    <row r="49" spans="3:3" x14ac:dyDescent="0.3">
      <c r="C49" s="2" t="str">
        <f>IF(A49&lt;&gt;"",SUM(B49),"")</f>
        <v/>
      </c>
    </row>
    <row r="50" spans="3:3" x14ac:dyDescent="0.3">
      <c r="C50" s="2" t="str">
        <f>IF(A50&lt;&gt;"",SUM(B50),"")</f>
        <v/>
      </c>
    </row>
    <row r="51" spans="3:3" x14ac:dyDescent="0.3">
      <c r="C51" s="2" t="str">
        <f>IF(A51&lt;&gt;"",SUM(B51),"")</f>
        <v/>
      </c>
    </row>
    <row r="52" spans="3:3" x14ac:dyDescent="0.3">
      <c r="C52" s="2" t="str">
        <f>IF(A52&lt;&gt;"",SUM(B52),"")</f>
        <v/>
      </c>
    </row>
    <row r="53" spans="3:3" x14ac:dyDescent="0.3">
      <c r="C53" s="2" t="str">
        <f>IF(A53&lt;&gt;"",SUM(B53),"")</f>
        <v/>
      </c>
    </row>
    <row r="54" spans="3:3" x14ac:dyDescent="0.3">
      <c r="C54" s="2" t="str">
        <f>IF(A54&lt;&gt;"",SUM(B54),"")</f>
        <v/>
      </c>
    </row>
    <row r="55" spans="3:3" x14ac:dyDescent="0.3">
      <c r="C55" s="2" t="str">
        <f>IF(A55&lt;&gt;"",SUM(B55),"")</f>
        <v/>
      </c>
    </row>
    <row r="56" spans="3:3" x14ac:dyDescent="0.3">
      <c r="C56" s="2" t="str">
        <f>IF(A56&lt;&gt;"",SUM(B56),"")</f>
        <v/>
      </c>
    </row>
    <row r="57" spans="3:3" x14ac:dyDescent="0.3">
      <c r="C57" s="2" t="str">
        <f>IF(A57&lt;&gt;"",SUM(B57),"")</f>
        <v/>
      </c>
    </row>
    <row r="58" spans="3:3" x14ac:dyDescent="0.3">
      <c r="C58" s="2" t="str">
        <f>IF(A58&lt;&gt;"",SUM(B58),"")</f>
        <v/>
      </c>
    </row>
    <row r="59" spans="3:3" x14ac:dyDescent="0.3">
      <c r="C59" s="2" t="str">
        <f>IF(A59&lt;&gt;"",SUM(B59),"")</f>
        <v/>
      </c>
    </row>
    <row r="60" spans="3:3" x14ac:dyDescent="0.3">
      <c r="C60" s="2" t="str">
        <f>IF(A60&lt;&gt;"",SUM(B60),"")</f>
        <v/>
      </c>
    </row>
    <row r="61" spans="3:3" x14ac:dyDescent="0.3">
      <c r="C61" s="2" t="str">
        <f>IF(A61&lt;&gt;"",SUM(B61),"")</f>
        <v/>
      </c>
    </row>
    <row r="62" spans="3:3" x14ac:dyDescent="0.3">
      <c r="C62" s="2" t="str">
        <f>IF(A62&lt;&gt;"",SUM(B62),"")</f>
        <v/>
      </c>
    </row>
    <row r="63" spans="3:3" x14ac:dyDescent="0.3">
      <c r="C63" s="2" t="str">
        <f>IF(A63&lt;&gt;"",SUM(B63),"")</f>
        <v/>
      </c>
    </row>
    <row r="64" spans="3:3" x14ac:dyDescent="0.3">
      <c r="C64" s="2" t="str">
        <f>IF(A64&lt;&gt;"",SUM(B64),"")</f>
        <v/>
      </c>
    </row>
    <row r="65" spans="3:3" x14ac:dyDescent="0.3">
      <c r="C65" s="2" t="str">
        <f>IF(A65&lt;&gt;"",SUM(B65),"")</f>
        <v/>
      </c>
    </row>
    <row r="66" spans="3:3" x14ac:dyDescent="0.3">
      <c r="C66" s="2" t="str">
        <f>IF(A66&lt;&gt;"",SUM(B66),"")</f>
        <v/>
      </c>
    </row>
    <row r="67" spans="3:3" x14ac:dyDescent="0.3">
      <c r="C67" s="2" t="str">
        <f>IF(A67&lt;&gt;"",SUM(B67),"")</f>
        <v/>
      </c>
    </row>
    <row r="68" spans="3:3" x14ac:dyDescent="0.3">
      <c r="C68" s="2" t="str">
        <f>IF(A68&lt;&gt;"",SUM(B68),"")</f>
        <v/>
      </c>
    </row>
    <row r="69" spans="3:3" x14ac:dyDescent="0.3">
      <c r="C69" s="2" t="str">
        <f>IF(A69&lt;&gt;"",SUM(B69),"")</f>
        <v/>
      </c>
    </row>
    <row r="70" spans="3:3" x14ac:dyDescent="0.3">
      <c r="C70" s="2" t="str">
        <f>IF(A70&lt;&gt;"",SUM(B70),"")</f>
        <v/>
      </c>
    </row>
    <row r="71" spans="3:3" x14ac:dyDescent="0.3">
      <c r="C71" s="2" t="str">
        <f>IF(A71&lt;&gt;"",SUM(B71),"")</f>
        <v/>
      </c>
    </row>
    <row r="72" spans="3:3" x14ac:dyDescent="0.3">
      <c r="C72" s="2" t="str">
        <f>IF(A72&lt;&gt;"",SUM(B72),"")</f>
        <v/>
      </c>
    </row>
    <row r="73" spans="3:3" x14ac:dyDescent="0.3">
      <c r="C73" s="2" t="str">
        <f>IF(A73&lt;&gt;"",SUM(B73),"")</f>
        <v/>
      </c>
    </row>
    <row r="74" spans="3:3" x14ac:dyDescent="0.3">
      <c r="C74" s="2" t="str">
        <f>IF(A74&lt;&gt;"",SUM(B74),"")</f>
        <v/>
      </c>
    </row>
    <row r="75" spans="3:3" x14ac:dyDescent="0.3">
      <c r="C75" s="2" t="str">
        <f>IF(A75&lt;&gt;"",SUM(B75),"")</f>
        <v/>
      </c>
    </row>
    <row r="76" spans="3:3" x14ac:dyDescent="0.3">
      <c r="C76" s="2" t="str">
        <f>IF(A76&lt;&gt;"",SUM(B76),"")</f>
        <v/>
      </c>
    </row>
    <row r="77" spans="3:3" x14ac:dyDescent="0.3">
      <c r="C77" s="2" t="str">
        <f>IF(A77&lt;&gt;"",SUM(B77),"")</f>
        <v/>
      </c>
    </row>
    <row r="78" spans="3:3" x14ac:dyDescent="0.3">
      <c r="C78" s="2" t="str">
        <f>IF(A78&lt;&gt;"",SUM(B78),"")</f>
        <v/>
      </c>
    </row>
    <row r="79" spans="3:3" x14ac:dyDescent="0.3">
      <c r="C79" s="2" t="str">
        <f>IF(A79&lt;&gt;"",SUM(B79),"")</f>
        <v/>
      </c>
    </row>
    <row r="80" spans="3:3" x14ac:dyDescent="0.3">
      <c r="C80" s="2" t="str">
        <f>IF(A80&lt;&gt;"",SUM(B80),"")</f>
        <v/>
      </c>
    </row>
    <row r="81" spans="3:3" x14ac:dyDescent="0.3">
      <c r="C81" s="2" t="str">
        <f>IF(A81&lt;&gt;"",SUM(B81),"")</f>
        <v/>
      </c>
    </row>
    <row r="82" spans="3:3" x14ac:dyDescent="0.3">
      <c r="C82" s="2" t="str">
        <f>IF(A82&lt;&gt;"",SUM(B82),"")</f>
        <v/>
      </c>
    </row>
    <row r="83" spans="3:3" x14ac:dyDescent="0.3">
      <c r="C83" s="2" t="str">
        <f>IF(A83&lt;&gt;"",SUM(B83),"")</f>
        <v/>
      </c>
    </row>
    <row r="84" spans="3:3" x14ac:dyDescent="0.3">
      <c r="C84" s="2" t="str">
        <f>IF(A84&lt;&gt;"",SUM(B84),"")</f>
        <v/>
      </c>
    </row>
    <row r="85" spans="3:3" x14ac:dyDescent="0.3">
      <c r="C85" s="2" t="str">
        <f>IF(A85&lt;&gt;"",SUM(B85),"")</f>
        <v/>
      </c>
    </row>
    <row r="86" spans="3:3" x14ac:dyDescent="0.3">
      <c r="C86" s="2" t="str">
        <f>IF(A86&lt;&gt;"",SUM(B86),"")</f>
        <v/>
      </c>
    </row>
    <row r="87" spans="3:3" x14ac:dyDescent="0.3">
      <c r="C87" s="2" t="str">
        <f>IF(A87&lt;&gt;"",SUM(B87),"")</f>
        <v/>
      </c>
    </row>
    <row r="88" spans="3:3" x14ac:dyDescent="0.3">
      <c r="C88" s="2" t="str">
        <f>IF(A88&lt;&gt;"",SUM(B88),"")</f>
        <v/>
      </c>
    </row>
    <row r="89" spans="3:3" x14ac:dyDescent="0.3">
      <c r="C89" s="2" t="str">
        <f>IF(A89&lt;&gt;"",SUM(B89),"")</f>
        <v/>
      </c>
    </row>
    <row r="90" spans="3:3" x14ac:dyDescent="0.3">
      <c r="C90" s="2" t="str">
        <f>IF(A90&lt;&gt;"",SUM(B90),"")</f>
        <v/>
      </c>
    </row>
    <row r="91" spans="3:3" x14ac:dyDescent="0.3">
      <c r="C91" s="2" t="str">
        <f>IF(A91&lt;&gt;"",SUM(B91),"")</f>
        <v/>
      </c>
    </row>
    <row r="92" spans="3:3" x14ac:dyDescent="0.3">
      <c r="C92" s="2" t="str">
        <f>IF(A92&lt;&gt;"",SUM(B92),"")</f>
        <v/>
      </c>
    </row>
    <row r="93" spans="3:3" x14ac:dyDescent="0.3">
      <c r="C93" s="2" t="str">
        <f>IF(A93&lt;&gt;"",SUM(B93),"")</f>
        <v/>
      </c>
    </row>
    <row r="94" spans="3:3" x14ac:dyDescent="0.3">
      <c r="C94" s="2" t="str">
        <f>IF(A94&lt;&gt;"",SUM(B94),"")</f>
        <v/>
      </c>
    </row>
    <row r="95" spans="3:3" x14ac:dyDescent="0.3">
      <c r="C95" s="2" t="str">
        <f>IF(A95&lt;&gt;"",SUM(B95),"")</f>
        <v/>
      </c>
    </row>
    <row r="96" spans="3:3" x14ac:dyDescent="0.3">
      <c r="C96" s="2" t="str">
        <f>IF(A96&lt;&gt;"",SUM(B96),"")</f>
        <v/>
      </c>
    </row>
    <row r="97" spans="3:3" x14ac:dyDescent="0.3">
      <c r="C97" s="2" t="str">
        <f>IF(A97&lt;&gt;"",SUM(B97),"")</f>
        <v/>
      </c>
    </row>
    <row r="98" spans="3:3" x14ac:dyDescent="0.3">
      <c r="C98" s="2" t="str">
        <f>IF(A98&lt;&gt;"",SUM(B98),"")</f>
        <v/>
      </c>
    </row>
    <row r="99" spans="3:3" x14ac:dyDescent="0.3">
      <c r="C99" s="2" t="str">
        <f>IF(A99&lt;&gt;"",SUM(B99),"")</f>
        <v/>
      </c>
    </row>
    <row r="100" spans="3:3" x14ac:dyDescent="0.3">
      <c r="C100" s="2" t="str">
        <f>IF(A100&lt;&gt;"",SUM(B100),"")</f>
        <v/>
      </c>
    </row>
    <row r="101" spans="3:3" x14ac:dyDescent="0.3">
      <c r="C101" s="2" t="str">
        <f>IF(A101&lt;&gt;"",SUM(B101),"")</f>
        <v/>
      </c>
    </row>
    <row r="102" spans="3:3" x14ac:dyDescent="0.3">
      <c r="C102" s="2" t="str">
        <f>IF(A102&lt;&gt;"",SUM(B102),"")</f>
        <v/>
      </c>
    </row>
    <row r="103" spans="3:3" x14ac:dyDescent="0.3">
      <c r="C103" s="2" t="str">
        <f>IF(A103&lt;&gt;"",SUM(B103),"")</f>
        <v/>
      </c>
    </row>
    <row r="104" spans="3:3" x14ac:dyDescent="0.3">
      <c r="C104" s="2" t="str">
        <f>IF(A104&lt;&gt;"",SUM(B104),"")</f>
        <v/>
      </c>
    </row>
    <row r="105" spans="3:3" x14ac:dyDescent="0.3">
      <c r="C105" s="2" t="str">
        <f>IF(A105&lt;&gt;"",SUM(B105),"")</f>
        <v/>
      </c>
    </row>
    <row r="106" spans="3:3" x14ac:dyDescent="0.3">
      <c r="C106" s="2" t="str">
        <f>IF(A106&lt;&gt;"",SUM(B106),"")</f>
        <v/>
      </c>
    </row>
    <row r="107" spans="3:3" x14ac:dyDescent="0.3">
      <c r="C107" s="2" t="str">
        <f>IF(A107&lt;&gt;"",SUM(B107),"")</f>
        <v/>
      </c>
    </row>
    <row r="108" spans="3:3" x14ac:dyDescent="0.3">
      <c r="C108" s="2" t="str">
        <f>IF(A108&lt;&gt;"",SUM(B108),"")</f>
        <v/>
      </c>
    </row>
    <row r="109" spans="3:3" x14ac:dyDescent="0.3">
      <c r="C109" s="2" t="str">
        <f>IF(A109&lt;&gt;"",SUM(B109),"")</f>
        <v/>
      </c>
    </row>
    <row r="110" spans="3:3" x14ac:dyDescent="0.3">
      <c r="C110" s="2" t="str">
        <f>IF(A110&lt;&gt;"",SUM(B110),"")</f>
        <v/>
      </c>
    </row>
    <row r="111" spans="3:3" x14ac:dyDescent="0.3">
      <c r="C111" s="2" t="str">
        <f>IF(A111&lt;&gt;"",SUM(B111),"")</f>
        <v/>
      </c>
    </row>
    <row r="112" spans="3:3" x14ac:dyDescent="0.3">
      <c r="C112" s="2" t="str">
        <f>IF(A112&lt;&gt;"",SUM(B112),"")</f>
        <v/>
      </c>
    </row>
    <row r="113" spans="3:3" x14ac:dyDescent="0.3">
      <c r="C113" s="2" t="str">
        <f>IF(A113&lt;&gt;"",SUM(B113),"")</f>
        <v/>
      </c>
    </row>
    <row r="114" spans="3:3" x14ac:dyDescent="0.3">
      <c r="C114" s="2" t="str">
        <f>IF(A114&lt;&gt;"",SUM(B114),"")</f>
        <v/>
      </c>
    </row>
    <row r="115" spans="3:3" x14ac:dyDescent="0.3">
      <c r="C115" s="2" t="str">
        <f>IF(A115&lt;&gt;"",SUM(B115),"")</f>
        <v/>
      </c>
    </row>
    <row r="116" spans="3:3" x14ac:dyDescent="0.3">
      <c r="C116" s="2" t="str">
        <f>IF(A116&lt;&gt;"",SUM(B116),"")</f>
        <v/>
      </c>
    </row>
    <row r="117" spans="3:3" x14ac:dyDescent="0.3">
      <c r="C117" s="2" t="str">
        <f>IF(A117&lt;&gt;"",SUM(B117),"")</f>
        <v/>
      </c>
    </row>
    <row r="118" spans="3:3" x14ac:dyDescent="0.3">
      <c r="C118" s="2" t="str">
        <f>IF(A118&lt;&gt;"",SUM(B118),"")</f>
        <v/>
      </c>
    </row>
    <row r="119" spans="3:3" x14ac:dyDescent="0.3">
      <c r="C119" s="2" t="str">
        <f>IF(A119&lt;&gt;"",SUM(B119),"")</f>
        <v/>
      </c>
    </row>
    <row r="120" spans="3:3" x14ac:dyDescent="0.3">
      <c r="C120" s="2" t="str">
        <f>IF(A120&lt;&gt;"",SUM(B120),"")</f>
        <v/>
      </c>
    </row>
    <row r="121" spans="3:3" x14ac:dyDescent="0.3">
      <c r="C121" s="2" t="str">
        <f>IF(A121&lt;&gt;"",SUM(B121),"")</f>
        <v/>
      </c>
    </row>
    <row r="122" spans="3:3" x14ac:dyDescent="0.3">
      <c r="C122" s="2" t="str">
        <f>IF(A122&lt;&gt;"",SUM(B122),"")</f>
        <v/>
      </c>
    </row>
    <row r="123" spans="3:3" x14ac:dyDescent="0.3">
      <c r="C123" s="2" t="str">
        <f>IF(A123&lt;&gt;"",SUM(B123),"")</f>
        <v/>
      </c>
    </row>
    <row r="124" spans="3:3" x14ac:dyDescent="0.3">
      <c r="C124" s="2" t="str">
        <f>IF(A124&lt;&gt;"",SUM(B124),"")</f>
        <v/>
      </c>
    </row>
    <row r="125" spans="3:3" x14ac:dyDescent="0.3">
      <c r="C125" s="2" t="str">
        <f>IF(A125&lt;&gt;"",SUM(B125),"")</f>
        <v/>
      </c>
    </row>
    <row r="126" spans="3:3" x14ac:dyDescent="0.3">
      <c r="C126" s="2" t="str">
        <f>IF(A126&lt;&gt;"",SUM(B126),"")</f>
        <v/>
      </c>
    </row>
    <row r="127" spans="3:3" x14ac:dyDescent="0.3">
      <c r="C127" s="2" t="str">
        <f>IF(A127&lt;&gt;"",SUM(B127),"")</f>
        <v/>
      </c>
    </row>
    <row r="128" spans="3:3" x14ac:dyDescent="0.3">
      <c r="C128" s="2" t="str">
        <f>IF(A128&lt;&gt;"",SUM(B128),"")</f>
        <v/>
      </c>
    </row>
    <row r="129" spans="3:3" x14ac:dyDescent="0.3">
      <c r="C129" s="2" t="str">
        <f>IF(A129&lt;&gt;"",SUM(B129),"")</f>
        <v/>
      </c>
    </row>
    <row r="130" spans="3:3" x14ac:dyDescent="0.3">
      <c r="C130" s="2" t="str">
        <f>IF(A130&lt;&gt;"",SUM(B130),"")</f>
        <v/>
      </c>
    </row>
    <row r="131" spans="3:3" x14ac:dyDescent="0.3">
      <c r="C131" s="2" t="str">
        <f>IF(A131&lt;&gt;"",SUM(B131),"")</f>
        <v/>
      </c>
    </row>
    <row r="132" spans="3:3" x14ac:dyDescent="0.3">
      <c r="C132" s="2" t="str">
        <f>IF(A132&lt;&gt;"",SUM(B132),"")</f>
        <v/>
      </c>
    </row>
    <row r="133" spans="3:3" x14ac:dyDescent="0.3">
      <c r="C133" s="2" t="str">
        <f>IF(A133&lt;&gt;"",SUM(B133),"")</f>
        <v/>
      </c>
    </row>
    <row r="134" spans="3:3" x14ac:dyDescent="0.3">
      <c r="C134" s="2" t="str">
        <f>IF(A134&lt;&gt;"",SUM(B134),"")</f>
        <v/>
      </c>
    </row>
    <row r="135" spans="3:3" x14ac:dyDescent="0.3">
      <c r="C135" s="2" t="str">
        <f>IF(A135&lt;&gt;"",SUM(B135),"")</f>
        <v/>
      </c>
    </row>
    <row r="136" spans="3:3" x14ac:dyDescent="0.3">
      <c r="C136" s="2" t="str">
        <f>IF(A136&lt;&gt;"",SUM(B136),"")</f>
        <v/>
      </c>
    </row>
    <row r="137" spans="3:3" x14ac:dyDescent="0.3">
      <c r="C137" s="2" t="str">
        <f>IF(A137&lt;&gt;"",SUM(B137),"")</f>
        <v/>
      </c>
    </row>
    <row r="138" spans="3:3" x14ac:dyDescent="0.3">
      <c r="C138" s="2" t="str">
        <f>IF(A138&lt;&gt;"",SUM(B138),"")</f>
        <v/>
      </c>
    </row>
    <row r="139" spans="3:3" x14ac:dyDescent="0.3">
      <c r="C139" s="2" t="str">
        <f>IF(A139&lt;&gt;"",SUM(B139),"")</f>
        <v/>
      </c>
    </row>
    <row r="140" spans="3:3" x14ac:dyDescent="0.3">
      <c r="C140" s="2" t="str">
        <f>IF(A140&lt;&gt;"",SUM(B140),"")</f>
        <v/>
      </c>
    </row>
    <row r="141" spans="3:3" x14ac:dyDescent="0.3">
      <c r="C141" s="2" t="str">
        <f>IF(A141&lt;&gt;"",SUM(B141),"")</f>
        <v/>
      </c>
    </row>
    <row r="142" spans="3:3" x14ac:dyDescent="0.3">
      <c r="C142" s="2" t="str">
        <f>IF(A142&lt;&gt;"",SUM(B142),"")</f>
        <v/>
      </c>
    </row>
    <row r="143" spans="3:3" x14ac:dyDescent="0.3">
      <c r="C143" s="2" t="str">
        <f>IF(A143&lt;&gt;"",SUM(B143),"")</f>
        <v/>
      </c>
    </row>
    <row r="144" spans="3:3" x14ac:dyDescent="0.3">
      <c r="C144" s="2" t="str">
        <f>IF(A144&lt;&gt;"",SUM(B144),"")</f>
        <v/>
      </c>
    </row>
    <row r="145" spans="3:3" x14ac:dyDescent="0.3">
      <c r="C145" s="2" t="str">
        <f>IF(A145&lt;&gt;"",SUM(B145),"")</f>
        <v/>
      </c>
    </row>
    <row r="146" spans="3:3" x14ac:dyDescent="0.3">
      <c r="C146" s="2" t="str">
        <f>IF(A146&lt;&gt;"",SUM(B146),"")</f>
        <v/>
      </c>
    </row>
    <row r="147" spans="3:3" x14ac:dyDescent="0.3">
      <c r="C147" s="2" t="str">
        <f>IF(A147&lt;&gt;"",SUM(B147),"")</f>
        <v/>
      </c>
    </row>
    <row r="148" spans="3:3" x14ac:dyDescent="0.3">
      <c r="C148" s="2" t="str">
        <f>IF(A148&lt;&gt;"",SUM(B148),"")</f>
        <v/>
      </c>
    </row>
    <row r="149" spans="3:3" x14ac:dyDescent="0.3">
      <c r="C149" s="2" t="str">
        <f>IF(A149&lt;&gt;"",SUM(B149),"")</f>
        <v/>
      </c>
    </row>
    <row r="150" spans="3:3" x14ac:dyDescent="0.3">
      <c r="C150" s="2" t="str">
        <f>IF(A150&lt;&gt;"",SUM(B150),"")</f>
        <v/>
      </c>
    </row>
    <row r="151" spans="3:3" x14ac:dyDescent="0.3">
      <c r="C151" s="2" t="str">
        <f>IF(A151&lt;&gt;"",SUM(B151),"")</f>
        <v/>
      </c>
    </row>
    <row r="152" spans="3:3" x14ac:dyDescent="0.3">
      <c r="C152" s="2" t="str">
        <f>IF(A152&lt;&gt;"",SUM(B152),"")</f>
        <v/>
      </c>
    </row>
    <row r="153" spans="3:3" x14ac:dyDescent="0.3">
      <c r="C153" s="2" t="str">
        <f>IF(A153&lt;&gt;"",SUM(B153),"")</f>
        <v/>
      </c>
    </row>
    <row r="154" spans="3:3" x14ac:dyDescent="0.3">
      <c r="C154" s="2" t="str">
        <f>IF(A154&lt;&gt;"",SUM(B154),"")</f>
        <v/>
      </c>
    </row>
    <row r="155" spans="3:3" x14ac:dyDescent="0.3">
      <c r="C155" s="2" t="str">
        <f>IF(A155&lt;&gt;"",SUM(B155),"")</f>
        <v/>
      </c>
    </row>
    <row r="156" spans="3:3" x14ac:dyDescent="0.3">
      <c r="C156" s="2" t="str">
        <f>IF(A156&lt;&gt;"",SUM(B156),"")</f>
        <v/>
      </c>
    </row>
    <row r="157" spans="3:3" x14ac:dyDescent="0.3">
      <c r="C157" s="2" t="str">
        <f>IF(A157&lt;&gt;"",SUM(B157),"")</f>
        <v/>
      </c>
    </row>
    <row r="158" spans="3:3" x14ac:dyDescent="0.3">
      <c r="C158" s="2" t="str">
        <f>IF(A158&lt;&gt;"",SUM(B158),"")</f>
        <v/>
      </c>
    </row>
    <row r="159" spans="3:3" x14ac:dyDescent="0.3">
      <c r="C159" s="2" t="str">
        <f>IF(A159&lt;&gt;"",SUM(B159),"")</f>
        <v/>
      </c>
    </row>
    <row r="160" spans="3:3" x14ac:dyDescent="0.3">
      <c r="C160" s="2" t="str">
        <f>IF(A160&lt;&gt;"",SUM(B160),"")</f>
        <v/>
      </c>
    </row>
    <row r="161" spans="3:3" x14ac:dyDescent="0.3">
      <c r="C161" s="2" t="str">
        <f>IF(A161&lt;&gt;"",SUM(B161),"")</f>
        <v/>
      </c>
    </row>
    <row r="162" spans="3:3" x14ac:dyDescent="0.3">
      <c r="C162" s="2" t="str">
        <f>IF(A162&lt;&gt;"",SUM(B162),"")</f>
        <v/>
      </c>
    </row>
    <row r="163" spans="3:3" x14ac:dyDescent="0.3">
      <c r="C163" s="2" t="str">
        <f>IF(A163&lt;&gt;"",SUM(B163),"")</f>
        <v/>
      </c>
    </row>
    <row r="164" spans="3:3" x14ac:dyDescent="0.3">
      <c r="C164" s="2" t="str">
        <f>IF(A164&lt;&gt;"",SUM(B164),"")</f>
        <v/>
      </c>
    </row>
    <row r="165" spans="3:3" x14ac:dyDescent="0.3">
      <c r="C165" s="2" t="str">
        <f>IF(A165&lt;&gt;"",SUM(B165),"")</f>
        <v/>
      </c>
    </row>
    <row r="166" spans="3:3" x14ac:dyDescent="0.3">
      <c r="C166" s="2" t="str">
        <f>IF(A166&lt;&gt;"",SUM(B166),"")</f>
        <v/>
      </c>
    </row>
    <row r="167" spans="3:3" x14ac:dyDescent="0.3">
      <c r="C167" s="2" t="str">
        <f>IF(A167&lt;&gt;"",SUM(B167),"")</f>
        <v/>
      </c>
    </row>
    <row r="168" spans="3:3" x14ac:dyDescent="0.3">
      <c r="C168" s="2" t="str">
        <f>IF(A168&lt;&gt;"",SUM(B168),"")</f>
        <v/>
      </c>
    </row>
    <row r="169" spans="3:3" x14ac:dyDescent="0.3">
      <c r="C169" s="2" t="str">
        <f>IF(A169&lt;&gt;"",SUM(B169),"")</f>
        <v/>
      </c>
    </row>
    <row r="170" spans="3:3" x14ac:dyDescent="0.3">
      <c r="C170" s="2" t="str">
        <f>IF(A170&lt;&gt;"",SUM(B170),"")</f>
        <v/>
      </c>
    </row>
    <row r="171" spans="3:3" x14ac:dyDescent="0.3">
      <c r="C171" s="2" t="str">
        <f>IF(A171&lt;&gt;"",SUM(B171),"")</f>
        <v/>
      </c>
    </row>
    <row r="172" spans="3:3" x14ac:dyDescent="0.3">
      <c r="C172" s="2" t="str">
        <f>IF(A172&lt;&gt;"",SUM(B172),"")</f>
        <v/>
      </c>
    </row>
    <row r="173" spans="3:3" x14ac:dyDescent="0.3">
      <c r="C173" s="2" t="str">
        <f>IF(A173&lt;&gt;"",SUM(B173),"")</f>
        <v/>
      </c>
    </row>
    <row r="174" spans="3:3" x14ac:dyDescent="0.3">
      <c r="C174" s="2" t="str">
        <f>IF(A174&lt;&gt;"",SUM(B174),"")</f>
        <v/>
      </c>
    </row>
    <row r="175" spans="3:3" x14ac:dyDescent="0.3">
      <c r="C175" s="2" t="str">
        <f>IF(A175&lt;&gt;"",SUM(B175),"")</f>
        <v/>
      </c>
    </row>
    <row r="176" spans="3:3" x14ac:dyDescent="0.3">
      <c r="C176" s="2" t="str">
        <f>IF(A176&lt;&gt;"",SUM(B176),"")</f>
        <v/>
      </c>
    </row>
    <row r="177" spans="3:3" x14ac:dyDescent="0.3">
      <c r="C177" s="2" t="str">
        <f>IF(A177&lt;&gt;"",SUM(B177),"")</f>
        <v/>
      </c>
    </row>
    <row r="178" spans="3:3" x14ac:dyDescent="0.3">
      <c r="C178" s="2" t="str">
        <f>IF(A178&lt;&gt;"",SUM(B178),"")</f>
        <v/>
      </c>
    </row>
    <row r="179" spans="3:3" x14ac:dyDescent="0.3">
      <c r="C179" s="2" t="str">
        <f>IF(A179&lt;&gt;"",SUM(B179),"")</f>
        <v/>
      </c>
    </row>
    <row r="180" spans="3:3" x14ac:dyDescent="0.3">
      <c r="C180" s="2" t="str">
        <f>IF(A180&lt;&gt;"",SUM(B180),"")</f>
        <v/>
      </c>
    </row>
    <row r="181" spans="3:3" x14ac:dyDescent="0.3">
      <c r="C181" s="2" t="str">
        <f>IF(A181&lt;&gt;"",SUM(B181),"")</f>
        <v/>
      </c>
    </row>
    <row r="182" spans="3:3" x14ac:dyDescent="0.3">
      <c r="C182" s="2" t="str">
        <f>IF(A182&lt;&gt;"",SUM(B182),"")</f>
        <v/>
      </c>
    </row>
    <row r="183" spans="3:3" x14ac:dyDescent="0.3">
      <c r="C183" s="2" t="str">
        <f>IF(A183&lt;&gt;"",SUM(B183),"")</f>
        <v/>
      </c>
    </row>
    <row r="184" spans="3:3" x14ac:dyDescent="0.3">
      <c r="C184" s="2" t="str">
        <f>IF(A184&lt;&gt;"",SUM(B184),"")</f>
        <v/>
      </c>
    </row>
    <row r="185" spans="3:3" x14ac:dyDescent="0.3">
      <c r="C185" s="2" t="str">
        <f>IF(A185&lt;&gt;"",SUM(B185),"")</f>
        <v/>
      </c>
    </row>
    <row r="186" spans="3:3" x14ac:dyDescent="0.3">
      <c r="C186" s="2" t="str">
        <f>IF(A186&lt;&gt;"",SUM(B186),"")</f>
        <v/>
      </c>
    </row>
    <row r="187" spans="3:3" x14ac:dyDescent="0.3">
      <c r="C187" s="2" t="str">
        <f>IF(A187&lt;&gt;"",SUM(B187),"")</f>
        <v/>
      </c>
    </row>
    <row r="188" spans="3:3" x14ac:dyDescent="0.3">
      <c r="C188" s="2" t="str">
        <f>IF(A188&lt;&gt;"",SUM(B188),"")</f>
        <v/>
      </c>
    </row>
    <row r="189" spans="3:3" x14ac:dyDescent="0.3">
      <c r="C189" s="2" t="str">
        <f>IF(A189&lt;&gt;"",SUM(B189),"")</f>
        <v/>
      </c>
    </row>
    <row r="190" spans="3:3" x14ac:dyDescent="0.3">
      <c r="C190" s="2" t="str">
        <f>IF(A190&lt;&gt;"",SUM(B190),"")</f>
        <v/>
      </c>
    </row>
    <row r="191" spans="3:3" x14ac:dyDescent="0.3">
      <c r="C191" s="2" t="str">
        <f>IF(A191&lt;&gt;"",SUM(B191),"")</f>
        <v/>
      </c>
    </row>
    <row r="192" spans="3:3" x14ac:dyDescent="0.3">
      <c r="C192" s="2" t="str">
        <f>IF(A192&lt;&gt;"",SUM(B192),"")</f>
        <v/>
      </c>
    </row>
    <row r="193" spans="3:3" x14ac:dyDescent="0.3">
      <c r="C193" s="2" t="str">
        <f>IF(A193&lt;&gt;"",SUM(B193),"")</f>
        <v/>
      </c>
    </row>
    <row r="194" spans="3:3" x14ac:dyDescent="0.3">
      <c r="C194" s="2" t="str">
        <f>IF(A194&lt;&gt;"",SUM(B194),"")</f>
        <v/>
      </c>
    </row>
    <row r="195" spans="3:3" x14ac:dyDescent="0.3">
      <c r="C195" s="2" t="str">
        <f>IF(A195&lt;&gt;"",SUM(B195),"")</f>
        <v/>
      </c>
    </row>
    <row r="196" spans="3:3" x14ac:dyDescent="0.3">
      <c r="C196" s="2" t="str">
        <f>IF(A196&lt;&gt;"",SUM(B196),"")</f>
        <v/>
      </c>
    </row>
    <row r="197" spans="3:3" x14ac:dyDescent="0.3">
      <c r="C197" s="2" t="str">
        <f>IF(A197&lt;&gt;"",SUM(B197),"")</f>
        <v/>
      </c>
    </row>
    <row r="198" spans="3:3" x14ac:dyDescent="0.3">
      <c r="C198" s="2" t="str">
        <f>IF(A198&lt;&gt;"",SUM(B198),"")</f>
        <v/>
      </c>
    </row>
    <row r="199" spans="3:3" x14ac:dyDescent="0.3">
      <c r="C199" s="2" t="str">
        <f>IF(A199&lt;&gt;"",SUM(B199),"")</f>
        <v/>
      </c>
    </row>
    <row r="200" spans="3:3" x14ac:dyDescent="0.3">
      <c r="C200" s="2" t="str">
        <f>IF(A200&lt;&gt;"",SUM(B200),"")</f>
        <v/>
      </c>
    </row>
    <row r="201" spans="3:3" x14ac:dyDescent="0.3">
      <c r="C201" s="2" t="str">
        <f>IF(A201&lt;&gt;"",SUM(B201),"")</f>
        <v/>
      </c>
    </row>
    <row r="202" spans="3:3" x14ac:dyDescent="0.3">
      <c r="C202" s="2" t="str">
        <f>IF(A202&lt;&gt;"",SUM(B202),"")</f>
        <v/>
      </c>
    </row>
    <row r="203" spans="3:3" x14ac:dyDescent="0.3">
      <c r="C203" s="2" t="str">
        <f>IF(A203&lt;&gt;"",SUM(B203),"")</f>
        <v/>
      </c>
    </row>
    <row r="204" spans="3:3" x14ac:dyDescent="0.3">
      <c r="C204" s="2" t="str">
        <f>IF(A204&lt;&gt;"",SUM(B204),"")</f>
        <v/>
      </c>
    </row>
    <row r="205" spans="3:3" x14ac:dyDescent="0.3">
      <c r="C205" s="2" t="str">
        <f>IF(A205&lt;&gt;"",SUM(B205),"")</f>
        <v/>
      </c>
    </row>
    <row r="206" spans="3:3" x14ac:dyDescent="0.3">
      <c r="C206" s="2" t="str">
        <f>IF(A206&lt;&gt;"",SUM(B206),"")</f>
        <v/>
      </c>
    </row>
    <row r="207" spans="3:3" x14ac:dyDescent="0.3">
      <c r="C207" s="2" t="str">
        <f>IF(A207&lt;&gt;"",SUM(B207),"")</f>
        <v/>
      </c>
    </row>
    <row r="208" spans="3:3" x14ac:dyDescent="0.3">
      <c r="C208" s="2" t="str">
        <f>IF(A208&lt;&gt;"",SUM(B208),"")</f>
        <v/>
      </c>
    </row>
    <row r="209" spans="3:3" x14ac:dyDescent="0.3">
      <c r="C209" s="2" t="str">
        <f>IF(A209&lt;&gt;"",SUM(B209),"")</f>
        <v/>
      </c>
    </row>
    <row r="210" spans="3:3" x14ac:dyDescent="0.3">
      <c r="C210" s="2" t="str">
        <f>IF(A210&lt;&gt;"",SUM(B210),"")</f>
        <v/>
      </c>
    </row>
    <row r="211" spans="3:3" x14ac:dyDescent="0.3">
      <c r="C211" s="2" t="str">
        <f>IF(A211&lt;&gt;"",SUM(B211),"")</f>
        <v/>
      </c>
    </row>
    <row r="212" spans="3:3" x14ac:dyDescent="0.3">
      <c r="C212" s="2" t="str">
        <f>IF(A212&lt;&gt;"",SUM(B212),"")</f>
        <v/>
      </c>
    </row>
    <row r="213" spans="3:3" x14ac:dyDescent="0.3">
      <c r="C213" s="2" t="str">
        <f>IF(A213&lt;&gt;"",SUM(B213),"")</f>
        <v/>
      </c>
    </row>
    <row r="214" spans="3:3" x14ac:dyDescent="0.3">
      <c r="C214" s="2" t="str">
        <f>IF(A214&lt;&gt;"",SUM(B214),"")</f>
        <v/>
      </c>
    </row>
    <row r="215" spans="3:3" x14ac:dyDescent="0.3">
      <c r="C215" s="2" t="str">
        <f>IF(A215&lt;&gt;"",SUM(B215),"")</f>
        <v/>
      </c>
    </row>
    <row r="216" spans="3:3" x14ac:dyDescent="0.3">
      <c r="C216" s="2" t="str">
        <f>IF(A216&lt;&gt;"",SUM(B216),"")</f>
        <v/>
      </c>
    </row>
    <row r="217" spans="3:3" x14ac:dyDescent="0.3">
      <c r="C217" s="2" t="str">
        <f>IF(A217&lt;&gt;"",SUM(B217),"")</f>
        <v/>
      </c>
    </row>
    <row r="218" spans="3:3" x14ac:dyDescent="0.3">
      <c r="C218" s="2" t="str">
        <f>IF(A218&lt;&gt;"",SUM(B218),"")</f>
        <v/>
      </c>
    </row>
    <row r="219" spans="3:3" x14ac:dyDescent="0.3">
      <c r="C219" s="2" t="str">
        <f>IF(A219&lt;&gt;"",SUM(B219),"")</f>
        <v/>
      </c>
    </row>
    <row r="220" spans="3:3" x14ac:dyDescent="0.3">
      <c r="C220" s="2" t="str">
        <f>IF(A220&lt;&gt;"",SUM(B220),"")</f>
        <v/>
      </c>
    </row>
    <row r="221" spans="3:3" x14ac:dyDescent="0.3">
      <c r="C221" s="2" t="str">
        <f>IF(A221&lt;&gt;"",SUM(B221),"")</f>
        <v/>
      </c>
    </row>
    <row r="222" spans="3:3" x14ac:dyDescent="0.3">
      <c r="C222" s="2" t="str">
        <f>IF(A222&lt;&gt;"",SUM(B222),"")</f>
        <v/>
      </c>
    </row>
    <row r="223" spans="3:3" x14ac:dyDescent="0.3">
      <c r="C223" s="2" t="str">
        <f>IF(A223&lt;&gt;"",SUM(B223),"")</f>
        <v/>
      </c>
    </row>
    <row r="224" spans="3:3" x14ac:dyDescent="0.3">
      <c r="C224" s="2" t="str">
        <f>IF(A224&lt;&gt;"",SUM(B224),"")</f>
        <v/>
      </c>
    </row>
    <row r="225" spans="3:3" x14ac:dyDescent="0.3">
      <c r="C225" s="2" t="str">
        <f>IF(A225&lt;&gt;"",SUM(B225),"")</f>
        <v/>
      </c>
    </row>
    <row r="226" spans="3:3" x14ac:dyDescent="0.3">
      <c r="C226" s="2" t="str">
        <f>IF(A226&lt;&gt;"",SUM(B226),"")</f>
        <v/>
      </c>
    </row>
    <row r="227" spans="3:3" x14ac:dyDescent="0.3">
      <c r="C227" s="2" t="str">
        <f>IF(A227&lt;&gt;"",SUM(B227),"")</f>
        <v/>
      </c>
    </row>
    <row r="228" spans="3:3" x14ac:dyDescent="0.3">
      <c r="C228" s="2" t="str">
        <f>IF(A228&lt;&gt;"",SUM(B228),"")</f>
        <v/>
      </c>
    </row>
    <row r="229" spans="3:3" x14ac:dyDescent="0.3">
      <c r="C229" s="2" t="str">
        <f>IF(A229&lt;&gt;"",SUM(B229),"")</f>
        <v/>
      </c>
    </row>
    <row r="230" spans="3:3" x14ac:dyDescent="0.3">
      <c r="C230" s="2" t="str">
        <f>IF(A230&lt;&gt;"",SUM(B230),"")</f>
        <v/>
      </c>
    </row>
    <row r="231" spans="3:3" x14ac:dyDescent="0.3">
      <c r="C231" s="2" t="str">
        <f>IF(A231&lt;&gt;"",SUM(B231),"")</f>
        <v/>
      </c>
    </row>
    <row r="232" spans="3:3" x14ac:dyDescent="0.3">
      <c r="C232" s="2" t="str">
        <f>IF(A232&lt;&gt;"",SUM(B232),"")</f>
        <v/>
      </c>
    </row>
    <row r="233" spans="3:3" x14ac:dyDescent="0.3">
      <c r="C233" s="2" t="str">
        <f>IF(A233&lt;&gt;"",SUM(B233),"")</f>
        <v/>
      </c>
    </row>
    <row r="234" spans="3:3" x14ac:dyDescent="0.3">
      <c r="C234" s="2" t="str">
        <f>IF(A234&lt;&gt;"",SUM(B234),"")</f>
        <v/>
      </c>
    </row>
    <row r="235" spans="3:3" x14ac:dyDescent="0.3">
      <c r="C235" s="2" t="str">
        <f>IF(A235&lt;&gt;"",SUM(B235),"")</f>
        <v/>
      </c>
    </row>
    <row r="236" spans="3:3" x14ac:dyDescent="0.3">
      <c r="C236" s="2" t="str">
        <f>IF(A236&lt;&gt;"",SUM(B236),"")</f>
        <v/>
      </c>
    </row>
    <row r="237" spans="3:3" x14ac:dyDescent="0.3">
      <c r="C237" s="2" t="str">
        <f>IF(A237&lt;&gt;"",SUM(B237),"")</f>
        <v/>
      </c>
    </row>
    <row r="238" spans="3:3" x14ac:dyDescent="0.3">
      <c r="C238" s="2" t="str">
        <f>IF(A238&lt;&gt;"",SUM(B238),"")</f>
        <v/>
      </c>
    </row>
    <row r="239" spans="3:3" x14ac:dyDescent="0.3">
      <c r="C239" s="2" t="str">
        <f>IF(A239&lt;&gt;"",SUM(B239),"")</f>
        <v/>
      </c>
    </row>
    <row r="240" spans="3:3" x14ac:dyDescent="0.3">
      <c r="C240" s="2" t="str">
        <f>IF(A240&lt;&gt;"",SUM(B240),"")</f>
        <v/>
      </c>
    </row>
    <row r="241" spans="3:3" x14ac:dyDescent="0.3">
      <c r="C241" s="2" t="str">
        <f>IF(A241&lt;&gt;"",SUM(B241),"")</f>
        <v/>
      </c>
    </row>
    <row r="242" spans="3:3" x14ac:dyDescent="0.3">
      <c r="C242" s="2" t="str">
        <f>IF(A242&lt;&gt;"",SUM(B242),"")</f>
        <v/>
      </c>
    </row>
    <row r="243" spans="3:3" x14ac:dyDescent="0.3">
      <c r="C243" s="2" t="str">
        <f>IF(A243&lt;&gt;"",SUM(B243),"")</f>
        <v/>
      </c>
    </row>
    <row r="244" spans="3:3" x14ac:dyDescent="0.3">
      <c r="C244" s="2" t="str">
        <f>IF(A244&lt;&gt;"",SUM(B244),"")</f>
        <v/>
      </c>
    </row>
    <row r="245" spans="3:3" x14ac:dyDescent="0.3">
      <c r="C245" s="2" t="str">
        <f>IF(A245&lt;&gt;"",SUM(B245),"")</f>
        <v/>
      </c>
    </row>
    <row r="246" spans="3:3" x14ac:dyDescent="0.3">
      <c r="C246" s="2" t="str">
        <f>IF(A246&lt;&gt;"",SUM(B246),"")</f>
        <v/>
      </c>
    </row>
    <row r="247" spans="3:3" x14ac:dyDescent="0.3">
      <c r="C247" s="2" t="str">
        <f>IF(A247&lt;&gt;"",SUM(B247),"")</f>
        <v/>
      </c>
    </row>
    <row r="248" spans="3:3" x14ac:dyDescent="0.3">
      <c r="C248" s="2" t="str">
        <f>IF(A248&lt;&gt;"",SUM(B248),"")</f>
        <v/>
      </c>
    </row>
    <row r="249" spans="3:3" x14ac:dyDescent="0.3">
      <c r="C249" s="2" t="str">
        <f>IF(A249&lt;&gt;"",SUM(B249),"")</f>
        <v/>
      </c>
    </row>
    <row r="250" spans="3:3" x14ac:dyDescent="0.3">
      <c r="C250" s="2" t="str">
        <f>IF(A250&lt;&gt;"",SUM(B250),"")</f>
        <v/>
      </c>
    </row>
    <row r="251" spans="3:3" x14ac:dyDescent="0.3">
      <c r="C251" s="2" t="str">
        <f>IF(A251&lt;&gt;"",SUM(B251),"")</f>
        <v/>
      </c>
    </row>
    <row r="252" spans="3:3" x14ac:dyDescent="0.3">
      <c r="C252" s="2" t="str">
        <f>IF(A252&lt;&gt;"",SUM(B252),"")</f>
        <v/>
      </c>
    </row>
    <row r="253" spans="3:3" x14ac:dyDescent="0.3">
      <c r="C253" s="2" t="str">
        <f>IF(A253&lt;&gt;"",SUM(B253),"")</f>
        <v/>
      </c>
    </row>
    <row r="254" spans="3:3" x14ac:dyDescent="0.3">
      <c r="C254" s="2" t="str">
        <f>IF(A254&lt;&gt;"",SUM(B254),"")</f>
        <v/>
      </c>
    </row>
    <row r="255" spans="3:3" x14ac:dyDescent="0.3">
      <c r="C255" s="2" t="str">
        <f>IF(A255&lt;&gt;"",SUM(B255),"")</f>
        <v/>
      </c>
    </row>
    <row r="256" spans="3:3" x14ac:dyDescent="0.3">
      <c r="C256" s="2" t="str">
        <f>IF(A256&lt;&gt;"",SUM(B256),"")</f>
        <v/>
      </c>
    </row>
    <row r="257" spans="3:3" x14ac:dyDescent="0.3">
      <c r="C257" s="2" t="str">
        <f>IF(A257&lt;&gt;"",SUM(B257),"")</f>
        <v/>
      </c>
    </row>
    <row r="258" spans="3:3" x14ac:dyDescent="0.3">
      <c r="C258" s="2" t="str">
        <f>IF(A258&lt;&gt;"",SUM(B258),"")</f>
        <v/>
      </c>
    </row>
    <row r="259" spans="3:3" x14ac:dyDescent="0.3">
      <c r="C259" s="2" t="str">
        <f>IF(A259&lt;&gt;"",SUM(B259),"")</f>
        <v/>
      </c>
    </row>
    <row r="260" spans="3:3" x14ac:dyDescent="0.3">
      <c r="C260" s="2" t="str">
        <f>IF(A260&lt;&gt;"",SUM(B260),"")</f>
        <v/>
      </c>
    </row>
    <row r="261" spans="3:3" x14ac:dyDescent="0.3">
      <c r="C261" s="2" t="str">
        <f>IF(A261&lt;&gt;"",SUM(B261),"")</f>
        <v/>
      </c>
    </row>
    <row r="262" spans="3:3" x14ac:dyDescent="0.3">
      <c r="C262" s="2" t="str">
        <f>IF(A262&lt;&gt;"",SUM(B262),"")</f>
        <v/>
      </c>
    </row>
    <row r="263" spans="3:3" x14ac:dyDescent="0.3">
      <c r="C263" s="2" t="str">
        <f>IF(A263&lt;&gt;"",SUM(B263),"")</f>
        <v/>
      </c>
    </row>
    <row r="264" spans="3:3" x14ac:dyDescent="0.3">
      <c r="C264" s="2" t="str">
        <f>IF(A264&lt;&gt;"",SUM(B264),"")</f>
        <v/>
      </c>
    </row>
    <row r="265" spans="3:3" x14ac:dyDescent="0.3">
      <c r="C265" s="2" t="str">
        <f>IF(A265&lt;&gt;"",SUM(B265),"")</f>
        <v/>
      </c>
    </row>
    <row r="266" spans="3:3" x14ac:dyDescent="0.3">
      <c r="C266" s="2" t="str">
        <f>IF(A266&lt;&gt;"",SUM(B266),"")</f>
        <v/>
      </c>
    </row>
    <row r="267" spans="3:3" x14ac:dyDescent="0.3">
      <c r="C267" s="2" t="str">
        <f>IF(A267&lt;&gt;"",SUM(B267),"")</f>
        <v/>
      </c>
    </row>
    <row r="268" spans="3:3" x14ac:dyDescent="0.3">
      <c r="C268" s="2" t="str">
        <f>IF(A268&lt;&gt;"",SUM(B268),"")</f>
        <v/>
      </c>
    </row>
    <row r="269" spans="3:3" x14ac:dyDescent="0.3">
      <c r="C269" s="2" t="str">
        <f>IF(A269&lt;&gt;"",SUM(B269),"")</f>
        <v/>
      </c>
    </row>
    <row r="270" spans="3:3" x14ac:dyDescent="0.3">
      <c r="C270" s="2" t="str">
        <f>IF(A270&lt;&gt;"",SUM(B270),"")</f>
        <v/>
      </c>
    </row>
    <row r="271" spans="3:3" x14ac:dyDescent="0.3">
      <c r="C271" s="2" t="str">
        <f>IF(A271&lt;&gt;"",SUM(B271),"")</f>
        <v/>
      </c>
    </row>
    <row r="272" spans="3:3" x14ac:dyDescent="0.3">
      <c r="C272" s="2" t="str">
        <f>IF(A272&lt;&gt;"",SUM(B272),"")</f>
        <v/>
      </c>
    </row>
    <row r="273" spans="3:3" x14ac:dyDescent="0.3">
      <c r="C273" s="2" t="str">
        <f>IF(A273&lt;&gt;"",SUM(B273),"")</f>
        <v/>
      </c>
    </row>
    <row r="274" spans="3:3" x14ac:dyDescent="0.3">
      <c r="C274" s="2" t="str">
        <f>IF(A274&lt;&gt;"",SUM(B274),"")</f>
        <v/>
      </c>
    </row>
    <row r="275" spans="3:3" x14ac:dyDescent="0.3">
      <c r="C275" s="2" t="str">
        <f>IF(A275&lt;&gt;"",SUM(B275),"")</f>
        <v/>
      </c>
    </row>
    <row r="276" spans="3:3" x14ac:dyDescent="0.3">
      <c r="C276" s="2" t="str">
        <f>IF(A276&lt;&gt;"",SUM(B276),"")</f>
        <v/>
      </c>
    </row>
    <row r="277" spans="3:3" x14ac:dyDescent="0.3">
      <c r="C277" s="2" t="str">
        <f>IF(A277&lt;&gt;"",SUM(B277),"")</f>
        <v/>
      </c>
    </row>
    <row r="278" spans="3:3" x14ac:dyDescent="0.3">
      <c r="C278" s="2" t="str">
        <f>IF(A278&lt;&gt;"",SUM(B278),"")</f>
        <v/>
      </c>
    </row>
    <row r="279" spans="3:3" x14ac:dyDescent="0.3">
      <c r="C279" s="2" t="str">
        <f>IF(A279&lt;&gt;"",SUM(B279),"")</f>
        <v/>
      </c>
    </row>
    <row r="280" spans="3:3" x14ac:dyDescent="0.3">
      <c r="C280" s="2" t="str">
        <f>IF(A280&lt;&gt;"",SUM(B280),"")</f>
        <v/>
      </c>
    </row>
    <row r="281" spans="3:3" x14ac:dyDescent="0.3">
      <c r="C281" s="2" t="str">
        <f>IF(A281&lt;&gt;"",SUM(B281),"")</f>
        <v/>
      </c>
    </row>
    <row r="282" spans="3:3" x14ac:dyDescent="0.3">
      <c r="C282" s="2" t="str">
        <f>IF(A282&lt;&gt;"",SUM(B282),"")</f>
        <v/>
      </c>
    </row>
    <row r="283" spans="3:3" x14ac:dyDescent="0.3">
      <c r="C283" s="2" t="str">
        <f>IF(A283&lt;&gt;"",SUM(B283),"")</f>
        <v/>
      </c>
    </row>
    <row r="284" spans="3:3" x14ac:dyDescent="0.3">
      <c r="C284" s="2" t="str">
        <f>IF(A284&lt;&gt;"",SUM(B284),"")</f>
        <v/>
      </c>
    </row>
    <row r="285" spans="3:3" x14ac:dyDescent="0.3">
      <c r="C285" s="2" t="str">
        <f>IF(A285&lt;&gt;"",SUM(B285),"")</f>
        <v/>
      </c>
    </row>
    <row r="286" spans="3:3" x14ac:dyDescent="0.3">
      <c r="C286" s="2" t="str">
        <f>IF(A286&lt;&gt;"",SUM(B286),"")</f>
        <v/>
      </c>
    </row>
    <row r="287" spans="3:3" x14ac:dyDescent="0.3">
      <c r="C287" s="2" t="str">
        <f>IF(A287&lt;&gt;"",SUM(B287),"")</f>
        <v/>
      </c>
    </row>
    <row r="288" spans="3:3" x14ac:dyDescent="0.3">
      <c r="C288" s="2" t="str">
        <f>IF(A288&lt;&gt;"",SUM(B288),"")</f>
        <v/>
      </c>
    </row>
    <row r="289" spans="3:3" x14ac:dyDescent="0.3">
      <c r="C289" s="2" t="str">
        <f>IF(A289&lt;&gt;"",SUM(B289),"")</f>
        <v/>
      </c>
    </row>
    <row r="290" spans="3:3" x14ac:dyDescent="0.3">
      <c r="C290" s="2" t="str">
        <f>IF(A290&lt;&gt;"",SUM(B290),"")</f>
        <v/>
      </c>
    </row>
    <row r="291" spans="3:3" x14ac:dyDescent="0.3">
      <c r="C291" s="2" t="str">
        <f>IF(A291&lt;&gt;"",SUM(B291),"")</f>
        <v/>
      </c>
    </row>
    <row r="292" spans="3:3" x14ac:dyDescent="0.3">
      <c r="C292" s="2" t="str">
        <f>IF(A292&lt;&gt;"",SUM(B292),"")</f>
        <v/>
      </c>
    </row>
    <row r="293" spans="3:3" x14ac:dyDescent="0.3">
      <c r="C293" s="2" t="str">
        <f>IF(A293&lt;&gt;"",SUM(B293),"")</f>
        <v/>
      </c>
    </row>
    <row r="294" spans="3:3" x14ac:dyDescent="0.3">
      <c r="C294" s="2" t="str">
        <f>IF(A294&lt;&gt;"",SUM(B294),"")</f>
        <v/>
      </c>
    </row>
    <row r="295" spans="3:3" x14ac:dyDescent="0.3">
      <c r="C295" s="2" t="str">
        <f>IF(A295&lt;&gt;"",SUM(B295),"")</f>
        <v/>
      </c>
    </row>
    <row r="296" spans="3:3" x14ac:dyDescent="0.3">
      <c r="C296" s="2" t="str">
        <f>IF(A296&lt;&gt;"",SUM(B296),"")</f>
        <v/>
      </c>
    </row>
    <row r="297" spans="3:3" x14ac:dyDescent="0.3">
      <c r="C297" s="2" t="str">
        <f>IF(A297&lt;&gt;"",SUM(B297),"")</f>
        <v/>
      </c>
    </row>
    <row r="298" spans="3:3" x14ac:dyDescent="0.3">
      <c r="C298" s="2" t="str">
        <f>IF(A298&lt;&gt;"",SUM(B298),"")</f>
        <v/>
      </c>
    </row>
    <row r="299" spans="3:3" x14ac:dyDescent="0.3">
      <c r="C299" s="2" t="str">
        <f>IF(A299&lt;&gt;"",SUM(B299),"")</f>
        <v/>
      </c>
    </row>
    <row r="300" spans="3:3" x14ac:dyDescent="0.3">
      <c r="C300" s="2" t="str">
        <f>IF(A300&lt;&gt;"",SUM(B300),"")</f>
        <v/>
      </c>
    </row>
    <row r="301" spans="3:3" x14ac:dyDescent="0.3">
      <c r="C301" s="2" t="str">
        <f>IF(A301&lt;&gt;"",SUM(B301),"")</f>
        <v/>
      </c>
    </row>
    <row r="302" spans="3:3" x14ac:dyDescent="0.3">
      <c r="C302" s="2" t="str">
        <f>IF(A302&lt;&gt;"",SUM(B302),"")</f>
        <v/>
      </c>
    </row>
    <row r="303" spans="3:3" x14ac:dyDescent="0.3">
      <c r="C303" s="2" t="str">
        <f>IF(A303&lt;&gt;"",SUM(B303),"")</f>
        <v/>
      </c>
    </row>
    <row r="304" spans="3:3" x14ac:dyDescent="0.3">
      <c r="C304" s="2" t="str">
        <f>IF(A304&lt;&gt;"",SUM(B304),"")</f>
        <v/>
      </c>
    </row>
    <row r="305" spans="3:3" x14ac:dyDescent="0.3">
      <c r="C305" s="2" t="str">
        <f>IF(A305&lt;&gt;"",SUM(B305),"")</f>
        <v/>
      </c>
    </row>
    <row r="306" spans="3:3" x14ac:dyDescent="0.3">
      <c r="C306" s="2" t="str">
        <f>IF(A306&lt;&gt;"",SUM(B306),"")</f>
        <v/>
      </c>
    </row>
    <row r="307" spans="3:3" x14ac:dyDescent="0.3">
      <c r="C307" s="2" t="str">
        <f>IF(A307&lt;&gt;"",SUM(B307),"")</f>
        <v/>
      </c>
    </row>
    <row r="308" spans="3:3" x14ac:dyDescent="0.3">
      <c r="C308" s="2" t="str">
        <f>IF(A308&lt;&gt;"",SUM(B308),"")</f>
        <v/>
      </c>
    </row>
    <row r="309" spans="3:3" x14ac:dyDescent="0.3">
      <c r="C309" s="2" t="str">
        <f>IF(A309&lt;&gt;"",SUM(B309),"")</f>
        <v/>
      </c>
    </row>
    <row r="310" spans="3:3" x14ac:dyDescent="0.3">
      <c r="C310" s="2" t="str">
        <f>IF(A310&lt;&gt;"",SUM(B310),"")</f>
        <v/>
      </c>
    </row>
    <row r="311" spans="3:3" x14ac:dyDescent="0.3">
      <c r="C311" s="2" t="str">
        <f>IF(A311&lt;&gt;"",SUM(B311),"")</f>
        <v/>
      </c>
    </row>
    <row r="312" spans="3:3" x14ac:dyDescent="0.3">
      <c r="C312" s="2" t="str">
        <f>IF(A312&lt;&gt;"",SUM(B312),"")</f>
        <v/>
      </c>
    </row>
    <row r="313" spans="3:3" x14ac:dyDescent="0.3">
      <c r="C313" s="2" t="str">
        <f>IF(A313&lt;&gt;"",SUM(B313),"")</f>
        <v/>
      </c>
    </row>
    <row r="314" spans="3:3" x14ac:dyDescent="0.3">
      <c r="C314" s="2" t="str">
        <f>IF(A314&lt;&gt;"",SUM(B314),"")</f>
        <v/>
      </c>
    </row>
    <row r="315" spans="3:3" x14ac:dyDescent="0.3">
      <c r="C315" s="2" t="str">
        <f>IF(A315&lt;&gt;"",SUM(B315),"")</f>
        <v/>
      </c>
    </row>
    <row r="316" spans="3:3" x14ac:dyDescent="0.3">
      <c r="C316" s="2" t="str">
        <f>IF(A316&lt;&gt;"",SUM(B316),"")</f>
        <v/>
      </c>
    </row>
    <row r="317" spans="3:3" x14ac:dyDescent="0.3">
      <c r="C317" s="2" t="str">
        <f>IF(A317&lt;&gt;"",SUM(B317),"")</f>
        <v/>
      </c>
    </row>
    <row r="318" spans="3:3" x14ac:dyDescent="0.3">
      <c r="C318" s="2" t="str">
        <f>IF(A318&lt;&gt;"",SUM(B318),"")</f>
        <v/>
      </c>
    </row>
    <row r="319" spans="3:3" x14ac:dyDescent="0.3">
      <c r="C319" s="2" t="str">
        <f>IF(A319&lt;&gt;"",SUM(B319),"")</f>
        <v/>
      </c>
    </row>
    <row r="320" spans="3:3" x14ac:dyDescent="0.3">
      <c r="C320" s="2" t="str">
        <f>IF(A320&lt;&gt;"",SUM(B320),"")</f>
        <v/>
      </c>
    </row>
    <row r="321" spans="3:3" x14ac:dyDescent="0.3">
      <c r="C321" s="2" t="str">
        <f>IF(A321&lt;&gt;"",SUM(B321),"")</f>
        <v/>
      </c>
    </row>
    <row r="322" spans="3:3" x14ac:dyDescent="0.3">
      <c r="C322" s="2" t="str">
        <f>IF(A322&lt;&gt;"",SUM(B322),"")</f>
        <v/>
      </c>
    </row>
    <row r="323" spans="3:3" x14ac:dyDescent="0.3">
      <c r="C323" s="2" t="str">
        <f>IF(A323&lt;&gt;"",SUM(B323),"")</f>
        <v/>
      </c>
    </row>
    <row r="324" spans="3:3" x14ac:dyDescent="0.3">
      <c r="C324" s="2" t="str">
        <f>IF(A324&lt;&gt;"",SUM(B324),"")</f>
        <v/>
      </c>
    </row>
    <row r="325" spans="3:3" x14ac:dyDescent="0.3">
      <c r="C325" s="2" t="str">
        <f>IF(A325&lt;&gt;"",SUM(B325),"")</f>
        <v/>
      </c>
    </row>
    <row r="326" spans="3:3" x14ac:dyDescent="0.3">
      <c r="C326" s="2" t="str">
        <f>IF(A326&lt;&gt;"",SUM(B326),"")</f>
        <v/>
      </c>
    </row>
    <row r="327" spans="3:3" x14ac:dyDescent="0.3">
      <c r="C327" s="2" t="str">
        <f>IF(A327&lt;&gt;"",SUM(B327),"")</f>
        <v/>
      </c>
    </row>
    <row r="328" spans="3:3" x14ac:dyDescent="0.3">
      <c r="C328" s="2" t="str">
        <f>IF(A328&lt;&gt;"",SUM(B328),"")</f>
        <v/>
      </c>
    </row>
    <row r="329" spans="3:3" x14ac:dyDescent="0.3">
      <c r="C329" s="2" t="str">
        <f>IF(A329&lt;&gt;"",SUM(B329),"")</f>
        <v/>
      </c>
    </row>
    <row r="330" spans="3:3" x14ac:dyDescent="0.3">
      <c r="C330" s="2" t="str">
        <f>IF(A330&lt;&gt;"",SUM(B330),"")</f>
        <v/>
      </c>
    </row>
    <row r="331" spans="3:3" x14ac:dyDescent="0.3">
      <c r="C331" s="2" t="str">
        <f>IF(A331&lt;&gt;"",SUM(B331),"")</f>
        <v/>
      </c>
    </row>
    <row r="332" spans="3:3" x14ac:dyDescent="0.3">
      <c r="C332" s="2" t="str">
        <f>IF(A332&lt;&gt;"",SUM(B332),"")</f>
        <v/>
      </c>
    </row>
    <row r="333" spans="3:3" x14ac:dyDescent="0.3">
      <c r="C333" s="2" t="str">
        <f>IF(A333&lt;&gt;"",SUM(B333),"")</f>
        <v/>
      </c>
    </row>
    <row r="334" spans="3:3" x14ac:dyDescent="0.3">
      <c r="C334" s="2" t="str">
        <f>IF(A334&lt;&gt;"",SUM(B334),"")</f>
        <v/>
      </c>
    </row>
    <row r="335" spans="3:3" x14ac:dyDescent="0.3">
      <c r="C335" s="2" t="str">
        <f>IF(A335&lt;&gt;"",SUM(B335),"")</f>
        <v/>
      </c>
    </row>
    <row r="336" spans="3:3" x14ac:dyDescent="0.3">
      <c r="C336" s="2" t="str">
        <f>IF(A336&lt;&gt;"",SUM(B336),"")</f>
        <v/>
      </c>
    </row>
    <row r="337" spans="3:3" x14ac:dyDescent="0.3">
      <c r="C337" s="2" t="str">
        <f>IF(A337&lt;&gt;"",SUM(B337),"")</f>
        <v/>
      </c>
    </row>
    <row r="338" spans="3:3" x14ac:dyDescent="0.3">
      <c r="C338" s="2" t="str">
        <f>IF(A338&lt;&gt;"",SUM(B338),"")</f>
        <v/>
      </c>
    </row>
    <row r="339" spans="3:3" x14ac:dyDescent="0.3">
      <c r="C339" s="2" t="str">
        <f>IF(A339&lt;&gt;"",SUM(B339),"")</f>
        <v/>
      </c>
    </row>
    <row r="340" spans="3:3" x14ac:dyDescent="0.3">
      <c r="C340" s="2" t="str">
        <f>IF(A340&lt;&gt;"",SUM(B340),"")</f>
        <v/>
      </c>
    </row>
    <row r="341" spans="3:3" x14ac:dyDescent="0.3">
      <c r="C341" s="2" t="str">
        <f>IF(A341&lt;&gt;"",SUM(B341),"")</f>
        <v/>
      </c>
    </row>
    <row r="342" spans="3:3" x14ac:dyDescent="0.3">
      <c r="C342" s="2" t="str">
        <f>IF(A342&lt;&gt;"",SUM(B342),"")</f>
        <v/>
      </c>
    </row>
    <row r="343" spans="3:3" x14ac:dyDescent="0.3">
      <c r="C343" s="2" t="str">
        <f>IF(A343&lt;&gt;"",SUM(B343),"")</f>
        <v/>
      </c>
    </row>
    <row r="344" spans="3:3" x14ac:dyDescent="0.3">
      <c r="C344" s="2" t="str">
        <f>IF(A344&lt;&gt;"",SUM(B344),"")</f>
        <v/>
      </c>
    </row>
    <row r="345" spans="3:3" x14ac:dyDescent="0.3">
      <c r="C345" s="2" t="str">
        <f>IF(A345&lt;&gt;"",SUM(B345),"")</f>
        <v/>
      </c>
    </row>
    <row r="346" spans="3:3" x14ac:dyDescent="0.3">
      <c r="C346" s="2" t="str">
        <f>IF(A346&lt;&gt;"",SUM(B346),"")</f>
        <v/>
      </c>
    </row>
    <row r="347" spans="3:3" x14ac:dyDescent="0.3">
      <c r="C347" s="2" t="str">
        <f>IF(A347&lt;&gt;"",SUM(B347),"")</f>
        <v/>
      </c>
    </row>
    <row r="348" spans="3:3" x14ac:dyDescent="0.3">
      <c r="C348" s="2" t="str">
        <f>IF(A348&lt;&gt;"",SUM(B348),"")</f>
        <v/>
      </c>
    </row>
    <row r="349" spans="3:3" x14ac:dyDescent="0.3">
      <c r="C349" s="2" t="str">
        <f>IF(A349&lt;&gt;"",SUM(B349),"")</f>
        <v/>
      </c>
    </row>
    <row r="350" spans="3:3" x14ac:dyDescent="0.3">
      <c r="C350" s="2" t="str">
        <f>IF(A350&lt;&gt;"",SUM(B350),"")</f>
        <v/>
      </c>
    </row>
    <row r="351" spans="3:3" x14ac:dyDescent="0.3">
      <c r="C351" s="2" t="str">
        <f>IF(A351&lt;&gt;"",SUM(B351),"")</f>
        <v/>
      </c>
    </row>
    <row r="352" spans="3:3" x14ac:dyDescent="0.3">
      <c r="C352" s="2" t="str">
        <f>IF(A352&lt;&gt;"",SUM(B352),"")</f>
        <v/>
      </c>
    </row>
    <row r="353" spans="3:3" x14ac:dyDescent="0.3">
      <c r="C353" s="2" t="str">
        <f>IF(A353&lt;&gt;"",SUM(B353),"")</f>
        <v/>
      </c>
    </row>
    <row r="354" spans="3:3" x14ac:dyDescent="0.3">
      <c r="C354" s="2" t="str">
        <f>IF(A354&lt;&gt;"",SUM(B354),"")</f>
        <v/>
      </c>
    </row>
    <row r="355" spans="3:3" x14ac:dyDescent="0.3">
      <c r="C355" s="2" t="str">
        <f>IF(A355&lt;&gt;"",SUM(B355),"")</f>
        <v/>
      </c>
    </row>
    <row r="356" spans="3:3" x14ac:dyDescent="0.3">
      <c r="C356" s="2" t="str">
        <f>IF(A356&lt;&gt;"",SUM(B356),"")</f>
        <v/>
      </c>
    </row>
    <row r="357" spans="3:3" x14ac:dyDescent="0.3">
      <c r="C357" s="2" t="str">
        <f>IF(A357&lt;&gt;"",SUM(B357),"")</f>
        <v/>
      </c>
    </row>
    <row r="358" spans="3:3" x14ac:dyDescent="0.3">
      <c r="C358" s="2" t="str">
        <f>IF(A358&lt;&gt;"",SUM(B358),"")</f>
        <v/>
      </c>
    </row>
    <row r="359" spans="3:3" x14ac:dyDescent="0.3">
      <c r="C359" s="2" t="str">
        <f>IF(A359&lt;&gt;"",SUM(B359),"")</f>
        <v/>
      </c>
    </row>
    <row r="360" spans="3:3" x14ac:dyDescent="0.3">
      <c r="C360" s="2" t="str">
        <f>IF(A360&lt;&gt;"",SUM(B360),"")</f>
        <v/>
      </c>
    </row>
    <row r="361" spans="3:3" x14ac:dyDescent="0.3">
      <c r="C361" s="2" t="str">
        <f>IF(A361&lt;&gt;"",SUM(B361),"")</f>
        <v/>
      </c>
    </row>
    <row r="362" spans="3:3" x14ac:dyDescent="0.3">
      <c r="C362" s="2" t="str">
        <f>IF(A362&lt;&gt;"",SUM(B362),"")</f>
        <v/>
      </c>
    </row>
    <row r="363" spans="3:3" x14ac:dyDescent="0.3">
      <c r="C363" s="2" t="str">
        <f>IF(A363&lt;&gt;"",SUM(B363),"")</f>
        <v/>
      </c>
    </row>
    <row r="364" spans="3:3" x14ac:dyDescent="0.3">
      <c r="C364" s="2" t="str">
        <f>IF(A364&lt;&gt;"",SUM(B364),"")</f>
        <v/>
      </c>
    </row>
    <row r="365" spans="3:3" x14ac:dyDescent="0.3">
      <c r="C365" s="2" t="str">
        <f>IF(A365&lt;&gt;"",SUM(B365),"")</f>
        <v/>
      </c>
    </row>
    <row r="366" spans="3:3" x14ac:dyDescent="0.3">
      <c r="C366" s="2" t="str">
        <f>IF(A366&lt;&gt;"",SUM(B366),"")</f>
        <v/>
      </c>
    </row>
    <row r="367" spans="3:3" x14ac:dyDescent="0.3">
      <c r="C367" s="2" t="str">
        <f>IF(A367&lt;&gt;"",SUM(B367),"")</f>
        <v/>
      </c>
    </row>
    <row r="368" spans="3:3" x14ac:dyDescent="0.3">
      <c r="C368" s="2" t="str">
        <f>IF(A368&lt;&gt;"",SUM(B368),"")</f>
        <v/>
      </c>
    </row>
    <row r="369" spans="3:3" x14ac:dyDescent="0.3">
      <c r="C369" s="2" t="str">
        <f>IF(A369&lt;&gt;"",SUM(B369),"")</f>
        <v/>
      </c>
    </row>
    <row r="370" spans="3:3" x14ac:dyDescent="0.3">
      <c r="C370" s="2" t="str">
        <f>IF(A370&lt;&gt;"",SUM(B370),"")</f>
        <v/>
      </c>
    </row>
    <row r="371" spans="3:3" x14ac:dyDescent="0.3">
      <c r="C371" s="2" t="str">
        <f>IF(A371&lt;&gt;"",SUM(B371),"")</f>
        <v/>
      </c>
    </row>
    <row r="372" spans="3:3" x14ac:dyDescent="0.3">
      <c r="C372" s="2" t="str">
        <f>IF(A372&lt;&gt;"",SUM(B372),"")</f>
        <v/>
      </c>
    </row>
    <row r="373" spans="3:3" x14ac:dyDescent="0.3">
      <c r="C373" s="2" t="str">
        <f>IF(A373&lt;&gt;"",SUM(B373),"")</f>
        <v/>
      </c>
    </row>
    <row r="374" spans="3:3" x14ac:dyDescent="0.3">
      <c r="C374" s="2" t="str">
        <f>IF(A374&lt;&gt;"",SUM(B374),"")</f>
        <v/>
      </c>
    </row>
    <row r="375" spans="3:3" x14ac:dyDescent="0.3">
      <c r="C375" s="2" t="str">
        <f>IF(A375&lt;&gt;"",SUM(B375),"")</f>
        <v/>
      </c>
    </row>
    <row r="376" spans="3:3" x14ac:dyDescent="0.3">
      <c r="C376" s="2" t="str">
        <f>IF(A376&lt;&gt;"",SUM(B376),"")</f>
        <v/>
      </c>
    </row>
    <row r="377" spans="3:3" x14ac:dyDescent="0.3">
      <c r="C377" s="2" t="str">
        <f>IF(A377&lt;&gt;"",SUM(B377),"")</f>
        <v/>
      </c>
    </row>
    <row r="378" spans="3:3" x14ac:dyDescent="0.3">
      <c r="C378" s="2" t="str">
        <f>IF(A378&lt;&gt;"",SUM(B378),"")</f>
        <v/>
      </c>
    </row>
    <row r="379" spans="3:3" x14ac:dyDescent="0.3">
      <c r="C379" s="2" t="str">
        <f>IF(A379&lt;&gt;"",SUM(B379),"")</f>
        <v/>
      </c>
    </row>
    <row r="380" spans="3:3" x14ac:dyDescent="0.3">
      <c r="C380" s="2" t="str">
        <f>IF(A380&lt;&gt;"",SUM(B380),"")</f>
        <v/>
      </c>
    </row>
    <row r="381" spans="3:3" x14ac:dyDescent="0.3">
      <c r="C381" s="2" t="str">
        <f>IF(A381&lt;&gt;"",SUM(B381),"")</f>
        <v/>
      </c>
    </row>
    <row r="382" spans="3:3" x14ac:dyDescent="0.3">
      <c r="C382" s="2" t="str">
        <f>IF(A382&lt;&gt;"",SUM(B382),"")</f>
        <v/>
      </c>
    </row>
    <row r="383" spans="3:3" x14ac:dyDescent="0.3">
      <c r="C383" s="2" t="str">
        <f>IF(A383&lt;&gt;"",SUM(B383),"")</f>
        <v/>
      </c>
    </row>
    <row r="384" spans="3:3" x14ac:dyDescent="0.3">
      <c r="C384" s="2" t="str">
        <f>IF(A384&lt;&gt;"",SUM(B384),"")</f>
        <v/>
      </c>
    </row>
    <row r="385" spans="3:3" x14ac:dyDescent="0.3">
      <c r="C385" s="2" t="str">
        <f>IF(A385&lt;&gt;"",SUM(B385),"")</f>
        <v/>
      </c>
    </row>
    <row r="386" spans="3:3" x14ac:dyDescent="0.3">
      <c r="C386" s="2" t="str">
        <f>IF(A386&lt;&gt;"",SUM(B386),"")</f>
        <v/>
      </c>
    </row>
    <row r="387" spans="3:3" x14ac:dyDescent="0.3">
      <c r="C387" s="2" t="str">
        <f>IF(A387&lt;&gt;"",SUM(B387),"")</f>
        <v/>
      </c>
    </row>
    <row r="388" spans="3:3" x14ac:dyDescent="0.3">
      <c r="C388" s="2" t="str">
        <f>IF(A388&lt;&gt;"",SUM(B388),"")</f>
        <v/>
      </c>
    </row>
    <row r="389" spans="3:3" x14ac:dyDescent="0.3">
      <c r="C389" s="2" t="str">
        <f>IF(A389&lt;&gt;"",SUM(B389),"")</f>
        <v/>
      </c>
    </row>
    <row r="390" spans="3:3" x14ac:dyDescent="0.3">
      <c r="C390" s="2" t="str">
        <f>IF(A390&lt;&gt;"",SUM(B390),"")</f>
        <v/>
      </c>
    </row>
    <row r="391" spans="3:3" x14ac:dyDescent="0.3">
      <c r="C391" s="2" t="str">
        <f>IF(A391&lt;&gt;"",SUM(B391),"")</f>
        <v/>
      </c>
    </row>
    <row r="392" spans="3:3" x14ac:dyDescent="0.3">
      <c r="C392" s="2" t="str">
        <f>IF(A392&lt;&gt;"",SUM(B392),"")</f>
        <v/>
      </c>
    </row>
    <row r="393" spans="3:3" x14ac:dyDescent="0.3">
      <c r="C393" s="2" t="str">
        <f>IF(A393&lt;&gt;"",SUM(B393),"")</f>
        <v/>
      </c>
    </row>
    <row r="394" spans="3:3" x14ac:dyDescent="0.3">
      <c r="C394" s="2" t="str">
        <f>IF(A394&lt;&gt;"",SUM(B394),"")</f>
        <v/>
      </c>
    </row>
    <row r="395" spans="3:3" x14ac:dyDescent="0.3">
      <c r="C395" s="2" t="str">
        <f>IF(A395&lt;&gt;"",SUM(B395),"")</f>
        <v/>
      </c>
    </row>
    <row r="396" spans="3:3" x14ac:dyDescent="0.3">
      <c r="C396" s="2" t="str">
        <f>IF(A396&lt;&gt;"",SUM(B396),"")</f>
        <v/>
      </c>
    </row>
    <row r="397" spans="3:3" x14ac:dyDescent="0.3">
      <c r="C397" s="2" t="str">
        <f>IF(A397&lt;&gt;"",SUM(B397),"")</f>
        <v/>
      </c>
    </row>
    <row r="398" spans="3:3" x14ac:dyDescent="0.3">
      <c r="C398" s="2" t="str">
        <f>IF(A398&lt;&gt;"",SUM(B398),"")</f>
        <v/>
      </c>
    </row>
    <row r="399" spans="3:3" x14ac:dyDescent="0.3">
      <c r="C399" s="2" t="str">
        <f>IF(A399&lt;&gt;"",SUM(B399),"")</f>
        <v/>
      </c>
    </row>
    <row r="400" spans="3:3" x14ac:dyDescent="0.3">
      <c r="C400" s="2" t="str">
        <f>IF(A400&lt;&gt;"",SUM(B400),"")</f>
        <v/>
      </c>
    </row>
    <row r="401" spans="3:3" x14ac:dyDescent="0.3">
      <c r="C401" s="2" t="str">
        <f>IF(A401&lt;&gt;"",SUM(B401),"")</f>
        <v/>
      </c>
    </row>
    <row r="402" spans="3:3" x14ac:dyDescent="0.3">
      <c r="C402" s="2" t="str">
        <f>IF(A402&lt;&gt;"",SUM(B402),"")</f>
        <v/>
      </c>
    </row>
    <row r="403" spans="3:3" x14ac:dyDescent="0.3">
      <c r="C403" s="2" t="str">
        <f>IF(A403&lt;&gt;"",SUM(B403),"")</f>
        <v/>
      </c>
    </row>
    <row r="404" spans="3:3" x14ac:dyDescent="0.3">
      <c r="C404" s="2" t="str">
        <f>IF(A404&lt;&gt;"",SUM(B404),"")</f>
        <v/>
      </c>
    </row>
    <row r="405" spans="3:3" x14ac:dyDescent="0.3">
      <c r="C405" s="2" t="str">
        <f>IF(A405&lt;&gt;"",SUM(B405),"")</f>
        <v/>
      </c>
    </row>
    <row r="406" spans="3:3" x14ac:dyDescent="0.3">
      <c r="C406" s="2" t="str">
        <f>IF(A406&lt;&gt;"",SUM(B406),"")</f>
        <v/>
      </c>
    </row>
    <row r="407" spans="3:3" x14ac:dyDescent="0.3">
      <c r="C407" s="2" t="str">
        <f>IF(A407&lt;&gt;"",SUM(B407),"")</f>
        <v/>
      </c>
    </row>
    <row r="408" spans="3:3" x14ac:dyDescent="0.3">
      <c r="C408" s="2" t="str">
        <f>IF(A408&lt;&gt;"",SUM(B408),"")</f>
        <v/>
      </c>
    </row>
    <row r="409" spans="3:3" x14ac:dyDescent="0.3">
      <c r="C409" s="2" t="str">
        <f>IF(A409&lt;&gt;"",SUM(B409),"")</f>
        <v/>
      </c>
    </row>
    <row r="410" spans="3:3" x14ac:dyDescent="0.3">
      <c r="C410" s="2" t="str">
        <f>IF(A410&lt;&gt;"",SUM(B410),"")</f>
        <v/>
      </c>
    </row>
    <row r="411" spans="3:3" x14ac:dyDescent="0.3">
      <c r="C411" s="2" t="str">
        <f>IF(A411&lt;&gt;"",SUM(B411),"")</f>
        <v/>
      </c>
    </row>
    <row r="412" spans="3:3" x14ac:dyDescent="0.3">
      <c r="C412" s="2" t="str">
        <f>IF(A412&lt;&gt;"",SUM(B412),"")</f>
        <v/>
      </c>
    </row>
    <row r="413" spans="3:3" x14ac:dyDescent="0.3">
      <c r="C413" s="2" t="str">
        <f>IF(A413&lt;&gt;"",SUM(B413),"")</f>
        <v/>
      </c>
    </row>
    <row r="414" spans="3:3" x14ac:dyDescent="0.3">
      <c r="C414" s="2" t="str">
        <f>IF(A414&lt;&gt;"",SUM(B414),"")</f>
        <v/>
      </c>
    </row>
    <row r="415" spans="3:3" x14ac:dyDescent="0.3">
      <c r="C415" s="2" t="str">
        <f>IF(A415&lt;&gt;"",SUM(B415),"")</f>
        <v/>
      </c>
    </row>
    <row r="416" spans="3:3" x14ac:dyDescent="0.3">
      <c r="C416" s="2" t="str">
        <f>IF(A416&lt;&gt;"",SUM(B416),"")</f>
        <v/>
      </c>
    </row>
    <row r="417" spans="3:3" x14ac:dyDescent="0.3">
      <c r="C417" s="2" t="str">
        <f>IF(A417&lt;&gt;"",SUM(B417),"")</f>
        <v/>
      </c>
    </row>
    <row r="418" spans="3:3" x14ac:dyDescent="0.3">
      <c r="C418" s="2" t="str">
        <f>IF(A418&lt;&gt;"",SUM(B418),"")</f>
        <v/>
      </c>
    </row>
    <row r="419" spans="3:3" x14ac:dyDescent="0.3">
      <c r="C419" s="2" t="str">
        <f>IF(A419&lt;&gt;"",SUM(B419),"")</f>
        <v/>
      </c>
    </row>
    <row r="420" spans="3:3" x14ac:dyDescent="0.3">
      <c r="C420" s="2" t="str">
        <f>IF(A420&lt;&gt;"",SUM(B420),"")</f>
        <v/>
      </c>
    </row>
    <row r="421" spans="3:3" x14ac:dyDescent="0.3">
      <c r="C421" s="2" t="str">
        <f>IF(A421&lt;&gt;"",SUM(B421),"")</f>
        <v/>
      </c>
    </row>
    <row r="422" spans="3:3" x14ac:dyDescent="0.3">
      <c r="C422" s="2" t="str">
        <f>IF(A422&lt;&gt;"",SUM(B422),"")</f>
        <v/>
      </c>
    </row>
    <row r="423" spans="3:3" x14ac:dyDescent="0.3">
      <c r="C423" s="2" t="str">
        <f>IF(A423&lt;&gt;"",SUM(B423),"")</f>
        <v/>
      </c>
    </row>
    <row r="424" spans="3:3" x14ac:dyDescent="0.3">
      <c r="C424" s="2" t="str">
        <f>IF(A424&lt;&gt;"",SUM(B424),"")</f>
        <v/>
      </c>
    </row>
    <row r="425" spans="3:3" x14ac:dyDescent="0.3">
      <c r="C425" s="2" t="str">
        <f>IF(A425&lt;&gt;"",SUM(B425),"")</f>
        <v/>
      </c>
    </row>
    <row r="426" spans="3:3" x14ac:dyDescent="0.3">
      <c r="C426" s="2" t="str">
        <f>IF(A426&lt;&gt;"",SUM(B426),"")</f>
        <v/>
      </c>
    </row>
    <row r="427" spans="3:3" x14ac:dyDescent="0.3">
      <c r="C427" s="2" t="str">
        <f>IF(A427&lt;&gt;"",SUM(B427),"")</f>
        <v/>
      </c>
    </row>
    <row r="428" spans="3:3" x14ac:dyDescent="0.3">
      <c r="C428" s="2" t="str">
        <f>IF(A428&lt;&gt;"",SUM(B428),"")</f>
        <v/>
      </c>
    </row>
    <row r="429" spans="3:3" x14ac:dyDescent="0.3">
      <c r="C429" s="2" t="str">
        <f>IF(A429&lt;&gt;"",SUM(B429),"")</f>
        <v/>
      </c>
    </row>
    <row r="430" spans="3:3" x14ac:dyDescent="0.3">
      <c r="C430" s="2" t="str">
        <f>IF(A430&lt;&gt;"",SUM(B430),"")</f>
        <v/>
      </c>
    </row>
    <row r="431" spans="3:3" x14ac:dyDescent="0.3">
      <c r="C431" s="2" t="str">
        <f>IF(A431&lt;&gt;"",SUM(B431),"")</f>
        <v/>
      </c>
    </row>
    <row r="432" spans="3:3" x14ac:dyDescent="0.3">
      <c r="C432" s="2" t="str">
        <f>IF(A432&lt;&gt;"",SUM(B432),"")</f>
        <v/>
      </c>
    </row>
    <row r="433" spans="3:3" x14ac:dyDescent="0.3">
      <c r="C433" s="2" t="str">
        <f>IF(A433&lt;&gt;"",SUM(B433),"")</f>
        <v/>
      </c>
    </row>
    <row r="434" spans="3:3" x14ac:dyDescent="0.3">
      <c r="C434" s="2" t="str">
        <f>IF(A434&lt;&gt;"",SUM(B434),"")</f>
        <v/>
      </c>
    </row>
    <row r="435" spans="3:3" x14ac:dyDescent="0.3">
      <c r="C435" s="2" t="str">
        <f>IF(A435&lt;&gt;"",SUM(B435),"")</f>
        <v/>
      </c>
    </row>
    <row r="436" spans="3:3" x14ac:dyDescent="0.3">
      <c r="C436" s="2" t="str">
        <f>IF(A436&lt;&gt;"",SUM(B436),"")</f>
        <v/>
      </c>
    </row>
    <row r="437" spans="3:3" x14ac:dyDescent="0.3">
      <c r="C437" s="2" t="str">
        <f>IF(A437&lt;&gt;"",SUM(B437),"")</f>
        <v/>
      </c>
    </row>
    <row r="438" spans="3:3" x14ac:dyDescent="0.3">
      <c r="C438" s="2" t="str">
        <f>IF(A438&lt;&gt;"",SUM(B438),"")</f>
        <v/>
      </c>
    </row>
    <row r="439" spans="3:3" x14ac:dyDescent="0.3">
      <c r="C439" s="2" t="str">
        <f>IF(A439&lt;&gt;"",SUM(B439),"")</f>
        <v/>
      </c>
    </row>
    <row r="440" spans="3:3" x14ac:dyDescent="0.3">
      <c r="C440" s="2" t="str">
        <f>IF(A440&lt;&gt;"",SUM(B440),"")</f>
        <v/>
      </c>
    </row>
    <row r="441" spans="3:3" x14ac:dyDescent="0.3">
      <c r="C441" s="2" t="str">
        <f>IF(A441&lt;&gt;"",SUM(B441),"")</f>
        <v/>
      </c>
    </row>
    <row r="442" spans="3:3" x14ac:dyDescent="0.3">
      <c r="C442" s="2" t="str">
        <f>IF(A442&lt;&gt;"",SUM(B442),"")</f>
        <v/>
      </c>
    </row>
    <row r="443" spans="3:3" x14ac:dyDescent="0.3">
      <c r="C443" s="2" t="str">
        <f>IF(A443&lt;&gt;"",SUM(B443),"")</f>
        <v/>
      </c>
    </row>
    <row r="444" spans="3:3" x14ac:dyDescent="0.3">
      <c r="C444" s="2" t="str">
        <f>IF(A444&lt;&gt;"",SUM(B444),"")</f>
        <v/>
      </c>
    </row>
    <row r="445" spans="3:3" x14ac:dyDescent="0.3">
      <c r="C445" s="2" t="str">
        <f>IF(A445&lt;&gt;"",SUM(B445),"")</f>
        <v/>
      </c>
    </row>
    <row r="446" spans="3:3" x14ac:dyDescent="0.3">
      <c r="C446" s="2" t="str">
        <f>IF(A446&lt;&gt;"",SUM(B446),"")</f>
        <v/>
      </c>
    </row>
    <row r="447" spans="3:3" x14ac:dyDescent="0.3">
      <c r="C447" s="2" t="str">
        <f>IF(A447&lt;&gt;"",SUM(B447),"")</f>
        <v/>
      </c>
    </row>
    <row r="448" spans="3:3" x14ac:dyDescent="0.3">
      <c r="C448" s="2" t="str">
        <f>IF(A448&lt;&gt;"",SUM(B448),"")</f>
        <v/>
      </c>
    </row>
    <row r="449" spans="3:3" x14ac:dyDescent="0.3">
      <c r="C449" s="2" t="str">
        <f>IF(A449&lt;&gt;"",SUM(B449),"")</f>
        <v/>
      </c>
    </row>
    <row r="450" spans="3:3" x14ac:dyDescent="0.3">
      <c r="C450" s="2" t="str">
        <f>IF(A450&lt;&gt;"",SUM(B450),"")</f>
        <v/>
      </c>
    </row>
    <row r="451" spans="3:3" x14ac:dyDescent="0.3">
      <c r="C451" s="2" t="str">
        <f>IF(A451&lt;&gt;"",SUM(B451),"")</f>
        <v/>
      </c>
    </row>
    <row r="452" spans="3:3" x14ac:dyDescent="0.3">
      <c r="C452" s="2" t="str">
        <f>IF(A452&lt;&gt;"",SUM(B452),"")</f>
        <v/>
      </c>
    </row>
    <row r="453" spans="3:3" x14ac:dyDescent="0.3">
      <c r="C453" s="2" t="str">
        <f>IF(A453&lt;&gt;"",SUM(B453),"")</f>
        <v/>
      </c>
    </row>
    <row r="454" spans="3:3" x14ac:dyDescent="0.3">
      <c r="C454" s="2" t="str">
        <f>IF(A454&lt;&gt;"",SUM(B454),"")</f>
        <v/>
      </c>
    </row>
    <row r="455" spans="3:3" x14ac:dyDescent="0.3">
      <c r="C455" s="2" t="str">
        <f>IF(A455&lt;&gt;"",SUM(B455),"")</f>
        <v/>
      </c>
    </row>
    <row r="456" spans="3:3" x14ac:dyDescent="0.3">
      <c r="C456" s="2" t="str">
        <f>IF(A456&lt;&gt;"",SUM(B456),"")</f>
        <v/>
      </c>
    </row>
    <row r="457" spans="3:3" x14ac:dyDescent="0.3">
      <c r="C457" s="2" t="str">
        <f>IF(A457&lt;&gt;"",SUM(B457),"")</f>
        <v/>
      </c>
    </row>
    <row r="458" spans="3:3" x14ac:dyDescent="0.3">
      <c r="C458" s="2" t="str">
        <f>IF(A458&lt;&gt;"",SUM(B458),"")</f>
        <v/>
      </c>
    </row>
    <row r="459" spans="3:3" x14ac:dyDescent="0.3">
      <c r="C459" s="2" t="str">
        <f>IF(A459&lt;&gt;"",SUM(B459),"")</f>
        <v/>
      </c>
    </row>
    <row r="460" spans="3:3" x14ac:dyDescent="0.3">
      <c r="C460" s="2" t="str">
        <f>IF(A460&lt;&gt;"",SUM(B460),"")</f>
        <v/>
      </c>
    </row>
    <row r="461" spans="3:3" x14ac:dyDescent="0.3">
      <c r="C461" s="2" t="str">
        <f>IF(A461&lt;&gt;"",SUM(B461),"")</f>
        <v/>
      </c>
    </row>
    <row r="462" spans="3:3" x14ac:dyDescent="0.3">
      <c r="C462" s="2" t="str">
        <f>IF(A462&lt;&gt;"",SUM(B462),"")</f>
        <v/>
      </c>
    </row>
    <row r="463" spans="3:3" x14ac:dyDescent="0.3">
      <c r="C463" s="2" t="str">
        <f>IF(A463&lt;&gt;"",SUM(B463),"")</f>
        <v/>
      </c>
    </row>
    <row r="464" spans="3:3" x14ac:dyDescent="0.3">
      <c r="C464" s="2" t="str">
        <f>IF(A464&lt;&gt;"",SUM(B464),"")</f>
        <v/>
      </c>
    </row>
    <row r="465" spans="3:3" x14ac:dyDescent="0.3">
      <c r="C465" s="2" t="str">
        <f>IF(A465&lt;&gt;"",SUM(B465),"")</f>
        <v/>
      </c>
    </row>
    <row r="466" spans="3:3" x14ac:dyDescent="0.3">
      <c r="C466" s="2" t="str">
        <f>IF(A466&lt;&gt;"",SUM(B466),"")</f>
        <v/>
      </c>
    </row>
    <row r="467" spans="3:3" x14ac:dyDescent="0.3">
      <c r="C467" s="2" t="str">
        <f>IF(A467&lt;&gt;"",SUM(B467),"")</f>
        <v/>
      </c>
    </row>
    <row r="468" spans="3:3" x14ac:dyDescent="0.3">
      <c r="C468" s="2" t="str">
        <f>IF(A468&lt;&gt;"",SUM(B468),"")</f>
        <v/>
      </c>
    </row>
    <row r="469" spans="3:3" x14ac:dyDescent="0.3">
      <c r="C469" s="2" t="str">
        <f>IF(A469&lt;&gt;"",SUM(B469),"")</f>
        <v/>
      </c>
    </row>
    <row r="470" spans="3:3" x14ac:dyDescent="0.3">
      <c r="C470" s="2" t="str">
        <f>IF(A470&lt;&gt;"",SUM(B470),"")</f>
        <v/>
      </c>
    </row>
    <row r="471" spans="3:3" x14ac:dyDescent="0.3">
      <c r="C471" s="2" t="str">
        <f>IF(A471&lt;&gt;"",SUM(B471),"")</f>
        <v/>
      </c>
    </row>
    <row r="472" spans="3:3" x14ac:dyDescent="0.3">
      <c r="C472" s="2" t="str">
        <f>IF(A472&lt;&gt;"",SUM(B472),"")</f>
        <v/>
      </c>
    </row>
    <row r="473" spans="3:3" x14ac:dyDescent="0.3">
      <c r="C473" s="2" t="str">
        <f>IF(A473&lt;&gt;"",SUM(B473),"")</f>
        <v/>
      </c>
    </row>
    <row r="474" spans="3:3" x14ac:dyDescent="0.3">
      <c r="C474" s="2" t="str">
        <f>IF(A474&lt;&gt;"",SUM(B474),"")</f>
        <v/>
      </c>
    </row>
    <row r="475" spans="3:3" x14ac:dyDescent="0.3">
      <c r="C475" s="2" t="str">
        <f>IF(A475&lt;&gt;"",SUM(B475),"")</f>
        <v/>
      </c>
    </row>
    <row r="476" spans="3:3" x14ac:dyDescent="0.3">
      <c r="C476" s="2" t="str">
        <f>IF(A476&lt;&gt;"",SUM(B476),"")</f>
        <v/>
      </c>
    </row>
    <row r="477" spans="3:3" x14ac:dyDescent="0.3">
      <c r="C477" s="2" t="str">
        <f>IF(A477&lt;&gt;"",SUM(B477),"")</f>
        <v/>
      </c>
    </row>
    <row r="478" spans="3:3" x14ac:dyDescent="0.3">
      <c r="C478" s="2" t="str">
        <f>IF(A478&lt;&gt;"",SUM(B478),"")</f>
        <v/>
      </c>
    </row>
    <row r="479" spans="3:3" x14ac:dyDescent="0.3">
      <c r="C479" s="2" t="str">
        <f>IF(A479&lt;&gt;"",SUM(B479),"")</f>
        <v/>
      </c>
    </row>
    <row r="480" spans="3:3" x14ac:dyDescent="0.3">
      <c r="C480" s="2" t="str">
        <f>IF(A480&lt;&gt;"",SUM(B480),"")</f>
        <v/>
      </c>
    </row>
    <row r="481" spans="3:3" x14ac:dyDescent="0.3">
      <c r="C481" s="2" t="str">
        <f>IF(A481&lt;&gt;"",SUM(B481),"")</f>
        <v/>
      </c>
    </row>
    <row r="482" spans="3:3" x14ac:dyDescent="0.3">
      <c r="C482" s="2" t="str">
        <f>IF(A482&lt;&gt;"",SUM(B482),"")</f>
        <v/>
      </c>
    </row>
    <row r="483" spans="3:3" x14ac:dyDescent="0.3">
      <c r="C483" s="2" t="str">
        <f>IF(A483&lt;&gt;"",SUM(B483),"")</f>
        <v/>
      </c>
    </row>
    <row r="484" spans="3:3" x14ac:dyDescent="0.3">
      <c r="C484" s="2" t="str">
        <f>IF(A484&lt;&gt;"",SUM(B484),"")</f>
        <v/>
      </c>
    </row>
    <row r="485" spans="3:3" x14ac:dyDescent="0.3">
      <c r="C485" s="2" t="str">
        <f>IF(A485&lt;&gt;"",SUM(B485),"")</f>
        <v/>
      </c>
    </row>
    <row r="486" spans="3:3" x14ac:dyDescent="0.3">
      <c r="C486" s="2" t="str">
        <f>IF(A486&lt;&gt;"",SUM(B486),"")</f>
        <v/>
      </c>
    </row>
    <row r="487" spans="3:3" x14ac:dyDescent="0.3">
      <c r="C487" s="2" t="str">
        <f>IF(A487&lt;&gt;"",SUM(B487),"")</f>
        <v/>
      </c>
    </row>
    <row r="488" spans="3:3" x14ac:dyDescent="0.3">
      <c r="C488" s="2" t="str">
        <f>IF(A488&lt;&gt;"",SUM(B488),"")</f>
        <v/>
      </c>
    </row>
    <row r="489" spans="3:3" x14ac:dyDescent="0.3">
      <c r="C489" s="2" t="str">
        <f>IF(A489&lt;&gt;"",SUM(B489),"")</f>
        <v/>
      </c>
    </row>
    <row r="490" spans="3:3" x14ac:dyDescent="0.3">
      <c r="C490" s="2" t="str">
        <f>IF(A490&lt;&gt;"",SUM(B490),"")</f>
        <v/>
      </c>
    </row>
    <row r="491" spans="3:3" x14ac:dyDescent="0.3">
      <c r="C491" s="2" t="str">
        <f>IF(A491&lt;&gt;"",SUM(B491),"")</f>
        <v/>
      </c>
    </row>
    <row r="492" spans="3:3" x14ac:dyDescent="0.3">
      <c r="C492" s="2" t="str">
        <f>IF(A492&lt;&gt;"",SUM(B492),"")</f>
        <v/>
      </c>
    </row>
    <row r="493" spans="3:3" x14ac:dyDescent="0.3">
      <c r="C493" s="2" t="str">
        <f>IF(A493&lt;&gt;"",SUM(B493),"")</f>
        <v/>
      </c>
    </row>
    <row r="494" spans="3:3" x14ac:dyDescent="0.3">
      <c r="C494" s="2" t="str">
        <f>IF(A494&lt;&gt;"",SUM(B494),"")</f>
        <v/>
      </c>
    </row>
    <row r="495" spans="3:3" x14ac:dyDescent="0.3">
      <c r="C495" s="2" t="str">
        <f>IF(A495&lt;&gt;"",SUM(B495),"")</f>
        <v/>
      </c>
    </row>
    <row r="496" spans="3:3" x14ac:dyDescent="0.3">
      <c r="C496" s="2" t="str">
        <f>IF(A496&lt;&gt;"",SUM(B496),"")</f>
        <v/>
      </c>
    </row>
    <row r="497" spans="3:3" x14ac:dyDescent="0.3">
      <c r="C497" s="2" t="str">
        <f>IF(A497&lt;&gt;"",SUM(B497),"")</f>
        <v/>
      </c>
    </row>
    <row r="498" spans="3:3" x14ac:dyDescent="0.3">
      <c r="C498" s="2" t="str">
        <f>IF(A498&lt;&gt;"",SUM(B498),"")</f>
        <v/>
      </c>
    </row>
    <row r="499" spans="3:3" x14ac:dyDescent="0.3">
      <c r="C499" s="2" t="str">
        <f>IF(A499&lt;&gt;"",SUM(B499),"")</f>
        <v/>
      </c>
    </row>
    <row r="500" spans="3:3" x14ac:dyDescent="0.3">
      <c r="C500" s="2" t="str">
        <f>IF(A500&lt;&gt;"",SUM(B500),"")</f>
        <v/>
      </c>
    </row>
    <row r="501" spans="3:3" x14ac:dyDescent="0.3">
      <c r="C501" s="2" t="str">
        <f>IF(A501&lt;&gt;"",SUM(B501),"")</f>
        <v/>
      </c>
    </row>
    <row r="502" spans="3:3" x14ac:dyDescent="0.3">
      <c r="C502" s="2" t="str">
        <f>IF(A502&lt;&gt;"",SUM(B502),"")</f>
        <v/>
      </c>
    </row>
    <row r="503" spans="3:3" x14ac:dyDescent="0.3">
      <c r="C503" s="2" t="str">
        <f>IF(A503&lt;&gt;"",SUM(B503),"")</f>
        <v/>
      </c>
    </row>
    <row r="504" spans="3:3" x14ac:dyDescent="0.3">
      <c r="C504" s="2" t="str">
        <f>IF(A504&lt;&gt;"",SUM(B504),"")</f>
        <v/>
      </c>
    </row>
    <row r="505" spans="3:3" x14ac:dyDescent="0.3">
      <c r="C505" s="2" t="str">
        <f>IF(A505&lt;&gt;"",SUM(B505),"")</f>
        <v/>
      </c>
    </row>
    <row r="506" spans="3:3" x14ac:dyDescent="0.3">
      <c r="C506" s="2" t="str">
        <f>IF(A506&lt;&gt;"",SUM(B506),"")</f>
        <v/>
      </c>
    </row>
    <row r="507" spans="3:3" x14ac:dyDescent="0.3">
      <c r="C507" s="2" t="str">
        <f>IF(A507&lt;&gt;"",SUM(B507),"")</f>
        <v/>
      </c>
    </row>
    <row r="508" spans="3:3" x14ac:dyDescent="0.3">
      <c r="C508" s="2" t="str">
        <f>IF(A508&lt;&gt;"",SUM(B508),"")</f>
        <v/>
      </c>
    </row>
    <row r="509" spans="3:3" x14ac:dyDescent="0.3">
      <c r="C509" s="2" t="str">
        <f>IF(A509&lt;&gt;"",SUM(B509),"")</f>
        <v/>
      </c>
    </row>
    <row r="510" spans="3:3" x14ac:dyDescent="0.3">
      <c r="C510" s="2" t="str">
        <f>IF(A510&lt;&gt;"",SUM(B510),"")</f>
        <v/>
      </c>
    </row>
    <row r="511" spans="3:3" x14ac:dyDescent="0.3">
      <c r="C511" s="2" t="str">
        <f>IF(A511&lt;&gt;"",SUM(B511),"")</f>
        <v/>
      </c>
    </row>
    <row r="512" spans="3:3" x14ac:dyDescent="0.3">
      <c r="C512" s="2" t="str">
        <f>IF(A512&lt;&gt;"",SUM(B512),"")</f>
        <v/>
      </c>
    </row>
    <row r="513" spans="3:3" x14ac:dyDescent="0.3">
      <c r="C513" s="2" t="str">
        <f>IF(A513&lt;&gt;"",SUM(B513),"")</f>
        <v/>
      </c>
    </row>
    <row r="514" spans="3:3" x14ac:dyDescent="0.3">
      <c r="C514" s="2" t="str">
        <f>IF(A514&lt;&gt;"",SUM(B514),"")</f>
        <v/>
      </c>
    </row>
    <row r="515" spans="3:3" x14ac:dyDescent="0.3">
      <c r="C515" s="2" t="str">
        <f>IF(A515&lt;&gt;"",SUM(B515),"")</f>
        <v/>
      </c>
    </row>
    <row r="516" spans="3:3" x14ac:dyDescent="0.3">
      <c r="C516" s="2" t="str">
        <f>IF(A516&lt;&gt;"",SUM(B516),"")</f>
        <v/>
      </c>
    </row>
    <row r="517" spans="3:3" x14ac:dyDescent="0.3">
      <c r="C517" s="2" t="str">
        <f>IF(A517&lt;&gt;"",SUM(B517),"")</f>
        <v/>
      </c>
    </row>
    <row r="518" spans="3:3" x14ac:dyDescent="0.3">
      <c r="C518" s="2" t="str">
        <f>IF(A518&lt;&gt;"",SUM(B518),"")</f>
        <v/>
      </c>
    </row>
    <row r="519" spans="3:3" x14ac:dyDescent="0.3">
      <c r="C519" s="2" t="str">
        <f>IF(A519&lt;&gt;"",SUM(B519),"")</f>
        <v/>
      </c>
    </row>
    <row r="520" spans="3:3" x14ac:dyDescent="0.3">
      <c r="C520" s="2" t="str">
        <f>IF(A520&lt;&gt;"",SUM(B520),"")</f>
        <v/>
      </c>
    </row>
    <row r="521" spans="3:3" x14ac:dyDescent="0.3">
      <c r="C521" s="2" t="str">
        <f>IF(A521&lt;&gt;"",SUM(B521),"")</f>
        <v/>
      </c>
    </row>
    <row r="522" spans="3:3" x14ac:dyDescent="0.3">
      <c r="C522" s="2" t="str">
        <f>IF(A522&lt;&gt;"",SUM(B522),"")</f>
        <v/>
      </c>
    </row>
    <row r="523" spans="3:3" x14ac:dyDescent="0.3">
      <c r="C523" s="2" t="str">
        <f>IF(A523&lt;&gt;"",SUM(B523),"")</f>
        <v/>
      </c>
    </row>
    <row r="524" spans="3:3" x14ac:dyDescent="0.3">
      <c r="C524" s="2" t="str">
        <f>IF(A524&lt;&gt;"",SUM(B524),"")</f>
        <v/>
      </c>
    </row>
    <row r="525" spans="3:3" x14ac:dyDescent="0.3">
      <c r="C525" s="2" t="str">
        <f>IF(A525&lt;&gt;"",SUM(B525),"")</f>
        <v/>
      </c>
    </row>
    <row r="526" spans="3:3" x14ac:dyDescent="0.3">
      <c r="C526" s="2" t="str">
        <f>IF(A526&lt;&gt;"",SUM(B526),"")</f>
        <v/>
      </c>
    </row>
    <row r="527" spans="3:3" x14ac:dyDescent="0.3">
      <c r="C527" s="2" t="str">
        <f>IF(A527&lt;&gt;"",SUM(B527),"")</f>
        <v/>
      </c>
    </row>
    <row r="528" spans="3:3" x14ac:dyDescent="0.3">
      <c r="C528" s="2" t="str">
        <f>IF(A528&lt;&gt;"",SUM(B528),"")</f>
        <v/>
      </c>
    </row>
    <row r="529" spans="3:3" x14ac:dyDescent="0.3">
      <c r="C529" s="2" t="str">
        <f>IF(A529&lt;&gt;"",SUM(B529),"")</f>
        <v/>
      </c>
    </row>
    <row r="530" spans="3:3" x14ac:dyDescent="0.3">
      <c r="C530" s="2" t="str">
        <f>IF(A530&lt;&gt;"",SUM(B530),"")</f>
        <v/>
      </c>
    </row>
    <row r="531" spans="3:3" x14ac:dyDescent="0.3">
      <c r="C531" s="2" t="str">
        <f>IF(A531&lt;&gt;"",SUM(B531),"")</f>
        <v/>
      </c>
    </row>
    <row r="532" spans="3:3" x14ac:dyDescent="0.3">
      <c r="C532" s="2" t="str">
        <f>IF(A532&lt;&gt;"",SUM(B532),"")</f>
        <v/>
      </c>
    </row>
    <row r="533" spans="3:3" x14ac:dyDescent="0.3">
      <c r="C533" s="2" t="str">
        <f>IF(A533&lt;&gt;"",SUM(B533),"")</f>
        <v/>
      </c>
    </row>
    <row r="534" spans="3:3" x14ac:dyDescent="0.3">
      <c r="C534" s="2" t="str">
        <f>IF(A534&lt;&gt;"",SUM(B534),"")</f>
        <v/>
      </c>
    </row>
    <row r="535" spans="3:3" x14ac:dyDescent="0.3">
      <c r="C535" s="2" t="str">
        <f>IF(A535&lt;&gt;"",SUM(B535),"")</f>
        <v/>
      </c>
    </row>
    <row r="536" spans="3:3" x14ac:dyDescent="0.3">
      <c r="C536" s="2" t="str">
        <f>IF(A536&lt;&gt;"",SUM(B536),"")</f>
        <v/>
      </c>
    </row>
    <row r="537" spans="3:3" x14ac:dyDescent="0.3">
      <c r="C537" s="2" t="str">
        <f>IF(A537&lt;&gt;"",SUM(B537),"")</f>
        <v/>
      </c>
    </row>
    <row r="538" spans="3:3" x14ac:dyDescent="0.3">
      <c r="C538" s="2" t="str">
        <f>IF(A538&lt;&gt;"",SUM(B538),"")</f>
        <v/>
      </c>
    </row>
    <row r="539" spans="3:3" x14ac:dyDescent="0.3">
      <c r="C539" s="2" t="str">
        <f>IF(A539&lt;&gt;"",SUM(B539),"")</f>
        <v/>
      </c>
    </row>
    <row r="540" spans="3:3" x14ac:dyDescent="0.3">
      <c r="C540" s="2" t="str">
        <f>IF(A540&lt;&gt;"",SUM(B540),"")</f>
        <v/>
      </c>
    </row>
    <row r="541" spans="3:3" x14ac:dyDescent="0.3">
      <c r="C541" s="2" t="str">
        <f>IF(A541&lt;&gt;"",SUM(B541),"")</f>
        <v/>
      </c>
    </row>
    <row r="542" spans="3:3" x14ac:dyDescent="0.3">
      <c r="C542" s="2" t="str">
        <f>IF(A542&lt;&gt;"",SUM(B542),"")</f>
        <v/>
      </c>
    </row>
    <row r="543" spans="3:3" x14ac:dyDescent="0.3">
      <c r="C543" s="2" t="str">
        <f>IF(A543&lt;&gt;"",SUM(B543),"")</f>
        <v/>
      </c>
    </row>
    <row r="544" spans="3:3" x14ac:dyDescent="0.3">
      <c r="C544" s="2" t="str">
        <f>IF(A544&lt;&gt;"",SUM(B544),"")</f>
        <v/>
      </c>
    </row>
    <row r="545" spans="3:3" x14ac:dyDescent="0.3">
      <c r="C545" s="2" t="str">
        <f>IF(A545&lt;&gt;"",SUM(B545),"")</f>
        <v/>
      </c>
    </row>
    <row r="546" spans="3:3" x14ac:dyDescent="0.3">
      <c r="C546" s="2" t="str">
        <f>IF(A546&lt;&gt;"",SUM(B546),"")</f>
        <v/>
      </c>
    </row>
    <row r="547" spans="3:3" x14ac:dyDescent="0.3">
      <c r="C547" s="2" t="str">
        <f>IF(A547&lt;&gt;"",SUM(B547),"")</f>
        <v/>
      </c>
    </row>
    <row r="548" spans="3:3" x14ac:dyDescent="0.3">
      <c r="C548" s="2" t="str">
        <f>IF(A548&lt;&gt;"",SUM(B548),"")</f>
        <v/>
      </c>
    </row>
    <row r="549" spans="3:3" x14ac:dyDescent="0.3">
      <c r="C549" s="2" t="str">
        <f>IF(A549&lt;&gt;"",SUM(B549),"")</f>
        <v/>
      </c>
    </row>
    <row r="550" spans="3:3" x14ac:dyDescent="0.3">
      <c r="C550" s="2" t="str">
        <f>IF(A550&lt;&gt;"",SUM(B550),"")</f>
        <v/>
      </c>
    </row>
    <row r="551" spans="3:3" x14ac:dyDescent="0.3">
      <c r="C551" s="2" t="str">
        <f>IF(A551&lt;&gt;"",SUM(B551),"")</f>
        <v/>
      </c>
    </row>
    <row r="552" spans="3:3" x14ac:dyDescent="0.3">
      <c r="C552" s="2" t="str">
        <f>IF(A552&lt;&gt;"",SUM(B552),"")</f>
        <v/>
      </c>
    </row>
    <row r="553" spans="3:3" x14ac:dyDescent="0.3">
      <c r="C553" s="2" t="str">
        <f>IF(A553&lt;&gt;"",SUM(B553),"")</f>
        <v/>
      </c>
    </row>
    <row r="554" spans="3:3" x14ac:dyDescent="0.3">
      <c r="C554" s="2" t="str">
        <f>IF(A554&lt;&gt;"",SUM(B554),"")</f>
        <v/>
      </c>
    </row>
    <row r="555" spans="3:3" x14ac:dyDescent="0.3">
      <c r="C555" s="2" t="str">
        <f>IF(A555&lt;&gt;"",SUM(B555),"")</f>
        <v/>
      </c>
    </row>
    <row r="556" spans="3:3" x14ac:dyDescent="0.3">
      <c r="C556" s="2" t="str">
        <f>IF(A556&lt;&gt;"",SUM(B556),"")</f>
        <v/>
      </c>
    </row>
    <row r="557" spans="3:3" x14ac:dyDescent="0.3">
      <c r="C557" s="2" t="str">
        <f>IF(A557&lt;&gt;"",SUM(B557),"")</f>
        <v/>
      </c>
    </row>
    <row r="558" spans="3:3" x14ac:dyDescent="0.3">
      <c r="C558" s="2" t="str">
        <f>IF(A558&lt;&gt;"",SUM(B558),"")</f>
        <v/>
      </c>
    </row>
    <row r="559" spans="3:3" x14ac:dyDescent="0.3">
      <c r="C559" s="2" t="str">
        <f>IF(A559&lt;&gt;"",SUM(B559),"")</f>
        <v/>
      </c>
    </row>
    <row r="560" spans="3:3" x14ac:dyDescent="0.3">
      <c r="C560" s="2" t="str">
        <f>IF(A560&lt;&gt;"",SUM(B560),"")</f>
        <v/>
      </c>
    </row>
    <row r="561" spans="3:3" x14ac:dyDescent="0.3">
      <c r="C561" s="2" t="str">
        <f>IF(A561&lt;&gt;"",SUM(B561),"")</f>
        <v/>
      </c>
    </row>
    <row r="562" spans="3:3" x14ac:dyDescent="0.3">
      <c r="C562" s="2" t="str">
        <f>IF(A562&lt;&gt;"",SUM(B562),"")</f>
        <v/>
      </c>
    </row>
    <row r="563" spans="3:3" x14ac:dyDescent="0.3">
      <c r="C563" s="2" t="str">
        <f>IF(A563&lt;&gt;"",SUM(B563),"")</f>
        <v/>
      </c>
    </row>
    <row r="564" spans="3:3" x14ac:dyDescent="0.3">
      <c r="C564" s="2" t="str">
        <f>IF(A564&lt;&gt;"",SUM(B564),"")</f>
        <v/>
      </c>
    </row>
    <row r="565" spans="3:3" x14ac:dyDescent="0.3">
      <c r="C565" s="2" t="str">
        <f>IF(A565&lt;&gt;"",SUM(B565),"")</f>
        <v/>
      </c>
    </row>
    <row r="566" spans="3:3" x14ac:dyDescent="0.3">
      <c r="C566" s="2" t="str">
        <f>IF(A566&lt;&gt;"",SUM(B566),"")</f>
        <v/>
      </c>
    </row>
    <row r="567" spans="3:3" x14ac:dyDescent="0.3">
      <c r="C567" s="2" t="str">
        <f>IF(A567&lt;&gt;"",SUM(B567),"")</f>
        <v/>
      </c>
    </row>
    <row r="568" spans="3:3" x14ac:dyDescent="0.3">
      <c r="C568" s="2" t="str">
        <f>IF(A568&lt;&gt;"",SUM(B568),"")</f>
        <v/>
      </c>
    </row>
    <row r="569" spans="3:3" x14ac:dyDescent="0.3">
      <c r="C569" s="2" t="str">
        <f>IF(A569&lt;&gt;"",SUM(B569),"")</f>
        <v/>
      </c>
    </row>
    <row r="570" spans="3:3" x14ac:dyDescent="0.3">
      <c r="C570" s="2" t="str">
        <f>IF(A570&lt;&gt;"",SUM(B570),"")</f>
        <v/>
      </c>
    </row>
    <row r="571" spans="3:3" x14ac:dyDescent="0.3">
      <c r="C571" s="2" t="str">
        <f>IF(A571&lt;&gt;"",SUM(B571),"")</f>
        <v/>
      </c>
    </row>
    <row r="572" spans="3:3" x14ac:dyDescent="0.3">
      <c r="C572" s="2" t="str">
        <f>IF(A572&lt;&gt;"",SUM(B572),"")</f>
        <v/>
      </c>
    </row>
    <row r="573" spans="3:3" x14ac:dyDescent="0.3">
      <c r="C573" s="2" t="str">
        <f>IF(A573&lt;&gt;"",SUM(B573),"")</f>
        <v/>
      </c>
    </row>
    <row r="574" spans="3:3" x14ac:dyDescent="0.3">
      <c r="C574" s="2" t="str">
        <f>IF(A574&lt;&gt;"",SUM(B574),"")</f>
        <v/>
      </c>
    </row>
    <row r="575" spans="3:3" x14ac:dyDescent="0.3">
      <c r="C575" s="2" t="str">
        <f>IF(A575&lt;&gt;"",SUM(B575),"")</f>
        <v/>
      </c>
    </row>
    <row r="576" spans="3:3" x14ac:dyDescent="0.3">
      <c r="C576" s="2" t="str">
        <f>IF(A576&lt;&gt;"",SUM(B576),"")</f>
        <v/>
      </c>
    </row>
    <row r="577" spans="3:3" x14ac:dyDescent="0.3">
      <c r="C577" s="2" t="str">
        <f>IF(A577&lt;&gt;"",SUM(B577),"")</f>
        <v/>
      </c>
    </row>
    <row r="578" spans="3:3" x14ac:dyDescent="0.3">
      <c r="C578" s="2" t="str">
        <f>IF(A578&lt;&gt;"",SUM(B578),"")</f>
        <v/>
      </c>
    </row>
    <row r="579" spans="3:3" x14ac:dyDescent="0.3">
      <c r="C579" s="2" t="str">
        <f>IF(A579&lt;&gt;"",SUM(B579),"")</f>
        <v/>
      </c>
    </row>
    <row r="580" spans="3:3" x14ac:dyDescent="0.3">
      <c r="C580" s="2" t="str">
        <f>IF(A580&lt;&gt;"",SUM(B580),"")</f>
        <v/>
      </c>
    </row>
    <row r="581" spans="3:3" x14ac:dyDescent="0.3">
      <c r="C581" s="2" t="str">
        <f>IF(A581&lt;&gt;"",SUM(B581),"")</f>
        <v/>
      </c>
    </row>
    <row r="582" spans="3:3" x14ac:dyDescent="0.3">
      <c r="C582" s="2" t="str">
        <f>IF(A582&lt;&gt;"",SUM(B582),"")</f>
        <v/>
      </c>
    </row>
    <row r="583" spans="3:3" x14ac:dyDescent="0.3">
      <c r="C583" s="2" t="str">
        <f>IF(A583&lt;&gt;"",SUM(B583),"")</f>
        <v/>
      </c>
    </row>
    <row r="584" spans="3:3" x14ac:dyDescent="0.3">
      <c r="C584" s="2" t="str">
        <f>IF(A584&lt;&gt;"",SUM(B584),"")</f>
        <v/>
      </c>
    </row>
    <row r="585" spans="3:3" x14ac:dyDescent="0.3">
      <c r="C585" s="2" t="str">
        <f>IF(A585&lt;&gt;"",SUM(B585),"")</f>
        <v/>
      </c>
    </row>
    <row r="586" spans="3:3" x14ac:dyDescent="0.3">
      <c r="C586" s="2" t="str">
        <f>IF(A586&lt;&gt;"",SUM(B586),"")</f>
        <v/>
      </c>
    </row>
    <row r="587" spans="3:3" x14ac:dyDescent="0.3">
      <c r="C587" s="2" t="str">
        <f>IF(A587&lt;&gt;"",SUM(B587),"")</f>
        <v/>
      </c>
    </row>
    <row r="588" spans="3:3" x14ac:dyDescent="0.3">
      <c r="C588" s="2" t="str">
        <f>IF(A588&lt;&gt;"",SUM(B588),"")</f>
        <v/>
      </c>
    </row>
    <row r="589" spans="3:3" x14ac:dyDescent="0.3">
      <c r="C589" s="2" t="str">
        <f>IF(A589&lt;&gt;"",SUM(B589),"")</f>
        <v/>
      </c>
    </row>
    <row r="590" spans="3:3" x14ac:dyDescent="0.3">
      <c r="C590" s="2" t="str">
        <f>IF(A590&lt;&gt;"",SUM(B590),"")</f>
        <v/>
      </c>
    </row>
    <row r="591" spans="3:3" x14ac:dyDescent="0.3">
      <c r="C591" s="2" t="str">
        <f>IF(A591&lt;&gt;"",SUM(B591),"")</f>
        <v/>
      </c>
    </row>
    <row r="592" spans="3:3" x14ac:dyDescent="0.3">
      <c r="C592" s="2" t="str">
        <f>IF(A592&lt;&gt;"",SUM(B592),"")</f>
        <v/>
      </c>
    </row>
    <row r="593" spans="3:3" x14ac:dyDescent="0.3">
      <c r="C593" s="2" t="str">
        <f>IF(A593&lt;&gt;"",SUM(B593),"")</f>
        <v/>
      </c>
    </row>
    <row r="594" spans="3:3" x14ac:dyDescent="0.3">
      <c r="C594" s="2" t="str">
        <f>IF(A594&lt;&gt;"",SUM(B594),"")</f>
        <v/>
      </c>
    </row>
    <row r="595" spans="3:3" x14ac:dyDescent="0.3">
      <c r="C595" s="2" t="str">
        <f>IF(A595&lt;&gt;"",SUM(B595),"")</f>
        <v/>
      </c>
    </row>
    <row r="596" spans="3:3" x14ac:dyDescent="0.3">
      <c r="C596" s="2" t="str">
        <f>IF(A596&lt;&gt;"",SUM(B596),"")</f>
        <v/>
      </c>
    </row>
    <row r="597" spans="3:3" x14ac:dyDescent="0.3">
      <c r="C597" s="2" t="str">
        <f>IF(A597&lt;&gt;"",SUM(B597),"")</f>
        <v/>
      </c>
    </row>
    <row r="598" spans="3:3" x14ac:dyDescent="0.3">
      <c r="C598" s="2" t="str">
        <f>IF(A598&lt;&gt;"",SUM(B598),"")</f>
        <v/>
      </c>
    </row>
    <row r="599" spans="3:3" x14ac:dyDescent="0.3">
      <c r="C599" s="2" t="str">
        <f>IF(A599&lt;&gt;"",SUM(B599),"")</f>
        <v/>
      </c>
    </row>
    <row r="600" spans="3:3" x14ac:dyDescent="0.3">
      <c r="C600" s="2" t="str">
        <f>IF(A600&lt;&gt;"",SUM(B600),"")</f>
        <v/>
      </c>
    </row>
    <row r="601" spans="3:3" x14ac:dyDescent="0.3">
      <c r="C601" s="2" t="str">
        <f>IF(A601&lt;&gt;"",SUM(B601),"")</f>
        <v/>
      </c>
    </row>
    <row r="602" spans="3:3" x14ac:dyDescent="0.3">
      <c r="C602" s="2" t="str">
        <f>IF(A602&lt;&gt;"",SUM(B602),"")</f>
        <v/>
      </c>
    </row>
    <row r="603" spans="3:3" x14ac:dyDescent="0.3">
      <c r="C603" s="2" t="str">
        <f>IF(A603&lt;&gt;"",SUM(B603),"")</f>
        <v/>
      </c>
    </row>
    <row r="604" spans="3:3" x14ac:dyDescent="0.3">
      <c r="C604" s="2" t="str">
        <f>IF(A604&lt;&gt;"",SUM(B604),"")</f>
        <v/>
      </c>
    </row>
    <row r="605" spans="3:3" x14ac:dyDescent="0.3">
      <c r="C605" s="2" t="str">
        <f>IF(A605&lt;&gt;"",SUM(B605),"")</f>
        <v/>
      </c>
    </row>
    <row r="606" spans="3:3" x14ac:dyDescent="0.3">
      <c r="C606" s="2" t="str">
        <f>IF(A606&lt;&gt;"",SUM(B606),"")</f>
        <v/>
      </c>
    </row>
    <row r="607" spans="3:3" x14ac:dyDescent="0.3">
      <c r="C607" s="2" t="str">
        <f>IF(A607&lt;&gt;"",SUM(B607),"")</f>
        <v/>
      </c>
    </row>
    <row r="608" spans="3:3" x14ac:dyDescent="0.3">
      <c r="C608" s="2" t="str">
        <f>IF(A608&lt;&gt;"",SUM(B608),"")</f>
        <v/>
      </c>
    </row>
    <row r="609" spans="3:3" x14ac:dyDescent="0.3">
      <c r="C609" s="2" t="str">
        <f>IF(A609&lt;&gt;"",SUM(B609),"")</f>
        <v/>
      </c>
    </row>
    <row r="610" spans="3:3" x14ac:dyDescent="0.3">
      <c r="C610" s="2" t="str">
        <f>IF(A610&lt;&gt;"",SUM(B610),"")</f>
        <v/>
      </c>
    </row>
    <row r="611" spans="3:3" x14ac:dyDescent="0.3">
      <c r="C611" s="2" t="str">
        <f>IF(A611&lt;&gt;"",SUM(B611),"")</f>
        <v/>
      </c>
    </row>
    <row r="612" spans="3:3" x14ac:dyDescent="0.3">
      <c r="C612" s="2" t="str">
        <f>IF(A612&lt;&gt;"",SUM(B612),"")</f>
        <v/>
      </c>
    </row>
    <row r="613" spans="3:3" x14ac:dyDescent="0.3">
      <c r="C613" s="2" t="str">
        <f>IF(A613&lt;&gt;"",SUM(B613),"")</f>
        <v/>
      </c>
    </row>
    <row r="614" spans="3:3" x14ac:dyDescent="0.3">
      <c r="C614" s="2" t="str">
        <f>IF(A614&lt;&gt;"",SUM(B614),"")</f>
        <v/>
      </c>
    </row>
    <row r="615" spans="3:3" x14ac:dyDescent="0.3">
      <c r="C615" s="2" t="str">
        <f>IF(A615&lt;&gt;"",SUM(B615),"")</f>
        <v/>
      </c>
    </row>
    <row r="616" spans="3:3" x14ac:dyDescent="0.3">
      <c r="C616" s="2" t="str">
        <f>IF(A616&lt;&gt;"",SUM(B616),"")</f>
        <v/>
      </c>
    </row>
    <row r="617" spans="3:3" x14ac:dyDescent="0.3">
      <c r="C617" s="2" t="str">
        <f>IF(A617&lt;&gt;"",SUM(B617),"")</f>
        <v/>
      </c>
    </row>
    <row r="618" spans="3:3" x14ac:dyDescent="0.3">
      <c r="C618" s="2" t="str">
        <f>IF(A618&lt;&gt;"",SUM(B618),"")</f>
        <v/>
      </c>
    </row>
    <row r="619" spans="3:3" x14ac:dyDescent="0.3">
      <c r="C619" s="2" t="str">
        <f>IF(A619&lt;&gt;"",SUM(B619),"")</f>
        <v/>
      </c>
    </row>
    <row r="620" spans="3:3" x14ac:dyDescent="0.3">
      <c r="C620" s="2" t="str">
        <f>IF(A620&lt;&gt;"",SUM(B620),"")</f>
        <v/>
      </c>
    </row>
    <row r="621" spans="3:3" x14ac:dyDescent="0.3">
      <c r="C621" s="2" t="str">
        <f>IF(A621&lt;&gt;"",SUM(B621),"")</f>
        <v/>
      </c>
    </row>
    <row r="622" spans="3:3" x14ac:dyDescent="0.3">
      <c r="C622" s="2" t="str">
        <f>IF(A622&lt;&gt;"",SUM(B622),"")</f>
        <v/>
      </c>
    </row>
    <row r="623" spans="3:3" x14ac:dyDescent="0.3">
      <c r="C623" s="2" t="str">
        <f>IF(A623&lt;&gt;"",SUM(B623),"")</f>
        <v/>
      </c>
    </row>
    <row r="624" spans="3:3" x14ac:dyDescent="0.3">
      <c r="C624" s="2" t="str">
        <f>IF(A624&lt;&gt;"",SUM(B624),"")</f>
        <v/>
      </c>
    </row>
    <row r="625" spans="3:3" x14ac:dyDescent="0.3">
      <c r="C625" s="2" t="str">
        <f>IF(A625&lt;&gt;"",SUM(B625),"")</f>
        <v/>
      </c>
    </row>
    <row r="626" spans="3:3" x14ac:dyDescent="0.3">
      <c r="C626" s="2" t="str">
        <f>IF(A626&lt;&gt;"",SUM(B626),"")</f>
        <v/>
      </c>
    </row>
    <row r="627" spans="3:3" x14ac:dyDescent="0.3">
      <c r="C627" s="2" t="str">
        <f>IF(A627&lt;&gt;"",SUM(B627),"")</f>
        <v/>
      </c>
    </row>
    <row r="628" spans="3:3" x14ac:dyDescent="0.3">
      <c r="C628" s="2" t="str">
        <f>IF(A628&lt;&gt;"",SUM(B628),"")</f>
        <v/>
      </c>
    </row>
    <row r="629" spans="3:3" x14ac:dyDescent="0.3">
      <c r="C629" s="2" t="str">
        <f>IF(A629&lt;&gt;"",SUM(B629),"")</f>
        <v/>
      </c>
    </row>
    <row r="630" spans="3:3" x14ac:dyDescent="0.3">
      <c r="C630" s="2" t="str">
        <f>IF(A630&lt;&gt;"",SUM(B630),"")</f>
        <v/>
      </c>
    </row>
    <row r="631" spans="3:3" x14ac:dyDescent="0.3">
      <c r="C631" s="2" t="str">
        <f>IF(A631&lt;&gt;"",SUM(B631),"")</f>
        <v/>
      </c>
    </row>
    <row r="632" spans="3:3" x14ac:dyDescent="0.3">
      <c r="C632" s="2" t="str">
        <f>IF(A632&lt;&gt;"",SUM(B632),"")</f>
        <v/>
      </c>
    </row>
    <row r="633" spans="3:3" x14ac:dyDescent="0.3">
      <c r="C633" s="2" t="str">
        <f>IF(A633&lt;&gt;"",SUM(B633),"")</f>
        <v/>
      </c>
    </row>
    <row r="634" spans="3:3" x14ac:dyDescent="0.3">
      <c r="C634" s="2" t="str">
        <f>IF(A634&lt;&gt;"",SUM(B634),"")</f>
        <v/>
      </c>
    </row>
    <row r="635" spans="3:3" x14ac:dyDescent="0.3">
      <c r="C635" s="2" t="str">
        <f>IF(A635&lt;&gt;"",SUM(B635),"")</f>
        <v/>
      </c>
    </row>
    <row r="636" spans="3:3" x14ac:dyDescent="0.3">
      <c r="C636" s="2" t="str">
        <f>IF(A636&lt;&gt;"",SUM(B636),"")</f>
        <v/>
      </c>
    </row>
    <row r="637" spans="3:3" x14ac:dyDescent="0.3">
      <c r="C637" s="2" t="str">
        <f>IF(A637&lt;&gt;"",SUM(B637),"")</f>
        <v/>
      </c>
    </row>
    <row r="638" spans="3:3" x14ac:dyDescent="0.3">
      <c r="C638" s="2" t="str">
        <f>IF(A638&lt;&gt;"",SUM(B638),"")</f>
        <v/>
      </c>
    </row>
    <row r="639" spans="3:3" x14ac:dyDescent="0.3">
      <c r="C639" s="2" t="str">
        <f>IF(A639&lt;&gt;"",SUM(B639),"")</f>
        <v/>
      </c>
    </row>
    <row r="640" spans="3:3" x14ac:dyDescent="0.3">
      <c r="C640" s="2" t="str">
        <f>IF(A640&lt;&gt;"",SUM(B640),"")</f>
        <v/>
      </c>
    </row>
    <row r="641" spans="3:3" x14ac:dyDescent="0.3">
      <c r="C641" s="2" t="str">
        <f>IF(A641&lt;&gt;"",SUM(B641),"")</f>
        <v/>
      </c>
    </row>
    <row r="642" spans="3:3" x14ac:dyDescent="0.3">
      <c r="C642" s="2" t="str">
        <f>IF(A642&lt;&gt;"",SUM(B642),"")</f>
        <v/>
      </c>
    </row>
    <row r="643" spans="3:3" x14ac:dyDescent="0.3">
      <c r="C643" s="2" t="str">
        <f>IF(A643&lt;&gt;"",SUM(B643),"")</f>
        <v/>
      </c>
    </row>
    <row r="644" spans="3:3" x14ac:dyDescent="0.3">
      <c r="C644" s="2" t="str">
        <f>IF(A644&lt;&gt;"",SUM(B644),"")</f>
        <v/>
      </c>
    </row>
    <row r="645" spans="3:3" x14ac:dyDescent="0.3">
      <c r="C645" s="2" t="str">
        <f>IF(A645&lt;&gt;"",SUM(B645),"")</f>
        <v/>
      </c>
    </row>
    <row r="646" spans="3:3" x14ac:dyDescent="0.3">
      <c r="C646" s="2" t="str">
        <f>IF(A646&lt;&gt;"",SUM(B646),"")</f>
        <v/>
      </c>
    </row>
    <row r="647" spans="3:3" x14ac:dyDescent="0.3">
      <c r="C647" s="2" t="str">
        <f>IF(A647&lt;&gt;"",SUM(B647),"")</f>
        <v/>
      </c>
    </row>
    <row r="648" spans="3:3" x14ac:dyDescent="0.3">
      <c r="C648" s="2" t="str">
        <f>IF(A648&lt;&gt;"",SUM(B648),"")</f>
        <v/>
      </c>
    </row>
    <row r="649" spans="3:3" x14ac:dyDescent="0.3">
      <c r="C649" s="2" t="str">
        <f>IF(A649&lt;&gt;"",SUM(B649),"")</f>
        <v/>
      </c>
    </row>
    <row r="650" spans="3:3" x14ac:dyDescent="0.3">
      <c r="C650" s="2" t="str">
        <f>IF(A650&lt;&gt;"",SUM(B650),"")</f>
        <v/>
      </c>
    </row>
    <row r="651" spans="3:3" x14ac:dyDescent="0.3">
      <c r="C651" s="2" t="str">
        <f>IF(A651&lt;&gt;"",SUM(B651),"")</f>
        <v/>
      </c>
    </row>
    <row r="652" spans="3:3" x14ac:dyDescent="0.3">
      <c r="C652" s="2" t="str">
        <f>IF(A652&lt;&gt;"",SUM(B652),"")</f>
        <v/>
      </c>
    </row>
    <row r="653" spans="3:3" x14ac:dyDescent="0.3">
      <c r="C653" s="2" t="str">
        <f>IF(A653&lt;&gt;"",SUM(B653),"")</f>
        <v/>
      </c>
    </row>
    <row r="654" spans="3:3" x14ac:dyDescent="0.3">
      <c r="C654" s="2" t="str">
        <f>IF(A654&lt;&gt;"",SUM(B654),"")</f>
        <v/>
      </c>
    </row>
    <row r="655" spans="3:3" x14ac:dyDescent="0.3">
      <c r="C655" s="2" t="str">
        <f>IF(A655&lt;&gt;"",SUM(B655),"")</f>
        <v/>
      </c>
    </row>
    <row r="656" spans="3:3" x14ac:dyDescent="0.3">
      <c r="C656" s="2" t="str">
        <f>IF(A656&lt;&gt;"",SUM(B656),"")</f>
        <v/>
      </c>
    </row>
    <row r="657" spans="3:3" x14ac:dyDescent="0.3">
      <c r="C657" s="2" t="str">
        <f>IF(A657&lt;&gt;"",SUM(B657),"")</f>
        <v/>
      </c>
    </row>
    <row r="658" spans="3:3" x14ac:dyDescent="0.3">
      <c r="C658" s="2" t="str">
        <f>IF(A658&lt;&gt;"",SUM(B658),"")</f>
        <v/>
      </c>
    </row>
    <row r="659" spans="3:3" x14ac:dyDescent="0.3">
      <c r="C659" s="2" t="str">
        <f>IF(A659&lt;&gt;"",SUM(B659),"")</f>
        <v/>
      </c>
    </row>
    <row r="660" spans="3:3" x14ac:dyDescent="0.3">
      <c r="C660" s="2" t="str">
        <f>IF(A660&lt;&gt;"",SUM(B660),"")</f>
        <v/>
      </c>
    </row>
    <row r="661" spans="3:3" x14ac:dyDescent="0.3">
      <c r="C661" s="2" t="str">
        <f>IF(A661&lt;&gt;"",SUM(B661),"")</f>
        <v/>
      </c>
    </row>
    <row r="662" spans="3:3" x14ac:dyDescent="0.3">
      <c r="C662" s="2" t="str">
        <f>IF(A662&lt;&gt;"",SUM(B662),"")</f>
        <v/>
      </c>
    </row>
    <row r="663" spans="3:3" x14ac:dyDescent="0.3">
      <c r="C663" s="2" t="str">
        <f>IF(A663&lt;&gt;"",SUM(B663),"")</f>
        <v/>
      </c>
    </row>
    <row r="664" spans="3:3" x14ac:dyDescent="0.3">
      <c r="C664" s="2" t="str">
        <f>IF(A664&lt;&gt;"",SUM(B664),"")</f>
        <v/>
      </c>
    </row>
    <row r="665" spans="3:3" x14ac:dyDescent="0.3">
      <c r="C665" s="2" t="str">
        <f>IF(A665&lt;&gt;"",SUM(B665),"")</f>
        <v/>
      </c>
    </row>
    <row r="666" spans="3:3" x14ac:dyDescent="0.3">
      <c r="C666" s="2" t="str">
        <f>IF(A666&lt;&gt;"",SUM(B666),"")</f>
        <v/>
      </c>
    </row>
    <row r="667" spans="3:3" x14ac:dyDescent="0.3">
      <c r="C667" s="2" t="str">
        <f>IF(A667&lt;&gt;"",SUM(B667),"")</f>
        <v/>
      </c>
    </row>
    <row r="668" spans="3:3" x14ac:dyDescent="0.3">
      <c r="C668" s="2" t="str">
        <f>IF(A668&lt;&gt;"",SUM(B668),"")</f>
        <v/>
      </c>
    </row>
    <row r="669" spans="3:3" x14ac:dyDescent="0.3">
      <c r="C669" s="2" t="str">
        <f>IF(A669&lt;&gt;"",SUM(B669),"")</f>
        <v/>
      </c>
    </row>
    <row r="670" spans="3:3" x14ac:dyDescent="0.3">
      <c r="C670" s="2" t="str">
        <f>IF(A670&lt;&gt;"",SUM(B670),"")</f>
        <v/>
      </c>
    </row>
    <row r="671" spans="3:3" x14ac:dyDescent="0.3">
      <c r="C671" s="2" t="str">
        <f>IF(A671&lt;&gt;"",SUM(B671),"")</f>
        <v/>
      </c>
    </row>
    <row r="672" spans="3:3" x14ac:dyDescent="0.3">
      <c r="C672" s="2" t="str">
        <f>IF(A672&lt;&gt;"",SUM(B672),"")</f>
        <v/>
      </c>
    </row>
    <row r="673" spans="3:3" x14ac:dyDescent="0.3">
      <c r="C673" s="2" t="str">
        <f>IF(A673&lt;&gt;"",SUM(B673),"")</f>
        <v/>
      </c>
    </row>
    <row r="674" spans="3:3" x14ac:dyDescent="0.3">
      <c r="C674" s="2" t="str">
        <f>IF(A674&lt;&gt;"",SUM(B674),"")</f>
        <v/>
      </c>
    </row>
    <row r="675" spans="3:3" x14ac:dyDescent="0.3">
      <c r="C675" s="2" t="str">
        <f>IF(A675&lt;&gt;"",SUM(B675),"")</f>
        <v/>
      </c>
    </row>
    <row r="676" spans="3:3" x14ac:dyDescent="0.3">
      <c r="C676" s="2" t="str">
        <f>IF(A676&lt;&gt;"",SUM(B676),"")</f>
        <v/>
      </c>
    </row>
    <row r="677" spans="3:3" x14ac:dyDescent="0.3">
      <c r="C677" s="2" t="str">
        <f>IF(A677&lt;&gt;"",SUM(B677),"")</f>
        <v/>
      </c>
    </row>
    <row r="678" spans="3:3" x14ac:dyDescent="0.3">
      <c r="C678" s="2" t="str">
        <f>IF(A678&lt;&gt;"",SUM(B678),"")</f>
        <v/>
      </c>
    </row>
    <row r="679" spans="3:3" x14ac:dyDescent="0.3">
      <c r="C679" s="2" t="str">
        <f>IF(A679&lt;&gt;"",SUM(B679),"")</f>
        <v/>
      </c>
    </row>
    <row r="680" spans="3:3" x14ac:dyDescent="0.3">
      <c r="C680" s="2" t="str">
        <f>IF(A680&lt;&gt;"",SUM(B680),"")</f>
        <v/>
      </c>
    </row>
    <row r="681" spans="3:3" x14ac:dyDescent="0.3">
      <c r="C681" s="2" t="str">
        <f>IF(A681&lt;&gt;"",SUM(B681),"")</f>
        <v/>
      </c>
    </row>
    <row r="682" spans="3:3" x14ac:dyDescent="0.3">
      <c r="C682" s="2" t="str">
        <f>IF(A682&lt;&gt;"",SUM(B682),"")</f>
        <v/>
      </c>
    </row>
    <row r="683" spans="3:3" x14ac:dyDescent="0.3">
      <c r="C683" s="2" t="str">
        <f>IF(A683&lt;&gt;"",SUM(B683),"")</f>
        <v/>
      </c>
    </row>
    <row r="684" spans="3:3" x14ac:dyDescent="0.3">
      <c r="C684" s="2" t="str">
        <f>IF(A684&lt;&gt;"",SUM(B684),"")</f>
        <v/>
      </c>
    </row>
    <row r="685" spans="3:3" x14ac:dyDescent="0.3">
      <c r="C685" s="2" t="str">
        <f>IF(A685&lt;&gt;"",SUM(B685),"")</f>
        <v/>
      </c>
    </row>
    <row r="686" spans="3:3" x14ac:dyDescent="0.3">
      <c r="C686" s="2" t="str">
        <f>IF(A686&lt;&gt;"",SUM(B686),"")</f>
        <v/>
      </c>
    </row>
    <row r="687" spans="3:3" x14ac:dyDescent="0.3">
      <c r="C687" s="2" t="str">
        <f>IF(A687&lt;&gt;"",SUM(B687),"")</f>
        <v/>
      </c>
    </row>
    <row r="688" spans="3:3" x14ac:dyDescent="0.3">
      <c r="C688" s="2" t="str">
        <f>IF(A688&lt;&gt;"",SUM(B688),"")</f>
        <v/>
      </c>
    </row>
    <row r="689" spans="3:3" x14ac:dyDescent="0.3">
      <c r="C689" s="2" t="str">
        <f>IF(A689&lt;&gt;"",SUM(B689),"")</f>
        <v/>
      </c>
    </row>
    <row r="690" spans="3:3" x14ac:dyDescent="0.3">
      <c r="C690" s="2" t="str">
        <f>IF(A690&lt;&gt;"",SUM(B690),"")</f>
        <v/>
      </c>
    </row>
    <row r="691" spans="3:3" x14ac:dyDescent="0.3">
      <c r="C691" s="2" t="str">
        <f>IF(A691&lt;&gt;"",SUM(B691),"")</f>
        <v/>
      </c>
    </row>
    <row r="692" spans="3:3" x14ac:dyDescent="0.3">
      <c r="C692" s="2" t="str">
        <f>IF(A692&lt;&gt;"",SUM(B692),"")</f>
        <v/>
      </c>
    </row>
    <row r="693" spans="3:3" x14ac:dyDescent="0.3">
      <c r="C693" s="2" t="str">
        <f>IF(A693&lt;&gt;"",SUM(B693),"")</f>
        <v/>
      </c>
    </row>
    <row r="694" spans="3:3" x14ac:dyDescent="0.3">
      <c r="C694" s="2" t="str">
        <f>IF(A694&lt;&gt;"",SUM(B694),"")</f>
        <v/>
      </c>
    </row>
    <row r="695" spans="3:3" x14ac:dyDescent="0.3">
      <c r="C695" s="2" t="str">
        <f>IF(A695&lt;&gt;"",SUM(B695),"")</f>
        <v/>
      </c>
    </row>
    <row r="696" spans="3:3" x14ac:dyDescent="0.3">
      <c r="C696" s="2" t="str">
        <f>IF(A696&lt;&gt;"",SUM(B696),"")</f>
        <v/>
      </c>
    </row>
    <row r="697" spans="3:3" x14ac:dyDescent="0.3">
      <c r="C697" s="2" t="str">
        <f>IF(A697&lt;&gt;"",SUM(B697),"")</f>
        <v/>
      </c>
    </row>
    <row r="698" spans="3:3" x14ac:dyDescent="0.3">
      <c r="C698" s="2" t="str">
        <f>IF(A698&lt;&gt;"",SUM(B698),"")</f>
        <v/>
      </c>
    </row>
    <row r="699" spans="3:3" x14ac:dyDescent="0.3">
      <c r="C699" s="2" t="str">
        <f>IF(A699&lt;&gt;"",SUM(B699),"")</f>
        <v/>
      </c>
    </row>
    <row r="700" spans="3:3" x14ac:dyDescent="0.3">
      <c r="C700" s="2" t="str">
        <f>IF(A700&lt;&gt;"",SUM(B700),"")</f>
        <v/>
      </c>
    </row>
    <row r="701" spans="3:3" x14ac:dyDescent="0.3">
      <c r="C701" s="2" t="str">
        <f>IF(A701&lt;&gt;"",SUM(B701),"")</f>
        <v/>
      </c>
    </row>
    <row r="702" spans="3:3" x14ac:dyDescent="0.3">
      <c r="C702" s="2" t="str">
        <f>IF(A702&lt;&gt;"",SUM(B702),"")</f>
        <v/>
      </c>
    </row>
    <row r="703" spans="3:3" x14ac:dyDescent="0.3">
      <c r="C703" s="2" t="str">
        <f>IF(A703&lt;&gt;"",SUM(B703),"")</f>
        <v/>
      </c>
    </row>
    <row r="704" spans="3:3" x14ac:dyDescent="0.3">
      <c r="C704" s="2" t="str">
        <f>IF(A704&lt;&gt;"",SUM(B704),"")</f>
        <v/>
      </c>
    </row>
    <row r="705" spans="3:3" x14ac:dyDescent="0.3">
      <c r="C705" s="2" t="str">
        <f>IF(A705&lt;&gt;"",SUM(B705),"")</f>
        <v/>
      </c>
    </row>
    <row r="706" spans="3:3" x14ac:dyDescent="0.3">
      <c r="C706" s="2" t="str">
        <f>IF(A706&lt;&gt;"",SUM(B706),"")</f>
        <v/>
      </c>
    </row>
    <row r="707" spans="3:3" x14ac:dyDescent="0.3">
      <c r="C707" s="2" t="str">
        <f>IF(A707&lt;&gt;"",SUM(B707),"")</f>
        <v/>
      </c>
    </row>
    <row r="708" spans="3:3" x14ac:dyDescent="0.3">
      <c r="C708" s="2" t="str">
        <f>IF(A708&lt;&gt;"",SUM(B708),"")</f>
        <v/>
      </c>
    </row>
    <row r="709" spans="3:3" x14ac:dyDescent="0.3">
      <c r="C709" s="2" t="str">
        <f>IF(A709&lt;&gt;"",SUM(B709),"")</f>
        <v/>
      </c>
    </row>
    <row r="710" spans="3:3" x14ac:dyDescent="0.3">
      <c r="C710" s="2" t="str">
        <f>IF(A710&lt;&gt;"",SUM(B710),"")</f>
        <v/>
      </c>
    </row>
    <row r="711" spans="3:3" x14ac:dyDescent="0.3">
      <c r="C711" s="2" t="str">
        <f>IF(A711&lt;&gt;"",SUM(B711),"")</f>
        <v/>
      </c>
    </row>
    <row r="712" spans="3:3" x14ac:dyDescent="0.3">
      <c r="C712" s="2" t="str">
        <f>IF(A712&lt;&gt;"",SUM(B712),"")</f>
        <v/>
      </c>
    </row>
    <row r="713" spans="3:3" x14ac:dyDescent="0.3">
      <c r="C713" s="2" t="str">
        <f>IF(A713&lt;&gt;"",SUM(B713),"")</f>
        <v/>
      </c>
    </row>
    <row r="714" spans="3:3" x14ac:dyDescent="0.3">
      <c r="C714" s="2" t="str">
        <f>IF(A714&lt;&gt;"",SUM(B714),"")</f>
        <v/>
      </c>
    </row>
    <row r="715" spans="3:3" x14ac:dyDescent="0.3">
      <c r="C715" s="2" t="str">
        <f>IF(A715&lt;&gt;"",SUM(B715),"")</f>
        <v/>
      </c>
    </row>
    <row r="716" spans="3:3" x14ac:dyDescent="0.3">
      <c r="C716" s="2" t="str">
        <f>IF(A716&lt;&gt;"",SUM(B716),"")</f>
        <v/>
      </c>
    </row>
    <row r="717" spans="3:3" x14ac:dyDescent="0.3">
      <c r="C717" s="2" t="str">
        <f>IF(A717&lt;&gt;"",SUM(B717),"")</f>
        <v/>
      </c>
    </row>
    <row r="718" spans="3:3" x14ac:dyDescent="0.3">
      <c r="C718" s="2" t="str">
        <f>IF(A718&lt;&gt;"",SUM(B718),"")</f>
        <v/>
      </c>
    </row>
    <row r="719" spans="3:3" x14ac:dyDescent="0.3">
      <c r="C719" s="2" t="str">
        <f>IF(A719&lt;&gt;"",SUM(B719),"")</f>
        <v/>
      </c>
    </row>
    <row r="720" spans="3:3" x14ac:dyDescent="0.3">
      <c r="C720" s="2" t="str">
        <f>IF(A720&lt;&gt;"",SUM(B720),"")</f>
        <v/>
      </c>
    </row>
    <row r="721" spans="3:3" x14ac:dyDescent="0.3">
      <c r="C721" s="2" t="str">
        <f>IF(A721&lt;&gt;"",SUM(B721),"")</f>
        <v/>
      </c>
    </row>
    <row r="722" spans="3:3" x14ac:dyDescent="0.3">
      <c r="C722" s="2" t="str">
        <f>IF(A722&lt;&gt;"",SUM(B722),"")</f>
        <v/>
      </c>
    </row>
    <row r="723" spans="3:3" x14ac:dyDescent="0.3">
      <c r="C723" s="2" t="str">
        <f>IF(A723&lt;&gt;"",SUM(B723),"")</f>
        <v/>
      </c>
    </row>
    <row r="724" spans="3:3" x14ac:dyDescent="0.3">
      <c r="C724" s="2" t="str">
        <f>IF(A724&lt;&gt;"",SUM(B724),"")</f>
        <v/>
      </c>
    </row>
    <row r="725" spans="3:3" x14ac:dyDescent="0.3">
      <c r="C725" s="2" t="str">
        <f>IF(A725&lt;&gt;"",SUM(B725),"")</f>
        <v/>
      </c>
    </row>
    <row r="726" spans="3:3" x14ac:dyDescent="0.3">
      <c r="C726" s="2" t="str">
        <f>IF(A726&lt;&gt;"",SUM(B726),"")</f>
        <v/>
      </c>
    </row>
    <row r="727" spans="3:3" x14ac:dyDescent="0.3">
      <c r="C727" s="2" t="str">
        <f>IF(A727&lt;&gt;"",SUM(B727),"")</f>
        <v/>
      </c>
    </row>
    <row r="728" spans="3:3" x14ac:dyDescent="0.3">
      <c r="C728" s="2" t="str">
        <f>IF(A728&lt;&gt;"",SUM(B728),"")</f>
        <v/>
      </c>
    </row>
    <row r="729" spans="3:3" x14ac:dyDescent="0.3">
      <c r="C729" s="2" t="str">
        <f>IF(A729&lt;&gt;"",SUM(B729),"")</f>
        <v/>
      </c>
    </row>
    <row r="730" spans="3:3" x14ac:dyDescent="0.3">
      <c r="C730" s="2" t="str">
        <f>IF(A730&lt;&gt;"",SUM(B730),"")</f>
        <v/>
      </c>
    </row>
    <row r="731" spans="3:3" x14ac:dyDescent="0.3">
      <c r="C731" s="2" t="str">
        <f>IF(A731&lt;&gt;"",SUM(B731),"")</f>
        <v/>
      </c>
    </row>
    <row r="732" spans="3:3" x14ac:dyDescent="0.3">
      <c r="C732" s="2" t="str">
        <f>IF(A732&lt;&gt;"",SUM(B732),"")</f>
        <v/>
      </c>
    </row>
    <row r="733" spans="3:3" x14ac:dyDescent="0.3">
      <c r="C733" s="2" t="str">
        <f>IF(A733&lt;&gt;"",SUM(B733),"")</f>
        <v/>
      </c>
    </row>
    <row r="734" spans="3:3" x14ac:dyDescent="0.3">
      <c r="C734" s="2" t="str">
        <f>IF(A734&lt;&gt;"",SUM(B734),"")</f>
        <v/>
      </c>
    </row>
    <row r="735" spans="3:3" x14ac:dyDescent="0.3">
      <c r="C735" s="2" t="str">
        <f>IF(A735&lt;&gt;"",SUM(B735),"")</f>
        <v/>
      </c>
    </row>
    <row r="736" spans="3:3" x14ac:dyDescent="0.3">
      <c r="C736" s="2" t="str">
        <f>IF(A736&lt;&gt;"",SUM(B736),"")</f>
        <v/>
      </c>
    </row>
    <row r="737" spans="3:3" x14ac:dyDescent="0.3">
      <c r="C737" s="2" t="str">
        <f>IF(A737&lt;&gt;"",SUM(B737),"")</f>
        <v/>
      </c>
    </row>
    <row r="738" spans="3:3" x14ac:dyDescent="0.3">
      <c r="C738" s="2" t="str">
        <f>IF(A738&lt;&gt;"",SUM(B738),"")</f>
        <v/>
      </c>
    </row>
    <row r="739" spans="3:3" x14ac:dyDescent="0.3">
      <c r="C739" s="2" t="str">
        <f>IF(A739&lt;&gt;"",SUM(B739),"")</f>
        <v/>
      </c>
    </row>
    <row r="740" spans="3:3" x14ac:dyDescent="0.3">
      <c r="C740" s="2" t="str">
        <f>IF(A740&lt;&gt;"",SUM(B740),"")</f>
        <v/>
      </c>
    </row>
    <row r="741" spans="3:3" x14ac:dyDescent="0.3">
      <c r="C741" s="2" t="str">
        <f>IF(A741&lt;&gt;"",SUM(B741),"")</f>
        <v/>
      </c>
    </row>
    <row r="742" spans="3:3" x14ac:dyDescent="0.3">
      <c r="C742" s="2" t="str">
        <f>IF(A742&lt;&gt;"",SUM(B742),"")</f>
        <v/>
      </c>
    </row>
    <row r="743" spans="3:3" x14ac:dyDescent="0.3">
      <c r="C743" s="2" t="str">
        <f>IF(A743&lt;&gt;"",SUM(B743),"")</f>
        <v/>
      </c>
    </row>
    <row r="744" spans="3:3" x14ac:dyDescent="0.3">
      <c r="C744" s="2" t="str">
        <f>IF(A744&lt;&gt;"",SUM(B744),"")</f>
        <v/>
      </c>
    </row>
    <row r="745" spans="3:3" x14ac:dyDescent="0.3">
      <c r="C745" s="2" t="str">
        <f>IF(A745&lt;&gt;"",SUM(B745),"")</f>
        <v/>
      </c>
    </row>
    <row r="746" spans="3:3" x14ac:dyDescent="0.3">
      <c r="C746" s="2" t="str">
        <f>IF(A746&lt;&gt;"",SUM(B746),"")</f>
        <v/>
      </c>
    </row>
    <row r="747" spans="3:3" x14ac:dyDescent="0.3">
      <c r="C747" s="2" t="str">
        <f>IF(A747&lt;&gt;"",SUM(B747),"")</f>
        <v/>
      </c>
    </row>
    <row r="748" spans="3:3" x14ac:dyDescent="0.3">
      <c r="C748" s="2" t="str">
        <f>IF(A748&lt;&gt;"",SUM(B748),"")</f>
        <v/>
      </c>
    </row>
    <row r="749" spans="3:3" x14ac:dyDescent="0.3">
      <c r="C749" s="2" t="str">
        <f>IF(A749&lt;&gt;"",SUM(B749),"")</f>
        <v/>
      </c>
    </row>
    <row r="750" spans="3:3" x14ac:dyDescent="0.3">
      <c r="C750" s="2" t="str">
        <f>IF(A750&lt;&gt;"",SUM(B750),"")</f>
        <v/>
      </c>
    </row>
    <row r="751" spans="3:3" x14ac:dyDescent="0.3">
      <c r="C751" s="2" t="str">
        <f>IF(A751&lt;&gt;"",SUM(B751),"")</f>
        <v/>
      </c>
    </row>
    <row r="752" spans="3:3" x14ac:dyDescent="0.3">
      <c r="C752" s="2" t="str">
        <f>IF(A752&lt;&gt;"",SUM(B752),"")</f>
        <v/>
      </c>
    </row>
    <row r="753" spans="3:3" x14ac:dyDescent="0.3">
      <c r="C753" s="2" t="str">
        <f>IF(A753&lt;&gt;"",SUM(B753),"")</f>
        <v/>
      </c>
    </row>
    <row r="754" spans="3:3" x14ac:dyDescent="0.3">
      <c r="C754" s="2" t="str">
        <f>IF(A754&lt;&gt;"",SUM(B754),"")</f>
        <v/>
      </c>
    </row>
    <row r="755" spans="3:3" x14ac:dyDescent="0.3">
      <c r="C755" s="2" t="str">
        <f>IF(A755&lt;&gt;"",SUM(B755),"")</f>
        <v/>
      </c>
    </row>
    <row r="756" spans="3:3" x14ac:dyDescent="0.3">
      <c r="C756" s="2" t="str">
        <f>IF(A756&lt;&gt;"",SUM(B756),"")</f>
        <v/>
      </c>
    </row>
    <row r="757" spans="3:3" x14ac:dyDescent="0.3">
      <c r="C757" s="2" t="str">
        <f>IF(A757&lt;&gt;"",SUM(B757),"")</f>
        <v/>
      </c>
    </row>
    <row r="758" spans="3:3" x14ac:dyDescent="0.3">
      <c r="C758" s="2" t="str">
        <f>IF(A758&lt;&gt;"",SUM(B758),"")</f>
        <v/>
      </c>
    </row>
    <row r="759" spans="3:3" x14ac:dyDescent="0.3">
      <c r="C759" s="2" t="str">
        <f>IF(A759&lt;&gt;"",SUM(B759),"")</f>
        <v/>
      </c>
    </row>
    <row r="760" spans="3:3" x14ac:dyDescent="0.3">
      <c r="C760" s="2" t="str">
        <f>IF(A760&lt;&gt;"",SUM(B760),"")</f>
        <v/>
      </c>
    </row>
    <row r="761" spans="3:3" x14ac:dyDescent="0.3">
      <c r="C761" s="2" t="str">
        <f>IF(A761&lt;&gt;"",SUM(B761),"")</f>
        <v/>
      </c>
    </row>
    <row r="762" spans="3:3" x14ac:dyDescent="0.3">
      <c r="C762" s="2" t="str">
        <f>IF(A762&lt;&gt;"",SUM(B762),"")</f>
        <v/>
      </c>
    </row>
    <row r="763" spans="3:3" x14ac:dyDescent="0.3">
      <c r="C763" s="2" t="str">
        <f>IF(A763&lt;&gt;"",SUM(B763),"")</f>
        <v/>
      </c>
    </row>
    <row r="764" spans="3:3" x14ac:dyDescent="0.3">
      <c r="C764" s="2" t="str">
        <f>IF(A764&lt;&gt;"",SUM(B764),"")</f>
        <v/>
      </c>
    </row>
    <row r="765" spans="3:3" x14ac:dyDescent="0.3">
      <c r="C765" s="2" t="str">
        <f>IF(A765&lt;&gt;"",SUM(B765),"")</f>
        <v/>
      </c>
    </row>
    <row r="766" spans="3:3" x14ac:dyDescent="0.3">
      <c r="C766" s="2" t="str">
        <f>IF(A766&lt;&gt;"",SUM(B766),"")</f>
        <v/>
      </c>
    </row>
    <row r="767" spans="3:3" x14ac:dyDescent="0.3">
      <c r="C767" s="2" t="str">
        <f>IF(A767&lt;&gt;"",SUM(B767),"")</f>
        <v/>
      </c>
    </row>
    <row r="768" spans="3:3" x14ac:dyDescent="0.3">
      <c r="C768" s="2" t="str">
        <f>IF(A768&lt;&gt;"",SUM(B768),"")</f>
        <v/>
      </c>
    </row>
    <row r="769" spans="3:3" x14ac:dyDescent="0.3">
      <c r="C769" s="2" t="str">
        <f>IF(A769&lt;&gt;"",SUM(B769),"")</f>
        <v/>
      </c>
    </row>
    <row r="770" spans="3:3" x14ac:dyDescent="0.3">
      <c r="C770" s="2" t="str">
        <f>IF(A770&lt;&gt;"",SUM(B770),"")</f>
        <v/>
      </c>
    </row>
    <row r="771" spans="3:3" x14ac:dyDescent="0.3">
      <c r="C771" s="2" t="str">
        <f>IF(A771&lt;&gt;"",SUM(B771),"")</f>
        <v/>
      </c>
    </row>
    <row r="772" spans="3:3" x14ac:dyDescent="0.3">
      <c r="C772" s="2" t="str">
        <f>IF(A772&lt;&gt;"",SUM(B772),"")</f>
        <v/>
      </c>
    </row>
    <row r="773" spans="3:3" x14ac:dyDescent="0.3">
      <c r="C773" s="2" t="str">
        <f>IF(A773&lt;&gt;"",SUM(B773),"")</f>
        <v/>
      </c>
    </row>
    <row r="774" spans="3:3" x14ac:dyDescent="0.3">
      <c r="C774" s="2" t="str">
        <f>IF(A774&lt;&gt;"",SUM(B774),"")</f>
        <v/>
      </c>
    </row>
    <row r="775" spans="3:3" x14ac:dyDescent="0.3">
      <c r="C775" s="2" t="str">
        <f>IF(A775&lt;&gt;"",SUM(B775),"")</f>
        <v/>
      </c>
    </row>
    <row r="776" spans="3:3" x14ac:dyDescent="0.3">
      <c r="C776" s="2" t="str">
        <f>IF(A776&lt;&gt;"",SUM(B776),"")</f>
        <v/>
      </c>
    </row>
    <row r="777" spans="3:3" x14ac:dyDescent="0.3">
      <c r="C777" s="2" t="str">
        <f>IF(A777&lt;&gt;"",SUM(B777),"")</f>
        <v/>
      </c>
    </row>
    <row r="778" spans="3:3" x14ac:dyDescent="0.3">
      <c r="C778" s="2" t="str">
        <f>IF(A778&lt;&gt;"",SUM(B778),"")</f>
        <v/>
      </c>
    </row>
    <row r="779" spans="3:3" x14ac:dyDescent="0.3">
      <c r="C779" s="2" t="str">
        <f>IF(A779&lt;&gt;"",SUM(B779),"")</f>
        <v/>
      </c>
    </row>
    <row r="780" spans="3:3" x14ac:dyDescent="0.3">
      <c r="C780" s="2" t="str">
        <f>IF(A780&lt;&gt;"",SUM(B780),"")</f>
        <v/>
      </c>
    </row>
    <row r="781" spans="3:3" x14ac:dyDescent="0.3">
      <c r="C781" s="2" t="str">
        <f>IF(A781&lt;&gt;"",SUM(B781),"")</f>
        <v/>
      </c>
    </row>
    <row r="782" spans="3:3" x14ac:dyDescent="0.3">
      <c r="C782" s="2" t="str">
        <f>IF(A782&lt;&gt;"",SUM(B782),"")</f>
        <v/>
      </c>
    </row>
    <row r="783" spans="3:3" x14ac:dyDescent="0.3">
      <c r="C783" s="2" t="str">
        <f>IF(A783&lt;&gt;"",SUM(B783),"")</f>
        <v/>
      </c>
    </row>
    <row r="784" spans="3:3" x14ac:dyDescent="0.3">
      <c r="C784" s="2" t="str">
        <f>IF(A784&lt;&gt;"",SUM(B784),"")</f>
        <v/>
      </c>
    </row>
    <row r="785" spans="3:3" x14ac:dyDescent="0.3">
      <c r="C785" s="2" t="str">
        <f>IF(A785&lt;&gt;"",SUM(B785),"")</f>
        <v/>
      </c>
    </row>
    <row r="786" spans="3:3" x14ac:dyDescent="0.3">
      <c r="C786" s="2" t="str">
        <f>IF(A786&lt;&gt;"",SUM(B786),"")</f>
        <v/>
      </c>
    </row>
    <row r="787" spans="3:3" x14ac:dyDescent="0.3">
      <c r="C787" s="2" t="str">
        <f>IF(A787&lt;&gt;"",SUM(B787),"")</f>
        <v/>
      </c>
    </row>
    <row r="788" spans="3:3" x14ac:dyDescent="0.3">
      <c r="C788" s="2" t="str">
        <f>IF(A788&lt;&gt;"",SUM(B788),"")</f>
        <v/>
      </c>
    </row>
    <row r="789" spans="3:3" x14ac:dyDescent="0.3">
      <c r="C789" s="2" t="str">
        <f>IF(A789&lt;&gt;"",SUM(B789),"")</f>
        <v/>
      </c>
    </row>
    <row r="790" spans="3:3" x14ac:dyDescent="0.3">
      <c r="C790" s="2" t="str">
        <f>IF(A790&lt;&gt;"",SUM(B790),"")</f>
        <v/>
      </c>
    </row>
    <row r="791" spans="3:3" x14ac:dyDescent="0.3">
      <c r="C791" s="2" t="str">
        <f>IF(A791&lt;&gt;"",SUM(B791),"")</f>
        <v/>
      </c>
    </row>
    <row r="792" spans="3:3" x14ac:dyDescent="0.3">
      <c r="C792" s="2" t="str">
        <f>IF(A792&lt;&gt;"",SUM(B792),"")</f>
        <v/>
      </c>
    </row>
    <row r="793" spans="3:3" x14ac:dyDescent="0.3">
      <c r="C793" s="2" t="str">
        <f>IF(A793&lt;&gt;"",SUM(B793),"")</f>
        <v/>
      </c>
    </row>
    <row r="794" spans="3:3" x14ac:dyDescent="0.3">
      <c r="C794" s="2" t="str">
        <f>IF(A794&lt;&gt;"",SUM(B794),"")</f>
        <v/>
      </c>
    </row>
    <row r="795" spans="3:3" x14ac:dyDescent="0.3">
      <c r="C795" s="2" t="str">
        <f>IF(A795&lt;&gt;"",SUM(B795),"")</f>
        <v/>
      </c>
    </row>
    <row r="796" spans="3:3" x14ac:dyDescent="0.3">
      <c r="C796" s="2" t="str">
        <f>IF(A796&lt;&gt;"",SUM(B796),"")</f>
        <v/>
      </c>
    </row>
    <row r="797" spans="3:3" x14ac:dyDescent="0.3">
      <c r="C797" s="2" t="str">
        <f>IF(A797&lt;&gt;"",SUM(B797),"")</f>
        <v/>
      </c>
    </row>
    <row r="798" spans="3:3" x14ac:dyDescent="0.3">
      <c r="C798" s="2" t="str">
        <f>IF(A798&lt;&gt;"",SUM(B798),"")</f>
        <v/>
      </c>
    </row>
    <row r="799" spans="3:3" x14ac:dyDescent="0.3">
      <c r="C799" s="2" t="str">
        <f>IF(A799&lt;&gt;"",SUM(B799),"")</f>
        <v/>
      </c>
    </row>
    <row r="800" spans="3:3" x14ac:dyDescent="0.3">
      <c r="C800" s="2" t="str">
        <f>IF(A800&lt;&gt;"",SUM(B800),"")</f>
        <v/>
      </c>
    </row>
    <row r="801" spans="3:3" x14ac:dyDescent="0.3">
      <c r="C801" s="2" t="str">
        <f>IF(A801&lt;&gt;"",SUM(B801),"")</f>
        <v/>
      </c>
    </row>
    <row r="802" spans="3:3" x14ac:dyDescent="0.3">
      <c r="C802" s="2" t="str">
        <f>IF(A802&lt;&gt;"",SUM(B802),"")</f>
        <v/>
      </c>
    </row>
    <row r="803" spans="3:3" x14ac:dyDescent="0.3">
      <c r="C803" s="2" t="str">
        <f>IF(A803&lt;&gt;"",SUM(B803),"")</f>
        <v/>
      </c>
    </row>
    <row r="804" spans="3:3" x14ac:dyDescent="0.3">
      <c r="C804" s="2" t="str">
        <f>IF(A804&lt;&gt;"",SUM(B804),"")</f>
        <v/>
      </c>
    </row>
    <row r="805" spans="3:3" x14ac:dyDescent="0.3">
      <c r="C805" s="2" t="str">
        <f>IF(A805&lt;&gt;"",SUM(B805),"")</f>
        <v/>
      </c>
    </row>
    <row r="806" spans="3:3" x14ac:dyDescent="0.3">
      <c r="C806" s="2" t="str">
        <f>IF(A806&lt;&gt;"",SUM(B806),"")</f>
        <v/>
      </c>
    </row>
    <row r="807" spans="3:3" x14ac:dyDescent="0.3">
      <c r="C807" s="2" t="str">
        <f>IF(A807&lt;&gt;"",SUM(B807),"")</f>
        <v/>
      </c>
    </row>
    <row r="808" spans="3:3" x14ac:dyDescent="0.3">
      <c r="C808" s="2" t="str">
        <f>IF(A808&lt;&gt;"",SUM(B808),"")</f>
        <v/>
      </c>
    </row>
    <row r="809" spans="3:3" x14ac:dyDescent="0.3">
      <c r="C809" s="2" t="str">
        <f>IF(A809&lt;&gt;"",SUM(B809),"")</f>
        <v/>
      </c>
    </row>
    <row r="810" spans="3:3" x14ac:dyDescent="0.3">
      <c r="C810" s="2" t="str">
        <f>IF(A810&lt;&gt;"",SUM(B810),"")</f>
        <v/>
      </c>
    </row>
    <row r="811" spans="3:3" x14ac:dyDescent="0.3">
      <c r="C811" s="2" t="str">
        <f>IF(A811&lt;&gt;"",SUM(B811),"")</f>
        <v/>
      </c>
    </row>
    <row r="812" spans="3:3" x14ac:dyDescent="0.3">
      <c r="C812" s="2" t="str">
        <f>IF(A812&lt;&gt;"",SUM(B812),"")</f>
        <v/>
      </c>
    </row>
    <row r="813" spans="3:3" x14ac:dyDescent="0.3">
      <c r="C813" s="2" t="str">
        <f>IF(A813&lt;&gt;"",SUM(B813),"")</f>
        <v/>
      </c>
    </row>
    <row r="814" spans="3:3" x14ac:dyDescent="0.3">
      <c r="C814" s="2" t="str">
        <f>IF(A814&lt;&gt;"",SUM(B814),"")</f>
        <v/>
      </c>
    </row>
    <row r="815" spans="3:3" x14ac:dyDescent="0.3">
      <c r="C815" s="2" t="str">
        <f>IF(A815&lt;&gt;"",SUM(B815),"")</f>
        <v/>
      </c>
    </row>
    <row r="816" spans="3:3" x14ac:dyDescent="0.3">
      <c r="C816" s="2" t="str">
        <f>IF(A816&lt;&gt;"",SUM(B816),"")</f>
        <v/>
      </c>
    </row>
    <row r="817" spans="3:3" x14ac:dyDescent="0.3">
      <c r="C817" s="2" t="str">
        <f>IF(A817&lt;&gt;"",SUM(B817),"")</f>
        <v/>
      </c>
    </row>
    <row r="818" spans="3:3" x14ac:dyDescent="0.3">
      <c r="C818" s="2" t="str">
        <f>IF(A818&lt;&gt;"",SUM(B818),"")</f>
        <v/>
      </c>
    </row>
    <row r="819" spans="3:3" x14ac:dyDescent="0.3">
      <c r="C819" s="2" t="str">
        <f>IF(A819&lt;&gt;"",SUM(B819),"")</f>
        <v/>
      </c>
    </row>
    <row r="820" spans="3:3" x14ac:dyDescent="0.3">
      <c r="C820" s="2" t="str">
        <f>IF(A820&lt;&gt;"",SUM(B820),"")</f>
        <v/>
      </c>
    </row>
    <row r="821" spans="3:3" x14ac:dyDescent="0.3">
      <c r="C821" s="2" t="str">
        <f>IF(A821&lt;&gt;"",SUM(B821),"")</f>
        <v/>
      </c>
    </row>
    <row r="822" spans="3:3" x14ac:dyDescent="0.3">
      <c r="C822" s="2" t="str">
        <f>IF(A822&lt;&gt;"",SUM(B822),"")</f>
        <v/>
      </c>
    </row>
    <row r="823" spans="3:3" x14ac:dyDescent="0.3">
      <c r="C823" s="2" t="str">
        <f>IF(A823&lt;&gt;"",SUM(B823),"")</f>
        <v/>
      </c>
    </row>
    <row r="824" spans="3:3" x14ac:dyDescent="0.3">
      <c r="C824" s="2" t="str">
        <f>IF(A824&lt;&gt;"",SUM(B824),"")</f>
        <v/>
      </c>
    </row>
    <row r="825" spans="3:3" x14ac:dyDescent="0.3">
      <c r="C825" s="2" t="str">
        <f>IF(A825&lt;&gt;"",SUM(B825),"")</f>
        <v/>
      </c>
    </row>
    <row r="826" spans="3:3" x14ac:dyDescent="0.3">
      <c r="C826" s="2" t="str">
        <f>IF(A826&lt;&gt;"",SUM(B826),"")</f>
        <v/>
      </c>
    </row>
    <row r="827" spans="3:3" x14ac:dyDescent="0.3">
      <c r="C827" s="2" t="str">
        <f>IF(A827&lt;&gt;"",SUM(B827),"")</f>
        <v/>
      </c>
    </row>
    <row r="828" spans="3:3" x14ac:dyDescent="0.3">
      <c r="C828" s="2" t="str">
        <f>IF(A828&lt;&gt;"",SUM(B828),"")</f>
        <v/>
      </c>
    </row>
    <row r="829" spans="3:3" x14ac:dyDescent="0.3">
      <c r="C829" s="2" t="str">
        <f>IF(A829&lt;&gt;"",SUM(B829),"")</f>
        <v/>
      </c>
    </row>
    <row r="830" spans="3:3" x14ac:dyDescent="0.3">
      <c r="C830" s="2" t="str">
        <f>IF(A830&lt;&gt;"",SUM(B830),"")</f>
        <v/>
      </c>
    </row>
    <row r="831" spans="3:3" x14ac:dyDescent="0.3">
      <c r="C831" s="2" t="str">
        <f>IF(A831&lt;&gt;"",SUM(B831),"")</f>
        <v/>
      </c>
    </row>
    <row r="832" spans="3:3" x14ac:dyDescent="0.3">
      <c r="C832" s="2" t="str">
        <f>IF(A832&lt;&gt;"",SUM(B832),"")</f>
        <v/>
      </c>
    </row>
    <row r="833" spans="3:3" x14ac:dyDescent="0.3">
      <c r="C833" s="2" t="str">
        <f>IF(A833&lt;&gt;"",SUM(B833),"")</f>
        <v/>
      </c>
    </row>
    <row r="834" spans="3:3" x14ac:dyDescent="0.3">
      <c r="C834" s="2" t="str">
        <f>IF(A834&lt;&gt;"",SUM(B834),"")</f>
        <v/>
      </c>
    </row>
    <row r="835" spans="3:3" x14ac:dyDescent="0.3">
      <c r="C835" s="2" t="str">
        <f>IF(A835&lt;&gt;"",SUM(B835),"")</f>
        <v/>
      </c>
    </row>
    <row r="836" spans="3:3" x14ac:dyDescent="0.3">
      <c r="C836" s="2" t="str">
        <f>IF(A836&lt;&gt;"",SUM(B836),"")</f>
        <v/>
      </c>
    </row>
    <row r="837" spans="3:3" x14ac:dyDescent="0.3">
      <c r="C837" s="2" t="str">
        <f>IF(A837&lt;&gt;"",SUM(B837),"")</f>
        <v/>
      </c>
    </row>
    <row r="838" spans="3:3" x14ac:dyDescent="0.3">
      <c r="C838" s="2" t="str">
        <f>IF(A838&lt;&gt;"",SUM(B838),"")</f>
        <v/>
      </c>
    </row>
    <row r="839" spans="3:3" x14ac:dyDescent="0.3">
      <c r="C839" s="2" t="str">
        <f>IF(A839&lt;&gt;"",SUM(B839),"")</f>
        <v/>
      </c>
    </row>
    <row r="840" spans="3:3" x14ac:dyDescent="0.3">
      <c r="C840" s="2" t="str">
        <f>IF(A840&lt;&gt;"",SUM(B840),"")</f>
        <v/>
      </c>
    </row>
    <row r="841" spans="3:3" x14ac:dyDescent="0.3">
      <c r="C841" s="2" t="str">
        <f>IF(A841&lt;&gt;"",SUM(B841),"")</f>
        <v/>
      </c>
    </row>
    <row r="842" spans="3:3" x14ac:dyDescent="0.3">
      <c r="C842" s="2" t="str">
        <f>IF(A842&lt;&gt;"",SUM(B842),"")</f>
        <v/>
      </c>
    </row>
    <row r="843" spans="3:3" x14ac:dyDescent="0.3">
      <c r="C843" s="2" t="str">
        <f>IF(A843&lt;&gt;"",SUM(B843),"")</f>
        <v/>
      </c>
    </row>
    <row r="844" spans="3:3" x14ac:dyDescent="0.3">
      <c r="C844" s="2" t="str">
        <f>IF(A844&lt;&gt;"",SUM(B844),"")</f>
        <v/>
      </c>
    </row>
    <row r="845" spans="3:3" x14ac:dyDescent="0.3">
      <c r="C845" s="2" t="str">
        <f>IF(A845&lt;&gt;"",SUM(B845),"")</f>
        <v/>
      </c>
    </row>
    <row r="846" spans="3:3" x14ac:dyDescent="0.3">
      <c r="C846" s="2" t="str">
        <f>IF(A846&lt;&gt;"",SUM(B846),"")</f>
        <v/>
      </c>
    </row>
    <row r="847" spans="3:3" x14ac:dyDescent="0.3">
      <c r="C847" s="2" t="str">
        <f>IF(A847&lt;&gt;"",SUM(B847),"")</f>
        <v/>
      </c>
    </row>
    <row r="848" spans="3:3" x14ac:dyDescent="0.3">
      <c r="C848" s="2" t="str">
        <f>IF(A848&lt;&gt;"",SUM(B848),"")</f>
        <v/>
      </c>
    </row>
    <row r="849" spans="3:3" x14ac:dyDescent="0.3">
      <c r="C849" s="2" t="str">
        <f>IF(A849&lt;&gt;"",SUM(B849),"")</f>
        <v/>
      </c>
    </row>
    <row r="850" spans="3:3" x14ac:dyDescent="0.3">
      <c r="C850" s="2" t="str">
        <f>IF(A850&lt;&gt;"",SUM(B850),"")</f>
        <v/>
      </c>
    </row>
    <row r="851" spans="3:3" x14ac:dyDescent="0.3">
      <c r="C851" s="2" t="str">
        <f>IF(A851&lt;&gt;"",SUM(B851),"")</f>
        <v/>
      </c>
    </row>
    <row r="852" spans="3:3" x14ac:dyDescent="0.3">
      <c r="C852" s="2" t="str">
        <f>IF(A852&lt;&gt;"",SUM(B852),"")</f>
        <v/>
      </c>
    </row>
    <row r="853" spans="3:3" x14ac:dyDescent="0.3">
      <c r="C853" s="2" t="str">
        <f>IF(A853&lt;&gt;"",SUM(B853),"")</f>
        <v/>
      </c>
    </row>
    <row r="854" spans="3:3" x14ac:dyDescent="0.3">
      <c r="C854" s="2" t="str">
        <f>IF(A854&lt;&gt;"",SUM(B854),"")</f>
        <v/>
      </c>
    </row>
    <row r="855" spans="3:3" x14ac:dyDescent="0.3">
      <c r="C855" s="2" t="str">
        <f>IF(A855&lt;&gt;"",SUM(B855),"")</f>
        <v/>
      </c>
    </row>
    <row r="856" spans="3:3" x14ac:dyDescent="0.3">
      <c r="C856" s="2" t="str">
        <f>IF(A856&lt;&gt;"",SUM(B856),"")</f>
        <v/>
      </c>
    </row>
    <row r="857" spans="3:3" x14ac:dyDescent="0.3">
      <c r="C857" s="2" t="str">
        <f>IF(A857&lt;&gt;"",SUM(B857),"")</f>
        <v/>
      </c>
    </row>
    <row r="858" spans="3:3" x14ac:dyDescent="0.3">
      <c r="C858" s="2" t="str">
        <f>IF(A858&lt;&gt;"",SUM(B858),"")</f>
        <v/>
      </c>
    </row>
    <row r="859" spans="3:3" x14ac:dyDescent="0.3">
      <c r="C859" s="2" t="str">
        <f>IF(A859&lt;&gt;"",SUM(B859),"")</f>
        <v/>
      </c>
    </row>
    <row r="860" spans="3:3" x14ac:dyDescent="0.3">
      <c r="C860" s="2" t="str">
        <f>IF(A860&lt;&gt;"",SUM(B860),"")</f>
        <v/>
      </c>
    </row>
    <row r="861" spans="3:3" x14ac:dyDescent="0.3">
      <c r="C861" s="2" t="str">
        <f>IF(A861&lt;&gt;"",SUM(B861),"")</f>
        <v/>
      </c>
    </row>
    <row r="862" spans="3:3" x14ac:dyDescent="0.3">
      <c r="C862" s="2" t="str">
        <f>IF(A862&lt;&gt;"",SUM(B862),"")</f>
        <v/>
      </c>
    </row>
    <row r="863" spans="3:3" x14ac:dyDescent="0.3">
      <c r="C863" s="2" t="str">
        <f>IF(A863&lt;&gt;"",SUM(B863),"")</f>
        <v/>
      </c>
    </row>
    <row r="864" spans="3:3" x14ac:dyDescent="0.3">
      <c r="C864" s="2" t="str">
        <f>IF(A864&lt;&gt;"",SUM(B864),"")</f>
        <v/>
      </c>
    </row>
    <row r="865" spans="3:3" x14ac:dyDescent="0.3">
      <c r="C865" s="2" t="str">
        <f>IF(A865&lt;&gt;"",SUM(B865),"")</f>
        <v/>
      </c>
    </row>
    <row r="866" spans="3:3" x14ac:dyDescent="0.3">
      <c r="C866" s="2" t="str">
        <f>IF(A866&lt;&gt;"",SUM(B866),"")</f>
        <v/>
      </c>
    </row>
    <row r="867" spans="3:3" x14ac:dyDescent="0.3">
      <c r="C867" s="2" t="str">
        <f>IF(A867&lt;&gt;"",SUM(B867),"")</f>
        <v/>
      </c>
    </row>
    <row r="868" spans="3:3" x14ac:dyDescent="0.3">
      <c r="C868" s="2" t="str">
        <f>IF(A868&lt;&gt;"",SUM(B868),"")</f>
        <v/>
      </c>
    </row>
    <row r="869" spans="3:3" x14ac:dyDescent="0.3">
      <c r="C869" s="2" t="str">
        <f>IF(A869&lt;&gt;"",SUM(B869),"")</f>
        <v/>
      </c>
    </row>
    <row r="870" spans="3:3" x14ac:dyDescent="0.3">
      <c r="C870" s="2" t="str">
        <f>IF(A870&lt;&gt;"",SUM(B870),"")</f>
        <v/>
      </c>
    </row>
    <row r="871" spans="3:3" x14ac:dyDescent="0.3">
      <c r="C871" s="2" t="str">
        <f>IF(A871&lt;&gt;"",SUM(B871),"")</f>
        <v/>
      </c>
    </row>
    <row r="872" spans="3:3" x14ac:dyDescent="0.3">
      <c r="C872" s="2" t="str">
        <f>IF(A872&lt;&gt;"",SUM(B872),"")</f>
        <v/>
      </c>
    </row>
    <row r="873" spans="3:3" x14ac:dyDescent="0.3">
      <c r="C873" s="2" t="str">
        <f>IF(A873&lt;&gt;"",SUM(B873),"")</f>
        <v/>
      </c>
    </row>
    <row r="874" spans="3:3" x14ac:dyDescent="0.3">
      <c r="C874" s="2" t="str">
        <f>IF(A874&lt;&gt;"",SUM(B874),"")</f>
        <v/>
      </c>
    </row>
    <row r="875" spans="3:3" x14ac:dyDescent="0.3">
      <c r="C875" s="2" t="str">
        <f>IF(A875&lt;&gt;"",SUM(B875),"")</f>
        <v/>
      </c>
    </row>
    <row r="876" spans="3:3" x14ac:dyDescent="0.3">
      <c r="C876" s="2" t="str">
        <f>IF(A876&lt;&gt;"",SUM(B876),"")</f>
        <v/>
      </c>
    </row>
    <row r="877" spans="3:3" x14ac:dyDescent="0.3">
      <c r="C877" s="2" t="str">
        <f>IF(A877&lt;&gt;"",SUM(B877),"")</f>
        <v/>
      </c>
    </row>
    <row r="878" spans="3:3" x14ac:dyDescent="0.3">
      <c r="C878" s="2" t="str">
        <f>IF(A878&lt;&gt;"",SUM(B878),"")</f>
        <v/>
      </c>
    </row>
    <row r="879" spans="3:3" x14ac:dyDescent="0.3">
      <c r="C879" s="2" t="str">
        <f>IF(A879&lt;&gt;"",SUM(B879),"")</f>
        <v/>
      </c>
    </row>
    <row r="880" spans="3:3" x14ac:dyDescent="0.3">
      <c r="C880" s="2" t="str">
        <f>IF(A880&lt;&gt;"",SUM(B880),"")</f>
        <v/>
      </c>
    </row>
    <row r="881" spans="3:3" x14ac:dyDescent="0.3">
      <c r="C881" s="2" t="str">
        <f>IF(A881&lt;&gt;"",SUM(B881),"")</f>
        <v/>
      </c>
    </row>
    <row r="882" spans="3:3" x14ac:dyDescent="0.3">
      <c r="C882" s="2" t="str">
        <f>IF(A882&lt;&gt;"",SUM(B882),"")</f>
        <v/>
      </c>
    </row>
    <row r="883" spans="3:3" x14ac:dyDescent="0.3">
      <c r="C883" s="2" t="str">
        <f>IF(A883&lt;&gt;"",SUM(B883),"")</f>
        <v/>
      </c>
    </row>
    <row r="884" spans="3:3" x14ac:dyDescent="0.3">
      <c r="C884" s="2" t="str">
        <f>IF(A884&lt;&gt;"",SUM(B884),"")</f>
        <v/>
      </c>
    </row>
    <row r="885" spans="3:3" x14ac:dyDescent="0.3">
      <c r="C885" s="2" t="str">
        <f>IF(A885&lt;&gt;"",SUM(B885),"")</f>
        <v/>
      </c>
    </row>
    <row r="886" spans="3:3" x14ac:dyDescent="0.3">
      <c r="C886" s="2" t="str">
        <f>IF(A886&lt;&gt;"",SUM(B886),"")</f>
        <v/>
      </c>
    </row>
    <row r="887" spans="3:3" x14ac:dyDescent="0.3">
      <c r="C887" s="2" t="str">
        <f>IF(A887&lt;&gt;"",SUM(B887),"")</f>
        <v/>
      </c>
    </row>
    <row r="888" spans="3:3" x14ac:dyDescent="0.3">
      <c r="C888" s="2" t="str">
        <f>IF(A888&lt;&gt;"",SUM(B888),"")</f>
        <v/>
      </c>
    </row>
    <row r="889" spans="3:3" x14ac:dyDescent="0.3">
      <c r="C889" s="2" t="str">
        <f>IF(A889&lt;&gt;"",SUM(B889),"")</f>
        <v/>
      </c>
    </row>
    <row r="890" spans="3:3" x14ac:dyDescent="0.3">
      <c r="C890" s="2" t="str">
        <f>IF(A890&lt;&gt;"",SUM(B890),"")</f>
        <v/>
      </c>
    </row>
    <row r="891" spans="3:3" x14ac:dyDescent="0.3">
      <c r="C891" s="2" t="str">
        <f>IF(A891&lt;&gt;"",SUM(B891),"")</f>
        <v/>
      </c>
    </row>
    <row r="892" spans="3:3" x14ac:dyDescent="0.3">
      <c r="C892" s="2" t="str">
        <f>IF(A892&lt;&gt;"",SUM(B892),"")</f>
        <v/>
      </c>
    </row>
    <row r="893" spans="3:3" x14ac:dyDescent="0.3">
      <c r="C893" s="2" t="str">
        <f>IF(A893&lt;&gt;"",SUM(B893),"")</f>
        <v/>
      </c>
    </row>
    <row r="894" spans="3:3" x14ac:dyDescent="0.3">
      <c r="C894" s="2" t="str">
        <f>IF(A894&lt;&gt;"",SUM(B894),"")</f>
        <v/>
      </c>
    </row>
    <row r="895" spans="3:3" x14ac:dyDescent="0.3">
      <c r="C895" s="2" t="str">
        <f>IF(A895&lt;&gt;"",SUM(B895),"")</f>
        <v/>
      </c>
    </row>
    <row r="896" spans="3:3" x14ac:dyDescent="0.3">
      <c r="C896" s="2" t="str">
        <f>IF(A896&lt;&gt;"",SUM(B896),"")</f>
        <v/>
      </c>
    </row>
    <row r="897" spans="3:3" x14ac:dyDescent="0.3">
      <c r="C897" s="2" t="str">
        <f>IF(A897&lt;&gt;"",SUM(B897),"")</f>
        <v/>
      </c>
    </row>
    <row r="898" spans="3:3" x14ac:dyDescent="0.3">
      <c r="C898" s="2" t="str">
        <f>IF(A898&lt;&gt;"",SUM(B898),"")</f>
        <v/>
      </c>
    </row>
    <row r="899" spans="3:3" x14ac:dyDescent="0.3">
      <c r="C899" s="2" t="str">
        <f>IF(A899&lt;&gt;"",SUM(B899),"")</f>
        <v/>
      </c>
    </row>
    <row r="900" spans="3:3" x14ac:dyDescent="0.3">
      <c r="C900" s="2" t="str">
        <f>IF(A900&lt;&gt;"",SUM(B900),"")</f>
        <v/>
      </c>
    </row>
    <row r="901" spans="3:3" x14ac:dyDescent="0.3">
      <c r="C901" s="2" t="str">
        <f>IF(A901&lt;&gt;"",SUM(B901),"")</f>
        <v/>
      </c>
    </row>
    <row r="902" spans="3:3" x14ac:dyDescent="0.3">
      <c r="C902" s="2" t="str">
        <f>IF(A902&lt;&gt;"",SUM(B902),"")</f>
        <v/>
      </c>
    </row>
    <row r="903" spans="3:3" x14ac:dyDescent="0.3">
      <c r="C903" s="2" t="str">
        <f>IF(A903&lt;&gt;"",SUM(B903),"")</f>
        <v/>
      </c>
    </row>
    <row r="904" spans="3:3" x14ac:dyDescent="0.3">
      <c r="C904" s="2" t="str">
        <f>IF(A904&lt;&gt;"",SUM(B904),"")</f>
        <v/>
      </c>
    </row>
    <row r="905" spans="3:3" x14ac:dyDescent="0.3">
      <c r="C905" s="2" t="str">
        <f>IF(A905&lt;&gt;"",SUM(B905),"")</f>
        <v/>
      </c>
    </row>
    <row r="906" spans="3:3" x14ac:dyDescent="0.3">
      <c r="C906" s="2" t="str">
        <f>IF(A906&lt;&gt;"",SUM(B906),"")</f>
        <v/>
      </c>
    </row>
    <row r="907" spans="3:3" x14ac:dyDescent="0.3">
      <c r="C907" s="2" t="str">
        <f>IF(A907&lt;&gt;"",SUM(B907),"")</f>
        <v/>
      </c>
    </row>
    <row r="908" spans="3:3" x14ac:dyDescent="0.3">
      <c r="C908" s="2" t="str">
        <f>IF(A908&lt;&gt;"",SUM(B908),"")</f>
        <v/>
      </c>
    </row>
    <row r="909" spans="3:3" x14ac:dyDescent="0.3">
      <c r="C909" s="2" t="str">
        <f>IF(A909&lt;&gt;"",SUM(B909),"")</f>
        <v/>
      </c>
    </row>
    <row r="910" spans="3:3" x14ac:dyDescent="0.3">
      <c r="C910" s="2" t="str">
        <f>IF(A910&lt;&gt;"",SUM(B910),"")</f>
        <v/>
      </c>
    </row>
    <row r="911" spans="3:3" x14ac:dyDescent="0.3">
      <c r="C911" s="2" t="str">
        <f>IF(A911&lt;&gt;"",SUM(B911),"")</f>
        <v/>
      </c>
    </row>
    <row r="912" spans="3:3" x14ac:dyDescent="0.3">
      <c r="C912" s="2" t="str">
        <f>IF(A912&lt;&gt;"",SUM(B912),"")</f>
        <v/>
      </c>
    </row>
    <row r="913" spans="3:3" x14ac:dyDescent="0.3">
      <c r="C913" s="2" t="str">
        <f>IF(A913&lt;&gt;"",SUM(B913),"")</f>
        <v/>
      </c>
    </row>
    <row r="914" spans="3:3" x14ac:dyDescent="0.3">
      <c r="C914" s="2" t="str">
        <f>IF(A914&lt;&gt;"",SUM(B914),"")</f>
        <v/>
      </c>
    </row>
    <row r="915" spans="3:3" x14ac:dyDescent="0.3">
      <c r="C915" s="2" t="str">
        <f>IF(A915&lt;&gt;"",SUM(B915),"")</f>
        <v/>
      </c>
    </row>
    <row r="916" spans="3:3" x14ac:dyDescent="0.3">
      <c r="C916" s="2" t="str">
        <f>IF(A916&lt;&gt;"",SUM(B916),"")</f>
        <v/>
      </c>
    </row>
    <row r="917" spans="3:3" x14ac:dyDescent="0.3">
      <c r="C917" s="2" t="str">
        <f>IF(A917&lt;&gt;"",SUM(B917),"")</f>
        <v/>
      </c>
    </row>
    <row r="918" spans="3:3" x14ac:dyDescent="0.3">
      <c r="C918" s="2" t="str">
        <f>IF(A918&lt;&gt;"",SUM(B918),"")</f>
        <v/>
      </c>
    </row>
    <row r="919" spans="3:3" x14ac:dyDescent="0.3">
      <c r="C919" s="2" t="str">
        <f>IF(A919&lt;&gt;"",SUM(B919),"")</f>
        <v/>
      </c>
    </row>
    <row r="920" spans="3:3" x14ac:dyDescent="0.3">
      <c r="C920" s="2" t="str">
        <f>IF(A920&lt;&gt;"",SUM(B920),"")</f>
        <v/>
      </c>
    </row>
    <row r="921" spans="3:3" x14ac:dyDescent="0.3">
      <c r="C921" s="2" t="str">
        <f>IF(A921&lt;&gt;"",SUM(B921),"")</f>
        <v/>
      </c>
    </row>
    <row r="922" spans="3:3" x14ac:dyDescent="0.3">
      <c r="C922" s="2" t="str">
        <f>IF(A922&lt;&gt;"",SUM(B922),"")</f>
        <v/>
      </c>
    </row>
    <row r="923" spans="3:3" x14ac:dyDescent="0.3">
      <c r="C923" s="2" t="str">
        <f>IF(A923&lt;&gt;"",SUM(B923),"")</f>
        <v/>
      </c>
    </row>
    <row r="924" spans="3:3" x14ac:dyDescent="0.3">
      <c r="C924" s="2" t="str">
        <f>IF(A924&lt;&gt;"",SUM(B924),"")</f>
        <v/>
      </c>
    </row>
    <row r="925" spans="3:3" x14ac:dyDescent="0.3">
      <c r="C925" s="2" t="str">
        <f>IF(A925&lt;&gt;"",SUM(B925),"")</f>
        <v/>
      </c>
    </row>
    <row r="926" spans="3:3" x14ac:dyDescent="0.3">
      <c r="C926" s="2" t="str">
        <f>IF(A926&lt;&gt;"",SUM(B926),"")</f>
        <v/>
      </c>
    </row>
    <row r="927" spans="3:3" x14ac:dyDescent="0.3">
      <c r="C927" s="2" t="str">
        <f>IF(A927&lt;&gt;"",SUM(B927),"")</f>
        <v/>
      </c>
    </row>
    <row r="928" spans="3:3" x14ac:dyDescent="0.3">
      <c r="C928" s="2" t="str">
        <f>IF(A928&lt;&gt;"",SUM(B928),"")</f>
        <v/>
      </c>
    </row>
    <row r="929" spans="3:3" x14ac:dyDescent="0.3">
      <c r="C929" s="2" t="str">
        <f>IF(A929&lt;&gt;"",SUM(B929),"")</f>
        <v/>
      </c>
    </row>
    <row r="930" spans="3:3" x14ac:dyDescent="0.3">
      <c r="C930" s="2" t="str">
        <f>IF(A930&lt;&gt;"",SUM(B930),"")</f>
        <v/>
      </c>
    </row>
    <row r="931" spans="3:3" x14ac:dyDescent="0.3">
      <c r="C931" s="2" t="str">
        <f>IF(A931&lt;&gt;"",SUM(B931),"")</f>
        <v/>
      </c>
    </row>
    <row r="932" spans="3:3" x14ac:dyDescent="0.3">
      <c r="C932" s="2" t="str">
        <f>IF(A932&lt;&gt;"",SUM(B932),"")</f>
        <v/>
      </c>
    </row>
    <row r="933" spans="3:3" x14ac:dyDescent="0.3">
      <c r="C933" s="2" t="str">
        <f>IF(A933&lt;&gt;"",SUM(B933),"")</f>
        <v/>
      </c>
    </row>
    <row r="934" spans="3:3" x14ac:dyDescent="0.3">
      <c r="C934" s="2" t="str">
        <f>IF(A934&lt;&gt;"",SUM(B934),"")</f>
        <v/>
      </c>
    </row>
    <row r="935" spans="3:3" x14ac:dyDescent="0.3">
      <c r="C935" s="2" t="str">
        <f>IF(A935&lt;&gt;"",SUM(B935),"")</f>
        <v/>
      </c>
    </row>
    <row r="936" spans="3:3" x14ac:dyDescent="0.3">
      <c r="C936" s="2" t="str">
        <f>IF(A936&lt;&gt;"",SUM(B936),"")</f>
        <v/>
      </c>
    </row>
    <row r="937" spans="3:3" x14ac:dyDescent="0.3">
      <c r="C937" s="2" t="str">
        <f>IF(A937&lt;&gt;"",SUM(B937),"")</f>
        <v/>
      </c>
    </row>
    <row r="938" spans="3:3" x14ac:dyDescent="0.3">
      <c r="C938" s="2" t="str">
        <f>IF(A938&lt;&gt;"",SUM(B938),"")</f>
        <v/>
      </c>
    </row>
    <row r="939" spans="3:3" x14ac:dyDescent="0.3">
      <c r="C939" s="2" t="str">
        <f>IF(A939&lt;&gt;"",SUM(B939),"")</f>
        <v/>
      </c>
    </row>
    <row r="940" spans="3:3" x14ac:dyDescent="0.3">
      <c r="C940" s="2" t="str">
        <f>IF(A940&lt;&gt;"",SUM(B940),"")</f>
        <v/>
      </c>
    </row>
    <row r="941" spans="3:3" x14ac:dyDescent="0.3">
      <c r="C941" s="2" t="str">
        <f>IF(A941&lt;&gt;"",SUM(B941),"")</f>
        <v/>
      </c>
    </row>
    <row r="942" spans="3:3" x14ac:dyDescent="0.3">
      <c r="C942" s="2" t="str">
        <f>IF(A942&lt;&gt;"",SUM(B942),"")</f>
        <v/>
      </c>
    </row>
    <row r="943" spans="3:3" x14ac:dyDescent="0.3">
      <c r="C943" s="2" t="str">
        <f>IF(A943&lt;&gt;"",SUM(B943),"")</f>
        <v/>
      </c>
    </row>
    <row r="944" spans="3:3" x14ac:dyDescent="0.3">
      <c r="C944" s="2" t="str">
        <f>IF(A944&lt;&gt;"",SUM(B944),"")</f>
        <v/>
      </c>
    </row>
    <row r="945" spans="3:3" x14ac:dyDescent="0.3">
      <c r="C945" s="2" t="str">
        <f>IF(A945&lt;&gt;"",SUM(B945),"")</f>
        <v/>
      </c>
    </row>
    <row r="946" spans="3:3" x14ac:dyDescent="0.3">
      <c r="C946" s="2" t="str">
        <f>IF(A946&lt;&gt;"",SUM(B946),"")</f>
        <v/>
      </c>
    </row>
    <row r="947" spans="3:3" x14ac:dyDescent="0.3">
      <c r="C947" s="2" t="str">
        <f>IF(A947&lt;&gt;"",SUM(B947),"")</f>
        <v/>
      </c>
    </row>
    <row r="948" spans="3:3" x14ac:dyDescent="0.3">
      <c r="C948" s="2" t="str">
        <f>IF(A948&lt;&gt;"",SUM(B948),"")</f>
        <v/>
      </c>
    </row>
    <row r="949" spans="3:3" x14ac:dyDescent="0.3">
      <c r="C949" s="2" t="str">
        <f>IF(A949&lt;&gt;"",SUM(B949),"")</f>
        <v/>
      </c>
    </row>
    <row r="950" spans="3:3" x14ac:dyDescent="0.3">
      <c r="C950" s="2" t="str">
        <f>IF(A950&lt;&gt;"",SUM(B950),"")</f>
        <v/>
      </c>
    </row>
    <row r="951" spans="3:3" x14ac:dyDescent="0.3">
      <c r="C951" s="2" t="str">
        <f>IF(A951&lt;&gt;"",SUM(B951),"")</f>
        <v/>
      </c>
    </row>
    <row r="952" spans="3:3" x14ac:dyDescent="0.3">
      <c r="C952" s="2" t="str">
        <f>IF(A952&lt;&gt;"",SUM(B952),"")</f>
        <v/>
      </c>
    </row>
    <row r="953" spans="3:3" x14ac:dyDescent="0.3">
      <c r="C953" s="2" t="str">
        <f>IF(A953&lt;&gt;"",SUM(B953),"")</f>
        <v/>
      </c>
    </row>
    <row r="954" spans="3:3" x14ac:dyDescent="0.3">
      <c r="C954" s="2" t="str">
        <f>IF(A954&lt;&gt;"",SUM(B954),"")</f>
        <v/>
      </c>
    </row>
    <row r="955" spans="3:3" x14ac:dyDescent="0.3">
      <c r="C955" s="2" t="str">
        <f>IF(A955&lt;&gt;"",SUM(B955),"")</f>
        <v/>
      </c>
    </row>
    <row r="956" spans="3:3" x14ac:dyDescent="0.3">
      <c r="C956" s="2" t="str">
        <f>IF(A956&lt;&gt;"",SUM(B956),"")</f>
        <v/>
      </c>
    </row>
    <row r="957" spans="3:3" x14ac:dyDescent="0.3">
      <c r="C957" s="2" t="str">
        <f>IF(A957&lt;&gt;"",SUM(B957),"")</f>
        <v/>
      </c>
    </row>
    <row r="958" spans="3:3" x14ac:dyDescent="0.3">
      <c r="C958" s="2" t="str">
        <f>IF(A958&lt;&gt;"",SUM(B958),"")</f>
        <v/>
      </c>
    </row>
    <row r="959" spans="3:3" x14ac:dyDescent="0.3">
      <c r="C959" s="2" t="str">
        <f>IF(A959&lt;&gt;"",SUM(B959),"")</f>
        <v/>
      </c>
    </row>
    <row r="960" spans="3:3" x14ac:dyDescent="0.3">
      <c r="C960" s="2" t="str">
        <f>IF(A960&lt;&gt;"",SUM(B960),"")</f>
        <v/>
      </c>
    </row>
    <row r="961" spans="3:3" x14ac:dyDescent="0.3">
      <c r="C961" s="2" t="str">
        <f>IF(A961&lt;&gt;"",SUM(B961),"")</f>
        <v/>
      </c>
    </row>
    <row r="962" spans="3:3" x14ac:dyDescent="0.3">
      <c r="C962" s="2" t="str">
        <f>IF(A962&lt;&gt;"",SUM(B962),"")</f>
        <v/>
      </c>
    </row>
    <row r="963" spans="3:3" x14ac:dyDescent="0.3">
      <c r="C963" s="2" t="str">
        <f>IF(A963&lt;&gt;"",SUM(B963),"")</f>
        <v/>
      </c>
    </row>
    <row r="964" spans="3:3" x14ac:dyDescent="0.3">
      <c r="C964" s="2" t="str">
        <f>IF(A964&lt;&gt;"",SUM(B964),"")</f>
        <v/>
      </c>
    </row>
    <row r="965" spans="3:3" x14ac:dyDescent="0.3">
      <c r="C965" s="2" t="str">
        <f>IF(A965&lt;&gt;"",SUM(B965),"")</f>
        <v/>
      </c>
    </row>
    <row r="966" spans="3:3" x14ac:dyDescent="0.3">
      <c r="C966" s="2" t="str">
        <f>IF(A966&lt;&gt;"",SUM(B966),"")</f>
        <v/>
      </c>
    </row>
    <row r="967" spans="3:3" x14ac:dyDescent="0.3">
      <c r="C967" s="2" t="str">
        <f>IF(A967&lt;&gt;"",SUM(B967),"")</f>
        <v/>
      </c>
    </row>
    <row r="968" spans="3:3" x14ac:dyDescent="0.3">
      <c r="C968" s="2" t="str">
        <f>IF(A968&lt;&gt;"",SUM(B968),"")</f>
        <v/>
      </c>
    </row>
    <row r="969" spans="3:3" x14ac:dyDescent="0.3">
      <c r="C969" s="2" t="str">
        <f>IF(A969&lt;&gt;"",SUM(B969),"")</f>
        <v/>
      </c>
    </row>
    <row r="970" spans="3:3" x14ac:dyDescent="0.3">
      <c r="C970" s="2" t="str">
        <f>IF(A970&lt;&gt;"",SUM(B970),"")</f>
        <v/>
      </c>
    </row>
    <row r="971" spans="3:3" x14ac:dyDescent="0.3">
      <c r="C971" s="2" t="str">
        <f>IF(A971&lt;&gt;"",SUM(B971),"")</f>
        <v/>
      </c>
    </row>
    <row r="972" spans="3:3" x14ac:dyDescent="0.3">
      <c r="C972" s="2" t="str">
        <f>IF(A972&lt;&gt;"",SUM(B972),"")</f>
        <v/>
      </c>
    </row>
    <row r="973" spans="3:3" x14ac:dyDescent="0.3">
      <c r="C973" s="2" t="str">
        <f>IF(A973&lt;&gt;"",SUM(B973),"")</f>
        <v/>
      </c>
    </row>
    <row r="974" spans="3:3" x14ac:dyDescent="0.3">
      <c r="C974" s="2" t="str">
        <f>IF(A974&lt;&gt;"",SUM(B974),"")</f>
        <v/>
      </c>
    </row>
    <row r="975" spans="3:3" x14ac:dyDescent="0.3">
      <c r="C975" s="2" t="str">
        <f>IF(A975&lt;&gt;"",SUM(B975),"")</f>
        <v/>
      </c>
    </row>
    <row r="976" spans="3:3" x14ac:dyDescent="0.3">
      <c r="C976" s="2" t="str">
        <f>IF(A976&lt;&gt;"",SUM(B976),"")</f>
        <v/>
      </c>
    </row>
    <row r="977" spans="3:3" x14ac:dyDescent="0.3">
      <c r="C977" s="2" t="str">
        <f>IF(A977&lt;&gt;"",SUM(B977),"")</f>
        <v/>
      </c>
    </row>
    <row r="978" spans="3:3" x14ac:dyDescent="0.3">
      <c r="C978" s="2" t="str">
        <f>IF(A978&lt;&gt;"",SUM(B978),"")</f>
        <v/>
      </c>
    </row>
    <row r="979" spans="3:3" x14ac:dyDescent="0.3">
      <c r="C979" s="2" t="str">
        <f>IF(A979&lt;&gt;"",SUM(B979),"")</f>
        <v/>
      </c>
    </row>
    <row r="980" spans="3:3" x14ac:dyDescent="0.3">
      <c r="C980" s="2" t="str">
        <f>IF(A980&lt;&gt;"",SUM(B980),"")</f>
        <v/>
      </c>
    </row>
    <row r="981" spans="3:3" x14ac:dyDescent="0.3">
      <c r="C981" s="2" t="str">
        <f>IF(A981&lt;&gt;"",SUM(B981),"")</f>
        <v/>
      </c>
    </row>
    <row r="982" spans="3:3" x14ac:dyDescent="0.3">
      <c r="C982" s="2" t="str">
        <f>IF(A982&lt;&gt;"",SUM(B982),"")</f>
        <v/>
      </c>
    </row>
    <row r="983" spans="3:3" x14ac:dyDescent="0.3">
      <c r="C983" s="2" t="str">
        <f>IF(A983&lt;&gt;"",SUM(B983),"")</f>
        <v/>
      </c>
    </row>
    <row r="984" spans="3:3" x14ac:dyDescent="0.3">
      <c r="C984" s="2" t="str">
        <f>IF(A984&lt;&gt;"",SUM(B984),"")</f>
        <v/>
      </c>
    </row>
    <row r="985" spans="3:3" x14ac:dyDescent="0.3">
      <c r="C985" s="2" t="str">
        <f>IF(A985&lt;&gt;"",SUM(B985),"")</f>
        <v/>
      </c>
    </row>
    <row r="986" spans="3:3" x14ac:dyDescent="0.3">
      <c r="C986" s="2" t="str">
        <f>IF(A986&lt;&gt;"",SUM(B986),"")</f>
        <v/>
      </c>
    </row>
    <row r="987" spans="3:3" x14ac:dyDescent="0.3">
      <c r="C987" s="2" t="str">
        <f>IF(A987&lt;&gt;"",SUM(B987),"")</f>
        <v/>
      </c>
    </row>
    <row r="988" spans="3:3" x14ac:dyDescent="0.3">
      <c r="C988" s="2" t="str">
        <f>IF(A988&lt;&gt;"",SUM(B988),"")</f>
        <v/>
      </c>
    </row>
    <row r="989" spans="3:3" x14ac:dyDescent="0.3">
      <c r="C989" s="2" t="str">
        <f>IF(A989&lt;&gt;"",SUM(B989),"")</f>
        <v/>
      </c>
    </row>
    <row r="990" spans="3:3" x14ac:dyDescent="0.3">
      <c r="C990" s="2" t="str">
        <f>IF(A990&lt;&gt;"",SUM(B990),"")</f>
        <v/>
      </c>
    </row>
    <row r="991" spans="3:3" x14ac:dyDescent="0.3">
      <c r="C991" s="2" t="str">
        <f>IF(A991&lt;&gt;"",SUM(B991),"")</f>
        <v/>
      </c>
    </row>
    <row r="992" spans="3:3" x14ac:dyDescent="0.3">
      <c r="C992" s="2" t="str">
        <f>IF(A992&lt;&gt;"",SUM(B992),"")</f>
        <v/>
      </c>
    </row>
    <row r="993" spans="3:3" x14ac:dyDescent="0.3">
      <c r="C993" s="2" t="str">
        <f>IF(A993&lt;&gt;"",SUM(B993),"")</f>
        <v/>
      </c>
    </row>
    <row r="994" spans="3:3" x14ac:dyDescent="0.3">
      <c r="C994" s="2" t="str">
        <f>IF(A994&lt;&gt;"",SUM(B994),"")</f>
        <v/>
      </c>
    </row>
    <row r="995" spans="3:3" x14ac:dyDescent="0.3">
      <c r="C995" s="2" t="str">
        <f>IF(A995&lt;&gt;"",SUM(B995),"")</f>
        <v/>
      </c>
    </row>
    <row r="996" spans="3:3" x14ac:dyDescent="0.3">
      <c r="C996" s="2" t="str">
        <f>IF(A996&lt;&gt;"",SUM(B996),"")</f>
        <v/>
      </c>
    </row>
    <row r="997" spans="3:3" x14ac:dyDescent="0.3">
      <c r="C997" s="2" t="str">
        <f>IF(A997&lt;&gt;"",SUM(B997),"")</f>
        <v/>
      </c>
    </row>
    <row r="998" spans="3:3" x14ac:dyDescent="0.3">
      <c r="C998" s="2" t="str">
        <f>IF(A998&lt;&gt;"",SUM(B998),"")</f>
        <v/>
      </c>
    </row>
    <row r="999" spans="3:3" x14ac:dyDescent="0.3">
      <c r="C999" s="2" t="str">
        <f>IF(A999&lt;&gt;"",SUM(B999),"")</f>
        <v/>
      </c>
    </row>
    <row r="1000" spans="3:3" x14ac:dyDescent="0.3">
      <c r="C1000" s="2" t="str">
        <f>IF(A1000&lt;&gt;"",SUM(B1000),"")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0115-213C-4BF4-BCC6-60DA9F8062BE}">
  <sheetPr codeName="Folha94"/>
  <dimension ref="A2:ZZ4"/>
  <sheetViews>
    <sheetView workbookViewId="0">
      <selection activeCell="B4" sqref="B4"/>
    </sheetView>
  </sheetViews>
  <sheetFormatPr defaultRowHeight="14.4" x14ac:dyDescent="0.3"/>
  <cols>
    <col min="1" max="1" width="6.88671875" style="2" bestFit="1" customWidth="1"/>
    <col min="2" max="2" width="3.21875" style="2" bestFit="1" customWidth="1"/>
    <col min="3" max="702" width="8.88671875" style="2"/>
  </cols>
  <sheetData>
    <row r="2" spans="1:2" x14ac:dyDescent="0.3">
      <c r="A2" s="7" t="s">
        <v>11</v>
      </c>
      <c r="B2" s="7" t="s">
        <v>14</v>
      </c>
    </row>
    <row r="3" spans="1:2" x14ac:dyDescent="0.3">
      <c r="A3" s="2" t="s">
        <v>15</v>
      </c>
      <c r="B3" s="2" t="s">
        <v>16</v>
      </c>
    </row>
    <row r="4" spans="1:2" x14ac:dyDescent="0.3">
      <c r="A4" s="2" t="s">
        <v>17</v>
      </c>
      <c r="B4" s="2" t="s">
        <v>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10272-5F81-4BD8-BC8B-2BA776EE80EA}">
  <sheetPr codeName="Folha93"/>
  <dimension ref="A1:ZZ12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11" width="11.5546875" style="2" bestFit="1" customWidth="1"/>
    <col min="12" max="12" width="16" style="2" bestFit="1" customWidth="1"/>
    <col min="13" max="13" width="12" style="2" bestFit="1" customWidth="1"/>
    <col min="14" max="14" width="11.88671875" style="2" bestFit="1" customWidth="1"/>
    <col min="15" max="15" width="14.109375" style="2" bestFit="1" customWidth="1"/>
    <col min="16" max="702" width="8.88671875" style="2"/>
  </cols>
  <sheetData>
    <row r="1" spans="1:15" x14ac:dyDescent="0.3">
      <c r="A1" s="7" t="s">
        <v>0</v>
      </c>
      <c r="B1" s="1"/>
      <c r="D1" s="3"/>
    </row>
    <row r="2" spans="1:15" x14ac:dyDescent="0.3">
      <c r="A2" s="7" t="s">
        <v>1</v>
      </c>
      <c r="B2" s="1">
        <f>COUNTA(Alunos!A:A)-1</f>
        <v>2</v>
      </c>
      <c r="D2" s="4"/>
    </row>
    <row r="3" spans="1:15" x14ac:dyDescent="0.3">
      <c r="A3" s="7" t="s">
        <v>2</v>
      </c>
      <c r="B3" s="1">
        <v>0</v>
      </c>
      <c r="D3" s="5"/>
    </row>
    <row r="4" spans="1:15" x14ac:dyDescent="0.3">
      <c r="D4" s="6"/>
    </row>
    <row r="10" spans="1:15" x14ac:dyDescent="0.3">
      <c r="A10" s="3" t="s">
        <v>3</v>
      </c>
      <c r="B10" s="4" t="s">
        <v>4</v>
      </c>
      <c r="C10" s="4" t="s">
        <v>5</v>
      </c>
      <c r="D10" s="4" t="s">
        <v>6</v>
      </c>
      <c r="E10" s="4" t="s">
        <v>7</v>
      </c>
      <c r="F10" s="3" t="s">
        <v>3</v>
      </c>
      <c r="G10" s="4" t="s">
        <v>4</v>
      </c>
      <c r="H10" s="4" t="s">
        <v>5</v>
      </c>
      <c r="I10" s="4" t="s">
        <v>6</v>
      </c>
      <c r="J10" s="4" t="s">
        <v>7</v>
      </c>
      <c r="K10" s="3" t="s">
        <v>3</v>
      </c>
      <c r="L10" s="4" t="s">
        <v>4</v>
      </c>
      <c r="M10" s="4" t="s">
        <v>5</v>
      </c>
      <c r="N10" s="4" t="s">
        <v>6</v>
      </c>
      <c r="O10" s="4" t="s">
        <v>7</v>
      </c>
    </row>
    <row r="11" spans="1:15" x14ac:dyDescent="0.3">
      <c r="A11" s="5" t="s">
        <v>9</v>
      </c>
      <c r="B11" s="5">
        <v>12</v>
      </c>
      <c r="C11" s="5"/>
      <c r="D11" s="5">
        <v>1</v>
      </c>
      <c r="E11" s="5"/>
      <c r="F11" s="5" t="s">
        <v>10</v>
      </c>
      <c r="G11" s="5">
        <v>12</v>
      </c>
      <c r="H11" s="5"/>
      <c r="I11" s="5">
        <v>1</v>
      </c>
      <c r="J11" s="5"/>
      <c r="K11" s="5" t="s">
        <v>8</v>
      </c>
      <c r="L11" s="5">
        <v>4</v>
      </c>
      <c r="M11" s="5" t="s">
        <v>14</v>
      </c>
      <c r="N11" s="5">
        <v>1</v>
      </c>
      <c r="O11" s="5"/>
    </row>
    <row r="12" spans="1:15" x14ac:dyDescent="0.3">
      <c r="A12" s="6" t="s">
        <v>19</v>
      </c>
      <c r="E12" s="6">
        <v>20</v>
      </c>
      <c r="F12" s="6" t="s">
        <v>20</v>
      </c>
      <c r="J12" s="6">
        <v>20</v>
      </c>
      <c r="K12" s="6" t="s">
        <v>19</v>
      </c>
      <c r="O12" s="6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7</vt:i4>
      </vt:variant>
    </vt:vector>
  </HeadingPairs>
  <TitlesOfParts>
    <vt:vector size="7" baseType="lpstr">
      <vt:lpstr>Start</vt:lpstr>
      <vt:lpstr>Alunos</vt:lpstr>
      <vt:lpstr>TP1</vt:lpstr>
      <vt:lpstr>Recurso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2020-04-04T19:19:19Z</dcterms:modified>
</cp:coreProperties>
</file>