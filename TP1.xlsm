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ralux\Desktop\"/>
    </mc:Choice>
  </mc:AlternateContent>
  <xr:revisionPtr revIDLastSave="0" documentId="13_ncr:1_{830D3545-9326-4843-A5AE-9A0BAB649808}" xr6:coauthVersionLast="45" xr6:coauthVersionMax="45" xr10:uidLastSave="{00000000-0000-0000-0000-000000000000}"/>
  <bookViews>
    <workbookView xWindow="-108" yWindow="-108" windowWidth="23256" windowHeight="12576" xr2:uid="{C5B5C72F-8080-4377-ACBE-2EFD018A0851}"/>
  </bookViews>
  <sheets>
    <sheet name="Criar" sheetId="1" r:id="rId1"/>
    <sheet name="Alunos" sheetId="288" r:id="rId2"/>
    <sheet name="Exame" sheetId="287" r:id="rId3"/>
    <sheet name="Agrupamentos" sheetId="286" r:id="rId4"/>
    <sheet name="Síntese" sheetId="285" r:id="rId5"/>
    <sheet name="Auxiliar" sheetId="28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285" l="1"/>
  <c r="E14" i="285"/>
  <c r="E13" i="285"/>
  <c r="E12" i="285"/>
  <c r="E11" i="285"/>
  <c r="E10" i="285"/>
  <c r="E9" i="285"/>
  <c r="E8" i="285"/>
  <c r="E7" i="285"/>
  <c r="E6" i="285"/>
  <c r="E5" i="285"/>
  <c r="E4" i="285"/>
  <c r="E3" i="285"/>
  <c r="B9" i="285"/>
  <c r="B8" i="285"/>
  <c r="B7" i="285"/>
  <c r="B6" i="285"/>
  <c r="B5" i="285"/>
  <c r="B4" i="285"/>
  <c r="B3" i="285"/>
  <c r="B2" i="285"/>
  <c r="D250" i="288"/>
  <c r="D249" i="288"/>
  <c r="D248" i="288"/>
  <c r="D247" i="288"/>
  <c r="D246" i="288"/>
  <c r="D245" i="288"/>
  <c r="D244" i="288"/>
  <c r="D243" i="288"/>
  <c r="D242" i="288"/>
  <c r="D241" i="288"/>
  <c r="D240" i="288"/>
  <c r="D239" i="288"/>
  <c r="D238" i="288"/>
  <c r="D237" i="288"/>
  <c r="D236" i="288"/>
  <c r="D235" i="288"/>
  <c r="D234" i="288"/>
  <c r="D233" i="288"/>
  <c r="D232" i="288"/>
  <c r="D231" i="288"/>
  <c r="D230" i="288"/>
  <c r="D229" i="288"/>
  <c r="D228" i="288"/>
  <c r="D227" i="288"/>
  <c r="D226" i="288"/>
  <c r="D225" i="288"/>
  <c r="D224" i="288"/>
  <c r="D223" i="288"/>
  <c r="D222" i="288"/>
  <c r="D221" i="288"/>
  <c r="D220" i="288"/>
  <c r="D219" i="288"/>
  <c r="D218" i="288"/>
  <c r="D217" i="288"/>
  <c r="D216" i="288"/>
  <c r="D215" i="288"/>
  <c r="D214" i="288"/>
  <c r="D213" i="288"/>
  <c r="D212" i="288"/>
  <c r="D211" i="288"/>
  <c r="D210" i="288"/>
  <c r="D209" i="288"/>
  <c r="D208" i="288"/>
  <c r="D207" i="288"/>
  <c r="D206" i="288"/>
  <c r="D205" i="288"/>
  <c r="D204" i="288"/>
  <c r="D203" i="288"/>
  <c r="D202" i="288"/>
  <c r="D201" i="288"/>
  <c r="D200" i="288"/>
  <c r="D199" i="288"/>
  <c r="D198" i="288"/>
  <c r="D197" i="288"/>
  <c r="D196" i="288"/>
  <c r="D195" i="288"/>
  <c r="D194" i="288"/>
  <c r="D193" i="288"/>
  <c r="D192" i="288"/>
  <c r="D191" i="288"/>
  <c r="D190" i="288"/>
  <c r="D189" i="288"/>
  <c r="D188" i="288"/>
  <c r="D187" i="288"/>
  <c r="D186" i="288"/>
  <c r="D185" i="288"/>
  <c r="D184" i="288"/>
  <c r="D183" i="288"/>
  <c r="D182" i="288"/>
  <c r="D181" i="288"/>
  <c r="D180" i="288"/>
  <c r="D179" i="288"/>
  <c r="D178" i="288"/>
  <c r="D177" i="288"/>
  <c r="D176" i="288"/>
  <c r="D175" i="288"/>
  <c r="D174" i="288"/>
  <c r="D173" i="288"/>
  <c r="D172" i="288"/>
  <c r="D171" i="288"/>
  <c r="D170" i="288"/>
  <c r="D169" i="288"/>
  <c r="D168" i="288"/>
  <c r="D167" i="288"/>
  <c r="D166" i="288"/>
  <c r="D165" i="288"/>
  <c r="D164" i="288"/>
  <c r="D163" i="288"/>
  <c r="D162" i="288"/>
  <c r="D161" i="288"/>
  <c r="D160" i="288"/>
  <c r="D159" i="288"/>
  <c r="D158" i="288"/>
  <c r="D157" i="288"/>
  <c r="D156" i="288"/>
  <c r="D155" i="288"/>
  <c r="D154" i="288"/>
  <c r="D153" i="288"/>
  <c r="D152" i="288"/>
  <c r="D151" i="288"/>
  <c r="D150" i="288"/>
  <c r="D149" i="288"/>
  <c r="D148" i="288"/>
  <c r="D147" i="288"/>
  <c r="D146" i="288"/>
  <c r="D145" i="288"/>
  <c r="D144" i="288"/>
  <c r="D143" i="288"/>
  <c r="D142" i="288"/>
  <c r="D141" i="288"/>
  <c r="D140" i="288"/>
  <c r="D139" i="288"/>
  <c r="D138" i="288"/>
  <c r="D137" i="288"/>
  <c r="D136" i="288"/>
  <c r="D135" i="288"/>
  <c r="D134" i="288"/>
  <c r="D133" i="288"/>
  <c r="D132" i="288"/>
  <c r="D131" i="288"/>
  <c r="D130" i="288"/>
  <c r="D129" i="288"/>
  <c r="D128" i="288"/>
  <c r="D127" i="288"/>
  <c r="D126" i="288"/>
  <c r="D125" i="288"/>
  <c r="D124" i="288"/>
  <c r="D123" i="288"/>
  <c r="D122" i="288"/>
  <c r="D121" i="288"/>
  <c r="D120" i="288"/>
  <c r="D119" i="288"/>
  <c r="D118" i="288"/>
  <c r="D117" i="288"/>
  <c r="D116" i="288"/>
  <c r="D115" i="288"/>
  <c r="D114" i="288"/>
  <c r="D113" i="288"/>
  <c r="D112" i="288"/>
  <c r="D111" i="288"/>
  <c r="D110" i="288"/>
  <c r="D109" i="288"/>
  <c r="D108" i="288"/>
  <c r="D107" i="288"/>
  <c r="D106" i="288"/>
  <c r="D105" i="288"/>
  <c r="D104" i="288"/>
  <c r="D103" i="288"/>
  <c r="D102" i="288"/>
  <c r="D101" i="288"/>
  <c r="D100" i="288"/>
  <c r="D99" i="288"/>
  <c r="D98" i="288"/>
  <c r="D97" i="288"/>
  <c r="D96" i="288"/>
  <c r="D95" i="288"/>
  <c r="D94" i="288"/>
  <c r="D93" i="288"/>
  <c r="D92" i="288"/>
  <c r="D91" i="288"/>
  <c r="D90" i="288"/>
  <c r="D89" i="288"/>
  <c r="D88" i="288"/>
  <c r="D87" i="288"/>
  <c r="D86" i="288"/>
  <c r="D85" i="288"/>
  <c r="D84" i="288"/>
  <c r="D83" i="288"/>
  <c r="D82" i="288"/>
  <c r="D81" i="288"/>
  <c r="D80" i="288"/>
  <c r="D79" i="288"/>
  <c r="D78" i="288"/>
  <c r="D77" i="288"/>
  <c r="D76" i="288"/>
  <c r="D75" i="288"/>
  <c r="D74" i="288"/>
  <c r="D73" i="288"/>
  <c r="D72" i="288"/>
  <c r="D71" i="288"/>
  <c r="D70" i="288"/>
  <c r="D69" i="288"/>
  <c r="D68" i="288"/>
  <c r="D67" i="288"/>
  <c r="D66" i="288"/>
  <c r="D65" i="288"/>
  <c r="D64" i="288"/>
  <c r="D63" i="288"/>
  <c r="D62" i="288"/>
  <c r="D61" i="288"/>
  <c r="D60" i="288"/>
  <c r="D59" i="288"/>
  <c r="D58" i="288"/>
  <c r="D57" i="288"/>
  <c r="D56" i="288"/>
  <c r="D55" i="288"/>
  <c r="D54" i="288"/>
  <c r="D53" i="288"/>
  <c r="D52" i="288"/>
  <c r="D51" i="288"/>
  <c r="D50" i="288"/>
  <c r="D49" i="288"/>
  <c r="D48" i="288"/>
  <c r="D47" i="288"/>
  <c r="D46" i="288"/>
  <c r="D45" i="288"/>
  <c r="D44" i="288"/>
  <c r="D43" i="288"/>
  <c r="D42" i="288"/>
  <c r="D41" i="288"/>
  <c r="D40" i="288"/>
  <c r="D39" i="288"/>
  <c r="D38" i="288"/>
  <c r="D37" i="288"/>
  <c r="D36" i="288"/>
  <c r="D35" i="288"/>
  <c r="D34" i="288"/>
  <c r="D33" i="288"/>
  <c r="D32" i="288"/>
  <c r="D31" i="288"/>
  <c r="D30" i="288"/>
  <c r="D29" i="288"/>
  <c r="D28" i="288"/>
  <c r="D27" i="288"/>
  <c r="D26" i="288"/>
  <c r="D25" i="288"/>
  <c r="D24" i="288"/>
  <c r="D23" i="288"/>
  <c r="D22" i="288"/>
  <c r="D21" i="288"/>
  <c r="D20" i="288"/>
  <c r="D19" i="288"/>
  <c r="D18" i="288"/>
  <c r="D17" i="288"/>
  <c r="D16" i="288"/>
  <c r="D15" i="288"/>
  <c r="D14" i="288"/>
  <c r="D13" i="288"/>
  <c r="D12" i="288"/>
  <c r="D11" i="288"/>
  <c r="D10" i="288"/>
  <c r="D9" i="288"/>
  <c r="D8" i="288"/>
  <c r="D7" i="288"/>
  <c r="D6" i="288"/>
  <c r="D5" i="288"/>
  <c r="D4" i="288"/>
  <c r="D3" i="288"/>
  <c r="C250" i="288"/>
  <c r="C249" i="288"/>
  <c r="C248" i="288"/>
  <c r="C247" i="288"/>
  <c r="C246" i="288"/>
  <c r="C245" i="288"/>
  <c r="C244" i="288"/>
  <c r="C243" i="288"/>
  <c r="C242" i="288"/>
  <c r="C241" i="288"/>
  <c r="C240" i="288"/>
  <c r="C239" i="288"/>
  <c r="C238" i="288"/>
  <c r="C237" i="288"/>
  <c r="C236" i="288"/>
  <c r="C235" i="288"/>
  <c r="C234" i="288"/>
  <c r="C233" i="288"/>
  <c r="C232" i="288"/>
  <c r="C231" i="288"/>
  <c r="C230" i="288"/>
  <c r="C229" i="288"/>
  <c r="C228" i="288"/>
  <c r="C227" i="288"/>
  <c r="C226" i="288"/>
  <c r="C225" i="288"/>
  <c r="C224" i="288"/>
  <c r="C223" i="288"/>
  <c r="C222" i="288"/>
  <c r="C221" i="288"/>
  <c r="C220" i="288"/>
  <c r="C219" i="288"/>
  <c r="C218" i="288"/>
  <c r="C217" i="288"/>
  <c r="C216" i="288"/>
  <c r="C215" i="288"/>
  <c r="C214" i="288"/>
  <c r="C213" i="288"/>
  <c r="C212" i="288"/>
  <c r="C211" i="288"/>
  <c r="C210" i="288"/>
  <c r="C209" i="288"/>
  <c r="C208" i="288"/>
  <c r="C207" i="288"/>
  <c r="C206" i="288"/>
  <c r="C205" i="288"/>
  <c r="C204" i="288"/>
  <c r="C203" i="288"/>
  <c r="C202" i="288"/>
  <c r="C201" i="288"/>
  <c r="C200" i="288"/>
  <c r="C199" i="288"/>
  <c r="C198" i="288"/>
  <c r="C197" i="288"/>
  <c r="C196" i="288"/>
  <c r="C195" i="288"/>
  <c r="C194" i="288"/>
  <c r="C193" i="288"/>
  <c r="C192" i="288"/>
  <c r="C191" i="288"/>
  <c r="C190" i="288"/>
  <c r="C189" i="288"/>
  <c r="C188" i="288"/>
  <c r="C187" i="288"/>
  <c r="C186" i="288"/>
  <c r="C185" i="288"/>
  <c r="C184" i="288"/>
  <c r="C183" i="288"/>
  <c r="C182" i="288"/>
  <c r="C181" i="288"/>
  <c r="C180" i="288"/>
  <c r="C179" i="288"/>
  <c r="C178" i="288"/>
  <c r="C177" i="288"/>
  <c r="C176" i="288"/>
  <c r="C175" i="288"/>
  <c r="C174" i="288"/>
  <c r="C173" i="288"/>
  <c r="C172" i="288"/>
  <c r="C171" i="288"/>
  <c r="C170" i="288"/>
  <c r="C169" i="288"/>
  <c r="C168" i="288"/>
  <c r="C167" i="288"/>
  <c r="C166" i="288"/>
  <c r="C165" i="288"/>
  <c r="C164" i="288"/>
  <c r="C163" i="288"/>
  <c r="C162" i="288"/>
  <c r="C161" i="288"/>
  <c r="C160" i="288"/>
  <c r="C159" i="288"/>
  <c r="C158" i="288"/>
  <c r="C157" i="288"/>
  <c r="C156" i="288"/>
  <c r="C155" i="288"/>
  <c r="C154" i="288"/>
  <c r="C153" i="288"/>
  <c r="C152" i="288"/>
  <c r="C151" i="288"/>
  <c r="C150" i="288"/>
  <c r="C149" i="288"/>
  <c r="C148" i="288"/>
  <c r="C147" i="288"/>
  <c r="C146" i="288"/>
  <c r="C145" i="288"/>
  <c r="C144" i="288"/>
  <c r="C143" i="288"/>
  <c r="C142" i="288"/>
  <c r="C141" i="288"/>
  <c r="C140" i="288"/>
  <c r="C139" i="288"/>
  <c r="C138" i="288"/>
  <c r="C137" i="288"/>
  <c r="C136" i="288"/>
  <c r="C135" i="288"/>
  <c r="C134" i="288"/>
  <c r="C133" i="288"/>
  <c r="C132" i="288"/>
  <c r="C131" i="288"/>
  <c r="C130" i="288"/>
  <c r="C129" i="288"/>
  <c r="C128" i="288"/>
  <c r="C127" i="288"/>
  <c r="C126" i="288"/>
  <c r="C125" i="288"/>
  <c r="C124" i="288"/>
  <c r="C123" i="288"/>
  <c r="C122" i="288"/>
  <c r="C121" i="288"/>
  <c r="C120" i="288"/>
  <c r="C119" i="288"/>
  <c r="C118" i="288"/>
  <c r="C117" i="288"/>
  <c r="C116" i="288"/>
  <c r="C115" i="288"/>
  <c r="C114" i="288"/>
  <c r="C113" i="288"/>
  <c r="C112" i="288"/>
  <c r="C111" i="288"/>
  <c r="C110" i="288"/>
  <c r="C109" i="288"/>
  <c r="C108" i="288"/>
  <c r="C107" i="288"/>
  <c r="C106" i="288"/>
  <c r="C105" i="288"/>
  <c r="C104" i="288"/>
  <c r="C103" i="288"/>
  <c r="C102" i="288"/>
  <c r="C101" i="288"/>
  <c r="C100" i="288"/>
  <c r="C99" i="288"/>
  <c r="C98" i="288"/>
  <c r="C97" i="288"/>
  <c r="C96" i="288"/>
  <c r="C95" i="288"/>
  <c r="C94" i="288"/>
  <c r="C93" i="288"/>
  <c r="C92" i="288"/>
  <c r="C91" i="288"/>
  <c r="C90" i="288"/>
  <c r="C89" i="288"/>
  <c r="C88" i="288"/>
  <c r="C87" i="288"/>
  <c r="C86" i="288"/>
  <c r="C85" i="288"/>
  <c r="C84" i="288"/>
  <c r="C83" i="288"/>
  <c r="C82" i="288"/>
  <c r="C81" i="288"/>
  <c r="C80" i="288"/>
  <c r="C79" i="288"/>
  <c r="C78" i="288"/>
  <c r="C77" i="288"/>
  <c r="C76" i="288"/>
  <c r="C75" i="288"/>
  <c r="C74" i="288"/>
  <c r="C73" i="288"/>
  <c r="C72" i="288"/>
  <c r="C71" i="288"/>
  <c r="C70" i="288"/>
  <c r="C69" i="288"/>
  <c r="C68" i="288"/>
  <c r="C67" i="288"/>
  <c r="C66" i="288"/>
  <c r="C65" i="288"/>
  <c r="C64" i="288"/>
  <c r="C63" i="288"/>
  <c r="C62" i="288"/>
  <c r="C61" i="288"/>
  <c r="C60" i="288"/>
  <c r="C59" i="288"/>
  <c r="C58" i="288"/>
  <c r="C57" i="288"/>
  <c r="C56" i="288"/>
  <c r="C55" i="288"/>
  <c r="C54" i="288"/>
  <c r="C53" i="288"/>
  <c r="C52" i="288"/>
  <c r="C51" i="288"/>
  <c r="C50" i="288"/>
  <c r="C49" i="288"/>
  <c r="C48" i="288"/>
  <c r="C47" i="288"/>
  <c r="C46" i="288"/>
  <c r="C45" i="288"/>
  <c r="C44" i="288"/>
  <c r="C43" i="288"/>
  <c r="C42" i="288"/>
  <c r="C41" i="288"/>
  <c r="C40" i="288"/>
  <c r="C39" i="288"/>
  <c r="C38" i="288"/>
  <c r="C37" i="288"/>
  <c r="C36" i="288"/>
  <c r="C35" i="288"/>
  <c r="C34" i="288"/>
  <c r="C33" i="288"/>
  <c r="C32" i="288"/>
  <c r="C31" i="288"/>
  <c r="C30" i="288"/>
  <c r="C29" i="288"/>
  <c r="C28" i="288"/>
  <c r="C27" i="288"/>
  <c r="C26" i="288"/>
  <c r="C25" i="288"/>
  <c r="C24" i="288"/>
  <c r="C23" i="288"/>
  <c r="C22" i="288"/>
  <c r="C21" i="288"/>
  <c r="C20" i="288"/>
  <c r="C19" i="288"/>
  <c r="C18" i="288"/>
  <c r="C17" i="288"/>
  <c r="C16" i="288"/>
  <c r="C15" i="288"/>
  <c r="C14" i="288"/>
  <c r="C13" i="288"/>
  <c r="C12" i="288"/>
  <c r="C11" i="288"/>
  <c r="C10" i="288"/>
  <c r="C9" i="288"/>
  <c r="C8" i="288"/>
  <c r="C7" i="288"/>
  <c r="C6" i="288"/>
  <c r="C5" i="288"/>
  <c r="C4" i="288"/>
  <c r="C3" i="288"/>
  <c r="B250" i="288"/>
  <c r="B249" i="288"/>
  <c r="B248" i="288"/>
  <c r="B247" i="288"/>
  <c r="B246" i="288"/>
  <c r="B245" i="288"/>
  <c r="B244" i="288"/>
  <c r="B243" i="288"/>
  <c r="B242" i="288"/>
  <c r="B241" i="288"/>
  <c r="B240" i="288"/>
  <c r="B239" i="288"/>
  <c r="B238" i="288"/>
  <c r="B237" i="288"/>
  <c r="B236" i="288"/>
  <c r="B235" i="288"/>
  <c r="B234" i="288"/>
  <c r="B233" i="288"/>
  <c r="B232" i="288"/>
  <c r="B231" i="288"/>
  <c r="B230" i="288"/>
  <c r="B229" i="288"/>
  <c r="B228" i="288"/>
  <c r="B227" i="288"/>
  <c r="B226" i="288"/>
  <c r="B225" i="288"/>
  <c r="B224" i="288"/>
  <c r="B223" i="288"/>
  <c r="B222" i="288"/>
  <c r="B221" i="288"/>
  <c r="B220" i="288"/>
  <c r="B219" i="288"/>
  <c r="B218" i="288"/>
  <c r="B217" i="288"/>
  <c r="B216" i="288"/>
  <c r="B215" i="288"/>
  <c r="B214" i="288"/>
  <c r="B213" i="288"/>
  <c r="B212" i="288"/>
  <c r="B211" i="288"/>
  <c r="B210" i="288"/>
  <c r="B209" i="288"/>
  <c r="B208" i="288"/>
  <c r="B207" i="288"/>
  <c r="B206" i="288"/>
  <c r="B205" i="288"/>
  <c r="B204" i="288"/>
  <c r="B203" i="288"/>
  <c r="B202" i="288"/>
  <c r="B201" i="288"/>
  <c r="B200" i="288"/>
  <c r="B199" i="288"/>
  <c r="B198" i="288"/>
  <c r="B197" i="288"/>
  <c r="B196" i="288"/>
  <c r="B195" i="288"/>
  <c r="B194" i="288"/>
  <c r="B193" i="288"/>
  <c r="B192" i="288"/>
  <c r="B191" i="288"/>
  <c r="B190" i="288"/>
  <c r="B189" i="288"/>
  <c r="B188" i="288"/>
  <c r="B187" i="288"/>
  <c r="B186" i="288"/>
  <c r="B185" i="288"/>
  <c r="B184" i="288"/>
  <c r="B183" i="288"/>
  <c r="B182" i="288"/>
  <c r="B181" i="288"/>
  <c r="B180" i="288"/>
  <c r="B179" i="288"/>
  <c r="B178" i="288"/>
  <c r="B177" i="288"/>
  <c r="B176" i="288"/>
  <c r="B175" i="288"/>
  <c r="B174" i="288"/>
  <c r="B173" i="288"/>
  <c r="B172" i="288"/>
  <c r="B171" i="288"/>
  <c r="B170" i="288"/>
  <c r="B169" i="288"/>
  <c r="B168" i="288"/>
  <c r="B167" i="288"/>
  <c r="B166" i="288"/>
  <c r="B165" i="288"/>
  <c r="B164" i="288"/>
  <c r="B163" i="288"/>
  <c r="B162" i="288"/>
  <c r="B161" i="288"/>
  <c r="B160" i="288"/>
  <c r="B159" i="288"/>
  <c r="B158" i="288"/>
  <c r="B157" i="288"/>
  <c r="B156" i="288"/>
  <c r="B155" i="288"/>
  <c r="B154" i="288"/>
  <c r="B153" i="288"/>
  <c r="B152" i="288"/>
  <c r="B151" i="288"/>
  <c r="B150" i="288"/>
  <c r="B149" i="288"/>
  <c r="B148" i="288"/>
  <c r="B147" i="288"/>
  <c r="B146" i="288"/>
  <c r="B145" i="288"/>
  <c r="B144" i="288"/>
  <c r="B143" i="288"/>
  <c r="B142" i="288"/>
  <c r="B141" i="288"/>
  <c r="B140" i="288"/>
  <c r="B139" i="288"/>
  <c r="B138" i="288"/>
  <c r="B137" i="288"/>
  <c r="B136" i="288"/>
  <c r="B135" i="288"/>
  <c r="B134" i="288"/>
  <c r="B133" i="288"/>
  <c r="B132" i="288"/>
  <c r="B131" i="288"/>
  <c r="B130" i="288"/>
  <c r="B129" i="288"/>
  <c r="B128" i="288"/>
  <c r="B127" i="288"/>
  <c r="B126" i="288"/>
  <c r="B125" i="288"/>
  <c r="B124" i="288"/>
  <c r="B123" i="288"/>
  <c r="B122" i="288"/>
  <c r="B121" i="288"/>
  <c r="B120" i="288"/>
  <c r="B119" i="288"/>
  <c r="B118" i="288"/>
  <c r="B117" i="288"/>
  <c r="B116" i="288"/>
  <c r="B115" i="288"/>
  <c r="B114" i="288"/>
  <c r="B113" i="288"/>
  <c r="B112" i="288"/>
  <c r="B111" i="288"/>
  <c r="B110" i="288"/>
  <c r="B109" i="288"/>
  <c r="B108" i="288"/>
  <c r="B107" i="288"/>
  <c r="B106" i="288"/>
  <c r="B105" i="288"/>
  <c r="B104" i="288"/>
  <c r="B103" i="288"/>
  <c r="B102" i="288"/>
  <c r="B101" i="288"/>
  <c r="B100" i="288"/>
  <c r="B99" i="288"/>
  <c r="B98" i="288"/>
  <c r="B97" i="288"/>
  <c r="B96" i="288"/>
  <c r="B95" i="288"/>
  <c r="B94" i="288"/>
  <c r="B93" i="288"/>
  <c r="B92" i="288"/>
  <c r="B91" i="288"/>
  <c r="B90" i="288"/>
  <c r="B89" i="288"/>
  <c r="B88" i="288"/>
  <c r="B87" i="288"/>
  <c r="B86" i="288"/>
  <c r="B85" i="288"/>
  <c r="B84" i="288"/>
  <c r="B83" i="288"/>
  <c r="B82" i="288"/>
  <c r="B81" i="288"/>
  <c r="B80" i="288"/>
  <c r="B79" i="288"/>
  <c r="B78" i="288"/>
  <c r="B77" i="288"/>
  <c r="B76" i="288"/>
  <c r="B75" i="288"/>
  <c r="B74" i="288"/>
  <c r="B73" i="288"/>
  <c r="B72" i="288"/>
  <c r="B71" i="288"/>
  <c r="B70" i="288"/>
  <c r="B69" i="288"/>
  <c r="B68" i="288"/>
  <c r="B67" i="288"/>
  <c r="B66" i="288"/>
  <c r="B65" i="288"/>
  <c r="B64" i="288"/>
  <c r="B63" i="288"/>
  <c r="B62" i="288"/>
  <c r="B61" i="288"/>
  <c r="B60" i="288"/>
  <c r="B59" i="288"/>
  <c r="B58" i="288"/>
  <c r="B57" i="288"/>
  <c r="B56" i="288"/>
  <c r="B55" i="288"/>
  <c r="B54" i="288"/>
  <c r="B53" i="288"/>
  <c r="B52" i="288"/>
  <c r="B51" i="288"/>
  <c r="B50" i="288"/>
  <c r="B49" i="288"/>
  <c r="B48" i="288"/>
  <c r="B47" i="288"/>
  <c r="B46" i="288"/>
  <c r="B45" i="288"/>
  <c r="B44" i="288"/>
  <c r="B43" i="288"/>
  <c r="B42" i="288"/>
  <c r="B41" i="288"/>
  <c r="B40" i="288"/>
  <c r="B39" i="288"/>
  <c r="B38" i="288"/>
  <c r="B37" i="288"/>
  <c r="B36" i="288"/>
  <c r="B35" i="288"/>
  <c r="B34" i="288"/>
  <c r="B33" i="288"/>
  <c r="B32" i="288"/>
  <c r="B31" i="288"/>
  <c r="B30" i="288"/>
  <c r="B29" i="288"/>
  <c r="B28" i="288"/>
  <c r="B27" i="288"/>
  <c r="B26" i="288"/>
  <c r="B25" i="288"/>
  <c r="B24" i="288"/>
  <c r="B23" i="288"/>
  <c r="B22" i="288"/>
  <c r="B21" i="288"/>
  <c r="B20" i="288"/>
  <c r="B19" i="288"/>
  <c r="B18" i="288"/>
  <c r="B17" i="288"/>
  <c r="B16" i="288"/>
  <c r="B15" i="288"/>
  <c r="B14" i="288"/>
  <c r="B13" i="288"/>
  <c r="B12" i="288"/>
  <c r="B11" i="288"/>
  <c r="B10" i="288"/>
  <c r="B9" i="288"/>
  <c r="B8" i="288"/>
  <c r="B7" i="288"/>
  <c r="B6" i="288"/>
  <c r="B5" i="288"/>
  <c r="B4" i="288"/>
  <c r="B3" i="288"/>
  <c r="A250" i="287"/>
  <c r="A249" i="287"/>
  <c r="A248" i="287"/>
  <c r="A247" i="287"/>
  <c r="A246" i="287"/>
  <c r="A245" i="287"/>
  <c r="A244" i="287"/>
  <c r="A243" i="287"/>
  <c r="A242" i="287"/>
  <c r="A241" i="287"/>
  <c r="A240" i="287"/>
  <c r="A239" i="287"/>
  <c r="A238" i="287"/>
  <c r="A237" i="287"/>
  <c r="A236" i="287"/>
  <c r="A235" i="287"/>
  <c r="A234" i="287"/>
  <c r="A233" i="287"/>
  <c r="A232" i="287"/>
  <c r="A231" i="287"/>
  <c r="A230" i="287"/>
  <c r="A229" i="287"/>
  <c r="A228" i="287"/>
  <c r="A227" i="287"/>
  <c r="A226" i="287"/>
  <c r="A225" i="287"/>
  <c r="A224" i="287"/>
  <c r="A223" i="287"/>
  <c r="A222" i="287"/>
  <c r="A221" i="287"/>
  <c r="A220" i="287"/>
  <c r="A219" i="287"/>
  <c r="A218" i="287"/>
  <c r="A217" i="287"/>
  <c r="A216" i="287"/>
  <c r="A215" i="287"/>
  <c r="A214" i="287"/>
  <c r="A213" i="287"/>
  <c r="A212" i="287"/>
  <c r="A211" i="287"/>
  <c r="A210" i="287"/>
  <c r="A209" i="287"/>
  <c r="A208" i="287"/>
  <c r="A207" i="287"/>
  <c r="A206" i="287"/>
  <c r="A205" i="287"/>
  <c r="A204" i="287"/>
  <c r="A203" i="287"/>
  <c r="A202" i="287"/>
  <c r="A201" i="287"/>
  <c r="A200" i="287"/>
  <c r="A199" i="287"/>
  <c r="A198" i="287"/>
  <c r="A197" i="287"/>
  <c r="A196" i="287"/>
  <c r="A195" i="287"/>
  <c r="A194" i="287"/>
  <c r="A193" i="287"/>
  <c r="A192" i="287"/>
  <c r="A191" i="287"/>
  <c r="A190" i="287"/>
  <c r="A189" i="287"/>
  <c r="A188" i="287"/>
  <c r="A187" i="287"/>
  <c r="A186" i="287"/>
  <c r="A185" i="287"/>
  <c r="A184" i="287"/>
  <c r="A183" i="287"/>
  <c r="A182" i="287"/>
  <c r="A181" i="287"/>
  <c r="A180" i="287"/>
  <c r="A179" i="287"/>
  <c r="A178" i="287"/>
  <c r="A177" i="287"/>
  <c r="A176" i="287"/>
  <c r="A175" i="287"/>
  <c r="A174" i="287"/>
  <c r="A173" i="287"/>
  <c r="A172" i="287"/>
  <c r="A171" i="287"/>
  <c r="A170" i="287"/>
  <c r="A169" i="287"/>
  <c r="A168" i="287"/>
  <c r="A167" i="287"/>
  <c r="A166" i="287"/>
  <c r="A165" i="287"/>
  <c r="A164" i="287"/>
  <c r="A163" i="287"/>
  <c r="A162" i="287"/>
  <c r="A161" i="287"/>
  <c r="A160" i="287"/>
  <c r="A159" i="287"/>
  <c r="A158" i="287"/>
  <c r="A157" i="287"/>
  <c r="A156" i="287"/>
  <c r="A155" i="287"/>
  <c r="A154" i="287"/>
  <c r="A153" i="287"/>
  <c r="A152" i="287"/>
  <c r="A151" i="287"/>
  <c r="A150" i="287"/>
  <c r="A149" i="287"/>
  <c r="A148" i="287"/>
  <c r="A147" i="287"/>
  <c r="A146" i="287"/>
  <c r="A145" i="287"/>
  <c r="A144" i="287"/>
  <c r="A143" i="287"/>
  <c r="A142" i="287"/>
  <c r="A141" i="287"/>
  <c r="A140" i="287"/>
  <c r="A139" i="287"/>
  <c r="A138" i="287"/>
  <c r="A137" i="287"/>
  <c r="A136" i="287"/>
  <c r="A135" i="287"/>
  <c r="A134" i="287"/>
  <c r="A133" i="287"/>
  <c r="A132" i="287"/>
  <c r="A131" i="287"/>
  <c r="A130" i="287"/>
  <c r="A129" i="287"/>
  <c r="A128" i="287"/>
  <c r="A127" i="287"/>
  <c r="A126" i="287"/>
  <c r="A125" i="287"/>
  <c r="A124" i="287"/>
  <c r="A123" i="287"/>
  <c r="A122" i="287"/>
  <c r="A121" i="287"/>
  <c r="A120" i="287"/>
  <c r="A119" i="287"/>
  <c r="A118" i="287"/>
  <c r="A117" i="287"/>
  <c r="A116" i="287"/>
  <c r="A115" i="287"/>
  <c r="A114" i="287"/>
  <c r="A113" i="287"/>
  <c r="A112" i="287"/>
  <c r="A111" i="287"/>
  <c r="A110" i="287"/>
  <c r="A109" i="287"/>
  <c r="A108" i="287"/>
  <c r="A107" i="287"/>
  <c r="A106" i="287"/>
  <c r="A105" i="287"/>
  <c r="A104" i="287"/>
  <c r="A103" i="287"/>
  <c r="A102" i="287"/>
  <c r="A101" i="287"/>
  <c r="A100" i="287"/>
  <c r="A99" i="287"/>
  <c r="A98" i="287"/>
  <c r="A97" i="287"/>
  <c r="A96" i="287"/>
  <c r="A95" i="287"/>
  <c r="A94" i="287"/>
  <c r="A93" i="287"/>
  <c r="A92" i="287"/>
  <c r="A91" i="287"/>
  <c r="A90" i="287"/>
  <c r="A89" i="287"/>
  <c r="A88" i="287"/>
  <c r="A87" i="287"/>
  <c r="A86" i="287"/>
  <c r="A85" i="287"/>
  <c r="A84" i="287"/>
  <c r="A83" i="287"/>
  <c r="A82" i="287"/>
  <c r="A81" i="287"/>
  <c r="A80" i="287"/>
  <c r="A79" i="287"/>
  <c r="A78" i="287"/>
  <c r="A77" i="287"/>
  <c r="A76" i="287"/>
  <c r="A75" i="287"/>
  <c r="A74" i="287"/>
  <c r="A73" i="287"/>
  <c r="A72" i="287"/>
  <c r="A71" i="287"/>
  <c r="A70" i="287"/>
  <c r="A69" i="287"/>
  <c r="A68" i="287"/>
  <c r="A67" i="287"/>
  <c r="A66" i="287"/>
  <c r="A65" i="287"/>
  <c r="A64" i="287"/>
  <c r="A63" i="287"/>
  <c r="A62" i="287"/>
  <c r="A61" i="287"/>
  <c r="A60" i="287"/>
  <c r="A59" i="287"/>
  <c r="A58" i="287"/>
  <c r="A57" i="287"/>
  <c r="A56" i="287"/>
  <c r="A55" i="287"/>
  <c r="A54" i="287"/>
  <c r="A53" i="287"/>
  <c r="A52" i="287"/>
  <c r="A51" i="287"/>
  <c r="A50" i="287"/>
  <c r="A49" i="287"/>
  <c r="A48" i="287"/>
  <c r="A47" i="287"/>
  <c r="A46" i="287"/>
  <c r="A45" i="287"/>
  <c r="A44" i="287"/>
  <c r="A43" i="287"/>
  <c r="A42" i="287"/>
  <c r="A41" i="287"/>
  <c r="A40" i="287"/>
  <c r="A39" i="287"/>
  <c r="A38" i="287"/>
  <c r="A37" i="287"/>
  <c r="A36" i="287"/>
  <c r="A35" i="287"/>
  <c r="A34" i="287"/>
  <c r="A33" i="287"/>
  <c r="A32" i="287"/>
  <c r="A31" i="287"/>
  <c r="A30" i="287"/>
  <c r="A29" i="287"/>
  <c r="A28" i="287"/>
  <c r="A27" i="287"/>
  <c r="A26" i="287"/>
  <c r="A25" i="287"/>
  <c r="A24" i="287"/>
  <c r="A23" i="287"/>
  <c r="A22" i="287"/>
  <c r="A21" i="287"/>
  <c r="A20" i="287"/>
  <c r="A19" i="287"/>
  <c r="A18" i="287"/>
  <c r="A17" i="287"/>
  <c r="A16" i="287"/>
  <c r="A15" i="287"/>
  <c r="A14" i="287"/>
  <c r="A13" i="287"/>
  <c r="A12" i="287"/>
  <c r="A11" i="287"/>
  <c r="A10" i="287"/>
  <c r="A9" i="287"/>
  <c r="A8" i="287"/>
  <c r="A7" i="287"/>
  <c r="A6" i="287"/>
  <c r="A5" i="287"/>
  <c r="A4" i="287"/>
  <c r="A3" i="287"/>
  <c r="D250" i="287"/>
  <c r="C250" i="287"/>
  <c r="D249" i="287"/>
  <c r="C249" i="287"/>
  <c r="D248" i="287"/>
  <c r="C248" i="287"/>
  <c r="D247" i="287"/>
  <c r="C247" i="287"/>
  <c r="D246" i="287"/>
  <c r="C246" i="287"/>
  <c r="D245" i="287"/>
  <c r="C245" i="287"/>
  <c r="D244" i="287"/>
  <c r="C244" i="287"/>
  <c r="D243" i="287"/>
  <c r="C243" i="287"/>
  <c r="D242" i="287"/>
  <c r="C242" i="287"/>
  <c r="D241" i="287"/>
  <c r="C241" i="287"/>
  <c r="D240" i="287"/>
  <c r="C240" i="287"/>
  <c r="D239" i="287"/>
  <c r="C239" i="287"/>
  <c r="D238" i="287"/>
  <c r="C238" i="287"/>
  <c r="D237" i="287"/>
  <c r="C237" i="287"/>
  <c r="D236" i="287"/>
  <c r="C236" i="287"/>
  <c r="D235" i="287"/>
  <c r="C235" i="287"/>
  <c r="D234" i="287"/>
  <c r="C234" i="287"/>
  <c r="D233" i="287"/>
  <c r="C233" i="287"/>
  <c r="D232" i="287"/>
  <c r="C232" i="287"/>
  <c r="D231" i="287"/>
  <c r="C231" i="287"/>
  <c r="D230" i="287"/>
  <c r="C230" i="287"/>
  <c r="D229" i="287"/>
  <c r="C229" i="287"/>
  <c r="D228" i="287"/>
  <c r="C228" i="287"/>
  <c r="D227" i="287"/>
  <c r="C227" i="287"/>
  <c r="D226" i="287"/>
  <c r="C226" i="287"/>
  <c r="D225" i="287"/>
  <c r="C225" i="287"/>
  <c r="D224" i="287"/>
  <c r="C224" i="287"/>
  <c r="D223" i="287"/>
  <c r="C223" i="287"/>
  <c r="D222" i="287"/>
  <c r="C222" i="287"/>
  <c r="D221" i="287"/>
  <c r="C221" i="287"/>
  <c r="D220" i="287"/>
  <c r="C220" i="287"/>
  <c r="D219" i="287"/>
  <c r="C219" i="287"/>
  <c r="D218" i="287"/>
  <c r="C218" i="287"/>
  <c r="D217" i="287"/>
  <c r="C217" i="287"/>
  <c r="D216" i="287"/>
  <c r="C216" i="287"/>
  <c r="D215" i="287"/>
  <c r="C215" i="287"/>
  <c r="D214" i="287"/>
  <c r="C214" i="287"/>
  <c r="D213" i="287"/>
  <c r="C213" i="287"/>
  <c r="D212" i="287"/>
  <c r="C212" i="287"/>
  <c r="D211" i="287"/>
  <c r="C211" i="287"/>
  <c r="D210" i="287"/>
  <c r="C210" i="287"/>
  <c r="D209" i="287"/>
  <c r="C209" i="287"/>
  <c r="D208" i="287"/>
  <c r="C208" i="287"/>
  <c r="D207" i="287"/>
  <c r="C207" i="287"/>
  <c r="D206" i="287"/>
  <c r="C206" i="287"/>
  <c r="D205" i="287"/>
  <c r="C205" i="287"/>
  <c r="D204" i="287"/>
  <c r="C204" i="287"/>
  <c r="D203" i="287"/>
  <c r="C203" i="287"/>
  <c r="D202" i="287"/>
  <c r="C202" i="287"/>
  <c r="D201" i="287"/>
  <c r="C201" i="287"/>
  <c r="D200" i="287"/>
  <c r="C200" i="287"/>
  <c r="D199" i="287"/>
  <c r="C199" i="287"/>
  <c r="D198" i="287"/>
  <c r="C198" i="287"/>
  <c r="D197" i="287"/>
  <c r="C197" i="287"/>
  <c r="D196" i="287"/>
  <c r="C196" i="287"/>
  <c r="D195" i="287"/>
  <c r="C195" i="287"/>
  <c r="D194" i="287"/>
  <c r="C194" i="287"/>
  <c r="D193" i="287"/>
  <c r="C193" i="287"/>
  <c r="D192" i="287"/>
  <c r="C192" i="287"/>
  <c r="D191" i="287"/>
  <c r="C191" i="287"/>
  <c r="D190" i="287"/>
  <c r="C190" i="287"/>
  <c r="D189" i="287"/>
  <c r="C189" i="287"/>
  <c r="D188" i="287"/>
  <c r="C188" i="287"/>
  <c r="D187" i="287"/>
  <c r="C187" i="287"/>
  <c r="D186" i="287"/>
  <c r="C186" i="287"/>
  <c r="D185" i="287"/>
  <c r="C185" i="287"/>
  <c r="D184" i="287"/>
  <c r="C184" i="287"/>
  <c r="D183" i="287"/>
  <c r="C183" i="287"/>
  <c r="D182" i="287"/>
  <c r="C182" i="287"/>
  <c r="D181" i="287"/>
  <c r="C181" i="287"/>
  <c r="D180" i="287"/>
  <c r="C180" i="287"/>
  <c r="D179" i="287"/>
  <c r="C179" i="287"/>
  <c r="D178" i="287"/>
  <c r="C178" i="287"/>
  <c r="D177" i="287"/>
  <c r="C177" i="287"/>
  <c r="D176" i="287"/>
  <c r="C176" i="287"/>
  <c r="D175" i="287"/>
  <c r="C175" i="287"/>
  <c r="D174" i="287"/>
  <c r="C174" i="287"/>
  <c r="D173" i="287"/>
  <c r="C173" i="287"/>
  <c r="D172" i="287"/>
  <c r="C172" i="287"/>
  <c r="D171" i="287"/>
  <c r="C171" i="287"/>
  <c r="D170" i="287"/>
  <c r="C170" i="287"/>
  <c r="D169" i="287"/>
  <c r="C169" i="287"/>
  <c r="D168" i="287"/>
  <c r="C168" i="287"/>
  <c r="D167" i="287"/>
  <c r="C167" i="287"/>
  <c r="D166" i="287"/>
  <c r="C166" i="287"/>
  <c r="D165" i="287"/>
  <c r="C165" i="287"/>
  <c r="D164" i="287"/>
  <c r="C164" i="287"/>
  <c r="D163" i="287"/>
  <c r="C163" i="287"/>
  <c r="D162" i="287"/>
  <c r="C162" i="287"/>
  <c r="D161" i="287"/>
  <c r="C161" i="287"/>
  <c r="D160" i="287"/>
  <c r="C160" i="287"/>
  <c r="D159" i="287"/>
  <c r="C159" i="287"/>
  <c r="D158" i="287"/>
  <c r="C158" i="287"/>
  <c r="D157" i="287"/>
  <c r="C157" i="287"/>
  <c r="D156" i="287"/>
  <c r="C156" i="287"/>
  <c r="D155" i="287"/>
  <c r="C155" i="287"/>
  <c r="D154" i="287"/>
  <c r="C154" i="287"/>
  <c r="D153" i="287"/>
  <c r="C153" i="287"/>
  <c r="D152" i="287"/>
  <c r="C152" i="287"/>
  <c r="D151" i="287"/>
  <c r="C151" i="287"/>
  <c r="D150" i="287"/>
  <c r="C150" i="287"/>
  <c r="D149" i="287"/>
  <c r="C149" i="287"/>
  <c r="D148" i="287"/>
  <c r="C148" i="287"/>
  <c r="D147" i="287"/>
  <c r="C147" i="287"/>
  <c r="D146" i="287"/>
  <c r="C146" i="287"/>
  <c r="D145" i="287"/>
  <c r="C145" i="287"/>
  <c r="D144" i="287"/>
  <c r="C144" i="287"/>
  <c r="D143" i="287"/>
  <c r="C143" i="287"/>
  <c r="D142" i="287"/>
  <c r="C142" i="287"/>
  <c r="D141" i="287"/>
  <c r="C141" i="287"/>
  <c r="D140" i="287"/>
  <c r="C140" i="287"/>
  <c r="D139" i="287"/>
  <c r="C139" i="287"/>
  <c r="D138" i="287"/>
  <c r="C138" i="287"/>
  <c r="D137" i="287"/>
  <c r="C137" i="287"/>
  <c r="D136" i="287"/>
  <c r="C136" i="287"/>
  <c r="D135" i="287"/>
  <c r="C135" i="287"/>
  <c r="D134" i="287"/>
  <c r="C134" i="287"/>
  <c r="D133" i="287"/>
  <c r="C133" i="287"/>
  <c r="D132" i="287"/>
  <c r="C132" i="287"/>
  <c r="D131" i="287"/>
  <c r="C131" i="287"/>
  <c r="D130" i="287"/>
  <c r="C130" i="287"/>
  <c r="D129" i="287"/>
  <c r="C129" i="287"/>
  <c r="D128" i="287"/>
  <c r="C128" i="287"/>
  <c r="D127" i="287"/>
  <c r="C127" i="287"/>
  <c r="D126" i="287"/>
  <c r="C126" i="287"/>
  <c r="D125" i="287"/>
  <c r="C125" i="287"/>
  <c r="D124" i="287"/>
  <c r="C124" i="287"/>
  <c r="D123" i="287"/>
  <c r="C123" i="287"/>
  <c r="D122" i="287"/>
  <c r="C122" i="287"/>
  <c r="D121" i="287"/>
  <c r="C121" i="287"/>
  <c r="D120" i="287"/>
  <c r="C120" i="287"/>
  <c r="D119" i="287"/>
  <c r="C119" i="287"/>
  <c r="D118" i="287"/>
  <c r="C118" i="287"/>
  <c r="D117" i="287"/>
  <c r="C117" i="287"/>
  <c r="D116" i="287"/>
  <c r="C116" i="287"/>
  <c r="D115" i="287"/>
  <c r="C115" i="287"/>
  <c r="D114" i="287"/>
  <c r="C114" i="287"/>
  <c r="D113" i="287"/>
  <c r="C113" i="287"/>
  <c r="D112" i="287"/>
  <c r="C112" i="287"/>
  <c r="D111" i="287"/>
  <c r="C111" i="287"/>
  <c r="D110" i="287"/>
  <c r="C110" i="287"/>
  <c r="D109" i="287"/>
  <c r="C109" i="287"/>
  <c r="D108" i="287"/>
  <c r="C108" i="287"/>
  <c r="D107" i="287"/>
  <c r="C107" i="287"/>
  <c r="D106" i="287"/>
  <c r="C106" i="287"/>
  <c r="D105" i="287"/>
  <c r="C105" i="287"/>
  <c r="D104" i="287"/>
  <c r="C104" i="287"/>
  <c r="D103" i="287"/>
  <c r="C103" i="287"/>
  <c r="D102" i="287"/>
  <c r="C102" i="287"/>
  <c r="D101" i="287"/>
  <c r="C101" i="287"/>
  <c r="D100" i="287"/>
  <c r="C100" i="287"/>
  <c r="D99" i="287"/>
  <c r="C99" i="287"/>
  <c r="D98" i="287"/>
  <c r="C98" i="287"/>
  <c r="D97" i="287"/>
  <c r="C97" i="287"/>
  <c r="D96" i="287"/>
  <c r="C96" i="287"/>
  <c r="D95" i="287"/>
  <c r="C95" i="287"/>
  <c r="D94" i="287"/>
  <c r="C94" i="287"/>
  <c r="D93" i="287"/>
  <c r="C93" i="287"/>
  <c r="D92" i="287"/>
  <c r="C92" i="287"/>
  <c r="D91" i="287"/>
  <c r="C91" i="287"/>
  <c r="D90" i="287"/>
  <c r="C90" i="287"/>
  <c r="D89" i="287"/>
  <c r="C89" i="287"/>
  <c r="D88" i="287"/>
  <c r="C88" i="287"/>
  <c r="D87" i="287"/>
  <c r="C87" i="287"/>
  <c r="D86" i="287"/>
  <c r="C86" i="287"/>
  <c r="D85" i="287"/>
  <c r="C85" i="287"/>
  <c r="D84" i="287"/>
  <c r="C84" i="287"/>
  <c r="D83" i="287"/>
  <c r="C83" i="287"/>
  <c r="D82" i="287"/>
  <c r="C82" i="287"/>
  <c r="D81" i="287"/>
  <c r="C81" i="287"/>
  <c r="D80" i="287"/>
  <c r="C80" i="287"/>
  <c r="D79" i="287"/>
  <c r="C79" i="287"/>
  <c r="D78" i="287"/>
  <c r="C78" i="287"/>
  <c r="D77" i="287"/>
  <c r="C77" i="287"/>
  <c r="D76" i="287"/>
  <c r="C76" i="287"/>
  <c r="D75" i="287"/>
  <c r="C75" i="287"/>
  <c r="D74" i="287"/>
  <c r="C74" i="287"/>
  <c r="D73" i="287"/>
  <c r="C73" i="287"/>
  <c r="D72" i="287"/>
  <c r="C72" i="287"/>
  <c r="D71" i="287"/>
  <c r="C71" i="287"/>
  <c r="D70" i="287"/>
  <c r="C70" i="287"/>
  <c r="D69" i="287"/>
  <c r="C69" i="287"/>
  <c r="D68" i="287"/>
  <c r="C68" i="287"/>
  <c r="D67" i="287"/>
  <c r="C67" i="287"/>
  <c r="D66" i="287"/>
  <c r="C66" i="287"/>
  <c r="D65" i="287"/>
  <c r="C65" i="287"/>
  <c r="D64" i="287"/>
  <c r="C64" i="287"/>
  <c r="D63" i="287"/>
  <c r="C63" i="287"/>
  <c r="D62" i="287"/>
  <c r="C62" i="287"/>
  <c r="D61" i="287"/>
  <c r="C61" i="287"/>
  <c r="D60" i="287"/>
  <c r="C60" i="287"/>
  <c r="D59" i="287"/>
  <c r="C59" i="287"/>
  <c r="D58" i="287"/>
  <c r="C58" i="287"/>
  <c r="D57" i="287"/>
  <c r="C57" i="287"/>
  <c r="D56" i="287"/>
  <c r="C56" i="287"/>
  <c r="D55" i="287"/>
  <c r="C55" i="287"/>
  <c r="D54" i="287"/>
  <c r="C54" i="287"/>
  <c r="D53" i="287"/>
  <c r="C53" i="287"/>
  <c r="D52" i="287"/>
  <c r="C52" i="287"/>
  <c r="D51" i="287"/>
  <c r="C51" i="287"/>
  <c r="D50" i="287"/>
  <c r="C50" i="287"/>
  <c r="D49" i="287"/>
  <c r="C49" i="287"/>
  <c r="D48" i="287"/>
  <c r="C48" i="287"/>
  <c r="D47" i="287"/>
  <c r="C47" i="287"/>
  <c r="D46" i="287"/>
  <c r="C46" i="287"/>
  <c r="D45" i="287"/>
  <c r="C45" i="287"/>
  <c r="D44" i="287"/>
  <c r="C44" i="287"/>
  <c r="D43" i="287"/>
  <c r="C43" i="287"/>
  <c r="D42" i="287"/>
  <c r="C42" i="287"/>
  <c r="D41" i="287"/>
  <c r="C41" i="287"/>
  <c r="D40" i="287"/>
  <c r="C40" i="287"/>
  <c r="D39" i="287"/>
  <c r="C39" i="287"/>
  <c r="D38" i="287"/>
  <c r="C38" i="287"/>
  <c r="D37" i="287"/>
  <c r="C37" i="287"/>
  <c r="D36" i="287"/>
  <c r="C36" i="287"/>
  <c r="D35" i="287"/>
  <c r="C35" i="287"/>
  <c r="D34" i="287"/>
  <c r="C34" i="287"/>
  <c r="D33" i="287"/>
  <c r="C33" i="287"/>
  <c r="D32" i="287"/>
  <c r="C32" i="287"/>
  <c r="D31" i="287"/>
  <c r="C31" i="287"/>
  <c r="D30" i="287"/>
  <c r="C30" i="287"/>
  <c r="D29" i="287"/>
  <c r="C29" i="287"/>
  <c r="D28" i="287"/>
  <c r="C28" i="287"/>
  <c r="D27" i="287"/>
  <c r="C27" i="287"/>
  <c r="D26" i="287"/>
  <c r="C26" i="287"/>
  <c r="D25" i="287"/>
  <c r="C25" i="287"/>
  <c r="D24" i="287"/>
  <c r="C24" i="287"/>
  <c r="D23" i="287"/>
  <c r="C23" i="287"/>
  <c r="D22" i="287"/>
  <c r="C22" i="287"/>
  <c r="D21" i="287"/>
  <c r="C21" i="287"/>
  <c r="D20" i="287"/>
  <c r="C20" i="287"/>
  <c r="D19" i="287"/>
  <c r="C19" i="287"/>
  <c r="D18" i="287"/>
  <c r="C18" i="287"/>
  <c r="D17" i="287"/>
  <c r="C17" i="287"/>
  <c r="D16" i="287"/>
  <c r="C16" i="287"/>
  <c r="D15" i="287"/>
  <c r="C15" i="287"/>
  <c r="D14" i="287"/>
  <c r="C14" i="287"/>
  <c r="D13" i="287"/>
  <c r="C13" i="287"/>
  <c r="D12" i="287"/>
  <c r="C12" i="287"/>
  <c r="D11" i="287"/>
  <c r="C11" i="287"/>
  <c r="D10" i="287"/>
  <c r="C10" i="287"/>
  <c r="D9" i="287"/>
  <c r="C9" i="287"/>
  <c r="D8" i="287"/>
  <c r="C8" i="287"/>
  <c r="D7" i="287"/>
  <c r="C7" i="287"/>
  <c r="D6" i="287"/>
  <c r="C6" i="287"/>
  <c r="D5" i="287"/>
  <c r="C5" i="287"/>
  <c r="D4" i="287"/>
  <c r="C4" i="287"/>
  <c r="D3" i="287"/>
  <c r="C3" i="287"/>
  <c r="A250" i="286"/>
  <c r="A249" i="286"/>
  <c r="A248" i="286"/>
  <c r="A247" i="286"/>
  <c r="A246" i="286"/>
  <c r="A245" i="286"/>
  <c r="A244" i="286"/>
  <c r="A243" i="286"/>
  <c r="A242" i="286"/>
  <c r="A241" i="286"/>
  <c r="A240" i="286"/>
  <c r="A239" i="286"/>
  <c r="A238" i="286"/>
  <c r="A237" i="286"/>
  <c r="A236" i="286"/>
  <c r="A235" i="286"/>
  <c r="A234" i="286"/>
  <c r="A233" i="286"/>
  <c r="A232" i="286"/>
  <c r="A231" i="286"/>
  <c r="A230" i="286"/>
  <c r="A229" i="286"/>
  <c r="A228" i="286"/>
  <c r="A227" i="286"/>
  <c r="A226" i="286"/>
  <c r="A225" i="286"/>
  <c r="A224" i="286"/>
  <c r="A223" i="286"/>
  <c r="A222" i="286"/>
  <c r="A221" i="286"/>
  <c r="A220" i="286"/>
  <c r="A219" i="286"/>
  <c r="A218" i="286"/>
  <c r="A217" i="286"/>
  <c r="A216" i="286"/>
  <c r="A215" i="286"/>
  <c r="A214" i="286"/>
  <c r="A213" i="286"/>
  <c r="A212" i="286"/>
  <c r="A211" i="286"/>
  <c r="A210" i="286"/>
  <c r="A209" i="286"/>
  <c r="A208" i="286"/>
  <c r="A207" i="286"/>
  <c r="A206" i="286"/>
  <c r="A205" i="286"/>
  <c r="A204" i="286"/>
  <c r="A203" i="286"/>
  <c r="A202" i="286"/>
  <c r="A201" i="286"/>
  <c r="A200" i="286"/>
  <c r="A199" i="286"/>
  <c r="A198" i="286"/>
  <c r="A197" i="286"/>
  <c r="A196" i="286"/>
  <c r="A195" i="286"/>
  <c r="A194" i="286"/>
  <c r="A193" i="286"/>
  <c r="A192" i="286"/>
  <c r="A191" i="286"/>
  <c r="A190" i="286"/>
  <c r="A189" i="286"/>
  <c r="A188" i="286"/>
  <c r="A187" i="286"/>
  <c r="A186" i="286"/>
  <c r="A185" i="286"/>
  <c r="A184" i="286"/>
  <c r="A183" i="286"/>
  <c r="A182" i="286"/>
  <c r="A181" i="286"/>
  <c r="A180" i="286"/>
  <c r="A179" i="286"/>
  <c r="A178" i="286"/>
  <c r="A177" i="286"/>
  <c r="A176" i="286"/>
  <c r="A175" i="286"/>
  <c r="A174" i="286"/>
  <c r="A173" i="286"/>
  <c r="A172" i="286"/>
  <c r="A171" i="286"/>
  <c r="A170" i="286"/>
  <c r="A169" i="286"/>
  <c r="A168" i="286"/>
  <c r="A167" i="286"/>
  <c r="A166" i="286"/>
  <c r="A165" i="286"/>
  <c r="A164" i="286"/>
  <c r="A163" i="286"/>
  <c r="A162" i="286"/>
  <c r="A161" i="286"/>
  <c r="A160" i="286"/>
  <c r="A159" i="286"/>
  <c r="A158" i="286"/>
  <c r="A157" i="286"/>
  <c r="A156" i="286"/>
  <c r="A155" i="286"/>
  <c r="A154" i="286"/>
  <c r="A153" i="286"/>
  <c r="A152" i="286"/>
  <c r="A151" i="286"/>
  <c r="A150" i="286"/>
  <c r="A149" i="286"/>
  <c r="A148" i="286"/>
  <c r="A147" i="286"/>
  <c r="A146" i="286"/>
  <c r="A145" i="286"/>
  <c r="A144" i="286"/>
  <c r="A143" i="286"/>
  <c r="A142" i="286"/>
  <c r="A141" i="286"/>
  <c r="A140" i="286"/>
  <c r="A139" i="286"/>
  <c r="A138" i="286"/>
  <c r="A137" i="286"/>
  <c r="A136" i="286"/>
  <c r="A135" i="286"/>
  <c r="A134" i="286"/>
  <c r="A133" i="286"/>
  <c r="A132" i="286"/>
  <c r="A131" i="286"/>
  <c r="A130" i="286"/>
  <c r="A129" i="286"/>
  <c r="A128" i="286"/>
  <c r="A127" i="286"/>
  <c r="A126" i="286"/>
  <c r="A125" i="286"/>
  <c r="A124" i="286"/>
  <c r="A123" i="286"/>
  <c r="A122" i="286"/>
  <c r="A121" i="286"/>
  <c r="A120" i="286"/>
  <c r="A119" i="286"/>
  <c r="A118" i="286"/>
  <c r="A117" i="286"/>
  <c r="A116" i="286"/>
  <c r="A115" i="286"/>
  <c r="A114" i="286"/>
  <c r="A113" i="286"/>
  <c r="A112" i="286"/>
  <c r="A111" i="286"/>
  <c r="A110" i="286"/>
  <c r="A109" i="286"/>
  <c r="A108" i="286"/>
  <c r="A107" i="286"/>
  <c r="A106" i="286"/>
  <c r="A105" i="286"/>
  <c r="A104" i="286"/>
  <c r="A103" i="286"/>
  <c r="A102" i="286"/>
  <c r="A101" i="286"/>
  <c r="A100" i="286"/>
  <c r="A99" i="286"/>
  <c r="A98" i="286"/>
  <c r="A97" i="286"/>
  <c r="A96" i="286"/>
  <c r="A95" i="286"/>
  <c r="A94" i="286"/>
  <c r="A93" i="286"/>
  <c r="A92" i="286"/>
  <c r="A91" i="286"/>
  <c r="A90" i="286"/>
  <c r="A89" i="286"/>
  <c r="A88" i="286"/>
  <c r="A87" i="286"/>
  <c r="A86" i="286"/>
  <c r="A85" i="286"/>
  <c r="A84" i="286"/>
  <c r="A83" i="286"/>
  <c r="A82" i="286"/>
  <c r="A81" i="286"/>
  <c r="A80" i="286"/>
  <c r="A79" i="286"/>
  <c r="A78" i="286"/>
  <c r="A77" i="286"/>
  <c r="A76" i="286"/>
  <c r="A75" i="286"/>
  <c r="A74" i="286"/>
  <c r="A73" i="286"/>
  <c r="A72" i="286"/>
  <c r="A71" i="286"/>
  <c r="A70" i="286"/>
  <c r="A69" i="286"/>
  <c r="A68" i="286"/>
  <c r="A67" i="286"/>
  <c r="A66" i="286"/>
  <c r="A65" i="286"/>
  <c r="A64" i="286"/>
  <c r="A63" i="286"/>
  <c r="A62" i="286"/>
  <c r="A61" i="286"/>
  <c r="A60" i="286"/>
  <c r="A59" i="286"/>
  <c r="A58" i="286"/>
  <c r="A57" i="286"/>
  <c r="A56" i="286"/>
  <c r="A55" i="286"/>
  <c r="A54" i="286"/>
  <c r="A53" i="286"/>
  <c r="A52" i="286"/>
  <c r="A51" i="286"/>
  <c r="A50" i="286"/>
  <c r="A49" i="286"/>
  <c r="A48" i="286"/>
  <c r="A47" i="286"/>
  <c r="A46" i="286"/>
  <c r="A45" i="286"/>
  <c r="A44" i="286"/>
  <c r="A43" i="286"/>
  <c r="A42" i="286"/>
  <c r="A41" i="286"/>
  <c r="A40" i="286"/>
  <c r="A39" i="286"/>
  <c r="A38" i="286"/>
  <c r="A37" i="286"/>
  <c r="A36" i="286"/>
  <c r="A35" i="286"/>
  <c r="A34" i="286"/>
  <c r="A33" i="286"/>
  <c r="A32" i="286"/>
  <c r="A31" i="286"/>
  <c r="A30" i="286"/>
  <c r="A29" i="286"/>
  <c r="A28" i="286"/>
  <c r="A27" i="286"/>
  <c r="A26" i="286"/>
  <c r="A25" i="286"/>
  <c r="A24" i="286"/>
  <c r="A23" i="286"/>
  <c r="A22" i="286"/>
  <c r="A21" i="286"/>
  <c r="A20" i="286"/>
  <c r="A19" i="286"/>
  <c r="A18" i="286"/>
  <c r="A17" i="286"/>
  <c r="A16" i="286"/>
  <c r="A15" i="286"/>
  <c r="A14" i="286"/>
  <c r="A13" i="286"/>
  <c r="A12" i="286"/>
  <c r="A11" i="286"/>
  <c r="A10" i="286"/>
  <c r="A9" i="286"/>
  <c r="A8" i="286"/>
  <c r="A7" i="286"/>
  <c r="A6" i="286"/>
  <c r="A5" i="286"/>
  <c r="A4" i="286"/>
  <c r="A3" i="286"/>
  <c r="B2" i="284"/>
</calcChain>
</file>

<file path=xl/sharedStrings.xml><?xml version="1.0" encoding="utf-8"?>
<sst xmlns="http://schemas.openxmlformats.org/spreadsheetml/2006/main" count="30" uniqueCount="23">
  <si>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</si>
  <si>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</si>
  <si>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</si>
  <si>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</si>
  <si>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</si>
  <si>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</si>
  <si>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</si>
  <si>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Exame</t>
  </si>
  <si>
    <t>Nomes</t>
  </si>
  <si>
    <t>Nota</t>
  </si>
  <si>
    <t>Nota Convertida</t>
  </si>
  <si>
    <t>Total</t>
  </si>
  <si>
    <t>Inscritos</t>
  </si>
  <si>
    <t>Aprovados</t>
  </si>
  <si>
    <t>Reprovados</t>
  </si>
  <si>
    <t>Aprovados/Inscritos</t>
  </si>
  <si>
    <t>Reprovados/Inscritos</t>
  </si>
  <si>
    <t>Média</t>
  </si>
  <si>
    <t>Nota mais alta</t>
  </si>
  <si>
    <t>Nota mais baixa</t>
  </si>
  <si>
    <t>Frequência</t>
  </si>
  <si>
    <t>r</t>
  </si>
  <si>
    <t>Criado por Rúben Lôpo e Rui Ramos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</si>
</sst>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CECE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5">
    <xf numFmtId="0" fontId="0" fillId="0" borderId="0" xfId="0"/>
    <xf numFmtId="0" fontId="2" fillId="2" borderId="1" xfId="1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/>
    <xf numFmtId="0" fontId="2" fillId="3" borderId="1" xfId="1" applyFill="1" applyAlignment="1">
      <alignment horizontal="center"/>
    </xf>
    <xf numFmtId="0" fontId="2" fillId="4" borderId="1" xfId="1" applyFill="1"/>
    <xf numFmtId="0" fontId="2" fillId="4" borderId="1" xfId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0" borderId="0" xfId="0" applyAlignment="1"/>
    <xf numFmtId="0" fontId="0" fillId="8" borderId="0" xfId="0" applyFill="1" applyAlignment="1">
      <alignment horizontal="center"/>
    </xf>
  </cellXfs>
  <cellStyles count="2">
    <cellStyle name="Normal" xfId="0" builtinId="0"/>
    <cellStyle name="Saída" xfId="1" builtinId="21"/>
  </cellStyles>
  <dxfs count="248"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Síntese!$E$2</c:f>
              <c:strCache>
                <c:ptCount val="1"/>
                <c:pt idx="0">
                  <c:v>Frequência</c:v>
                </c:pt>
              </c:strCache>
            </c:strRef>
          </c:tx>
          <c:invertIfNegative val="0"/>
          <c:cat>
            <c:strRef>
              <c:f>Síntese!$D$2:$D$16</c:f>
              <c:strCache>
                <c:ptCount val="14"/>
                <c:pt idx="0">
                  <c:v>Nota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</c:strCache>
            </c:strRef>
          </c:cat>
          <c:val>
            <c:numRef>
              <c:f>Síntese!$E$3:$E$16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4-4D20-9601-2D010DB3A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136351"/>
        <c:axId val="698340255"/>
      </c:barChart>
      <c:catAx>
        <c:axId val="785136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8340255"/>
        <c:crosses val="autoZero"/>
        <c:auto val="1"/>
        <c:lblAlgn val="ctr"/>
        <c:lblOffset val="100"/>
        <c:noMultiLvlLbl val="0"/>
      </c:catAx>
      <c:valAx>
        <c:axId val="6983402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51363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9</xdr:col>
          <xdr:colOff>15240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17</xdr:col>
      <xdr:colOff>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DDA1AC7-CE9A-4275-AAA8-DBEB1D7EBE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B1:I23"/>
  <sheetViews>
    <sheetView tabSelected="1" workbookViewId="0">
      <selection activeCell="O21" sqref="O21"/>
    </sheetView>
  </sheetViews>
  <sheetFormatPr defaultRowHeight="14.4" x14ac:dyDescent="0.3"/>
  <sheetData>
    <row r="1" spans="2:2" ht="30" customHeight="1" x14ac:dyDescent="0.3"/>
    <row r="16" spans="2:2" x14ac:dyDescent="0.3">
      <c r="B16" s="13"/>
    </row>
    <row r="17" spans="2:9" x14ac:dyDescent="0.3">
      <c r="B17" s="13"/>
    </row>
    <row r="18" spans="2:9" x14ac:dyDescent="0.3">
      <c r="B18" s="13"/>
    </row>
    <row r="19" spans="2:9" x14ac:dyDescent="0.3">
      <c r="B19" s="13"/>
    </row>
    <row r="20" spans="2:9" x14ac:dyDescent="0.3">
      <c r="B20" s="13"/>
    </row>
    <row r="21" spans="2:9" x14ac:dyDescent="0.3">
      <c r="B21" s="13"/>
    </row>
    <row r="22" spans="2:9" x14ac:dyDescent="0.3">
      <c r="B22" s="13"/>
    </row>
    <row r="23" spans="2:9" x14ac:dyDescent="0.3">
      <c r="B23" s="12" t="s">
        <v>22</v>
      </c>
      <c r="C23" s="12"/>
      <c r="D23" s="12"/>
      <c r="E23" s="12"/>
      <c r="F23" s="12"/>
      <c r="G23" s="12"/>
      <c r="H23" s="12"/>
      <c r="I23" s="12"/>
    </row>
  </sheetData>
  <mergeCells count="1">
    <mergeCell ref="B23:I2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9</xdr:col>
                    <xdr:colOff>15240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985EC-0846-49E6-A1FE-154D71DCC423}">
  <sheetPr codeName="Folha58"/>
  <dimension ref="A1:ZZ250"/>
  <sheetViews>
    <sheetView workbookViewId="0"/>
  </sheetViews>
  <sheetFormatPr defaultRowHeight="14.4" x14ac:dyDescent="0.3"/>
  <cols>
    <col min="1" max="1" width="35.77734375" style="3" customWidth="1"/>
    <col min="2" max="2" width="6.5546875" style="3" bestFit="1" customWidth="1"/>
    <col min="3" max="3" width="5.21875" style="3" bestFit="1" customWidth="1"/>
    <col min="4" max="4" width="5.109375" style="3" bestFit="1" customWidth="1"/>
    <col min="5" max="702" width="8.88671875" style="3"/>
  </cols>
  <sheetData>
    <row r="1" spans="1:4" x14ac:dyDescent="0.3">
      <c r="B1" s="11">
        <v>12</v>
      </c>
      <c r="C1" s="11">
        <v>12</v>
      </c>
      <c r="D1" s="11">
        <v>12</v>
      </c>
    </row>
    <row r="2" spans="1:4" x14ac:dyDescent="0.3">
      <c r="A2" s="9" t="s">
        <v>8</v>
      </c>
      <c r="B2" s="9" t="s">
        <v>7</v>
      </c>
      <c r="C2" s="9" t="s">
        <v>11</v>
      </c>
      <c r="D2" s="9" t="s">
        <v>9</v>
      </c>
    </row>
    <row r="3" spans="1:4" x14ac:dyDescent="0.3">
      <c r="B3" s="3" t="str">
        <f>IFERROR(IF(A3&lt;&gt;"",VLOOKUP(Alunos!A3,Exame!A3:D250,4, FALSE),""), "")</f>
        <v/>
      </c>
      <c r="C3" s="3" t="str">
        <f>IF(A3&lt;&gt;"", SUMIF(B1,"&lt;&gt;",B3),"")</f>
        <v/>
      </c>
      <c r="D3" s="3" t="str">
        <f>IF(AND(A3&lt;&gt;"",C3&lt;&gt;""),ROUND(C3,0),"")</f>
        <v/>
      </c>
    </row>
    <row r="4" spans="1:4" x14ac:dyDescent="0.3">
      <c r="B4" s="3" t="str">
        <f>IFERROR(IF(A4&lt;&gt;"",VLOOKUP(Alunos!A4,Exame!A3:D250,4, FALSE),""), "")</f>
        <v/>
      </c>
      <c r="C4" s="3" t="str">
        <f>IF(A4&lt;&gt;"", SUMIF(B1,"&lt;&gt;",B4),"")</f>
        <v/>
      </c>
      <c r="D4" s="3" t="str">
        <f>IF(AND(A4&lt;&gt;"",C4&lt;&gt;""),ROUND(C4,0),"")</f>
        <v/>
      </c>
    </row>
    <row r="5" spans="1:4" x14ac:dyDescent="0.3">
      <c r="B5" s="3" t="str">
        <f>IFERROR(IF(A5&lt;&gt;"",VLOOKUP(Alunos!A5,Exame!A3:D250,4, FALSE),""), "")</f>
        <v/>
      </c>
      <c r="C5" s="3" t="str">
        <f>IF(A5&lt;&gt;"", SUMIF(B1,"&lt;&gt;",B5),"")</f>
        <v/>
      </c>
      <c r="D5" s="3" t="str">
        <f>IF(AND(A5&lt;&gt;"",C5&lt;&gt;""),ROUND(C5,0),"")</f>
        <v/>
      </c>
    </row>
    <row r="6" spans="1:4" x14ac:dyDescent="0.3">
      <c r="B6" s="3" t="str">
        <f>IFERROR(IF(A6&lt;&gt;"",VLOOKUP(Alunos!A6,Exame!A3:D250,4, FALSE),""), "")</f>
        <v/>
      </c>
      <c r="C6" s="3" t="str">
        <f>IF(A6&lt;&gt;"", SUMIF(B1,"&lt;&gt;",B6),"")</f>
        <v/>
      </c>
      <c r="D6" s="3" t="str">
        <f>IF(AND(A6&lt;&gt;"",C6&lt;&gt;""),ROUND(C6,0),"")</f>
        <v/>
      </c>
    </row>
    <row r="7" spans="1:4" x14ac:dyDescent="0.3">
      <c r="B7" s="3" t="str">
        <f>IFERROR(IF(A7&lt;&gt;"",VLOOKUP(Alunos!A7,Exame!A3:D250,4, FALSE),""), "")</f>
        <v/>
      </c>
      <c r="C7" s="3" t="str">
        <f>IF(A7&lt;&gt;"", SUMIF(B1,"&lt;&gt;",B7),"")</f>
        <v/>
      </c>
      <c r="D7" s="3" t="str">
        <f>IF(AND(A7&lt;&gt;"",C7&lt;&gt;""),ROUND(C7,0),"")</f>
        <v/>
      </c>
    </row>
    <row r="8" spans="1:4" x14ac:dyDescent="0.3">
      <c r="B8" s="3" t="str">
        <f>IFERROR(IF(A8&lt;&gt;"",VLOOKUP(Alunos!A8,Exame!A3:D250,4, FALSE),""), "")</f>
        <v/>
      </c>
      <c r="C8" s="3" t="str">
        <f>IF(A8&lt;&gt;"", SUMIF(B1,"&lt;&gt;",B8),"")</f>
        <v/>
      </c>
      <c r="D8" s="3" t="str">
        <f>IF(AND(A8&lt;&gt;"",C8&lt;&gt;""),ROUND(C8,0),"")</f>
        <v/>
      </c>
    </row>
    <row r="9" spans="1:4" x14ac:dyDescent="0.3">
      <c r="B9" s="3" t="str">
        <f>IFERROR(IF(A9&lt;&gt;"",VLOOKUP(Alunos!A9,Exame!A3:D250,4, FALSE),""), "")</f>
        <v/>
      </c>
      <c r="C9" s="3" t="str">
        <f>IF(A9&lt;&gt;"", SUMIF(B1,"&lt;&gt;",B9),"")</f>
        <v/>
      </c>
      <c r="D9" s="3" t="str">
        <f>IF(AND(A9&lt;&gt;"",C9&lt;&gt;""),ROUND(C9,0),"")</f>
        <v/>
      </c>
    </row>
    <row r="10" spans="1:4" x14ac:dyDescent="0.3">
      <c r="B10" s="3" t="str">
        <f>IFERROR(IF(A10&lt;&gt;"",VLOOKUP(Alunos!A10,Exame!A3:D250,4, FALSE),""), "")</f>
        <v/>
      </c>
      <c r="C10" s="3" t="str">
        <f>IF(A10&lt;&gt;"", SUMIF(B1,"&lt;&gt;",B10),"")</f>
        <v/>
      </c>
      <c r="D10" s="3" t="str">
        <f>IF(AND(A10&lt;&gt;"",C10&lt;&gt;""),ROUND(C10,0),"")</f>
        <v/>
      </c>
    </row>
    <row r="11" spans="1:4" x14ac:dyDescent="0.3">
      <c r="B11" s="3" t="str">
        <f>IFERROR(IF(A11&lt;&gt;"",VLOOKUP(Alunos!A11,Exame!A3:D250,4, FALSE),""), "")</f>
        <v/>
      </c>
      <c r="C11" s="3" t="str">
        <f>IF(A11&lt;&gt;"", SUMIF(B1,"&lt;&gt;",B11),"")</f>
        <v/>
      </c>
      <c r="D11" s="3" t="str">
        <f>IF(AND(A11&lt;&gt;"",C11&lt;&gt;""),ROUND(C11,0),"")</f>
        <v/>
      </c>
    </row>
    <row r="12" spans="1:4" x14ac:dyDescent="0.3">
      <c r="B12" s="3" t="str">
        <f>IFERROR(IF(A12&lt;&gt;"",VLOOKUP(Alunos!A12,Exame!A3:D250,4, FALSE),""), "")</f>
        <v/>
      </c>
      <c r="C12" s="3" t="str">
        <f>IF(A12&lt;&gt;"", SUMIF(B1,"&lt;&gt;",B12),"")</f>
        <v/>
      </c>
      <c r="D12" s="3" t="str">
        <f>IF(AND(A12&lt;&gt;"",C12&lt;&gt;""),ROUND(C12,0),"")</f>
        <v/>
      </c>
    </row>
    <row r="13" spans="1:4" x14ac:dyDescent="0.3">
      <c r="B13" s="3" t="str">
        <f>IFERROR(IF(A13&lt;&gt;"",VLOOKUP(Alunos!A13,Exame!A3:D250,4, FALSE),""), "")</f>
        <v/>
      </c>
      <c r="C13" s="3" t="str">
        <f>IF(A13&lt;&gt;"", SUMIF(B1,"&lt;&gt;",B13),"")</f>
        <v/>
      </c>
      <c r="D13" s="3" t="str">
        <f>IF(AND(A13&lt;&gt;"",C13&lt;&gt;""),ROUND(C13,0),"")</f>
        <v/>
      </c>
    </row>
    <row r="14" spans="1:4" x14ac:dyDescent="0.3">
      <c r="B14" s="3" t="str">
        <f>IFERROR(IF(A14&lt;&gt;"",VLOOKUP(Alunos!A14,Exame!A3:D250,4, FALSE),""), "")</f>
        <v/>
      </c>
      <c r="C14" s="3" t="str">
        <f>IF(A14&lt;&gt;"", SUMIF(B1,"&lt;&gt;",B14),"")</f>
        <v/>
      </c>
      <c r="D14" s="3" t="str">
        <f>IF(AND(A14&lt;&gt;"",C14&lt;&gt;""),ROUND(C14,0),"")</f>
        <v/>
      </c>
    </row>
    <row r="15" spans="1:4" x14ac:dyDescent="0.3">
      <c r="B15" s="3" t="str">
        <f>IFERROR(IF(A15&lt;&gt;"",VLOOKUP(Alunos!A15,Exame!A3:D250,4, FALSE),""), "")</f>
        <v/>
      </c>
      <c r="C15" s="3" t="str">
        <f>IF(A15&lt;&gt;"", SUMIF(B1,"&lt;&gt;",B15),"")</f>
        <v/>
      </c>
      <c r="D15" s="3" t="str">
        <f>IF(AND(A15&lt;&gt;"",C15&lt;&gt;""),ROUND(C15,0),"")</f>
        <v/>
      </c>
    </row>
    <row r="16" spans="1:4" x14ac:dyDescent="0.3">
      <c r="B16" s="3" t="str">
        <f>IFERROR(IF(A16&lt;&gt;"",VLOOKUP(Alunos!A16,Exame!A3:D250,4, FALSE),""), "")</f>
        <v/>
      </c>
      <c r="C16" s="3" t="str">
        <f>IF(A16&lt;&gt;"", SUMIF(B1,"&lt;&gt;",B16),"")</f>
        <v/>
      </c>
      <c r="D16" s="3" t="str">
        <f>IF(AND(A16&lt;&gt;"",C16&lt;&gt;""),ROUND(C16,0),"")</f>
        <v/>
      </c>
    </row>
    <row r="17" spans="2:4" x14ac:dyDescent="0.3">
      <c r="B17" s="3" t="str">
        <f>IFERROR(IF(A17&lt;&gt;"",VLOOKUP(Alunos!A17,Exame!A3:D250,4, FALSE),""), "")</f>
        <v/>
      </c>
      <c r="C17" s="3" t="str">
        <f>IF(A17&lt;&gt;"", SUMIF(B1,"&lt;&gt;",B17),"")</f>
        <v/>
      </c>
      <c r="D17" s="3" t="str">
        <f>IF(AND(A17&lt;&gt;"",C17&lt;&gt;""),ROUND(C17,0),"")</f>
        <v/>
      </c>
    </row>
    <row r="18" spans="2:4" x14ac:dyDescent="0.3">
      <c r="B18" s="3" t="str">
        <f>IFERROR(IF(A18&lt;&gt;"",VLOOKUP(Alunos!A18,Exame!A3:D250,4, FALSE),""), "")</f>
        <v/>
      </c>
      <c r="C18" s="3" t="str">
        <f>IF(A18&lt;&gt;"", SUMIF(B1,"&lt;&gt;",B18),"")</f>
        <v/>
      </c>
      <c r="D18" s="3" t="str">
        <f>IF(AND(A18&lt;&gt;"",C18&lt;&gt;""),ROUND(C18,0),"")</f>
        <v/>
      </c>
    </row>
    <row r="19" spans="2:4" x14ac:dyDescent="0.3">
      <c r="B19" s="3" t="str">
        <f>IFERROR(IF(A19&lt;&gt;"",VLOOKUP(Alunos!A19,Exame!A3:D250,4, FALSE),""), "")</f>
        <v/>
      </c>
      <c r="C19" s="3" t="str">
        <f>IF(A19&lt;&gt;"", SUMIF(B1,"&lt;&gt;",B19),"")</f>
        <v/>
      </c>
      <c r="D19" s="3" t="str">
        <f>IF(AND(A19&lt;&gt;"",C19&lt;&gt;""),ROUND(C19,0),"")</f>
        <v/>
      </c>
    </row>
    <row r="20" spans="2:4" x14ac:dyDescent="0.3">
      <c r="B20" s="3" t="str">
        <f>IFERROR(IF(A20&lt;&gt;"",VLOOKUP(Alunos!A20,Exame!A3:D250,4, FALSE),""), "")</f>
        <v/>
      </c>
      <c r="C20" s="3" t="str">
        <f>IF(A20&lt;&gt;"", SUMIF(B1,"&lt;&gt;",B20),"")</f>
        <v/>
      </c>
      <c r="D20" s="3" t="str">
        <f>IF(AND(A20&lt;&gt;"",C20&lt;&gt;""),ROUND(C20,0),"")</f>
        <v/>
      </c>
    </row>
    <row r="21" spans="2:4" x14ac:dyDescent="0.3">
      <c r="B21" s="3" t="str">
        <f>IFERROR(IF(A21&lt;&gt;"",VLOOKUP(Alunos!A21,Exame!A3:D250,4, FALSE),""), "")</f>
        <v/>
      </c>
      <c r="C21" s="3" t="str">
        <f>IF(A21&lt;&gt;"", SUMIF(B1,"&lt;&gt;",B21),"")</f>
        <v/>
      </c>
      <c r="D21" s="3" t="str">
        <f>IF(AND(A21&lt;&gt;"",C21&lt;&gt;""),ROUND(C21,0),"")</f>
        <v/>
      </c>
    </row>
    <row r="22" spans="2:4" x14ac:dyDescent="0.3">
      <c r="B22" s="3" t="str">
        <f>IFERROR(IF(A22&lt;&gt;"",VLOOKUP(Alunos!A22,Exame!A3:D250,4, FALSE),""), "")</f>
        <v/>
      </c>
      <c r="C22" s="3" t="str">
        <f>IF(A22&lt;&gt;"", SUMIF(B1,"&lt;&gt;",B22),"")</f>
        <v/>
      </c>
      <c r="D22" s="3" t="str">
        <f>IF(AND(A22&lt;&gt;"",C22&lt;&gt;""),ROUND(C22,0),"")</f>
        <v/>
      </c>
    </row>
    <row r="23" spans="2:4" x14ac:dyDescent="0.3">
      <c r="B23" s="3" t="str">
        <f>IFERROR(IF(A23&lt;&gt;"",VLOOKUP(Alunos!A23,Exame!A3:D250,4, FALSE),""), "")</f>
        <v/>
      </c>
      <c r="C23" s="3" t="str">
        <f>IF(A23&lt;&gt;"", SUMIF(B1,"&lt;&gt;",B23),"")</f>
        <v/>
      </c>
      <c r="D23" s="3" t="str">
        <f>IF(AND(A23&lt;&gt;"",C23&lt;&gt;""),ROUND(C23,0),"")</f>
        <v/>
      </c>
    </row>
    <row r="24" spans="2:4" x14ac:dyDescent="0.3">
      <c r="B24" s="3" t="str">
        <f>IFERROR(IF(A24&lt;&gt;"",VLOOKUP(Alunos!A24,Exame!A3:D250,4, FALSE),""), "")</f>
        <v/>
      </c>
      <c r="C24" s="3" t="str">
        <f>IF(A24&lt;&gt;"", SUMIF(B1,"&lt;&gt;",B24),"")</f>
        <v/>
      </c>
      <c r="D24" s="3" t="str">
        <f>IF(AND(A24&lt;&gt;"",C24&lt;&gt;""),ROUND(C24,0),"")</f>
        <v/>
      </c>
    </row>
    <row r="25" spans="2:4" x14ac:dyDescent="0.3">
      <c r="B25" s="3" t="str">
        <f>IFERROR(IF(A25&lt;&gt;"",VLOOKUP(Alunos!A25,Exame!A3:D250,4, FALSE),""), "")</f>
        <v/>
      </c>
      <c r="C25" s="3" t="str">
        <f>IF(A25&lt;&gt;"", SUMIF(B1,"&lt;&gt;",B25),"")</f>
        <v/>
      </c>
      <c r="D25" s="3" t="str">
        <f>IF(AND(A25&lt;&gt;"",C25&lt;&gt;""),ROUND(C25,0),"")</f>
        <v/>
      </c>
    </row>
    <row r="26" spans="2:4" x14ac:dyDescent="0.3">
      <c r="B26" s="3" t="str">
        <f>IFERROR(IF(A26&lt;&gt;"",VLOOKUP(Alunos!A26,Exame!A3:D250,4, FALSE),""), "")</f>
        <v/>
      </c>
      <c r="C26" s="3" t="str">
        <f>IF(A26&lt;&gt;"", SUMIF(B1,"&lt;&gt;",B26),"")</f>
        <v/>
      </c>
      <c r="D26" s="3" t="str">
        <f>IF(AND(A26&lt;&gt;"",C26&lt;&gt;""),ROUND(C26,0),"")</f>
        <v/>
      </c>
    </row>
    <row r="27" spans="2:4" x14ac:dyDescent="0.3">
      <c r="B27" s="3" t="str">
        <f>IFERROR(IF(A27&lt;&gt;"",VLOOKUP(Alunos!A27,Exame!A3:D250,4, FALSE),""), "")</f>
        <v/>
      </c>
      <c r="C27" s="3" t="str">
        <f>IF(A27&lt;&gt;"", SUMIF(B1,"&lt;&gt;",B27),"")</f>
        <v/>
      </c>
      <c r="D27" s="3" t="str">
        <f>IF(AND(A27&lt;&gt;"",C27&lt;&gt;""),ROUND(C27,0),"")</f>
        <v/>
      </c>
    </row>
    <row r="28" spans="2:4" x14ac:dyDescent="0.3">
      <c r="B28" s="3" t="str">
        <f>IFERROR(IF(A28&lt;&gt;"",VLOOKUP(Alunos!A28,Exame!A3:D250,4, FALSE),""), "")</f>
        <v/>
      </c>
      <c r="C28" s="3" t="str">
        <f>IF(A28&lt;&gt;"", SUMIF(B1,"&lt;&gt;",B28),"")</f>
        <v/>
      </c>
      <c r="D28" s="3" t="str">
        <f>IF(AND(A28&lt;&gt;"",C28&lt;&gt;""),ROUND(C28,0),"")</f>
        <v/>
      </c>
    </row>
    <row r="29" spans="2:4" x14ac:dyDescent="0.3">
      <c r="B29" s="3" t="str">
        <f>IFERROR(IF(A29&lt;&gt;"",VLOOKUP(Alunos!A29,Exame!A3:D250,4, FALSE),""), "")</f>
        <v/>
      </c>
      <c r="C29" s="3" t="str">
        <f>IF(A29&lt;&gt;"", SUMIF(B1,"&lt;&gt;",B29),"")</f>
        <v/>
      </c>
      <c r="D29" s="3" t="str">
        <f>IF(AND(A29&lt;&gt;"",C29&lt;&gt;""),ROUND(C29,0),"")</f>
        <v/>
      </c>
    </row>
    <row r="30" spans="2:4" x14ac:dyDescent="0.3">
      <c r="B30" s="3" t="str">
        <f>IFERROR(IF(A30&lt;&gt;"",VLOOKUP(Alunos!A30,Exame!A3:D250,4, FALSE),""), "")</f>
        <v/>
      </c>
      <c r="C30" s="3" t="str">
        <f>IF(A30&lt;&gt;"", SUMIF(B1,"&lt;&gt;",B30),"")</f>
        <v/>
      </c>
      <c r="D30" s="3" t="str">
        <f>IF(AND(A30&lt;&gt;"",C30&lt;&gt;""),ROUND(C30,0),"")</f>
        <v/>
      </c>
    </row>
    <row r="31" spans="2:4" x14ac:dyDescent="0.3">
      <c r="B31" s="3" t="str">
        <f>IFERROR(IF(A31&lt;&gt;"",VLOOKUP(Alunos!A31,Exame!A3:D250,4, FALSE),""), "")</f>
        <v/>
      </c>
      <c r="C31" s="3" t="str">
        <f>IF(A31&lt;&gt;"", SUMIF(B1,"&lt;&gt;",B31),"")</f>
        <v/>
      </c>
      <c r="D31" s="3" t="str">
        <f>IF(AND(A31&lt;&gt;"",C31&lt;&gt;""),ROUND(C31,0),"")</f>
        <v/>
      </c>
    </row>
    <row r="32" spans="2:4" x14ac:dyDescent="0.3">
      <c r="B32" s="3" t="str">
        <f>IFERROR(IF(A32&lt;&gt;"",VLOOKUP(Alunos!A32,Exame!A3:D250,4, FALSE),""), "")</f>
        <v/>
      </c>
      <c r="C32" s="3" t="str">
        <f>IF(A32&lt;&gt;"", SUMIF(B1,"&lt;&gt;",B32),"")</f>
        <v/>
      </c>
      <c r="D32" s="3" t="str">
        <f>IF(AND(A32&lt;&gt;"",C32&lt;&gt;""),ROUND(C32,0),"")</f>
        <v/>
      </c>
    </row>
    <row r="33" spans="2:4" x14ac:dyDescent="0.3">
      <c r="B33" s="3" t="str">
        <f>IFERROR(IF(A33&lt;&gt;"",VLOOKUP(Alunos!A33,Exame!A3:D250,4, FALSE),""), "")</f>
        <v/>
      </c>
      <c r="C33" s="3" t="str">
        <f>IF(A33&lt;&gt;"", SUMIF(B1,"&lt;&gt;",B33),"")</f>
        <v/>
      </c>
      <c r="D33" s="3" t="str">
        <f>IF(AND(A33&lt;&gt;"",C33&lt;&gt;""),ROUND(C33,0),"")</f>
        <v/>
      </c>
    </row>
    <row r="34" spans="2:4" x14ac:dyDescent="0.3">
      <c r="B34" s="3" t="str">
        <f>IFERROR(IF(A34&lt;&gt;"",VLOOKUP(Alunos!A34,Exame!A3:D250,4, FALSE),""), "")</f>
        <v/>
      </c>
      <c r="C34" s="3" t="str">
        <f>IF(A34&lt;&gt;"", SUMIF(B1,"&lt;&gt;",B34),"")</f>
        <v/>
      </c>
      <c r="D34" s="3" t="str">
        <f>IF(AND(A34&lt;&gt;"",C34&lt;&gt;""),ROUND(C34,0),"")</f>
        <v/>
      </c>
    </row>
    <row r="35" spans="2:4" x14ac:dyDescent="0.3">
      <c r="B35" s="3" t="str">
        <f>IFERROR(IF(A35&lt;&gt;"",VLOOKUP(Alunos!A35,Exame!A3:D250,4, FALSE),""), "")</f>
        <v/>
      </c>
      <c r="C35" s="3" t="str">
        <f>IF(A35&lt;&gt;"", SUMIF(B1,"&lt;&gt;",B35),"")</f>
        <v/>
      </c>
      <c r="D35" s="3" t="str">
        <f>IF(AND(A35&lt;&gt;"",C35&lt;&gt;""),ROUND(C35,0),"")</f>
        <v/>
      </c>
    </row>
    <row r="36" spans="2:4" x14ac:dyDescent="0.3">
      <c r="B36" s="3" t="str">
        <f>IFERROR(IF(A36&lt;&gt;"",VLOOKUP(Alunos!A36,Exame!A3:D250,4, FALSE),""), "")</f>
        <v/>
      </c>
      <c r="C36" s="3" t="str">
        <f>IF(A36&lt;&gt;"", SUMIF(B1,"&lt;&gt;",B36),"")</f>
        <v/>
      </c>
      <c r="D36" s="3" t="str">
        <f>IF(AND(A36&lt;&gt;"",C36&lt;&gt;""),ROUND(C36,0),"")</f>
        <v/>
      </c>
    </row>
    <row r="37" spans="2:4" x14ac:dyDescent="0.3">
      <c r="B37" s="3" t="str">
        <f>IFERROR(IF(A37&lt;&gt;"",VLOOKUP(Alunos!A37,Exame!A3:D250,4, FALSE),""), "")</f>
        <v/>
      </c>
      <c r="C37" s="3" t="str">
        <f>IF(A37&lt;&gt;"", SUMIF(B1,"&lt;&gt;",B37),"")</f>
        <v/>
      </c>
      <c r="D37" s="3" t="str">
        <f>IF(AND(A37&lt;&gt;"",C37&lt;&gt;""),ROUND(C37,0),"")</f>
        <v/>
      </c>
    </row>
    <row r="38" spans="2:4" x14ac:dyDescent="0.3">
      <c r="B38" s="3" t="str">
        <f>IFERROR(IF(A38&lt;&gt;"",VLOOKUP(Alunos!A38,Exame!A3:D250,4, FALSE),""), "")</f>
        <v/>
      </c>
      <c r="C38" s="3" t="str">
        <f>IF(A38&lt;&gt;"", SUMIF(B1,"&lt;&gt;",B38),"")</f>
        <v/>
      </c>
      <c r="D38" s="3" t="str">
        <f>IF(AND(A38&lt;&gt;"",C38&lt;&gt;""),ROUND(C38,0),"")</f>
        <v/>
      </c>
    </row>
    <row r="39" spans="2:4" x14ac:dyDescent="0.3">
      <c r="B39" s="3" t="str">
        <f>IFERROR(IF(A39&lt;&gt;"",VLOOKUP(Alunos!A39,Exame!A3:D250,4, FALSE),""), "")</f>
        <v/>
      </c>
      <c r="C39" s="3" t="str">
        <f>IF(A39&lt;&gt;"", SUMIF(B1,"&lt;&gt;",B39),"")</f>
        <v/>
      </c>
      <c r="D39" s="3" t="str">
        <f>IF(AND(A39&lt;&gt;"",C39&lt;&gt;""),ROUND(C39,0),"")</f>
        <v/>
      </c>
    </row>
    <row r="40" spans="2:4" x14ac:dyDescent="0.3">
      <c r="B40" s="3" t="str">
        <f>IFERROR(IF(A40&lt;&gt;"",VLOOKUP(Alunos!A40,Exame!A3:D250,4, FALSE),""), "")</f>
        <v/>
      </c>
      <c r="C40" s="3" t="str">
        <f>IF(A40&lt;&gt;"", SUMIF(B1,"&lt;&gt;",B40),"")</f>
        <v/>
      </c>
      <c r="D40" s="3" t="str">
        <f>IF(AND(A40&lt;&gt;"",C40&lt;&gt;""),ROUND(C40,0),"")</f>
        <v/>
      </c>
    </row>
    <row r="41" spans="2:4" x14ac:dyDescent="0.3">
      <c r="B41" s="3" t="str">
        <f>IFERROR(IF(A41&lt;&gt;"",VLOOKUP(Alunos!A41,Exame!A3:D250,4, FALSE),""), "")</f>
        <v/>
      </c>
      <c r="C41" s="3" t="str">
        <f>IF(A41&lt;&gt;"", SUMIF(B1,"&lt;&gt;",B41),"")</f>
        <v/>
      </c>
      <c r="D41" s="3" t="str">
        <f>IF(AND(A41&lt;&gt;"",C41&lt;&gt;""),ROUND(C41,0),"")</f>
        <v/>
      </c>
    </row>
    <row r="42" spans="2:4" x14ac:dyDescent="0.3">
      <c r="B42" s="3" t="str">
        <f>IFERROR(IF(A42&lt;&gt;"",VLOOKUP(Alunos!A42,Exame!A3:D250,4, FALSE),""), "")</f>
        <v/>
      </c>
      <c r="C42" s="3" t="str">
        <f>IF(A42&lt;&gt;"", SUMIF(B1,"&lt;&gt;",B42),"")</f>
        <v/>
      </c>
      <c r="D42" s="3" t="str">
        <f>IF(AND(A42&lt;&gt;"",C42&lt;&gt;""),ROUND(C42,0),"")</f>
        <v/>
      </c>
    </row>
    <row r="43" spans="2:4" x14ac:dyDescent="0.3">
      <c r="B43" s="3" t="str">
        <f>IFERROR(IF(A43&lt;&gt;"",VLOOKUP(Alunos!A43,Exame!A3:D250,4, FALSE),""), "")</f>
        <v/>
      </c>
      <c r="C43" s="3" t="str">
        <f>IF(A43&lt;&gt;"", SUMIF(B1,"&lt;&gt;",B43),"")</f>
        <v/>
      </c>
      <c r="D43" s="3" t="str">
        <f>IF(AND(A43&lt;&gt;"",C43&lt;&gt;""),ROUND(C43,0),"")</f>
        <v/>
      </c>
    </row>
    <row r="44" spans="2:4" x14ac:dyDescent="0.3">
      <c r="B44" s="3" t="str">
        <f>IFERROR(IF(A44&lt;&gt;"",VLOOKUP(Alunos!A44,Exame!A3:D250,4, FALSE),""), "")</f>
        <v/>
      </c>
      <c r="C44" s="3" t="str">
        <f>IF(A44&lt;&gt;"", SUMIF(B1,"&lt;&gt;",B44),"")</f>
        <v/>
      </c>
      <c r="D44" s="3" t="str">
        <f>IF(AND(A44&lt;&gt;"",C44&lt;&gt;""),ROUND(C44,0),"")</f>
        <v/>
      </c>
    </row>
    <row r="45" spans="2:4" x14ac:dyDescent="0.3">
      <c r="B45" s="3" t="str">
        <f>IFERROR(IF(A45&lt;&gt;"",VLOOKUP(Alunos!A45,Exame!A3:D250,4, FALSE),""), "")</f>
        <v/>
      </c>
      <c r="C45" s="3" t="str">
        <f>IF(A45&lt;&gt;"", SUMIF(B1,"&lt;&gt;",B45),"")</f>
        <v/>
      </c>
      <c r="D45" s="3" t="str">
        <f>IF(AND(A45&lt;&gt;"",C45&lt;&gt;""),ROUND(C45,0),"")</f>
        <v/>
      </c>
    </row>
    <row r="46" spans="2:4" x14ac:dyDescent="0.3">
      <c r="B46" s="3" t="str">
        <f>IFERROR(IF(A46&lt;&gt;"",VLOOKUP(Alunos!A46,Exame!A3:D250,4, FALSE),""), "")</f>
        <v/>
      </c>
      <c r="C46" s="3" t="str">
        <f>IF(A46&lt;&gt;"", SUMIF(B1,"&lt;&gt;",B46),"")</f>
        <v/>
      </c>
      <c r="D46" s="3" t="str">
        <f>IF(AND(A46&lt;&gt;"",C46&lt;&gt;""),ROUND(C46,0),"")</f>
        <v/>
      </c>
    </row>
    <row r="47" spans="2:4" x14ac:dyDescent="0.3">
      <c r="B47" s="3" t="str">
        <f>IFERROR(IF(A47&lt;&gt;"",VLOOKUP(Alunos!A47,Exame!A3:D250,4, FALSE),""), "")</f>
        <v/>
      </c>
      <c r="C47" s="3" t="str">
        <f>IF(A47&lt;&gt;"", SUMIF(B1,"&lt;&gt;",B47),"")</f>
        <v/>
      </c>
      <c r="D47" s="3" t="str">
        <f>IF(AND(A47&lt;&gt;"",C47&lt;&gt;""),ROUND(C47,0),"")</f>
        <v/>
      </c>
    </row>
    <row r="48" spans="2:4" x14ac:dyDescent="0.3">
      <c r="B48" s="3" t="str">
        <f>IFERROR(IF(A48&lt;&gt;"",VLOOKUP(Alunos!A48,Exame!A3:D250,4, FALSE),""), "")</f>
        <v/>
      </c>
      <c r="C48" s="3" t="str">
        <f>IF(A48&lt;&gt;"", SUMIF(B1,"&lt;&gt;",B48),"")</f>
        <v/>
      </c>
      <c r="D48" s="3" t="str">
        <f>IF(AND(A48&lt;&gt;"",C48&lt;&gt;""),ROUND(C48,0),"")</f>
        <v/>
      </c>
    </row>
    <row r="49" spans="2:4" x14ac:dyDescent="0.3">
      <c r="B49" s="3" t="str">
        <f>IFERROR(IF(A49&lt;&gt;"",VLOOKUP(Alunos!A49,Exame!A3:D250,4, FALSE),""), "")</f>
        <v/>
      </c>
      <c r="C49" s="3" t="str">
        <f>IF(A49&lt;&gt;"", SUMIF(B1,"&lt;&gt;",B49),"")</f>
        <v/>
      </c>
      <c r="D49" s="3" t="str">
        <f>IF(AND(A49&lt;&gt;"",C49&lt;&gt;""),ROUND(C49,0),"")</f>
        <v/>
      </c>
    </row>
    <row r="50" spans="2:4" x14ac:dyDescent="0.3">
      <c r="B50" s="3" t="str">
        <f>IFERROR(IF(A50&lt;&gt;"",VLOOKUP(Alunos!A50,Exame!A3:D250,4, FALSE),""), "")</f>
        <v/>
      </c>
      <c r="C50" s="3" t="str">
        <f>IF(A50&lt;&gt;"", SUMIF(B1,"&lt;&gt;",B50),"")</f>
        <v/>
      </c>
      <c r="D50" s="3" t="str">
        <f>IF(AND(A50&lt;&gt;"",C50&lt;&gt;""),ROUND(C50,0),"")</f>
        <v/>
      </c>
    </row>
    <row r="51" spans="2:4" x14ac:dyDescent="0.3">
      <c r="B51" s="3" t="str">
        <f>IFERROR(IF(A51&lt;&gt;"",VLOOKUP(Alunos!A51,Exame!A3:D250,4, FALSE),""), "")</f>
        <v/>
      </c>
      <c r="C51" s="3" t="str">
        <f>IF(A51&lt;&gt;"", SUMIF(B1,"&lt;&gt;",B51),"")</f>
        <v/>
      </c>
      <c r="D51" s="3" t="str">
        <f>IF(AND(A51&lt;&gt;"",C51&lt;&gt;""),ROUND(C51,0),"")</f>
        <v/>
      </c>
    </row>
    <row r="52" spans="2:4" x14ac:dyDescent="0.3">
      <c r="B52" s="3" t="str">
        <f>IFERROR(IF(A52&lt;&gt;"",VLOOKUP(Alunos!A52,Exame!A3:D250,4, FALSE),""), "")</f>
        <v/>
      </c>
      <c r="C52" s="3" t="str">
        <f>IF(A52&lt;&gt;"", SUMIF(B1,"&lt;&gt;",B52),"")</f>
        <v/>
      </c>
      <c r="D52" s="3" t="str">
        <f>IF(AND(A52&lt;&gt;"",C52&lt;&gt;""),ROUND(C52,0),"")</f>
        <v/>
      </c>
    </row>
    <row r="53" spans="2:4" x14ac:dyDescent="0.3">
      <c r="B53" s="3" t="str">
        <f>IFERROR(IF(A53&lt;&gt;"",VLOOKUP(Alunos!A53,Exame!A3:D250,4, FALSE),""), "")</f>
        <v/>
      </c>
      <c r="C53" s="3" t="str">
        <f>IF(A53&lt;&gt;"", SUMIF(B1,"&lt;&gt;",B53),"")</f>
        <v/>
      </c>
      <c r="D53" s="3" t="str">
        <f>IF(AND(A53&lt;&gt;"",C53&lt;&gt;""),ROUND(C53,0),"")</f>
        <v/>
      </c>
    </row>
    <row r="54" spans="2:4" x14ac:dyDescent="0.3">
      <c r="B54" s="3" t="str">
        <f>IFERROR(IF(A54&lt;&gt;"",VLOOKUP(Alunos!A54,Exame!A3:D250,4, FALSE),""), "")</f>
        <v/>
      </c>
      <c r="C54" s="3" t="str">
        <f>IF(A54&lt;&gt;"", SUMIF(B1,"&lt;&gt;",B54),"")</f>
        <v/>
      </c>
      <c r="D54" s="3" t="str">
        <f>IF(AND(A54&lt;&gt;"",C54&lt;&gt;""),ROUND(C54,0),"")</f>
        <v/>
      </c>
    </row>
    <row r="55" spans="2:4" x14ac:dyDescent="0.3">
      <c r="B55" s="3" t="str">
        <f>IFERROR(IF(A55&lt;&gt;"",VLOOKUP(Alunos!A55,Exame!A3:D250,4, FALSE),""), "")</f>
        <v/>
      </c>
      <c r="C55" s="3" t="str">
        <f>IF(A55&lt;&gt;"", SUMIF(B1,"&lt;&gt;",B55),"")</f>
        <v/>
      </c>
      <c r="D55" s="3" t="str">
        <f>IF(AND(A55&lt;&gt;"",C55&lt;&gt;""),ROUND(C55,0),"")</f>
        <v/>
      </c>
    </row>
    <row r="56" spans="2:4" x14ac:dyDescent="0.3">
      <c r="B56" s="3" t="str">
        <f>IFERROR(IF(A56&lt;&gt;"",VLOOKUP(Alunos!A56,Exame!A3:D250,4, FALSE),""), "")</f>
        <v/>
      </c>
      <c r="C56" s="3" t="str">
        <f>IF(A56&lt;&gt;"", SUMIF(B1,"&lt;&gt;",B56),"")</f>
        <v/>
      </c>
      <c r="D56" s="3" t="str">
        <f>IF(AND(A56&lt;&gt;"",C56&lt;&gt;""),ROUND(C56,0),"")</f>
        <v/>
      </c>
    </row>
    <row r="57" spans="2:4" x14ac:dyDescent="0.3">
      <c r="B57" s="3" t="str">
        <f>IFERROR(IF(A57&lt;&gt;"",VLOOKUP(Alunos!A57,Exame!A3:D250,4, FALSE),""), "")</f>
        <v/>
      </c>
      <c r="C57" s="3" t="str">
        <f>IF(A57&lt;&gt;"", SUMIF(B1,"&lt;&gt;",B57),"")</f>
        <v/>
      </c>
      <c r="D57" s="3" t="str">
        <f>IF(AND(A57&lt;&gt;"",C57&lt;&gt;""),ROUND(C57,0),"")</f>
        <v/>
      </c>
    </row>
    <row r="58" spans="2:4" x14ac:dyDescent="0.3">
      <c r="B58" s="3" t="str">
        <f>IFERROR(IF(A58&lt;&gt;"",VLOOKUP(Alunos!A58,Exame!A3:D250,4, FALSE),""), "")</f>
        <v/>
      </c>
      <c r="C58" s="3" t="str">
        <f>IF(A58&lt;&gt;"", SUMIF(B1,"&lt;&gt;",B58),"")</f>
        <v/>
      </c>
      <c r="D58" s="3" t="str">
        <f>IF(AND(A58&lt;&gt;"",C58&lt;&gt;""),ROUND(C58,0),"")</f>
        <v/>
      </c>
    </row>
    <row r="59" spans="2:4" x14ac:dyDescent="0.3">
      <c r="B59" s="3" t="str">
        <f>IFERROR(IF(A59&lt;&gt;"",VLOOKUP(Alunos!A59,Exame!A3:D250,4, FALSE),""), "")</f>
        <v/>
      </c>
      <c r="C59" s="3" t="str">
        <f>IF(A59&lt;&gt;"", SUMIF(B1,"&lt;&gt;",B59),"")</f>
        <v/>
      </c>
      <c r="D59" s="3" t="str">
        <f>IF(AND(A59&lt;&gt;"",C59&lt;&gt;""),ROUND(C59,0),"")</f>
        <v/>
      </c>
    </row>
    <row r="60" spans="2:4" x14ac:dyDescent="0.3">
      <c r="B60" s="3" t="str">
        <f>IFERROR(IF(A60&lt;&gt;"",VLOOKUP(Alunos!A60,Exame!A3:D250,4, FALSE),""), "")</f>
        <v/>
      </c>
      <c r="C60" s="3" t="str">
        <f>IF(A60&lt;&gt;"", SUMIF(B1,"&lt;&gt;",B60),"")</f>
        <v/>
      </c>
      <c r="D60" s="3" t="str">
        <f>IF(AND(A60&lt;&gt;"",C60&lt;&gt;""),ROUND(C60,0),"")</f>
        <v/>
      </c>
    </row>
    <row r="61" spans="2:4" x14ac:dyDescent="0.3">
      <c r="B61" s="3" t="str">
        <f>IFERROR(IF(A61&lt;&gt;"",VLOOKUP(Alunos!A61,Exame!A3:D250,4, FALSE),""), "")</f>
        <v/>
      </c>
      <c r="C61" s="3" t="str">
        <f>IF(A61&lt;&gt;"", SUMIF(B1,"&lt;&gt;",B61),"")</f>
        <v/>
      </c>
      <c r="D61" s="3" t="str">
        <f>IF(AND(A61&lt;&gt;"",C61&lt;&gt;""),ROUND(C61,0),"")</f>
        <v/>
      </c>
    </row>
    <row r="62" spans="2:4" x14ac:dyDescent="0.3">
      <c r="B62" s="3" t="str">
        <f>IFERROR(IF(A62&lt;&gt;"",VLOOKUP(Alunos!A62,Exame!A3:D250,4, FALSE),""), "")</f>
        <v/>
      </c>
      <c r="C62" s="3" t="str">
        <f>IF(A62&lt;&gt;"", SUMIF(B1,"&lt;&gt;",B62),"")</f>
        <v/>
      </c>
      <c r="D62" s="3" t="str">
        <f>IF(AND(A62&lt;&gt;"",C62&lt;&gt;""),ROUND(C62,0),"")</f>
        <v/>
      </c>
    </row>
    <row r="63" spans="2:4" x14ac:dyDescent="0.3">
      <c r="B63" s="3" t="str">
        <f>IFERROR(IF(A63&lt;&gt;"",VLOOKUP(Alunos!A63,Exame!A3:D250,4, FALSE),""), "")</f>
        <v/>
      </c>
      <c r="C63" s="3" t="str">
        <f>IF(A63&lt;&gt;"", SUMIF(B1,"&lt;&gt;",B63),"")</f>
        <v/>
      </c>
      <c r="D63" s="3" t="str">
        <f>IF(AND(A63&lt;&gt;"",C63&lt;&gt;""),ROUND(C63,0),"")</f>
        <v/>
      </c>
    </row>
    <row r="64" spans="2:4" x14ac:dyDescent="0.3">
      <c r="B64" s="3" t="str">
        <f>IFERROR(IF(A64&lt;&gt;"",VLOOKUP(Alunos!A64,Exame!A3:D250,4, FALSE),""), "")</f>
        <v/>
      </c>
      <c r="C64" s="3" t="str">
        <f>IF(A64&lt;&gt;"", SUMIF(B1,"&lt;&gt;",B64),"")</f>
        <v/>
      </c>
      <c r="D64" s="3" t="str">
        <f>IF(AND(A64&lt;&gt;"",C64&lt;&gt;""),ROUND(C64,0),"")</f>
        <v/>
      </c>
    </row>
    <row r="65" spans="2:4" x14ac:dyDescent="0.3">
      <c r="B65" s="3" t="str">
        <f>IFERROR(IF(A65&lt;&gt;"",VLOOKUP(Alunos!A65,Exame!A3:D250,4, FALSE),""), "")</f>
        <v/>
      </c>
      <c r="C65" s="3" t="str">
        <f>IF(A65&lt;&gt;"", SUMIF(B1,"&lt;&gt;",B65),"")</f>
        <v/>
      </c>
      <c r="D65" s="3" t="str">
        <f>IF(AND(A65&lt;&gt;"",C65&lt;&gt;""),ROUND(C65,0),"")</f>
        <v/>
      </c>
    </row>
    <row r="66" spans="2:4" x14ac:dyDescent="0.3">
      <c r="B66" s="3" t="str">
        <f>IFERROR(IF(A66&lt;&gt;"",VLOOKUP(Alunos!A66,Exame!A3:D250,4, FALSE),""), "")</f>
        <v/>
      </c>
      <c r="C66" s="3" t="str">
        <f>IF(A66&lt;&gt;"", SUMIF(B1,"&lt;&gt;",B66),"")</f>
        <v/>
      </c>
      <c r="D66" s="3" t="str">
        <f>IF(AND(A66&lt;&gt;"",C66&lt;&gt;""),ROUND(C66,0),"")</f>
        <v/>
      </c>
    </row>
    <row r="67" spans="2:4" x14ac:dyDescent="0.3">
      <c r="B67" s="3" t="str">
        <f>IFERROR(IF(A67&lt;&gt;"",VLOOKUP(Alunos!A67,Exame!A3:D250,4, FALSE),""), "")</f>
        <v/>
      </c>
      <c r="C67" s="3" t="str">
        <f>IF(A67&lt;&gt;"", SUMIF(B1,"&lt;&gt;",B67),"")</f>
        <v/>
      </c>
      <c r="D67" s="3" t="str">
        <f>IF(AND(A67&lt;&gt;"",C67&lt;&gt;""),ROUND(C67,0),"")</f>
        <v/>
      </c>
    </row>
    <row r="68" spans="2:4" x14ac:dyDescent="0.3">
      <c r="B68" s="3" t="str">
        <f>IFERROR(IF(A68&lt;&gt;"",VLOOKUP(Alunos!A68,Exame!A3:D250,4, FALSE),""), "")</f>
        <v/>
      </c>
      <c r="C68" s="3" t="str">
        <f>IF(A68&lt;&gt;"", SUMIF(B1,"&lt;&gt;",B68),"")</f>
        <v/>
      </c>
      <c r="D68" s="3" t="str">
        <f>IF(AND(A68&lt;&gt;"",C68&lt;&gt;""),ROUND(C68,0),"")</f>
        <v/>
      </c>
    </row>
    <row r="69" spans="2:4" x14ac:dyDescent="0.3">
      <c r="B69" s="3" t="str">
        <f>IFERROR(IF(A69&lt;&gt;"",VLOOKUP(Alunos!A69,Exame!A3:D250,4, FALSE),""), "")</f>
        <v/>
      </c>
      <c r="C69" s="3" t="str">
        <f>IF(A69&lt;&gt;"", SUMIF(B1,"&lt;&gt;",B69),"")</f>
        <v/>
      </c>
      <c r="D69" s="3" t="str">
        <f>IF(AND(A69&lt;&gt;"",C69&lt;&gt;""),ROUND(C69,0),"")</f>
        <v/>
      </c>
    </row>
    <row r="70" spans="2:4" x14ac:dyDescent="0.3">
      <c r="B70" s="3" t="str">
        <f>IFERROR(IF(A70&lt;&gt;"",VLOOKUP(Alunos!A70,Exame!A3:D250,4, FALSE),""), "")</f>
        <v/>
      </c>
      <c r="C70" s="3" t="str">
        <f>IF(A70&lt;&gt;"", SUMIF(B1,"&lt;&gt;",B70),"")</f>
        <v/>
      </c>
      <c r="D70" s="3" t="str">
        <f>IF(AND(A70&lt;&gt;"",C70&lt;&gt;""),ROUND(C70,0),"")</f>
        <v/>
      </c>
    </row>
    <row r="71" spans="2:4" x14ac:dyDescent="0.3">
      <c r="B71" s="3" t="str">
        <f>IFERROR(IF(A71&lt;&gt;"",VLOOKUP(Alunos!A71,Exame!A3:D250,4, FALSE),""), "")</f>
        <v/>
      </c>
      <c r="C71" s="3" t="str">
        <f>IF(A71&lt;&gt;"", SUMIF(B1,"&lt;&gt;",B71),"")</f>
        <v/>
      </c>
      <c r="D71" s="3" t="str">
        <f>IF(AND(A71&lt;&gt;"",C71&lt;&gt;""),ROUND(C71,0),"")</f>
        <v/>
      </c>
    </row>
    <row r="72" spans="2:4" x14ac:dyDescent="0.3">
      <c r="B72" s="3" t="str">
        <f>IFERROR(IF(A72&lt;&gt;"",VLOOKUP(Alunos!A72,Exame!A3:D250,4, FALSE),""), "")</f>
        <v/>
      </c>
      <c r="C72" s="3" t="str">
        <f>IF(A72&lt;&gt;"", SUMIF(B1,"&lt;&gt;",B72),"")</f>
        <v/>
      </c>
      <c r="D72" s="3" t="str">
        <f>IF(AND(A72&lt;&gt;"",C72&lt;&gt;""),ROUND(C72,0),"")</f>
        <v/>
      </c>
    </row>
    <row r="73" spans="2:4" x14ac:dyDescent="0.3">
      <c r="B73" s="3" t="str">
        <f>IFERROR(IF(A73&lt;&gt;"",VLOOKUP(Alunos!A73,Exame!A3:D250,4, FALSE),""), "")</f>
        <v/>
      </c>
      <c r="C73" s="3" t="str">
        <f>IF(A73&lt;&gt;"", SUMIF(B1,"&lt;&gt;",B73),"")</f>
        <v/>
      </c>
      <c r="D73" s="3" t="str">
        <f>IF(AND(A73&lt;&gt;"",C73&lt;&gt;""),ROUND(C73,0),"")</f>
        <v/>
      </c>
    </row>
    <row r="74" spans="2:4" x14ac:dyDescent="0.3">
      <c r="B74" s="3" t="str">
        <f>IFERROR(IF(A74&lt;&gt;"",VLOOKUP(Alunos!A74,Exame!A3:D250,4, FALSE),""), "")</f>
        <v/>
      </c>
      <c r="C74" s="3" t="str">
        <f>IF(A74&lt;&gt;"", SUMIF(B1,"&lt;&gt;",B74),"")</f>
        <v/>
      </c>
      <c r="D74" s="3" t="str">
        <f>IF(AND(A74&lt;&gt;"",C74&lt;&gt;""),ROUND(C74,0),"")</f>
        <v/>
      </c>
    </row>
    <row r="75" spans="2:4" x14ac:dyDescent="0.3">
      <c r="B75" s="3" t="str">
        <f>IFERROR(IF(A75&lt;&gt;"",VLOOKUP(Alunos!A75,Exame!A3:D250,4, FALSE),""), "")</f>
        <v/>
      </c>
      <c r="C75" s="3" t="str">
        <f>IF(A75&lt;&gt;"", SUMIF(B1,"&lt;&gt;",B75),"")</f>
        <v/>
      </c>
      <c r="D75" s="3" t="str">
        <f>IF(AND(A75&lt;&gt;"",C75&lt;&gt;""),ROUND(C75,0),"")</f>
        <v/>
      </c>
    </row>
    <row r="76" spans="2:4" x14ac:dyDescent="0.3">
      <c r="B76" s="3" t="str">
        <f>IFERROR(IF(A76&lt;&gt;"",VLOOKUP(Alunos!A76,Exame!A3:D250,4, FALSE),""), "")</f>
        <v/>
      </c>
      <c r="C76" s="3" t="str">
        <f>IF(A76&lt;&gt;"", SUMIF(B1,"&lt;&gt;",B76),"")</f>
        <v/>
      </c>
      <c r="D76" s="3" t="str">
        <f>IF(AND(A76&lt;&gt;"",C76&lt;&gt;""),ROUND(C76,0),"")</f>
        <v/>
      </c>
    </row>
    <row r="77" spans="2:4" x14ac:dyDescent="0.3">
      <c r="B77" s="3" t="str">
        <f>IFERROR(IF(A77&lt;&gt;"",VLOOKUP(Alunos!A77,Exame!A3:D250,4, FALSE),""), "")</f>
        <v/>
      </c>
      <c r="C77" s="3" t="str">
        <f>IF(A77&lt;&gt;"", SUMIF(B1,"&lt;&gt;",B77),"")</f>
        <v/>
      </c>
      <c r="D77" s="3" t="str">
        <f>IF(AND(A77&lt;&gt;"",C77&lt;&gt;""),ROUND(C77,0),"")</f>
        <v/>
      </c>
    </row>
    <row r="78" spans="2:4" x14ac:dyDescent="0.3">
      <c r="B78" s="3" t="str">
        <f>IFERROR(IF(A78&lt;&gt;"",VLOOKUP(Alunos!A78,Exame!A3:D250,4, FALSE),""), "")</f>
        <v/>
      </c>
      <c r="C78" s="3" t="str">
        <f>IF(A78&lt;&gt;"", SUMIF(B1,"&lt;&gt;",B78),"")</f>
        <v/>
      </c>
      <c r="D78" s="3" t="str">
        <f>IF(AND(A78&lt;&gt;"",C78&lt;&gt;""),ROUND(C78,0),"")</f>
        <v/>
      </c>
    </row>
    <row r="79" spans="2:4" x14ac:dyDescent="0.3">
      <c r="B79" s="3" t="str">
        <f>IFERROR(IF(A79&lt;&gt;"",VLOOKUP(Alunos!A79,Exame!A3:D250,4, FALSE),""), "")</f>
        <v/>
      </c>
      <c r="C79" s="3" t="str">
        <f>IF(A79&lt;&gt;"", SUMIF(B1,"&lt;&gt;",B79),"")</f>
        <v/>
      </c>
      <c r="D79" s="3" t="str">
        <f>IF(AND(A79&lt;&gt;"",C79&lt;&gt;""),ROUND(C79,0),"")</f>
        <v/>
      </c>
    </row>
    <row r="80" spans="2:4" x14ac:dyDescent="0.3">
      <c r="B80" s="3" t="str">
        <f>IFERROR(IF(A80&lt;&gt;"",VLOOKUP(Alunos!A80,Exame!A3:D250,4, FALSE),""), "")</f>
        <v/>
      </c>
      <c r="C80" s="3" t="str">
        <f>IF(A80&lt;&gt;"", SUMIF(B1,"&lt;&gt;",B80),"")</f>
        <v/>
      </c>
      <c r="D80" s="3" t="str">
        <f>IF(AND(A80&lt;&gt;"",C80&lt;&gt;""),ROUND(C80,0),"")</f>
        <v/>
      </c>
    </row>
    <row r="81" spans="2:4" x14ac:dyDescent="0.3">
      <c r="B81" s="3" t="str">
        <f>IFERROR(IF(A81&lt;&gt;"",VLOOKUP(Alunos!A81,Exame!A3:D250,4, FALSE),""), "")</f>
        <v/>
      </c>
      <c r="C81" s="3" t="str">
        <f>IF(A81&lt;&gt;"", SUMIF(B1,"&lt;&gt;",B81),"")</f>
        <v/>
      </c>
      <c r="D81" s="3" t="str">
        <f>IF(AND(A81&lt;&gt;"",C81&lt;&gt;""),ROUND(C81,0),"")</f>
        <v/>
      </c>
    </row>
    <row r="82" spans="2:4" x14ac:dyDescent="0.3">
      <c r="B82" s="3" t="str">
        <f>IFERROR(IF(A82&lt;&gt;"",VLOOKUP(Alunos!A82,Exame!A3:D250,4, FALSE),""), "")</f>
        <v/>
      </c>
      <c r="C82" s="3" t="str">
        <f>IF(A82&lt;&gt;"", SUMIF(B1,"&lt;&gt;",B82),"")</f>
        <v/>
      </c>
      <c r="D82" s="3" t="str">
        <f>IF(AND(A82&lt;&gt;"",C82&lt;&gt;""),ROUND(C82,0),"")</f>
        <v/>
      </c>
    </row>
    <row r="83" spans="2:4" x14ac:dyDescent="0.3">
      <c r="B83" s="3" t="str">
        <f>IFERROR(IF(A83&lt;&gt;"",VLOOKUP(Alunos!A83,Exame!A3:D250,4, FALSE),""), "")</f>
        <v/>
      </c>
      <c r="C83" s="3" t="str">
        <f>IF(A83&lt;&gt;"", SUMIF(B1,"&lt;&gt;",B83),"")</f>
        <v/>
      </c>
      <c r="D83" s="3" t="str">
        <f>IF(AND(A83&lt;&gt;"",C83&lt;&gt;""),ROUND(C83,0),"")</f>
        <v/>
      </c>
    </row>
    <row r="84" spans="2:4" x14ac:dyDescent="0.3">
      <c r="B84" s="3" t="str">
        <f>IFERROR(IF(A84&lt;&gt;"",VLOOKUP(Alunos!A84,Exame!A3:D250,4, FALSE),""), "")</f>
        <v/>
      </c>
      <c r="C84" s="3" t="str">
        <f>IF(A84&lt;&gt;"", SUMIF(B1,"&lt;&gt;",B84),"")</f>
        <v/>
      </c>
      <c r="D84" s="3" t="str">
        <f>IF(AND(A84&lt;&gt;"",C84&lt;&gt;""),ROUND(C84,0),"")</f>
        <v/>
      </c>
    </row>
    <row r="85" spans="2:4" x14ac:dyDescent="0.3">
      <c r="B85" s="3" t="str">
        <f>IFERROR(IF(A85&lt;&gt;"",VLOOKUP(Alunos!A85,Exame!A3:D250,4, FALSE),""), "")</f>
        <v/>
      </c>
      <c r="C85" s="3" t="str">
        <f>IF(A85&lt;&gt;"", SUMIF(B1,"&lt;&gt;",B85),"")</f>
        <v/>
      </c>
      <c r="D85" s="3" t="str">
        <f>IF(AND(A85&lt;&gt;"",C85&lt;&gt;""),ROUND(C85,0),"")</f>
        <v/>
      </c>
    </row>
    <row r="86" spans="2:4" x14ac:dyDescent="0.3">
      <c r="B86" s="3" t="str">
        <f>IFERROR(IF(A86&lt;&gt;"",VLOOKUP(Alunos!A86,Exame!A3:D250,4, FALSE),""), "")</f>
        <v/>
      </c>
      <c r="C86" s="3" t="str">
        <f>IF(A86&lt;&gt;"", SUMIF(B1,"&lt;&gt;",B86),"")</f>
        <v/>
      </c>
      <c r="D86" s="3" t="str">
        <f>IF(AND(A86&lt;&gt;"",C86&lt;&gt;""),ROUND(C86,0),"")</f>
        <v/>
      </c>
    </row>
    <row r="87" spans="2:4" x14ac:dyDescent="0.3">
      <c r="B87" s="3" t="str">
        <f>IFERROR(IF(A87&lt;&gt;"",VLOOKUP(Alunos!A87,Exame!A3:D250,4, FALSE),""), "")</f>
        <v/>
      </c>
      <c r="C87" s="3" t="str">
        <f>IF(A87&lt;&gt;"", SUMIF(B1,"&lt;&gt;",B87),"")</f>
        <v/>
      </c>
      <c r="D87" s="3" t="str">
        <f>IF(AND(A87&lt;&gt;"",C87&lt;&gt;""),ROUND(C87,0),"")</f>
        <v/>
      </c>
    </row>
    <row r="88" spans="2:4" x14ac:dyDescent="0.3">
      <c r="B88" s="3" t="str">
        <f>IFERROR(IF(A88&lt;&gt;"",VLOOKUP(Alunos!A88,Exame!A3:D250,4, FALSE),""), "")</f>
        <v/>
      </c>
      <c r="C88" s="3" t="str">
        <f>IF(A88&lt;&gt;"", SUMIF(B1,"&lt;&gt;",B88),"")</f>
        <v/>
      </c>
      <c r="D88" s="3" t="str">
        <f>IF(AND(A88&lt;&gt;"",C88&lt;&gt;""),ROUND(C88,0),"")</f>
        <v/>
      </c>
    </row>
    <row r="89" spans="2:4" x14ac:dyDescent="0.3">
      <c r="B89" s="3" t="str">
        <f>IFERROR(IF(A89&lt;&gt;"",VLOOKUP(Alunos!A89,Exame!A3:D250,4, FALSE),""), "")</f>
        <v/>
      </c>
      <c r="C89" s="3" t="str">
        <f>IF(A89&lt;&gt;"", SUMIF(B1,"&lt;&gt;",B89),"")</f>
        <v/>
      </c>
      <c r="D89" s="3" t="str">
        <f>IF(AND(A89&lt;&gt;"",C89&lt;&gt;""),ROUND(C89,0),"")</f>
        <v/>
      </c>
    </row>
    <row r="90" spans="2:4" x14ac:dyDescent="0.3">
      <c r="B90" s="3" t="str">
        <f>IFERROR(IF(A90&lt;&gt;"",VLOOKUP(Alunos!A90,Exame!A3:D250,4, FALSE),""), "")</f>
        <v/>
      </c>
      <c r="C90" s="3" t="str">
        <f>IF(A90&lt;&gt;"", SUMIF(B1,"&lt;&gt;",B90),"")</f>
        <v/>
      </c>
      <c r="D90" s="3" t="str">
        <f>IF(AND(A90&lt;&gt;"",C90&lt;&gt;""),ROUND(C90,0),"")</f>
        <v/>
      </c>
    </row>
    <row r="91" spans="2:4" x14ac:dyDescent="0.3">
      <c r="B91" s="3" t="str">
        <f>IFERROR(IF(A91&lt;&gt;"",VLOOKUP(Alunos!A91,Exame!A3:D250,4, FALSE),""), "")</f>
        <v/>
      </c>
      <c r="C91" s="3" t="str">
        <f>IF(A91&lt;&gt;"", SUMIF(B1,"&lt;&gt;",B91),"")</f>
        <v/>
      </c>
      <c r="D91" s="3" t="str">
        <f>IF(AND(A91&lt;&gt;"",C91&lt;&gt;""),ROUND(C91,0),"")</f>
        <v/>
      </c>
    </row>
    <row r="92" spans="2:4" x14ac:dyDescent="0.3">
      <c r="B92" s="3" t="str">
        <f>IFERROR(IF(A92&lt;&gt;"",VLOOKUP(Alunos!A92,Exame!A3:D250,4, FALSE),""), "")</f>
        <v/>
      </c>
      <c r="C92" s="3" t="str">
        <f>IF(A92&lt;&gt;"", SUMIF(B1,"&lt;&gt;",B92),"")</f>
        <v/>
      </c>
      <c r="D92" s="3" t="str">
        <f>IF(AND(A92&lt;&gt;"",C92&lt;&gt;""),ROUND(C92,0),"")</f>
        <v/>
      </c>
    </row>
    <row r="93" spans="2:4" x14ac:dyDescent="0.3">
      <c r="B93" s="3" t="str">
        <f>IFERROR(IF(A93&lt;&gt;"",VLOOKUP(Alunos!A93,Exame!A3:D250,4, FALSE),""), "")</f>
        <v/>
      </c>
      <c r="C93" s="3" t="str">
        <f>IF(A93&lt;&gt;"", SUMIF(B1,"&lt;&gt;",B93),"")</f>
        <v/>
      </c>
      <c r="D93" s="3" t="str">
        <f>IF(AND(A93&lt;&gt;"",C93&lt;&gt;""),ROUND(C93,0),"")</f>
        <v/>
      </c>
    </row>
    <row r="94" spans="2:4" x14ac:dyDescent="0.3">
      <c r="B94" s="3" t="str">
        <f>IFERROR(IF(A94&lt;&gt;"",VLOOKUP(Alunos!A94,Exame!A3:D250,4, FALSE),""), "")</f>
        <v/>
      </c>
      <c r="C94" s="3" t="str">
        <f>IF(A94&lt;&gt;"", SUMIF(B1,"&lt;&gt;",B94),"")</f>
        <v/>
      </c>
      <c r="D94" s="3" t="str">
        <f>IF(AND(A94&lt;&gt;"",C94&lt;&gt;""),ROUND(C94,0),"")</f>
        <v/>
      </c>
    </row>
    <row r="95" spans="2:4" x14ac:dyDescent="0.3">
      <c r="B95" s="3" t="str">
        <f>IFERROR(IF(A95&lt;&gt;"",VLOOKUP(Alunos!A95,Exame!A3:D250,4, FALSE),""), "")</f>
        <v/>
      </c>
      <c r="C95" s="3" t="str">
        <f>IF(A95&lt;&gt;"", SUMIF(B1,"&lt;&gt;",B95),"")</f>
        <v/>
      </c>
      <c r="D95" s="3" t="str">
        <f>IF(AND(A95&lt;&gt;"",C95&lt;&gt;""),ROUND(C95,0),"")</f>
        <v/>
      </c>
    </row>
    <row r="96" spans="2:4" x14ac:dyDescent="0.3">
      <c r="B96" s="3" t="str">
        <f>IFERROR(IF(A96&lt;&gt;"",VLOOKUP(Alunos!A96,Exame!A3:D250,4, FALSE),""), "")</f>
        <v/>
      </c>
      <c r="C96" s="3" t="str">
        <f>IF(A96&lt;&gt;"", SUMIF(B1,"&lt;&gt;",B96),"")</f>
        <v/>
      </c>
      <c r="D96" s="3" t="str">
        <f>IF(AND(A96&lt;&gt;"",C96&lt;&gt;""),ROUND(C96,0),"")</f>
        <v/>
      </c>
    </row>
    <row r="97" spans="2:4" x14ac:dyDescent="0.3">
      <c r="B97" s="3" t="str">
        <f>IFERROR(IF(A97&lt;&gt;"",VLOOKUP(Alunos!A97,Exame!A3:D250,4, FALSE),""), "")</f>
        <v/>
      </c>
      <c r="C97" s="3" t="str">
        <f>IF(A97&lt;&gt;"", SUMIF(B1,"&lt;&gt;",B97),"")</f>
        <v/>
      </c>
      <c r="D97" s="3" t="str">
        <f>IF(AND(A97&lt;&gt;"",C97&lt;&gt;""),ROUND(C97,0),"")</f>
        <v/>
      </c>
    </row>
    <row r="98" spans="2:4" x14ac:dyDescent="0.3">
      <c r="B98" s="3" t="str">
        <f>IFERROR(IF(A98&lt;&gt;"",VLOOKUP(Alunos!A98,Exame!A3:D250,4, FALSE),""), "")</f>
        <v/>
      </c>
      <c r="C98" s="3" t="str">
        <f>IF(A98&lt;&gt;"", SUMIF(B1,"&lt;&gt;",B98),"")</f>
        <v/>
      </c>
      <c r="D98" s="3" t="str">
        <f>IF(AND(A98&lt;&gt;"",C98&lt;&gt;""),ROUND(C98,0),"")</f>
        <v/>
      </c>
    </row>
    <row r="99" spans="2:4" x14ac:dyDescent="0.3">
      <c r="B99" s="3" t="str">
        <f>IFERROR(IF(A99&lt;&gt;"",VLOOKUP(Alunos!A99,Exame!A3:D250,4, FALSE),""), "")</f>
        <v/>
      </c>
      <c r="C99" s="3" t="str">
        <f>IF(A99&lt;&gt;"", SUMIF(B1,"&lt;&gt;",B99),"")</f>
        <v/>
      </c>
      <c r="D99" s="3" t="str">
        <f>IF(AND(A99&lt;&gt;"",C99&lt;&gt;""),ROUND(C99,0),"")</f>
        <v/>
      </c>
    </row>
    <row r="100" spans="2:4" x14ac:dyDescent="0.3">
      <c r="B100" s="3" t="str">
        <f>IFERROR(IF(A100&lt;&gt;"",VLOOKUP(Alunos!A100,Exame!A3:D250,4, FALSE),""), "")</f>
        <v/>
      </c>
      <c r="C100" s="3" t="str">
        <f>IF(A100&lt;&gt;"", SUMIF(B1,"&lt;&gt;",B100),"")</f>
        <v/>
      </c>
      <c r="D100" s="3" t="str">
        <f>IF(AND(A100&lt;&gt;"",C100&lt;&gt;""),ROUND(C100,0),"")</f>
        <v/>
      </c>
    </row>
    <row r="101" spans="2:4" x14ac:dyDescent="0.3">
      <c r="B101" s="3" t="str">
        <f>IFERROR(IF(A101&lt;&gt;"",VLOOKUP(Alunos!A101,Exame!A3:D250,4, FALSE),""), "")</f>
        <v/>
      </c>
      <c r="C101" s="3" t="str">
        <f>IF(A101&lt;&gt;"", SUMIF(B1,"&lt;&gt;",B101),"")</f>
        <v/>
      </c>
      <c r="D101" s="3" t="str">
        <f>IF(AND(A101&lt;&gt;"",C101&lt;&gt;""),ROUND(C101,0),"")</f>
        <v/>
      </c>
    </row>
    <row r="102" spans="2:4" x14ac:dyDescent="0.3">
      <c r="B102" s="3" t="str">
        <f>IFERROR(IF(A102&lt;&gt;"",VLOOKUP(Alunos!A102,Exame!A3:D250,4, FALSE),""), "")</f>
        <v/>
      </c>
      <c r="C102" s="3" t="str">
        <f>IF(A102&lt;&gt;"", SUMIF(B1,"&lt;&gt;",B102),"")</f>
        <v/>
      </c>
      <c r="D102" s="3" t="str">
        <f>IF(AND(A102&lt;&gt;"",C102&lt;&gt;""),ROUND(C102,0),"")</f>
        <v/>
      </c>
    </row>
    <row r="103" spans="2:4" x14ac:dyDescent="0.3">
      <c r="B103" s="3" t="str">
        <f>IFERROR(IF(A103&lt;&gt;"",VLOOKUP(Alunos!A103,Exame!A3:D250,4, FALSE),""), "")</f>
        <v/>
      </c>
      <c r="C103" s="3" t="str">
        <f>IF(A103&lt;&gt;"", SUMIF(B1,"&lt;&gt;",B103),"")</f>
        <v/>
      </c>
      <c r="D103" s="3" t="str">
        <f>IF(AND(A103&lt;&gt;"",C103&lt;&gt;""),ROUND(C103,0),"")</f>
        <v/>
      </c>
    </row>
    <row r="104" spans="2:4" x14ac:dyDescent="0.3">
      <c r="B104" s="3" t="str">
        <f>IFERROR(IF(A104&lt;&gt;"",VLOOKUP(Alunos!A104,Exame!A3:D250,4, FALSE),""), "")</f>
        <v/>
      </c>
      <c r="C104" s="3" t="str">
        <f>IF(A104&lt;&gt;"", SUMIF(B1,"&lt;&gt;",B104),"")</f>
        <v/>
      </c>
      <c r="D104" s="3" t="str">
        <f>IF(AND(A104&lt;&gt;"",C104&lt;&gt;""),ROUND(C104,0),"")</f>
        <v/>
      </c>
    </row>
    <row r="105" spans="2:4" x14ac:dyDescent="0.3">
      <c r="B105" s="3" t="str">
        <f>IFERROR(IF(A105&lt;&gt;"",VLOOKUP(Alunos!A105,Exame!A3:D250,4, FALSE),""), "")</f>
        <v/>
      </c>
      <c r="C105" s="3" t="str">
        <f>IF(A105&lt;&gt;"", SUMIF(B1,"&lt;&gt;",B105),"")</f>
        <v/>
      </c>
      <c r="D105" s="3" t="str">
        <f>IF(AND(A105&lt;&gt;"",C105&lt;&gt;""),ROUND(C105,0),"")</f>
        <v/>
      </c>
    </row>
    <row r="106" spans="2:4" x14ac:dyDescent="0.3">
      <c r="B106" s="3" t="str">
        <f>IFERROR(IF(A106&lt;&gt;"",VLOOKUP(Alunos!A106,Exame!A3:D250,4, FALSE),""), "")</f>
        <v/>
      </c>
      <c r="C106" s="3" t="str">
        <f>IF(A106&lt;&gt;"", SUMIF(B1,"&lt;&gt;",B106),"")</f>
        <v/>
      </c>
      <c r="D106" s="3" t="str">
        <f>IF(AND(A106&lt;&gt;"",C106&lt;&gt;""),ROUND(C106,0),"")</f>
        <v/>
      </c>
    </row>
    <row r="107" spans="2:4" x14ac:dyDescent="0.3">
      <c r="B107" s="3" t="str">
        <f>IFERROR(IF(A107&lt;&gt;"",VLOOKUP(Alunos!A107,Exame!A3:D250,4, FALSE),""), "")</f>
        <v/>
      </c>
      <c r="C107" s="3" t="str">
        <f>IF(A107&lt;&gt;"", SUMIF(B1,"&lt;&gt;",B107),"")</f>
        <v/>
      </c>
      <c r="D107" s="3" t="str">
        <f>IF(AND(A107&lt;&gt;"",C107&lt;&gt;""),ROUND(C107,0),"")</f>
        <v/>
      </c>
    </row>
    <row r="108" spans="2:4" x14ac:dyDescent="0.3">
      <c r="B108" s="3" t="str">
        <f>IFERROR(IF(A108&lt;&gt;"",VLOOKUP(Alunos!A108,Exame!A3:D250,4, FALSE),""), "")</f>
        <v/>
      </c>
      <c r="C108" s="3" t="str">
        <f>IF(A108&lt;&gt;"", SUMIF(B1,"&lt;&gt;",B108),"")</f>
        <v/>
      </c>
      <c r="D108" s="3" t="str">
        <f>IF(AND(A108&lt;&gt;"",C108&lt;&gt;""),ROUND(C108,0),"")</f>
        <v/>
      </c>
    </row>
    <row r="109" spans="2:4" x14ac:dyDescent="0.3">
      <c r="B109" s="3" t="str">
        <f>IFERROR(IF(A109&lt;&gt;"",VLOOKUP(Alunos!A109,Exame!A3:D250,4, FALSE),""), "")</f>
        <v/>
      </c>
      <c r="C109" s="3" t="str">
        <f>IF(A109&lt;&gt;"", SUMIF(B1,"&lt;&gt;",B109),"")</f>
        <v/>
      </c>
      <c r="D109" s="3" t="str">
        <f>IF(AND(A109&lt;&gt;"",C109&lt;&gt;""),ROUND(C109,0),"")</f>
        <v/>
      </c>
    </row>
    <row r="110" spans="2:4" x14ac:dyDescent="0.3">
      <c r="B110" s="3" t="str">
        <f>IFERROR(IF(A110&lt;&gt;"",VLOOKUP(Alunos!A110,Exame!A3:D250,4, FALSE),""), "")</f>
        <v/>
      </c>
      <c r="C110" s="3" t="str">
        <f>IF(A110&lt;&gt;"", SUMIF(B1,"&lt;&gt;",B110),"")</f>
        <v/>
      </c>
      <c r="D110" s="3" t="str">
        <f>IF(AND(A110&lt;&gt;"",C110&lt;&gt;""),ROUND(C110,0),"")</f>
        <v/>
      </c>
    </row>
    <row r="111" spans="2:4" x14ac:dyDescent="0.3">
      <c r="B111" s="3" t="str">
        <f>IFERROR(IF(A111&lt;&gt;"",VLOOKUP(Alunos!A111,Exame!A3:D250,4, FALSE),""), "")</f>
        <v/>
      </c>
      <c r="C111" s="3" t="str">
        <f>IF(A111&lt;&gt;"", SUMIF(B1,"&lt;&gt;",B111),"")</f>
        <v/>
      </c>
      <c r="D111" s="3" t="str">
        <f>IF(AND(A111&lt;&gt;"",C111&lt;&gt;""),ROUND(C111,0),"")</f>
        <v/>
      </c>
    </row>
    <row r="112" spans="2:4" x14ac:dyDescent="0.3">
      <c r="B112" s="3" t="str">
        <f>IFERROR(IF(A112&lt;&gt;"",VLOOKUP(Alunos!A112,Exame!A3:D250,4, FALSE),""), "")</f>
        <v/>
      </c>
      <c r="C112" s="3" t="str">
        <f>IF(A112&lt;&gt;"", SUMIF(B1,"&lt;&gt;",B112),"")</f>
        <v/>
      </c>
      <c r="D112" s="3" t="str">
        <f>IF(AND(A112&lt;&gt;"",C112&lt;&gt;""),ROUND(C112,0),"")</f>
        <v/>
      </c>
    </row>
    <row r="113" spans="2:4" x14ac:dyDescent="0.3">
      <c r="B113" s="3" t="str">
        <f>IFERROR(IF(A113&lt;&gt;"",VLOOKUP(Alunos!A113,Exame!A3:D250,4, FALSE),""), "")</f>
        <v/>
      </c>
      <c r="C113" s="3" t="str">
        <f>IF(A113&lt;&gt;"", SUMIF(B1,"&lt;&gt;",B113),"")</f>
        <v/>
      </c>
      <c r="D113" s="3" t="str">
        <f>IF(AND(A113&lt;&gt;"",C113&lt;&gt;""),ROUND(C113,0),"")</f>
        <v/>
      </c>
    </row>
    <row r="114" spans="2:4" x14ac:dyDescent="0.3">
      <c r="B114" s="3" t="str">
        <f>IFERROR(IF(A114&lt;&gt;"",VLOOKUP(Alunos!A114,Exame!A3:D250,4, FALSE),""), "")</f>
        <v/>
      </c>
      <c r="C114" s="3" t="str">
        <f>IF(A114&lt;&gt;"", SUMIF(B1,"&lt;&gt;",B114),"")</f>
        <v/>
      </c>
      <c r="D114" s="3" t="str">
        <f>IF(AND(A114&lt;&gt;"",C114&lt;&gt;""),ROUND(C114,0),"")</f>
        <v/>
      </c>
    </row>
    <row r="115" spans="2:4" x14ac:dyDescent="0.3">
      <c r="B115" s="3" t="str">
        <f>IFERROR(IF(A115&lt;&gt;"",VLOOKUP(Alunos!A115,Exame!A3:D250,4, FALSE),""), "")</f>
        <v/>
      </c>
      <c r="C115" s="3" t="str">
        <f>IF(A115&lt;&gt;"", SUMIF(B1,"&lt;&gt;",B115),"")</f>
        <v/>
      </c>
      <c r="D115" s="3" t="str">
        <f>IF(AND(A115&lt;&gt;"",C115&lt;&gt;""),ROUND(C115,0),"")</f>
        <v/>
      </c>
    </row>
    <row r="116" spans="2:4" x14ac:dyDescent="0.3">
      <c r="B116" s="3" t="str">
        <f>IFERROR(IF(A116&lt;&gt;"",VLOOKUP(Alunos!A116,Exame!A3:D250,4, FALSE),""), "")</f>
        <v/>
      </c>
      <c r="C116" s="3" t="str">
        <f>IF(A116&lt;&gt;"", SUMIF(B1,"&lt;&gt;",B116),"")</f>
        <v/>
      </c>
      <c r="D116" s="3" t="str">
        <f>IF(AND(A116&lt;&gt;"",C116&lt;&gt;""),ROUND(C116,0),"")</f>
        <v/>
      </c>
    </row>
    <row r="117" spans="2:4" x14ac:dyDescent="0.3">
      <c r="B117" s="3" t="str">
        <f>IFERROR(IF(A117&lt;&gt;"",VLOOKUP(Alunos!A117,Exame!A3:D250,4, FALSE),""), "")</f>
        <v/>
      </c>
      <c r="C117" s="3" t="str">
        <f>IF(A117&lt;&gt;"", SUMIF(B1,"&lt;&gt;",B117),"")</f>
        <v/>
      </c>
      <c r="D117" s="3" t="str">
        <f>IF(AND(A117&lt;&gt;"",C117&lt;&gt;""),ROUND(C117,0),"")</f>
        <v/>
      </c>
    </row>
    <row r="118" spans="2:4" x14ac:dyDescent="0.3">
      <c r="B118" s="3" t="str">
        <f>IFERROR(IF(A118&lt;&gt;"",VLOOKUP(Alunos!A118,Exame!A3:D250,4, FALSE),""), "")</f>
        <v/>
      </c>
      <c r="C118" s="3" t="str">
        <f>IF(A118&lt;&gt;"", SUMIF(B1,"&lt;&gt;",B118),"")</f>
        <v/>
      </c>
      <c r="D118" s="3" t="str">
        <f>IF(AND(A118&lt;&gt;"",C118&lt;&gt;""),ROUND(C118,0),"")</f>
        <v/>
      </c>
    </row>
    <row r="119" spans="2:4" x14ac:dyDescent="0.3">
      <c r="B119" s="3" t="str">
        <f>IFERROR(IF(A119&lt;&gt;"",VLOOKUP(Alunos!A119,Exame!A3:D250,4, FALSE),""), "")</f>
        <v/>
      </c>
      <c r="C119" s="3" t="str">
        <f>IF(A119&lt;&gt;"", SUMIF(B1,"&lt;&gt;",B119),"")</f>
        <v/>
      </c>
      <c r="D119" s="3" t="str">
        <f>IF(AND(A119&lt;&gt;"",C119&lt;&gt;""),ROUND(C119,0),"")</f>
        <v/>
      </c>
    </row>
    <row r="120" spans="2:4" x14ac:dyDescent="0.3">
      <c r="B120" s="3" t="str">
        <f>IFERROR(IF(A120&lt;&gt;"",VLOOKUP(Alunos!A120,Exame!A3:D250,4, FALSE),""), "")</f>
        <v/>
      </c>
      <c r="C120" s="3" t="str">
        <f>IF(A120&lt;&gt;"", SUMIF(B1,"&lt;&gt;",B120),"")</f>
        <v/>
      </c>
      <c r="D120" s="3" t="str">
        <f>IF(AND(A120&lt;&gt;"",C120&lt;&gt;""),ROUND(C120,0),"")</f>
        <v/>
      </c>
    </row>
    <row r="121" spans="2:4" x14ac:dyDescent="0.3">
      <c r="B121" s="3" t="str">
        <f>IFERROR(IF(A121&lt;&gt;"",VLOOKUP(Alunos!A121,Exame!A3:D250,4, FALSE),""), "")</f>
        <v/>
      </c>
      <c r="C121" s="3" t="str">
        <f>IF(A121&lt;&gt;"", SUMIF(B1,"&lt;&gt;",B121),"")</f>
        <v/>
      </c>
      <c r="D121" s="3" t="str">
        <f>IF(AND(A121&lt;&gt;"",C121&lt;&gt;""),ROUND(C121,0),"")</f>
        <v/>
      </c>
    </row>
    <row r="122" spans="2:4" x14ac:dyDescent="0.3">
      <c r="B122" s="3" t="str">
        <f>IFERROR(IF(A122&lt;&gt;"",VLOOKUP(Alunos!A122,Exame!A3:D250,4, FALSE),""), "")</f>
        <v/>
      </c>
      <c r="C122" s="3" t="str">
        <f>IF(A122&lt;&gt;"", SUMIF(B1,"&lt;&gt;",B122),"")</f>
        <v/>
      </c>
      <c r="D122" s="3" t="str">
        <f>IF(AND(A122&lt;&gt;"",C122&lt;&gt;""),ROUND(C122,0),"")</f>
        <v/>
      </c>
    </row>
    <row r="123" spans="2:4" x14ac:dyDescent="0.3">
      <c r="B123" s="3" t="str">
        <f>IFERROR(IF(A123&lt;&gt;"",VLOOKUP(Alunos!A123,Exame!A3:D250,4, FALSE),""), "")</f>
        <v/>
      </c>
      <c r="C123" s="3" t="str">
        <f>IF(A123&lt;&gt;"", SUMIF(B1,"&lt;&gt;",B123),"")</f>
        <v/>
      </c>
      <c r="D123" s="3" t="str">
        <f>IF(AND(A123&lt;&gt;"",C123&lt;&gt;""),ROUND(C123,0),"")</f>
        <v/>
      </c>
    </row>
    <row r="124" spans="2:4" x14ac:dyDescent="0.3">
      <c r="B124" s="3" t="str">
        <f>IFERROR(IF(A124&lt;&gt;"",VLOOKUP(Alunos!A124,Exame!A3:D250,4, FALSE),""), "")</f>
        <v/>
      </c>
      <c r="C124" s="3" t="str">
        <f>IF(A124&lt;&gt;"", SUMIF(B1,"&lt;&gt;",B124),"")</f>
        <v/>
      </c>
      <c r="D124" s="3" t="str">
        <f>IF(AND(A124&lt;&gt;"",C124&lt;&gt;""),ROUND(C124,0),"")</f>
        <v/>
      </c>
    </row>
    <row r="125" spans="2:4" x14ac:dyDescent="0.3">
      <c r="B125" s="3" t="str">
        <f>IFERROR(IF(A125&lt;&gt;"",VLOOKUP(Alunos!A125,Exame!A3:D250,4, FALSE),""), "")</f>
        <v/>
      </c>
      <c r="C125" s="3" t="str">
        <f>IF(A125&lt;&gt;"", SUMIF(B1,"&lt;&gt;",B125),"")</f>
        <v/>
      </c>
      <c r="D125" s="3" t="str">
        <f>IF(AND(A125&lt;&gt;"",C125&lt;&gt;""),ROUND(C125,0),"")</f>
        <v/>
      </c>
    </row>
    <row r="126" spans="2:4" x14ac:dyDescent="0.3">
      <c r="B126" s="3" t="str">
        <f>IFERROR(IF(A126&lt;&gt;"",VLOOKUP(Alunos!A126,Exame!A3:D250,4, FALSE),""), "")</f>
        <v/>
      </c>
      <c r="C126" s="3" t="str">
        <f>IF(A126&lt;&gt;"", SUMIF(B1,"&lt;&gt;",B126),"")</f>
        <v/>
      </c>
      <c r="D126" s="3" t="str">
        <f>IF(AND(A126&lt;&gt;"",C126&lt;&gt;""),ROUND(C126,0),"")</f>
        <v/>
      </c>
    </row>
    <row r="127" spans="2:4" x14ac:dyDescent="0.3">
      <c r="B127" s="3" t="str">
        <f>IFERROR(IF(A127&lt;&gt;"",VLOOKUP(Alunos!A127,Exame!A3:D250,4, FALSE),""), "")</f>
        <v/>
      </c>
      <c r="C127" s="3" t="str">
        <f>IF(A127&lt;&gt;"", SUMIF(B1,"&lt;&gt;",B127),"")</f>
        <v/>
      </c>
      <c r="D127" s="3" t="str">
        <f>IF(AND(A127&lt;&gt;"",C127&lt;&gt;""),ROUND(C127,0),"")</f>
        <v/>
      </c>
    </row>
    <row r="128" spans="2:4" x14ac:dyDescent="0.3">
      <c r="B128" s="3" t="str">
        <f>IFERROR(IF(A128&lt;&gt;"",VLOOKUP(Alunos!A128,Exame!A3:D250,4, FALSE),""), "")</f>
        <v/>
      </c>
      <c r="C128" s="3" t="str">
        <f>IF(A128&lt;&gt;"", SUMIF(B1,"&lt;&gt;",B128),"")</f>
        <v/>
      </c>
      <c r="D128" s="3" t="str">
        <f>IF(AND(A128&lt;&gt;"",C128&lt;&gt;""),ROUND(C128,0),"")</f>
        <v/>
      </c>
    </row>
    <row r="129" spans="2:4" x14ac:dyDescent="0.3">
      <c r="B129" s="3" t="str">
        <f>IFERROR(IF(A129&lt;&gt;"",VLOOKUP(Alunos!A129,Exame!A3:D250,4, FALSE),""), "")</f>
        <v/>
      </c>
      <c r="C129" s="3" t="str">
        <f>IF(A129&lt;&gt;"", SUMIF(B1,"&lt;&gt;",B129),"")</f>
        <v/>
      </c>
      <c r="D129" s="3" t="str">
        <f>IF(AND(A129&lt;&gt;"",C129&lt;&gt;""),ROUND(C129,0),"")</f>
        <v/>
      </c>
    </row>
    <row r="130" spans="2:4" x14ac:dyDescent="0.3">
      <c r="B130" s="3" t="str">
        <f>IFERROR(IF(A130&lt;&gt;"",VLOOKUP(Alunos!A130,Exame!A3:D250,4, FALSE),""), "")</f>
        <v/>
      </c>
      <c r="C130" s="3" t="str">
        <f>IF(A130&lt;&gt;"", SUMIF(B1,"&lt;&gt;",B130),"")</f>
        <v/>
      </c>
      <c r="D130" s="3" t="str">
        <f>IF(AND(A130&lt;&gt;"",C130&lt;&gt;""),ROUND(C130,0),"")</f>
        <v/>
      </c>
    </row>
    <row r="131" spans="2:4" x14ac:dyDescent="0.3">
      <c r="B131" s="3" t="str">
        <f>IFERROR(IF(A131&lt;&gt;"",VLOOKUP(Alunos!A131,Exame!A3:D250,4, FALSE),""), "")</f>
        <v/>
      </c>
      <c r="C131" s="3" t="str">
        <f>IF(A131&lt;&gt;"", SUMIF(B1,"&lt;&gt;",B131),"")</f>
        <v/>
      </c>
      <c r="D131" s="3" t="str">
        <f>IF(AND(A131&lt;&gt;"",C131&lt;&gt;""),ROUND(C131,0),"")</f>
        <v/>
      </c>
    </row>
    <row r="132" spans="2:4" x14ac:dyDescent="0.3">
      <c r="B132" s="3" t="str">
        <f>IFERROR(IF(A132&lt;&gt;"",VLOOKUP(Alunos!A132,Exame!A3:D250,4, FALSE),""), "")</f>
        <v/>
      </c>
      <c r="C132" s="3" t="str">
        <f>IF(A132&lt;&gt;"", SUMIF(B1,"&lt;&gt;",B132),"")</f>
        <v/>
      </c>
      <c r="D132" s="3" t="str">
        <f>IF(AND(A132&lt;&gt;"",C132&lt;&gt;""),ROUND(C132,0),"")</f>
        <v/>
      </c>
    </row>
    <row r="133" spans="2:4" x14ac:dyDescent="0.3">
      <c r="B133" s="3" t="str">
        <f>IFERROR(IF(A133&lt;&gt;"",VLOOKUP(Alunos!A133,Exame!A3:D250,4, FALSE),""), "")</f>
        <v/>
      </c>
      <c r="C133" s="3" t="str">
        <f>IF(A133&lt;&gt;"", SUMIF(B1,"&lt;&gt;",B133),"")</f>
        <v/>
      </c>
      <c r="D133" s="3" t="str">
        <f>IF(AND(A133&lt;&gt;"",C133&lt;&gt;""),ROUND(C133,0),"")</f>
        <v/>
      </c>
    </row>
    <row r="134" spans="2:4" x14ac:dyDescent="0.3">
      <c r="B134" s="3" t="str">
        <f>IFERROR(IF(A134&lt;&gt;"",VLOOKUP(Alunos!A134,Exame!A3:D250,4, FALSE),""), "")</f>
        <v/>
      </c>
      <c r="C134" s="3" t="str">
        <f>IF(A134&lt;&gt;"", SUMIF(B1,"&lt;&gt;",B134),"")</f>
        <v/>
      </c>
      <c r="D134" s="3" t="str">
        <f>IF(AND(A134&lt;&gt;"",C134&lt;&gt;""),ROUND(C134,0),"")</f>
        <v/>
      </c>
    </row>
    <row r="135" spans="2:4" x14ac:dyDescent="0.3">
      <c r="B135" s="3" t="str">
        <f>IFERROR(IF(A135&lt;&gt;"",VLOOKUP(Alunos!A135,Exame!A3:D250,4, FALSE),""), "")</f>
        <v/>
      </c>
      <c r="C135" s="3" t="str">
        <f>IF(A135&lt;&gt;"", SUMIF(B1,"&lt;&gt;",B135),"")</f>
        <v/>
      </c>
      <c r="D135" s="3" t="str">
        <f>IF(AND(A135&lt;&gt;"",C135&lt;&gt;""),ROUND(C135,0),"")</f>
        <v/>
      </c>
    </row>
    <row r="136" spans="2:4" x14ac:dyDescent="0.3">
      <c r="B136" s="3" t="str">
        <f>IFERROR(IF(A136&lt;&gt;"",VLOOKUP(Alunos!A136,Exame!A3:D250,4, FALSE),""), "")</f>
        <v/>
      </c>
      <c r="C136" s="3" t="str">
        <f>IF(A136&lt;&gt;"", SUMIF(B1,"&lt;&gt;",B136),"")</f>
        <v/>
      </c>
      <c r="D136" s="3" t="str">
        <f>IF(AND(A136&lt;&gt;"",C136&lt;&gt;""),ROUND(C136,0),"")</f>
        <v/>
      </c>
    </row>
    <row r="137" spans="2:4" x14ac:dyDescent="0.3">
      <c r="B137" s="3" t="str">
        <f>IFERROR(IF(A137&lt;&gt;"",VLOOKUP(Alunos!A137,Exame!A3:D250,4, FALSE),""), "")</f>
        <v/>
      </c>
      <c r="C137" s="3" t="str">
        <f>IF(A137&lt;&gt;"", SUMIF(B1,"&lt;&gt;",B137),"")</f>
        <v/>
      </c>
      <c r="D137" s="3" t="str">
        <f>IF(AND(A137&lt;&gt;"",C137&lt;&gt;""),ROUND(C137,0),"")</f>
        <v/>
      </c>
    </row>
    <row r="138" spans="2:4" x14ac:dyDescent="0.3">
      <c r="B138" s="3" t="str">
        <f>IFERROR(IF(A138&lt;&gt;"",VLOOKUP(Alunos!A138,Exame!A3:D250,4, FALSE),""), "")</f>
        <v/>
      </c>
      <c r="C138" s="3" t="str">
        <f>IF(A138&lt;&gt;"", SUMIF(B1,"&lt;&gt;",B138),"")</f>
        <v/>
      </c>
      <c r="D138" s="3" t="str">
        <f>IF(AND(A138&lt;&gt;"",C138&lt;&gt;""),ROUND(C138,0),"")</f>
        <v/>
      </c>
    </row>
    <row r="139" spans="2:4" x14ac:dyDescent="0.3">
      <c r="B139" s="3" t="str">
        <f>IFERROR(IF(A139&lt;&gt;"",VLOOKUP(Alunos!A139,Exame!A3:D250,4, FALSE),""), "")</f>
        <v/>
      </c>
      <c r="C139" s="3" t="str">
        <f>IF(A139&lt;&gt;"", SUMIF(B1,"&lt;&gt;",B139),"")</f>
        <v/>
      </c>
      <c r="D139" s="3" t="str">
        <f>IF(AND(A139&lt;&gt;"",C139&lt;&gt;""),ROUND(C139,0),"")</f>
        <v/>
      </c>
    </row>
    <row r="140" spans="2:4" x14ac:dyDescent="0.3">
      <c r="B140" s="3" t="str">
        <f>IFERROR(IF(A140&lt;&gt;"",VLOOKUP(Alunos!A140,Exame!A3:D250,4, FALSE),""), "")</f>
        <v/>
      </c>
      <c r="C140" s="3" t="str">
        <f>IF(A140&lt;&gt;"", SUMIF(B1,"&lt;&gt;",B140),"")</f>
        <v/>
      </c>
      <c r="D140" s="3" t="str">
        <f>IF(AND(A140&lt;&gt;"",C140&lt;&gt;""),ROUND(C140,0),"")</f>
        <v/>
      </c>
    </row>
    <row r="141" spans="2:4" x14ac:dyDescent="0.3">
      <c r="B141" s="3" t="str">
        <f>IFERROR(IF(A141&lt;&gt;"",VLOOKUP(Alunos!A141,Exame!A3:D250,4, FALSE),""), "")</f>
        <v/>
      </c>
      <c r="C141" s="3" t="str">
        <f>IF(A141&lt;&gt;"", SUMIF(B1,"&lt;&gt;",B141),"")</f>
        <v/>
      </c>
      <c r="D141" s="3" t="str">
        <f>IF(AND(A141&lt;&gt;"",C141&lt;&gt;""),ROUND(C141,0),"")</f>
        <v/>
      </c>
    </row>
    <row r="142" spans="2:4" x14ac:dyDescent="0.3">
      <c r="B142" s="3" t="str">
        <f>IFERROR(IF(A142&lt;&gt;"",VLOOKUP(Alunos!A142,Exame!A3:D250,4, FALSE),""), "")</f>
        <v/>
      </c>
      <c r="C142" s="3" t="str">
        <f>IF(A142&lt;&gt;"", SUMIF(B1,"&lt;&gt;",B142),"")</f>
        <v/>
      </c>
      <c r="D142" s="3" t="str">
        <f>IF(AND(A142&lt;&gt;"",C142&lt;&gt;""),ROUND(C142,0),"")</f>
        <v/>
      </c>
    </row>
    <row r="143" spans="2:4" x14ac:dyDescent="0.3">
      <c r="B143" s="3" t="str">
        <f>IFERROR(IF(A143&lt;&gt;"",VLOOKUP(Alunos!A143,Exame!A3:D250,4, FALSE),""), "")</f>
        <v/>
      </c>
      <c r="C143" s="3" t="str">
        <f>IF(A143&lt;&gt;"", SUMIF(B1,"&lt;&gt;",B143),"")</f>
        <v/>
      </c>
      <c r="D143" s="3" t="str">
        <f>IF(AND(A143&lt;&gt;"",C143&lt;&gt;""),ROUND(C143,0),"")</f>
        <v/>
      </c>
    </row>
    <row r="144" spans="2:4" x14ac:dyDescent="0.3">
      <c r="B144" s="3" t="str">
        <f>IFERROR(IF(A144&lt;&gt;"",VLOOKUP(Alunos!A144,Exame!A3:D250,4, FALSE),""), "")</f>
        <v/>
      </c>
      <c r="C144" s="3" t="str">
        <f>IF(A144&lt;&gt;"", SUMIF(B1,"&lt;&gt;",B144),"")</f>
        <v/>
      </c>
      <c r="D144" s="3" t="str">
        <f>IF(AND(A144&lt;&gt;"",C144&lt;&gt;""),ROUND(C144,0),"")</f>
        <v/>
      </c>
    </row>
    <row r="145" spans="2:4" x14ac:dyDescent="0.3">
      <c r="B145" s="3" t="str">
        <f>IFERROR(IF(A145&lt;&gt;"",VLOOKUP(Alunos!A145,Exame!A3:D250,4, FALSE),""), "")</f>
        <v/>
      </c>
      <c r="C145" s="3" t="str">
        <f>IF(A145&lt;&gt;"", SUMIF(B1,"&lt;&gt;",B145),"")</f>
        <v/>
      </c>
      <c r="D145" s="3" t="str">
        <f>IF(AND(A145&lt;&gt;"",C145&lt;&gt;""),ROUND(C145,0),"")</f>
        <v/>
      </c>
    </row>
    <row r="146" spans="2:4" x14ac:dyDescent="0.3">
      <c r="B146" s="3" t="str">
        <f>IFERROR(IF(A146&lt;&gt;"",VLOOKUP(Alunos!A146,Exame!A3:D250,4, FALSE),""), "")</f>
        <v/>
      </c>
      <c r="C146" s="3" t="str">
        <f>IF(A146&lt;&gt;"", SUMIF(B1,"&lt;&gt;",B146),"")</f>
        <v/>
      </c>
      <c r="D146" s="3" t="str">
        <f>IF(AND(A146&lt;&gt;"",C146&lt;&gt;""),ROUND(C146,0),"")</f>
        <v/>
      </c>
    </row>
    <row r="147" spans="2:4" x14ac:dyDescent="0.3">
      <c r="B147" s="3" t="str">
        <f>IFERROR(IF(A147&lt;&gt;"",VLOOKUP(Alunos!A147,Exame!A3:D250,4, FALSE),""), "")</f>
        <v/>
      </c>
      <c r="C147" s="3" t="str">
        <f>IF(A147&lt;&gt;"", SUMIF(B1,"&lt;&gt;",B147),"")</f>
        <v/>
      </c>
      <c r="D147" s="3" t="str">
        <f>IF(AND(A147&lt;&gt;"",C147&lt;&gt;""),ROUND(C147,0),"")</f>
        <v/>
      </c>
    </row>
    <row r="148" spans="2:4" x14ac:dyDescent="0.3">
      <c r="B148" s="3" t="str">
        <f>IFERROR(IF(A148&lt;&gt;"",VLOOKUP(Alunos!A148,Exame!A3:D250,4, FALSE),""), "")</f>
        <v/>
      </c>
      <c r="C148" s="3" t="str">
        <f>IF(A148&lt;&gt;"", SUMIF(B1,"&lt;&gt;",B148),"")</f>
        <v/>
      </c>
      <c r="D148" s="3" t="str">
        <f>IF(AND(A148&lt;&gt;"",C148&lt;&gt;""),ROUND(C148,0),"")</f>
        <v/>
      </c>
    </row>
    <row r="149" spans="2:4" x14ac:dyDescent="0.3">
      <c r="B149" s="3" t="str">
        <f>IFERROR(IF(A149&lt;&gt;"",VLOOKUP(Alunos!A149,Exame!A3:D250,4, FALSE),""), "")</f>
        <v/>
      </c>
      <c r="C149" s="3" t="str">
        <f>IF(A149&lt;&gt;"", SUMIF(B1,"&lt;&gt;",B149),"")</f>
        <v/>
      </c>
      <c r="D149" s="3" t="str">
        <f>IF(AND(A149&lt;&gt;"",C149&lt;&gt;""),ROUND(C149,0),"")</f>
        <v/>
      </c>
    </row>
    <row r="150" spans="2:4" x14ac:dyDescent="0.3">
      <c r="B150" s="3" t="str">
        <f>IFERROR(IF(A150&lt;&gt;"",VLOOKUP(Alunos!A150,Exame!A3:D250,4, FALSE),""), "")</f>
        <v/>
      </c>
      <c r="C150" s="3" t="str">
        <f>IF(A150&lt;&gt;"", SUMIF(B1,"&lt;&gt;",B150),"")</f>
        <v/>
      </c>
      <c r="D150" s="3" t="str">
        <f>IF(AND(A150&lt;&gt;"",C150&lt;&gt;""),ROUND(C150,0),"")</f>
        <v/>
      </c>
    </row>
    <row r="151" spans="2:4" x14ac:dyDescent="0.3">
      <c r="B151" s="3" t="str">
        <f>IFERROR(IF(A151&lt;&gt;"",VLOOKUP(Alunos!A151,Exame!A3:D250,4, FALSE),""), "")</f>
        <v/>
      </c>
      <c r="C151" s="3" t="str">
        <f>IF(A151&lt;&gt;"", SUMIF(B1,"&lt;&gt;",B151),"")</f>
        <v/>
      </c>
      <c r="D151" s="3" t="str">
        <f>IF(AND(A151&lt;&gt;"",C151&lt;&gt;""),ROUND(C151,0),"")</f>
        <v/>
      </c>
    </row>
    <row r="152" spans="2:4" x14ac:dyDescent="0.3">
      <c r="B152" s="3" t="str">
        <f>IFERROR(IF(A152&lt;&gt;"",VLOOKUP(Alunos!A152,Exame!A3:D250,4, FALSE),""), "")</f>
        <v/>
      </c>
      <c r="C152" s="3" t="str">
        <f>IF(A152&lt;&gt;"", SUMIF(B1,"&lt;&gt;",B152),"")</f>
        <v/>
      </c>
      <c r="D152" s="3" t="str">
        <f>IF(AND(A152&lt;&gt;"",C152&lt;&gt;""),ROUND(C152,0),"")</f>
        <v/>
      </c>
    </row>
    <row r="153" spans="2:4" x14ac:dyDescent="0.3">
      <c r="B153" s="3" t="str">
        <f>IFERROR(IF(A153&lt;&gt;"",VLOOKUP(Alunos!A153,Exame!A3:D250,4, FALSE),""), "")</f>
        <v/>
      </c>
      <c r="C153" s="3" t="str">
        <f>IF(A153&lt;&gt;"", SUMIF(B1,"&lt;&gt;",B153),"")</f>
        <v/>
      </c>
      <c r="D153" s="3" t="str">
        <f>IF(AND(A153&lt;&gt;"",C153&lt;&gt;""),ROUND(C153,0),"")</f>
        <v/>
      </c>
    </row>
    <row r="154" spans="2:4" x14ac:dyDescent="0.3">
      <c r="B154" s="3" t="str">
        <f>IFERROR(IF(A154&lt;&gt;"",VLOOKUP(Alunos!A154,Exame!A3:D250,4, FALSE),""), "")</f>
        <v/>
      </c>
      <c r="C154" s="3" t="str">
        <f>IF(A154&lt;&gt;"", SUMIF(B1,"&lt;&gt;",B154),"")</f>
        <v/>
      </c>
      <c r="D154" s="3" t="str">
        <f>IF(AND(A154&lt;&gt;"",C154&lt;&gt;""),ROUND(C154,0),"")</f>
        <v/>
      </c>
    </row>
    <row r="155" spans="2:4" x14ac:dyDescent="0.3">
      <c r="B155" s="3" t="str">
        <f>IFERROR(IF(A155&lt;&gt;"",VLOOKUP(Alunos!A155,Exame!A3:D250,4, FALSE),""), "")</f>
        <v/>
      </c>
      <c r="C155" s="3" t="str">
        <f>IF(A155&lt;&gt;"", SUMIF(B1,"&lt;&gt;",B155),"")</f>
        <v/>
      </c>
      <c r="D155" s="3" t="str">
        <f>IF(AND(A155&lt;&gt;"",C155&lt;&gt;""),ROUND(C155,0),"")</f>
        <v/>
      </c>
    </row>
    <row r="156" spans="2:4" x14ac:dyDescent="0.3">
      <c r="B156" s="3" t="str">
        <f>IFERROR(IF(A156&lt;&gt;"",VLOOKUP(Alunos!A156,Exame!A3:D250,4, FALSE),""), "")</f>
        <v/>
      </c>
      <c r="C156" s="3" t="str">
        <f>IF(A156&lt;&gt;"", SUMIF(B1,"&lt;&gt;",B156),"")</f>
        <v/>
      </c>
      <c r="D156" s="3" t="str">
        <f>IF(AND(A156&lt;&gt;"",C156&lt;&gt;""),ROUND(C156,0),"")</f>
        <v/>
      </c>
    </row>
    <row r="157" spans="2:4" x14ac:dyDescent="0.3">
      <c r="B157" s="3" t="str">
        <f>IFERROR(IF(A157&lt;&gt;"",VLOOKUP(Alunos!A157,Exame!A3:D250,4, FALSE),""), "")</f>
        <v/>
      </c>
      <c r="C157" s="3" t="str">
        <f>IF(A157&lt;&gt;"", SUMIF(B1,"&lt;&gt;",B157),"")</f>
        <v/>
      </c>
      <c r="D157" s="3" t="str">
        <f>IF(AND(A157&lt;&gt;"",C157&lt;&gt;""),ROUND(C157,0),"")</f>
        <v/>
      </c>
    </row>
    <row r="158" spans="2:4" x14ac:dyDescent="0.3">
      <c r="B158" s="3" t="str">
        <f>IFERROR(IF(A158&lt;&gt;"",VLOOKUP(Alunos!A158,Exame!A3:D250,4, FALSE),""), "")</f>
        <v/>
      </c>
      <c r="C158" s="3" t="str">
        <f>IF(A158&lt;&gt;"", SUMIF(B1,"&lt;&gt;",B158),"")</f>
        <v/>
      </c>
      <c r="D158" s="3" t="str">
        <f>IF(AND(A158&lt;&gt;"",C158&lt;&gt;""),ROUND(C158,0),"")</f>
        <v/>
      </c>
    </row>
    <row r="159" spans="2:4" x14ac:dyDescent="0.3">
      <c r="B159" s="3" t="str">
        <f>IFERROR(IF(A159&lt;&gt;"",VLOOKUP(Alunos!A159,Exame!A3:D250,4, FALSE),""), "")</f>
        <v/>
      </c>
      <c r="C159" s="3" t="str">
        <f>IF(A159&lt;&gt;"", SUMIF(B1,"&lt;&gt;",B159),"")</f>
        <v/>
      </c>
      <c r="D159" s="3" t="str">
        <f>IF(AND(A159&lt;&gt;"",C159&lt;&gt;""),ROUND(C159,0),"")</f>
        <v/>
      </c>
    </row>
    <row r="160" spans="2:4" x14ac:dyDescent="0.3">
      <c r="B160" s="3" t="str">
        <f>IFERROR(IF(A160&lt;&gt;"",VLOOKUP(Alunos!A160,Exame!A3:D250,4, FALSE),""), "")</f>
        <v/>
      </c>
      <c r="C160" s="3" t="str">
        <f>IF(A160&lt;&gt;"", SUMIF(B1,"&lt;&gt;",B160),"")</f>
        <v/>
      </c>
      <c r="D160" s="3" t="str">
        <f>IF(AND(A160&lt;&gt;"",C160&lt;&gt;""),ROUND(C160,0),"")</f>
        <v/>
      </c>
    </row>
    <row r="161" spans="2:4" x14ac:dyDescent="0.3">
      <c r="B161" s="3" t="str">
        <f>IFERROR(IF(A161&lt;&gt;"",VLOOKUP(Alunos!A161,Exame!A3:D250,4, FALSE),""), "")</f>
        <v/>
      </c>
      <c r="C161" s="3" t="str">
        <f>IF(A161&lt;&gt;"", SUMIF(B1,"&lt;&gt;",B161),"")</f>
        <v/>
      </c>
      <c r="D161" s="3" t="str">
        <f>IF(AND(A161&lt;&gt;"",C161&lt;&gt;""),ROUND(C161,0),"")</f>
        <v/>
      </c>
    </row>
    <row r="162" spans="2:4" x14ac:dyDescent="0.3">
      <c r="B162" s="3" t="str">
        <f>IFERROR(IF(A162&lt;&gt;"",VLOOKUP(Alunos!A162,Exame!A3:D250,4, FALSE),""), "")</f>
        <v/>
      </c>
      <c r="C162" s="3" t="str">
        <f>IF(A162&lt;&gt;"", SUMIF(B1,"&lt;&gt;",B162),"")</f>
        <v/>
      </c>
      <c r="D162" s="3" t="str">
        <f>IF(AND(A162&lt;&gt;"",C162&lt;&gt;""),ROUND(C162,0),"")</f>
        <v/>
      </c>
    </row>
    <row r="163" spans="2:4" x14ac:dyDescent="0.3">
      <c r="B163" s="3" t="str">
        <f>IFERROR(IF(A163&lt;&gt;"",VLOOKUP(Alunos!A163,Exame!A3:D250,4, FALSE),""), "")</f>
        <v/>
      </c>
      <c r="C163" s="3" t="str">
        <f>IF(A163&lt;&gt;"", SUMIF(B1,"&lt;&gt;",B163),"")</f>
        <v/>
      </c>
      <c r="D163" s="3" t="str">
        <f>IF(AND(A163&lt;&gt;"",C163&lt;&gt;""),ROUND(C163,0),"")</f>
        <v/>
      </c>
    </row>
    <row r="164" spans="2:4" x14ac:dyDescent="0.3">
      <c r="B164" s="3" t="str">
        <f>IFERROR(IF(A164&lt;&gt;"",VLOOKUP(Alunos!A164,Exame!A3:D250,4, FALSE),""), "")</f>
        <v/>
      </c>
      <c r="C164" s="3" t="str">
        <f>IF(A164&lt;&gt;"", SUMIF(B1,"&lt;&gt;",B164),"")</f>
        <v/>
      </c>
      <c r="D164" s="3" t="str">
        <f>IF(AND(A164&lt;&gt;"",C164&lt;&gt;""),ROUND(C164,0),"")</f>
        <v/>
      </c>
    </row>
    <row r="165" spans="2:4" x14ac:dyDescent="0.3">
      <c r="B165" s="3" t="str">
        <f>IFERROR(IF(A165&lt;&gt;"",VLOOKUP(Alunos!A165,Exame!A3:D250,4, FALSE),""), "")</f>
        <v/>
      </c>
      <c r="C165" s="3" t="str">
        <f>IF(A165&lt;&gt;"", SUMIF(B1,"&lt;&gt;",B165),"")</f>
        <v/>
      </c>
      <c r="D165" s="3" t="str">
        <f>IF(AND(A165&lt;&gt;"",C165&lt;&gt;""),ROUND(C165,0),"")</f>
        <v/>
      </c>
    </row>
    <row r="166" spans="2:4" x14ac:dyDescent="0.3">
      <c r="B166" s="3" t="str">
        <f>IFERROR(IF(A166&lt;&gt;"",VLOOKUP(Alunos!A166,Exame!A3:D250,4, FALSE),""), "")</f>
        <v/>
      </c>
      <c r="C166" s="3" t="str">
        <f>IF(A166&lt;&gt;"", SUMIF(B1,"&lt;&gt;",B166),"")</f>
        <v/>
      </c>
      <c r="D166" s="3" t="str">
        <f>IF(AND(A166&lt;&gt;"",C166&lt;&gt;""),ROUND(C166,0),"")</f>
        <v/>
      </c>
    </row>
    <row r="167" spans="2:4" x14ac:dyDescent="0.3">
      <c r="B167" s="3" t="str">
        <f>IFERROR(IF(A167&lt;&gt;"",VLOOKUP(Alunos!A167,Exame!A3:D250,4, FALSE),""), "")</f>
        <v/>
      </c>
      <c r="C167" s="3" t="str">
        <f>IF(A167&lt;&gt;"", SUMIF(B1,"&lt;&gt;",B167),"")</f>
        <v/>
      </c>
      <c r="D167" s="3" t="str">
        <f>IF(AND(A167&lt;&gt;"",C167&lt;&gt;""),ROUND(C167,0),"")</f>
        <v/>
      </c>
    </row>
    <row r="168" spans="2:4" x14ac:dyDescent="0.3">
      <c r="B168" s="3" t="str">
        <f>IFERROR(IF(A168&lt;&gt;"",VLOOKUP(Alunos!A168,Exame!A3:D250,4, FALSE),""), "")</f>
        <v/>
      </c>
      <c r="C168" s="3" t="str">
        <f>IF(A168&lt;&gt;"", SUMIF(B1,"&lt;&gt;",B168),"")</f>
        <v/>
      </c>
      <c r="D168" s="3" t="str">
        <f>IF(AND(A168&lt;&gt;"",C168&lt;&gt;""),ROUND(C168,0),"")</f>
        <v/>
      </c>
    </row>
    <row r="169" spans="2:4" x14ac:dyDescent="0.3">
      <c r="B169" s="3" t="str">
        <f>IFERROR(IF(A169&lt;&gt;"",VLOOKUP(Alunos!A169,Exame!A3:D250,4, FALSE),""), "")</f>
        <v/>
      </c>
      <c r="C169" s="3" t="str">
        <f>IF(A169&lt;&gt;"", SUMIF(B1,"&lt;&gt;",B169),"")</f>
        <v/>
      </c>
      <c r="D169" s="3" t="str">
        <f>IF(AND(A169&lt;&gt;"",C169&lt;&gt;""),ROUND(C169,0),"")</f>
        <v/>
      </c>
    </row>
    <row r="170" spans="2:4" x14ac:dyDescent="0.3">
      <c r="B170" s="3" t="str">
        <f>IFERROR(IF(A170&lt;&gt;"",VLOOKUP(Alunos!A170,Exame!A3:D250,4, FALSE),""), "")</f>
        <v/>
      </c>
      <c r="C170" s="3" t="str">
        <f>IF(A170&lt;&gt;"", SUMIF(B1,"&lt;&gt;",B170),"")</f>
        <v/>
      </c>
      <c r="D170" s="3" t="str">
        <f>IF(AND(A170&lt;&gt;"",C170&lt;&gt;""),ROUND(C170,0),"")</f>
        <v/>
      </c>
    </row>
    <row r="171" spans="2:4" x14ac:dyDescent="0.3">
      <c r="B171" s="3" t="str">
        <f>IFERROR(IF(A171&lt;&gt;"",VLOOKUP(Alunos!A171,Exame!A3:D250,4, FALSE),""), "")</f>
        <v/>
      </c>
      <c r="C171" s="3" t="str">
        <f>IF(A171&lt;&gt;"", SUMIF(B1,"&lt;&gt;",B171),"")</f>
        <v/>
      </c>
      <c r="D171" s="3" t="str">
        <f>IF(AND(A171&lt;&gt;"",C171&lt;&gt;""),ROUND(C171,0),"")</f>
        <v/>
      </c>
    </row>
    <row r="172" spans="2:4" x14ac:dyDescent="0.3">
      <c r="B172" s="3" t="str">
        <f>IFERROR(IF(A172&lt;&gt;"",VLOOKUP(Alunos!A172,Exame!A3:D250,4, FALSE),""), "")</f>
        <v/>
      </c>
      <c r="C172" s="3" t="str">
        <f>IF(A172&lt;&gt;"", SUMIF(B1,"&lt;&gt;",B172),"")</f>
        <v/>
      </c>
      <c r="D172" s="3" t="str">
        <f>IF(AND(A172&lt;&gt;"",C172&lt;&gt;""),ROUND(C172,0),"")</f>
        <v/>
      </c>
    </row>
    <row r="173" spans="2:4" x14ac:dyDescent="0.3">
      <c r="B173" s="3" t="str">
        <f>IFERROR(IF(A173&lt;&gt;"",VLOOKUP(Alunos!A173,Exame!A3:D250,4, FALSE),""), "")</f>
        <v/>
      </c>
      <c r="C173" s="3" t="str">
        <f>IF(A173&lt;&gt;"", SUMIF(B1,"&lt;&gt;",B173),"")</f>
        <v/>
      </c>
      <c r="D173" s="3" t="str">
        <f>IF(AND(A173&lt;&gt;"",C173&lt;&gt;""),ROUND(C173,0),"")</f>
        <v/>
      </c>
    </row>
    <row r="174" spans="2:4" x14ac:dyDescent="0.3">
      <c r="B174" s="3" t="str">
        <f>IFERROR(IF(A174&lt;&gt;"",VLOOKUP(Alunos!A174,Exame!A3:D250,4, FALSE),""), "")</f>
        <v/>
      </c>
      <c r="C174" s="3" t="str">
        <f>IF(A174&lt;&gt;"", SUMIF(B1,"&lt;&gt;",B174),"")</f>
        <v/>
      </c>
      <c r="D174" s="3" t="str">
        <f>IF(AND(A174&lt;&gt;"",C174&lt;&gt;""),ROUND(C174,0),"")</f>
        <v/>
      </c>
    </row>
    <row r="175" spans="2:4" x14ac:dyDescent="0.3">
      <c r="B175" s="3" t="str">
        <f>IFERROR(IF(A175&lt;&gt;"",VLOOKUP(Alunos!A175,Exame!A3:D250,4, FALSE),""), "")</f>
        <v/>
      </c>
      <c r="C175" s="3" t="str">
        <f>IF(A175&lt;&gt;"", SUMIF(B1,"&lt;&gt;",B175),"")</f>
        <v/>
      </c>
      <c r="D175" s="3" t="str">
        <f>IF(AND(A175&lt;&gt;"",C175&lt;&gt;""),ROUND(C175,0),"")</f>
        <v/>
      </c>
    </row>
    <row r="176" spans="2:4" x14ac:dyDescent="0.3">
      <c r="B176" s="3" t="str">
        <f>IFERROR(IF(A176&lt;&gt;"",VLOOKUP(Alunos!A176,Exame!A3:D250,4, FALSE),""), "")</f>
        <v/>
      </c>
      <c r="C176" s="3" t="str">
        <f>IF(A176&lt;&gt;"", SUMIF(B1,"&lt;&gt;",B176),"")</f>
        <v/>
      </c>
      <c r="D176" s="3" t="str">
        <f>IF(AND(A176&lt;&gt;"",C176&lt;&gt;""),ROUND(C176,0),"")</f>
        <v/>
      </c>
    </row>
    <row r="177" spans="2:4" x14ac:dyDescent="0.3">
      <c r="B177" s="3" t="str">
        <f>IFERROR(IF(A177&lt;&gt;"",VLOOKUP(Alunos!A177,Exame!A3:D250,4, FALSE),""), "")</f>
        <v/>
      </c>
      <c r="C177" s="3" t="str">
        <f>IF(A177&lt;&gt;"", SUMIF(B1,"&lt;&gt;",B177),"")</f>
        <v/>
      </c>
      <c r="D177" s="3" t="str">
        <f>IF(AND(A177&lt;&gt;"",C177&lt;&gt;""),ROUND(C177,0),"")</f>
        <v/>
      </c>
    </row>
    <row r="178" spans="2:4" x14ac:dyDescent="0.3">
      <c r="B178" s="3" t="str">
        <f>IFERROR(IF(A178&lt;&gt;"",VLOOKUP(Alunos!A178,Exame!A3:D250,4, FALSE),""), "")</f>
        <v/>
      </c>
      <c r="C178" s="3" t="str">
        <f>IF(A178&lt;&gt;"", SUMIF(B1,"&lt;&gt;",B178),"")</f>
        <v/>
      </c>
      <c r="D178" s="3" t="str">
        <f>IF(AND(A178&lt;&gt;"",C178&lt;&gt;""),ROUND(C178,0),"")</f>
        <v/>
      </c>
    </row>
    <row r="179" spans="2:4" x14ac:dyDescent="0.3">
      <c r="B179" s="3" t="str">
        <f>IFERROR(IF(A179&lt;&gt;"",VLOOKUP(Alunos!A179,Exame!A3:D250,4, FALSE),""), "")</f>
        <v/>
      </c>
      <c r="C179" s="3" t="str">
        <f>IF(A179&lt;&gt;"", SUMIF(B1,"&lt;&gt;",B179),"")</f>
        <v/>
      </c>
      <c r="D179" s="3" t="str">
        <f>IF(AND(A179&lt;&gt;"",C179&lt;&gt;""),ROUND(C179,0),"")</f>
        <v/>
      </c>
    </row>
    <row r="180" spans="2:4" x14ac:dyDescent="0.3">
      <c r="B180" s="3" t="str">
        <f>IFERROR(IF(A180&lt;&gt;"",VLOOKUP(Alunos!A180,Exame!A3:D250,4, FALSE),""), "")</f>
        <v/>
      </c>
      <c r="C180" s="3" t="str">
        <f>IF(A180&lt;&gt;"", SUMIF(B1,"&lt;&gt;",B180),"")</f>
        <v/>
      </c>
      <c r="D180" s="3" t="str">
        <f>IF(AND(A180&lt;&gt;"",C180&lt;&gt;""),ROUND(C180,0),"")</f>
        <v/>
      </c>
    </row>
    <row r="181" spans="2:4" x14ac:dyDescent="0.3">
      <c r="B181" s="3" t="str">
        <f>IFERROR(IF(A181&lt;&gt;"",VLOOKUP(Alunos!A181,Exame!A3:D250,4, FALSE),""), "")</f>
        <v/>
      </c>
      <c r="C181" s="3" t="str">
        <f>IF(A181&lt;&gt;"", SUMIF(B1,"&lt;&gt;",B181),"")</f>
        <v/>
      </c>
      <c r="D181" s="3" t="str">
        <f>IF(AND(A181&lt;&gt;"",C181&lt;&gt;""),ROUND(C181,0),"")</f>
        <v/>
      </c>
    </row>
    <row r="182" spans="2:4" x14ac:dyDescent="0.3">
      <c r="B182" s="3" t="str">
        <f>IFERROR(IF(A182&lt;&gt;"",VLOOKUP(Alunos!A182,Exame!A3:D250,4, FALSE),""), "")</f>
        <v/>
      </c>
      <c r="C182" s="3" t="str">
        <f>IF(A182&lt;&gt;"", SUMIF(B1,"&lt;&gt;",B182),"")</f>
        <v/>
      </c>
      <c r="D182" s="3" t="str">
        <f>IF(AND(A182&lt;&gt;"",C182&lt;&gt;""),ROUND(C182,0),"")</f>
        <v/>
      </c>
    </row>
    <row r="183" spans="2:4" x14ac:dyDescent="0.3">
      <c r="B183" s="3" t="str">
        <f>IFERROR(IF(A183&lt;&gt;"",VLOOKUP(Alunos!A183,Exame!A3:D250,4, FALSE),""), "")</f>
        <v/>
      </c>
      <c r="C183" s="3" t="str">
        <f>IF(A183&lt;&gt;"", SUMIF(B1,"&lt;&gt;",B183),"")</f>
        <v/>
      </c>
      <c r="D183" s="3" t="str">
        <f>IF(AND(A183&lt;&gt;"",C183&lt;&gt;""),ROUND(C183,0),"")</f>
        <v/>
      </c>
    </row>
    <row r="184" spans="2:4" x14ac:dyDescent="0.3">
      <c r="B184" s="3" t="str">
        <f>IFERROR(IF(A184&lt;&gt;"",VLOOKUP(Alunos!A184,Exame!A3:D250,4, FALSE),""), "")</f>
        <v/>
      </c>
      <c r="C184" s="3" t="str">
        <f>IF(A184&lt;&gt;"", SUMIF(B1,"&lt;&gt;",B184),"")</f>
        <v/>
      </c>
      <c r="D184" s="3" t="str">
        <f>IF(AND(A184&lt;&gt;"",C184&lt;&gt;""),ROUND(C184,0),"")</f>
        <v/>
      </c>
    </row>
    <row r="185" spans="2:4" x14ac:dyDescent="0.3">
      <c r="B185" s="3" t="str">
        <f>IFERROR(IF(A185&lt;&gt;"",VLOOKUP(Alunos!A185,Exame!A3:D250,4, FALSE),""), "")</f>
        <v/>
      </c>
      <c r="C185" s="3" t="str">
        <f>IF(A185&lt;&gt;"", SUMIF(B1,"&lt;&gt;",B185),"")</f>
        <v/>
      </c>
      <c r="D185" s="3" t="str">
        <f>IF(AND(A185&lt;&gt;"",C185&lt;&gt;""),ROUND(C185,0),"")</f>
        <v/>
      </c>
    </row>
    <row r="186" spans="2:4" x14ac:dyDescent="0.3">
      <c r="B186" s="3" t="str">
        <f>IFERROR(IF(A186&lt;&gt;"",VLOOKUP(Alunos!A186,Exame!A3:D250,4, FALSE),""), "")</f>
        <v/>
      </c>
      <c r="C186" s="3" t="str">
        <f>IF(A186&lt;&gt;"", SUMIF(B1,"&lt;&gt;",B186),"")</f>
        <v/>
      </c>
      <c r="D186" s="3" t="str">
        <f>IF(AND(A186&lt;&gt;"",C186&lt;&gt;""),ROUND(C186,0),"")</f>
        <v/>
      </c>
    </row>
    <row r="187" spans="2:4" x14ac:dyDescent="0.3">
      <c r="B187" s="3" t="str">
        <f>IFERROR(IF(A187&lt;&gt;"",VLOOKUP(Alunos!A187,Exame!A3:D250,4, FALSE),""), "")</f>
        <v/>
      </c>
      <c r="C187" s="3" t="str">
        <f>IF(A187&lt;&gt;"", SUMIF(B1,"&lt;&gt;",B187),"")</f>
        <v/>
      </c>
      <c r="D187" s="3" t="str">
        <f>IF(AND(A187&lt;&gt;"",C187&lt;&gt;""),ROUND(C187,0),"")</f>
        <v/>
      </c>
    </row>
    <row r="188" spans="2:4" x14ac:dyDescent="0.3">
      <c r="B188" s="3" t="str">
        <f>IFERROR(IF(A188&lt;&gt;"",VLOOKUP(Alunos!A188,Exame!A3:D250,4, FALSE),""), "")</f>
        <v/>
      </c>
      <c r="C188" s="3" t="str">
        <f>IF(A188&lt;&gt;"", SUMIF(B1,"&lt;&gt;",B188),"")</f>
        <v/>
      </c>
      <c r="D188" s="3" t="str">
        <f>IF(AND(A188&lt;&gt;"",C188&lt;&gt;""),ROUND(C188,0),"")</f>
        <v/>
      </c>
    </row>
    <row r="189" spans="2:4" x14ac:dyDescent="0.3">
      <c r="B189" s="3" t="str">
        <f>IFERROR(IF(A189&lt;&gt;"",VLOOKUP(Alunos!A189,Exame!A3:D250,4, FALSE),""), "")</f>
        <v/>
      </c>
      <c r="C189" s="3" t="str">
        <f>IF(A189&lt;&gt;"", SUMIF(B1,"&lt;&gt;",B189),"")</f>
        <v/>
      </c>
      <c r="D189" s="3" t="str">
        <f>IF(AND(A189&lt;&gt;"",C189&lt;&gt;""),ROUND(C189,0),"")</f>
        <v/>
      </c>
    </row>
    <row r="190" spans="2:4" x14ac:dyDescent="0.3">
      <c r="B190" s="3" t="str">
        <f>IFERROR(IF(A190&lt;&gt;"",VLOOKUP(Alunos!A190,Exame!A3:D250,4, FALSE),""), "")</f>
        <v/>
      </c>
      <c r="C190" s="3" t="str">
        <f>IF(A190&lt;&gt;"", SUMIF(B1,"&lt;&gt;",B190),"")</f>
        <v/>
      </c>
      <c r="D190" s="3" t="str">
        <f>IF(AND(A190&lt;&gt;"",C190&lt;&gt;""),ROUND(C190,0),"")</f>
        <v/>
      </c>
    </row>
    <row r="191" spans="2:4" x14ac:dyDescent="0.3">
      <c r="B191" s="3" t="str">
        <f>IFERROR(IF(A191&lt;&gt;"",VLOOKUP(Alunos!A191,Exame!A3:D250,4, FALSE),""), "")</f>
        <v/>
      </c>
      <c r="C191" s="3" t="str">
        <f>IF(A191&lt;&gt;"", SUMIF(B1,"&lt;&gt;",B191),"")</f>
        <v/>
      </c>
      <c r="D191" s="3" t="str">
        <f>IF(AND(A191&lt;&gt;"",C191&lt;&gt;""),ROUND(C191,0),"")</f>
        <v/>
      </c>
    </row>
    <row r="192" spans="2:4" x14ac:dyDescent="0.3">
      <c r="B192" s="3" t="str">
        <f>IFERROR(IF(A192&lt;&gt;"",VLOOKUP(Alunos!A192,Exame!A3:D250,4, FALSE),""), "")</f>
        <v/>
      </c>
      <c r="C192" s="3" t="str">
        <f>IF(A192&lt;&gt;"", SUMIF(B1,"&lt;&gt;",B192),"")</f>
        <v/>
      </c>
      <c r="D192" s="3" t="str">
        <f>IF(AND(A192&lt;&gt;"",C192&lt;&gt;""),ROUND(C192,0),"")</f>
        <v/>
      </c>
    </row>
    <row r="193" spans="2:4" x14ac:dyDescent="0.3">
      <c r="B193" s="3" t="str">
        <f>IFERROR(IF(A193&lt;&gt;"",VLOOKUP(Alunos!A193,Exame!A3:D250,4, FALSE),""), "")</f>
        <v/>
      </c>
      <c r="C193" s="3" t="str">
        <f>IF(A193&lt;&gt;"", SUMIF(B1,"&lt;&gt;",B193),"")</f>
        <v/>
      </c>
      <c r="D193" s="3" t="str">
        <f>IF(AND(A193&lt;&gt;"",C193&lt;&gt;""),ROUND(C193,0),"")</f>
        <v/>
      </c>
    </row>
    <row r="194" spans="2:4" x14ac:dyDescent="0.3">
      <c r="B194" s="3" t="str">
        <f>IFERROR(IF(A194&lt;&gt;"",VLOOKUP(Alunos!A194,Exame!A3:D250,4, FALSE),""), "")</f>
        <v/>
      </c>
      <c r="C194" s="3" t="str">
        <f>IF(A194&lt;&gt;"", SUMIF(B1,"&lt;&gt;",B194),"")</f>
        <v/>
      </c>
      <c r="D194" s="3" t="str">
        <f>IF(AND(A194&lt;&gt;"",C194&lt;&gt;""),ROUND(C194,0),"")</f>
        <v/>
      </c>
    </row>
    <row r="195" spans="2:4" x14ac:dyDescent="0.3">
      <c r="B195" s="3" t="str">
        <f>IFERROR(IF(A195&lt;&gt;"",VLOOKUP(Alunos!A195,Exame!A3:D250,4, FALSE),""), "")</f>
        <v/>
      </c>
      <c r="C195" s="3" t="str">
        <f>IF(A195&lt;&gt;"", SUMIF(B1,"&lt;&gt;",B195),"")</f>
        <v/>
      </c>
      <c r="D195" s="3" t="str">
        <f>IF(AND(A195&lt;&gt;"",C195&lt;&gt;""),ROUND(C195,0),"")</f>
        <v/>
      </c>
    </row>
    <row r="196" spans="2:4" x14ac:dyDescent="0.3">
      <c r="B196" s="3" t="str">
        <f>IFERROR(IF(A196&lt;&gt;"",VLOOKUP(Alunos!A196,Exame!A3:D250,4, FALSE),""), "")</f>
        <v/>
      </c>
      <c r="C196" s="3" t="str">
        <f>IF(A196&lt;&gt;"", SUMIF(B1,"&lt;&gt;",B196),"")</f>
        <v/>
      </c>
      <c r="D196" s="3" t="str">
        <f>IF(AND(A196&lt;&gt;"",C196&lt;&gt;""),ROUND(C196,0),"")</f>
        <v/>
      </c>
    </row>
    <row r="197" spans="2:4" x14ac:dyDescent="0.3">
      <c r="B197" s="3" t="str">
        <f>IFERROR(IF(A197&lt;&gt;"",VLOOKUP(Alunos!A197,Exame!A3:D250,4, FALSE),""), "")</f>
        <v/>
      </c>
      <c r="C197" s="3" t="str">
        <f>IF(A197&lt;&gt;"", SUMIF(B1,"&lt;&gt;",B197),"")</f>
        <v/>
      </c>
      <c r="D197" s="3" t="str">
        <f>IF(AND(A197&lt;&gt;"",C197&lt;&gt;""),ROUND(C197,0),"")</f>
        <v/>
      </c>
    </row>
    <row r="198" spans="2:4" x14ac:dyDescent="0.3">
      <c r="B198" s="3" t="str">
        <f>IFERROR(IF(A198&lt;&gt;"",VLOOKUP(Alunos!A198,Exame!A3:D250,4, FALSE),""), "")</f>
        <v/>
      </c>
      <c r="C198" s="3" t="str">
        <f>IF(A198&lt;&gt;"", SUMIF(B1,"&lt;&gt;",B198),"")</f>
        <v/>
      </c>
      <c r="D198" s="3" t="str">
        <f>IF(AND(A198&lt;&gt;"",C198&lt;&gt;""),ROUND(C198,0),"")</f>
        <v/>
      </c>
    </row>
    <row r="199" spans="2:4" x14ac:dyDescent="0.3">
      <c r="B199" s="3" t="str">
        <f>IFERROR(IF(A199&lt;&gt;"",VLOOKUP(Alunos!A199,Exame!A3:D250,4, FALSE),""), "")</f>
        <v/>
      </c>
      <c r="C199" s="3" t="str">
        <f>IF(A199&lt;&gt;"", SUMIF(B1,"&lt;&gt;",B199),"")</f>
        <v/>
      </c>
      <c r="D199" s="3" t="str">
        <f>IF(AND(A199&lt;&gt;"",C199&lt;&gt;""),ROUND(C199,0),"")</f>
        <v/>
      </c>
    </row>
    <row r="200" spans="2:4" x14ac:dyDescent="0.3">
      <c r="B200" s="3" t="str">
        <f>IFERROR(IF(A200&lt;&gt;"",VLOOKUP(Alunos!A200,Exame!A3:D250,4, FALSE),""), "")</f>
        <v/>
      </c>
      <c r="C200" s="3" t="str">
        <f>IF(A200&lt;&gt;"", SUMIF(B1,"&lt;&gt;",B200),"")</f>
        <v/>
      </c>
      <c r="D200" s="3" t="str">
        <f>IF(AND(A200&lt;&gt;"",C200&lt;&gt;""),ROUND(C200,0),"")</f>
        <v/>
      </c>
    </row>
    <row r="201" spans="2:4" x14ac:dyDescent="0.3">
      <c r="B201" s="3" t="str">
        <f>IFERROR(IF(A201&lt;&gt;"",VLOOKUP(Alunos!A201,Exame!A3:D250,4, FALSE),""), "")</f>
        <v/>
      </c>
      <c r="C201" s="3" t="str">
        <f>IF(A201&lt;&gt;"", SUMIF(B1,"&lt;&gt;",B201),"")</f>
        <v/>
      </c>
      <c r="D201" s="3" t="str">
        <f>IF(AND(A201&lt;&gt;"",C201&lt;&gt;""),ROUND(C201,0),"")</f>
        <v/>
      </c>
    </row>
    <row r="202" spans="2:4" x14ac:dyDescent="0.3">
      <c r="B202" s="3" t="str">
        <f>IFERROR(IF(A202&lt;&gt;"",VLOOKUP(Alunos!A202,Exame!A3:D250,4, FALSE),""), "")</f>
        <v/>
      </c>
      <c r="C202" s="3" t="str">
        <f>IF(A202&lt;&gt;"", SUMIF(B1,"&lt;&gt;",B202),"")</f>
        <v/>
      </c>
      <c r="D202" s="3" t="str">
        <f>IF(AND(A202&lt;&gt;"",C202&lt;&gt;""),ROUND(C202,0),"")</f>
        <v/>
      </c>
    </row>
    <row r="203" spans="2:4" x14ac:dyDescent="0.3">
      <c r="B203" s="3" t="str">
        <f>IFERROR(IF(A203&lt;&gt;"",VLOOKUP(Alunos!A203,Exame!A3:D250,4, FALSE),""), "")</f>
        <v/>
      </c>
      <c r="C203" s="3" t="str">
        <f>IF(A203&lt;&gt;"", SUMIF(B1,"&lt;&gt;",B203),"")</f>
        <v/>
      </c>
      <c r="D203" s="3" t="str">
        <f>IF(AND(A203&lt;&gt;"",C203&lt;&gt;""),ROUND(C203,0),"")</f>
        <v/>
      </c>
    </row>
    <row r="204" spans="2:4" x14ac:dyDescent="0.3">
      <c r="B204" s="3" t="str">
        <f>IFERROR(IF(A204&lt;&gt;"",VLOOKUP(Alunos!A204,Exame!A3:D250,4, FALSE),""), "")</f>
        <v/>
      </c>
      <c r="C204" s="3" t="str">
        <f>IF(A204&lt;&gt;"", SUMIF(B1,"&lt;&gt;",B204),"")</f>
        <v/>
      </c>
      <c r="D204" s="3" t="str">
        <f>IF(AND(A204&lt;&gt;"",C204&lt;&gt;""),ROUND(C204,0),"")</f>
        <v/>
      </c>
    </row>
    <row r="205" spans="2:4" x14ac:dyDescent="0.3">
      <c r="B205" s="3" t="str">
        <f>IFERROR(IF(A205&lt;&gt;"",VLOOKUP(Alunos!A205,Exame!A3:D250,4, FALSE),""), "")</f>
        <v/>
      </c>
      <c r="C205" s="3" t="str">
        <f>IF(A205&lt;&gt;"", SUMIF(B1,"&lt;&gt;",B205),"")</f>
        <v/>
      </c>
      <c r="D205" s="3" t="str">
        <f>IF(AND(A205&lt;&gt;"",C205&lt;&gt;""),ROUND(C205,0),"")</f>
        <v/>
      </c>
    </row>
    <row r="206" spans="2:4" x14ac:dyDescent="0.3">
      <c r="B206" s="3" t="str">
        <f>IFERROR(IF(A206&lt;&gt;"",VLOOKUP(Alunos!A206,Exame!A3:D250,4, FALSE),""), "")</f>
        <v/>
      </c>
      <c r="C206" s="3" t="str">
        <f>IF(A206&lt;&gt;"", SUMIF(B1,"&lt;&gt;",B206),"")</f>
        <v/>
      </c>
      <c r="D206" s="3" t="str">
        <f>IF(AND(A206&lt;&gt;"",C206&lt;&gt;""),ROUND(C206,0),"")</f>
        <v/>
      </c>
    </row>
    <row r="207" spans="2:4" x14ac:dyDescent="0.3">
      <c r="B207" s="3" t="str">
        <f>IFERROR(IF(A207&lt;&gt;"",VLOOKUP(Alunos!A207,Exame!A3:D250,4, FALSE),""), "")</f>
        <v/>
      </c>
      <c r="C207" s="3" t="str">
        <f>IF(A207&lt;&gt;"", SUMIF(B1,"&lt;&gt;",B207),"")</f>
        <v/>
      </c>
      <c r="D207" s="3" t="str">
        <f>IF(AND(A207&lt;&gt;"",C207&lt;&gt;""),ROUND(C207,0),"")</f>
        <v/>
      </c>
    </row>
    <row r="208" spans="2:4" x14ac:dyDescent="0.3">
      <c r="B208" s="3" t="str">
        <f>IFERROR(IF(A208&lt;&gt;"",VLOOKUP(Alunos!A208,Exame!A3:D250,4, FALSE),""), "")</f>
        <v/>
      </c>
      <c r="C208" s="3" t="str">
        <f>IF(A208&lt;&gt;"", SUMIF(B1,"&lt;&gt;",B208),"")</f>
        <v/>
      </c>
      <c r="D208" s="3" t="str">
        <f>IF(AND(A208&lt;&gt;"",C208&lt;&gt;""),ROUND(C208,0),"")</f>
        <v/>
      </c>
    </row>
    <row r="209" spans="2:4" x14ac:dyDescent="0.3">
      <c r="B209" s="3" t="str">
        <f>IFERROR(IF(A209&lt;&gt;"",VLOOKUP(Alunos!A209,Exame!A3:D250,4, FALSE),""), "")</f>
        <v/>
      </c>
      <c r="C209" s="3" t="str">
        <f>IF(A209&lt;&gt;"", SUMIF(B1,"&lt;&gt;",B209),"")</f>
        <v/>
      </c>
      <c r="D209" s="3" t="str">
        <f>IF(AND(A209&lt;&gt;"",C209&lt;&gt;""),ROUND(C209,0),"")</f>
        <v/>
      </c>
    </row>
    <row r="210" spans="2:4" x14ac:dyDescent="0.3">
      <c r="B210" s="3" t="str">
        <f>IFERROR(IF(A210&lt;&gt;"",VLOOKUP(Alunos!A210,Exame!A3:D250,4, FALSE),""), "")</f>
        <v/>
      </c>
      <c r="C210" s="3" t="str">
        <f>IF(A210&lt;&gt;"", SUMIF(B1,"&lt;&gt;",B210),"")</f>
        <v/>
      </c>
      <c r="D210" s="3" t="str">
        <f>IF(AND(A210&lt;&gt;"",C210&lt;&gt;""),ROUND(C210,0),"")</f>
        <v/>
      </c>
    </row>
    <row r="211" spans="2:4" x14ac:dyDescent="0.3">
      <c r="B211" s="3" t="str">
        <f>IFERROR(IF(A211&lt;&gt;"",VLOOKUP(Alunos!A211,Exame!A3:D250,4, FALSE),""), "")</f>
        <v/>
      </c>
      <c r="C211" s="3" t="str">
        <f>IF(A211&lt;&gt;"", SUMIF(B1,"&lt;&gt;",B211),"")</f>
        <v/>
      </c>
      <c r="D211" s="3" t="str">
        <f>IF(AND(A211&lt;&gt;"",C211&lt;&gt;""),ROUND(C211,0),"")</f>
        <v/>
      </c>
    </row>
    <row r="212" spans="2:4" x14ac:dyDescent="0.3">
      <c r="B212" s="3" t="str">
        <f>IFERROR(IF(A212&lt;&gt;"",VLOOKUP(Alunos!A212,Exame!A3:D250,4, FALSE),""), "")</f>
        <v/>
      </c>
      <c r="C212" s="3" t="str">
        <f>IF(A212&lt;&gt;"", SUMIF(B1,"&lt;&gt;",B212),"")</f>
        <v/>
      </c>
      <c r="D212" s="3" t="str">
        <f>IF(AND(A212&lt;&gt;"",C212&lt;&gt;""),ROUND(C212,0),"")</f>
        <v/>
      </c>
    </row>
    <row r="213" spans="2:4" x14ac:dyDescent="0.3">
      <c r="B213" s="3" t="str">
        <f>IFERROR(IF(A213&lt;&gt;"",VLOOKUP(Alunos!A213,Exame!A3:D250,4, FALSE),""), "")</f>
        <v/>
      </c>
      <c r="C213" s="3" t="str">
        <f>IF(A213&lt;&gt;"", SUMIF(B1,"&lt;&gt;",B213),"")</f>
        <v/>
      </c>
      <c r="D213" s="3" t="str">
        <f>IF(AND(A213&lt;&gt;"",C213&lt;&gt;""),ROUND(C213,0),"")</f>
        <v/>
      </c>
    </row>
    <row r="214" spans="2:4" x14ac:dyDescent="0.3">
      <c r="B214" s="3" t="str">
        <f>IFERROR(IF(A214&lt;&gt;"",VLOOKUP(Alunos!A214,Exame!A3:D250,4, FALSE),""), "")</f>
        <v/>
      </c>
      <c r="C214" s="3" t="str">
        <f>IF(A214&lt;&gt;"", SUMIF(B1,"&lt;&gt;",B214),"")</f>
        <v/>
      </c>
      <c r="D214" s="3" t="str">
        <f>IF(AND(A214&lt;&gt;"",C214&lt;&gt;""),ROUND(C214,0),"")</f>
        <v/>
      </c>
    </row>
    <row r="215" spans="2:4" x14ac:dyDescent="0.3">
      <c r="B215" s="3" t="str">
        <f>IFERROR(IF(A215&lt;&gt;"",VLOOKUP(Alunos!A215,Exame!A3:D250,4, FALSE),""), "")</f>
        <v/>
      </c>
      <c r="C215" s="3" t="str">
        <f>IF(A215&lt;&gt;"", SUMIF(B1,"&lt;&gt;",B215),"")</f>
        <v/>
      </c>
      <c r="D215" s="3" t="str">
        <f>IF(AND(A215&lt;&gt;"",C215&lt;&gt;""),ROUND(C215,0),"")</f>
        <v/>
      </c>
    </row>
    <row r="216" spans="2:4" x14ac:dyDescent="0.3">
      <c r="B216" s="3" t="str">
        <f>IFERROR(IF(A216&lt;&gt;"",VLOOKUP(Alunos!A216,Exame!A3:D250,4, FALSE),""), "")</f>
        <v/>
      </c>
      <c r="C216" s="3" t="str">
        <f>IF(A216&lt;&gt;"", SUMIF(B1,"&lt;&gt;",B216),"")</f>
        <v/>
      </c>
      <c r="D216" s="3" t="str">
        <f>IF(AND(A216&lt;&gt;"",C216&lt;&gt;""),ROUND(C216,0),"")</f>
        <v/>
      </c>
    </row>
    <row r="217" spans="2:4" x14ac:dyDescent="0.3">
      <c r="B217" s="3" t="str">
        <f>IFERROR(IF(A217&lt;&gt;"",VLOOKUP(Alunos!A217,Exame!A3:D250,4, FALSE),""), "")</f>
        <v/>
      </c>
      <c r="C217" s="3" t="str">
        <f>IF(A217&lt;&gt;"", SUMIF(B1,"&lt;&gt;",B217),"")</f>
        <v/>
      </c>
      <c r="D217" s="3" t="str">
        <f>IF(AND(A217&lt;&gt;"",C217&lt;&gt;""),ROUND(C217,0),"")</f>
        <v/>
      </c>
    </row>
    <row r="218" spans="2:4" x14ac:dyDescent="0.3">
      <c r="B218" s="3" t="str">
        <f>IFERROR(IF(A218&lt;&gt;"",VLOOKUP(Alunos!A218,Exame!A3:D250,4, FALSE),""), "")</f>
        <v/>
      </c>
      <c r="C218" s="3" t="str">
        <f>IF(A218&lt;&gt;"", SUMIF(B1,"&lt;&gt;",B218),"")</f>
        <v/>
      </c>
      <c r="D218" s="3" t="str">
        <f>IF(AND(A218&lt;&gt;"",C218&lt;&gt;""),ROUND(C218,0),"")</f>
        <v/>
      </c>
    </row>
    <row r="219" spans="2:4" x14ac:dyDescent="0.3">
      <c r="B219" s="3" t="str">
        <f>IFERROR(IF(A219&lt;&gt;"",VLOOKUP(Alunos!A219,Exame!A3:D250,4, FALSE),""), "")</f>
        <v/>
      </c>
      <c r="C219" s="3" t="str">
        <f>IF(A219&lt;&gt;"", SUMIF(B1,"&lt;&gt;",B219),"")</f>
        <v/>
      </c>
      <c r="D219" s="3" t="str">
        <f>IF(AND(A219&lt;&gt;"",C219&lt;&gt;""),ROUND(C219,0),"")</f>
        <v/>
      </c>
    </row>
    <row r="220" spans="2:4" x14ac:dyDescent="0.3">
      <c r="B220" s="3" t="str">
        <f>IFERROR(IF(A220&lt;&gt;"",VLOOKUP(Alunos!A220,Exame!A3:D250,4, FALSE),""), "")</f>
        <v/>
      </c>
      <c r="C220" s="3" t="str">
        <f>IF(A220&lt;&gt;"", SUMIF(B1,"&lt;&gt;",B220),"")</f>
        <v/>
      </c>
      <c r="D220" s="3" t="str">
        <f>IF(AND(A220&lt;&gt;"",C220&lt;&gt;""),ROUND(C220,0),"")</f>
        <v/>
      </c>
    </row>
    <row r="221" spans="2:4" x14ac:dyDescent="0.3">
      <c r="B221" s="3" t="str">
        <f>IFERROR(IF(A221&lt;&gt;"",VLOOKUP(Alunos!A221,Exame!A3:D250,4, FALSE),""), "")</f>
        <v/>
      </c>
      <c r="C221" s="3" t="str">
        <f>IF(A221&lt;&gt;"", SUMIF(B1,"&lt;&gt;",B221),"")</f>
        <v/>
      </c>
      <c r="D221" s="3" t="str">
        <f>IF(AND(A221&lt;&gt;"",C221&lt;&gt;""),ROUND(C221,0),"")</f>
        <v/>
      </c>
    </row>
    <row r="222" spans="2:4" x14ac:dyDescent="0.3">
      <c r="B222" s="3" t="str">
        <f>IFERROR(IF(A222&lt;&gt;"",VLOOKUP(Alunos!A222,Exame!A3:D250,4, FALSE),""), "")</f>
        <v/>
      </c>
      <c r="C222" s="3" t="str">
        <f>IF(A222&lt;&gt;"", SUMIF(B1,"&lt;&gt;",B222),"")</f>
        <v/>
      </c>
      <c r="D222" s="3" t="str">
        <f>IF(AND(A222&lt;&gt;"",C222&lt;&gt;""),ROUND(C222,0),"")</f>
        <v/>
      </c>
    </row>
    <row r="223" spans="2:4" x14ac:dyDescent="0.3">
      <c r="B223" s="3" t="str">
        <f>IFERROR(IF(A223&lt;&gt;"",VLOOKUP(Alunos!A223,Exame!A3:D250,4, FALSE),""), "")</f>
        <v/>
      </c>
      <c r="C223" s="3" t="str">
        <f>IF(A223&lt;&gt;"", SUMIF(B1,"&lt;&gt;",B223),"")</f>
        <v/>
      </c>
      <c r="D223" s="3" t="str">
        <f>IF(AND(A223&lt;&gt;"",C223&lt;&gt;""),ROUND(C223,0),"")</f>
        <v/>
      </c>
    </row>
    <row r="224" spans="2:4" x14ac:dyDescent="0.3">
      <c r="B224" s="3" t="str">
        <f>IFERROR(IF(A224&lt;&gt;"",VLOOKUP(Alunos!A224,Exame!A3:D250,4, FALSE),""), "")</f>
        <v/>
      </c>
      <c r="C224" s="3" t="str">
        <f>IF(A224&lt;&gt;"", SUMIF(B1,"&lt;&gt;",B224),"")</f>
        <v/>
      </c>
      <c r="D224" s="3" t="str">
        <f>IF(AND(A224&lt;&gt;"",C224&lt;&gt;""),ROUND(C224,0),"")</f>
        <v/>
      </c>
    </row>
    <row r="225" spans="2:4" x14ac:dyDescent="0.3">
      <c r="B225" s="3" t="str">
        <f>IFERROR(IF(A225&lt;&gt;"",VLOOKUP(Alunos!A225,Exame!A3:D250,4, FALSE),""), "")</f>
        <v/>
      </c>
      <c r="C225" s="3" t="str">
        <f>IF(A225&lt;&gt;"", SUMIF(B1,"&lt;&gt;",B225),"")</f>
        <v/>
      </c>
      <c r="D225" s="3" t="str">
        <f>IF(AND(A225&lt;&gt;"",C225&lt;&gt;""),ROUND(C225,0),"")</f>
        <v/>
      </c>
    </row>
    <row r="226" spans="2:4" x14ac:dyDescent="0.3">
      <c r="B226" s="3" t="str">
        <f>IFERROR(IF(A226&lt;&gt;"",VLOOKUP(Alunos!A226,Exame!A3:D250,4, FALSE),""), "")</f>
        <v/>
      </c>
      <c r="C226" s="3" t="str">
        <f>IF(A226&lt;&gt;"", SUMIF(B1,"&lt;&gt;",B226),"")</f>
        <v/>
      </c>
      <c r="D226" s="3" t="str">
        <f>IF(AND(A226&lt;&gt;"",C226&lt;&gt;""),ROUND(C226,0),"")</f>
        <v/>
      </c>
    </row>
    <row r="227" spans="2:4" x14ac:dyDescent="0.3">
      <c r="B227" s="3" t="str">
        <f>IFERROR(IF(A227&lt;&gt;"",VLOOKUP(Alunos!A227,Exame!A3:D250,4, FALSE),""), "")</f>
        <v/>
      </c>
      <c r="C227" s="3" t="str">
        <f>IF(A227&lt;&gt;"", SUMIF(B1,"&lt;&gt;",B227),"")</f>
        <v/>
      </c>
      <c r="D227" s="3" t="str">
        <f>IF(AND(A227&lt;&gt;"",C227&lt;&gt;""),ROUND(C227,0),"")</f>
        <v/>
      </c>
    </row>
    <row r="228" spans="2:4" x14ac:dyDescent="0.3">
      <c r="B228" s="3" t="str">
        <f>IFERROR(IF(A228&lt;&gt;"",VLOOKUP(Alunos!A228,Exame!A3:D250,4, FALSE),""), "")</f>
        <v/>
      </c>
      <c r="C228" s="3" t="str">
        <f>IF(A228&lt;&gt;"", SUMIF(B1,"&lt;&gt;",B228),"")</f>
        <v/>
      </c>
      <c r="D228" s="3" t="str">
        <f>IF(AND(A228&lt;&gt;"",C228&lt;&gt;""),ROUND(C228,0),"")</f>
        <v/>
      </c>
    </row>
    <row r="229" spans="2:4" x14ac:dyDescent="0.3">
      <c r="B229" s="3" t="str">
        <f>IFERROR(IF(A229&lt;&gt;"",VLOOKUP(Alunos!A229,Exame!A3:D250,4, FALSE),""), "")</f>
        <v/>
      </c>
      <c r="C229" s="3" t="str">
        <f>IF(A229&lt;&gt;"", SUMIF(B1,"&lt;&gt;",B229),"")</f>
        <v/>
      </c>
      <c r="D229" s="3" t="str">
        <f>IF(AND(A229&lt;&gt;"",C229&lt;&gt;""),ROUND(C229,0),"")</f>
        <v/>
      </c>
    </row>
    <row r="230" spans="2:4" x14ac:dyDescent="0.3">
      <c r="B230" s="3" t="str">
        <f>IFERROR(IF(A230&lt;&gt;"",VLOOKUP(Alunos!A230,Exame!A3:D250,4, FALSE),""), "")</f>
        <v/>
      </c>
      <c r="C230" s="3" t="str">
        <f>IF(A230&lt;&gt;"", SUMIF(B1,"&lt;&gt;",B230),"")</f>
        <v/>
      </c>
      <c r="D230" s="3" t="str">
        <f>IF(AND(A230&lt;&gt;"",C230&lt;&gt;""),ROUND(C230,0),"")</f>
        <v/>
      </c>
    </row>
    <row r="231" spans="2:4" x14ac:dyDescent="0.3">
      <c r="B231" s="3" t="str">
        <f>IFERROR(IF(A231&lt;&gt;"",VLOOKUP(Alunos!A231,Exame!A3:D250,4, FALSE),""), "")</f>
        <v/>
      </c>
      <c r="C231" s="3" t="str">
        <f>IF(A231&lt;&gt;"", SUMIF(B1,"&lt;&gt;",B231),"")</f>
        <v/>
      </c>
      <c r="D231" s="3" t="str">
        <f>IF(AND(A231&lt;&gt;"",C231&lt;&gt;""),ROUND(C231,0),"")</f>
        <v/>
      </c>
    </row>
    <row r="232" spans="2:4" x14ac:dyDescent="0.3">
      <c r="B232" s="3" t="str">
        <f>IFERROR(IF(A232&lt;&gt;"",VLOOKUP(Alunos!A232,Exame!A3:D250,4, FALSE),""), "")</f>
        <v/>
      </c>
      <c r="C232" s="3" t="str">
        <f>IF(A232&lt;&gt;"", SUMIF(B1,"&lt;&gt;",B232),"")</f>
        <v/>
      </c>
      <c r="D232" s="3" t="str">
        <f>IF(AND(A232&lt;&gt;"",C232&lt;&gt;""),ROUND(C232,0),"")</f>
        <v/>
      </c>
    </row>
    <row r="233" spans="2:4" x14ac:dyDescent="0.3">
      <c r="B233" s="3" t="str">
        <f>IFERROR(IF(A233&lt;&gt;"",VLOOKUP(Alunos!A233,Exame!A3:D250,4, FALSE),""), "")</f>
        <v/>
      </c>
      <c r="C233" s="3" t="str">
        <f>IF(A233&lt;&gt;"", SUMIF(B1,"&lt;&gt;",B233),"")</f>
        <v/>
      </c>
      <c r="D233" s="3" t="str">
        <f>IF(AND(A233&lt;&gt;"",C233&lt;&gt;""),ROUND(C233,0),"")</f>
        <v/>
      </c>
    </row>
    <row r="234" spans="2:4" x14ac:dyDescent="0.3">
      <c r="B234" s="3" t="str">
        <f>IFERROR(IF(A234&lt;&gt;"",VLOOKUP(Alunos!A234,Exame!A3:D250,4, FALSE),""), "")</f>
        <v/>
      </c>
      <c r="C234" s="3" t="str">
        <f>IF(A234&lt;&gt;"", SUMIF(B1,"&lt;&gt;",B234),"")</f>
        <v/>
      </c>
      <c r="D234" s="3" t="str">
        <f>IF(AND(A234&lt;&gt;"",C234&lt;&gt;""),ROUND(C234,0),"")</f>
        <v/>
      </c>
    </row>
    <row r="235" spans="2:4" x14ac:dyDescent="0.3">
      <c r="B235" s="3" t="str">
        <f>IFERROR(IF(A235&lt;&gt;"",VLOOKUP(Alunos!A235,Exame!A3:D250,4, FALSE),""), "")</f>
        <v/>
      </c>
      <c r="C235" s="3" t="str">
        <f>IF(A235&lt;&gt;"", SUMIF(B1,"&lt;&gt;",B235),"")</f>
        <v/>
      </c>
      <c r="D235" s="3" t="str">
        <f>IF(AND(A235&lt;&gt;"",C235&lt;&gt;""),ROUND(C235,0),"")</f>
        <v/>
      </c>
    </row>
    <row r="236" spans="2:4" x14ac:dyDescent="0.3">
      <c r="B236" s="3" t="str">
        <f>IFERROR(IF(A236&lt;&gt;"",VLOOKUP(Alunos!A236,Exame!A3:D250,4, FALSE),""), "")</f>
        <v/>
      </c>
      <c r="C236" s="3" t="str">
        <f>IF(A236&lt;&gt;"", SUMIF(B1,"&lt;&gt;",B236),"")</f>
        <v/>
      </c>
      <c r="D236" s="3" t="str">
        <f>IF(AND(A236&lt;&gt;"",C236&lt;&gt;""),ROUND(C236,0),"")</f>
        <v/>
      </c>
    </row>
    <row r="237" spans="2:4" x14ac:dyDescent="0.3">
      <c r="B237" s="3" t="str">
        <f>IFERROR(IF(A237&lt;&gt;"",VLOOKUP(Alunos!A237,Exame!A3:D250,4, FALSE),""), "")</f>
        <v/>
      </c>
      <c r="C237" s="3" t="str">
        <f>IF(A237&lt;&gt;"", SUMIF(B1,"&lt;&gt;",B237),"")</f>
        <v/>
      </c>
      <c r="D237" s="3" t="str">
        <f>IF(AND(A237&lt;&gt;"",C237&lt;&gt;""),ROUND(C237,0),"")</f>
        <v/>
      </c>
    </row>
    <row r="238" spans="2:4" x14ac:dyDescent="0.3">
      <c r="B238" s="3" t="str">
        <f>IFERROR(IF(A238&lt;&gt;"",VLOOKUP(Alunos!A238,Exame!A3:D250,4, FALSE),""), "")</f>
        <v/>
      </c>
      <c r="C238" s="3" t="str">
        <f>IF(A238&lt;&gt;"", SUMIF(B1,"&lt;&gt;",B238),"")</f>
        <v/>
      </c>
      <c r="D238" s="3" t="str">
        <f>IF(AND(A238&lt;&gt;"",C238&lt;&gt;""),ROUND(C238,0),"")</f>
        <v/>
      </c>
    </row>
    <row r="239" spans="2:4" x14ac:dyDescent="0.3">
      <c r="B239" s="3" t="str">
        <f>IFERROR(IF(A239&lt;&gt;"",VLOOKUP(Alunos!A239,Exame!A3:D250,4, FALSE),""), "")</f>
        <v/>
      </c>
      <c r="C239" s="3" t="str">
        <f>IF(A239&lt;&gt;"", SUMIF(B1,"&lt;&gt;",B239),"")</f>
        <v/>
      </c>
      <c r="D239" s="3" t="str">
        <f>IF(AND(A239&lt;&gt;"",C239&lt;&gt;""),ROUND(C239,0),"")</f>
        <v/>
      </c>
    </row>
    <row r="240" spans="2:4" x14ac:dyDescent="0.3">
      <c r="B240" s="3" t="str">
        <f>IFERROR(IF(A240&lt;&gt;"",VLOOKUP(Alunos!A240,Exame!A3:D250,4, FALSE),""), "")</f>
        <v/>
      </c>
      <c r="C240" s="3" t="str">
        <f>IF(A240&lt;&gt;"", SUMIF(B1,"&lt;&gt;",B240),"")</f>
        <v/>
      </c>
      <c r="D240" s="3" t="str">
        <f>IF(AND(A240&lt;&gt;"",C240&lt;&gt;""),ROUND(C240,0),"")</f>
        <v/>
      </c>
    </row>
    <row r="241" spans="2:4" x14ac:dyDescent="0.3">
      <c r="B241" s="3" t="str">
        <f>IFERROR(IF(A241&lt;&gt;"",VLOOKUP(Alunos!A241,Exame!A3:D250,4, FALSE),""), "")</f>
        <v/>
      </c>
      <c r="C241" s="3" t="str">
        <f>IF(A241&lt;&gt;"", SUMIF(B1,"&lt;&gt;",B241),"")</f>
        <v/>
      </c>
      <c r="D241" s="3" t="str">
        <f>IF(AND(A241&lt;&gt;"",C241&lt;&gt;""),ROUND(C241,0),"")</f>
        <v/>
      </c>
    </row>
    <row r="242" spans="2:4" x14ac:dyDescent="0.3">
      <c r="B242" s="3" t="str">
        <f>IFERROR(IF(A242&lt;&gt;"",VLOOKUP(Alunos!A242,Exame!A3:D250,4, FALSE),""), "")</f>
        <v/>
      </c>
      <c r="C242" s="3" t="str">
        <f>IF(A242&lt;&gt;"", SUMIF(B1,"&lt;&gt;",B242),"")</f>
        <v/>
      </c>
      <c r="D242" s="3" t="str">
        <f>IF(AND(A242&lt;&gt;"",C242&lt;&gt;""),ROUND(C242,0),"")</f>
        <v/>
      </c>
    </row>
    <row r="243" spans="2:4" x14ac:dyDescent="0.3">
      <c r="B243" s="3" t="str">
        <f>IFERROR(IF(A243&lt;&gt;"",VLOOKUP(Alunos!A243,Exame!A3:D250,4, FALSE),""), "")</f>
        <v/>
      </c>
      <c r="C243" s="3" t="str">
        <f>IF(A243&lt;&gt;"", SUMIF(B1,"&lt;&gt;",B243),"")</f>
        <v/>
      </c>
      <c r="D243" s="3" t="str">
        <f>IF(AND(A243&lt;&gt;"",C243&lt;&gt;""),ROUND(C243,0),"")</f>
        <v/>
      </c>
    </row>
    <row r="244" spans="2:4" x14ac:dyDescent="0.3">
      <c r="B244" s="3" t="str">
        <f>IFERROR(IF(A244&lt;&gt;"",VLOOKUP(Alunos!A244,Exame!A3:D250,4, FALSE),""), "")</f>
        <v/>
      </c>
      <c r="C244" s="3" t="str">
        <f>IF(A244&lt;&gt;"", SUMIF(B1,"&lt;&gt;",B244),"")</f>
        <v/>
      </c>
      <c r="D244" s="3" t="str">
        <f>IF(AND(A244&lt;&gt;"",C244&lt;&gt;""),ROUND(C244,0),"")</f>
        <v/>
      </c>
    </row>
    <row r="245" spans="2:4" x14ac:dyDescent="0.3">
      <c r="B245" s="3" t="str">
        <f>IFERROR(IF(A245&lt;&gt;"",VLOOKUP(Alunos!A245,Exame!A3:D250,4, FALSE),""), "")</f>
        <v/>
      </c>
      <c r="C245" s="3" t="str">
        <f>IF(A245&lt;&gt;"", SUMIF(B1,"&lt;&gt;",B245),"")</f>
        <v/>
      </c>
      <c r="D245" s="3" t="str">
        <f>IF(AND(A245&lt;&gt;"",C245&lt;&gt;""),ROUND(C245,0),"")</f>
        <v/>
      </c>
    </row>
    <row r="246" spans="2:4" x14ac:dyDescent="0.3">
      <c r="B246" s="3" t="str">
        <f>IFERROR(IF(A246&lt;&gt;"",VLOOKUP(Alunos!A246,Exame!A3:D250,4, FALSE),""), "")</f>
        <v/>
      </c>
      <c r="C246" s="3" t="str">
        <f>IF(A246&lt;&gt;"", SUMIF(B1,"&lt;&gt;",B246),"")</f>
        <v/>
      </c>
      <c r="D246" s="3" t="str">
        <f>IF(AND(A246&lt;&gt;"",C246&lt;&gt;""),ROUND(C246,0),"")</f>
        <v/>
      </c>
    </row>
    <row r="247" spans="2:4" x14ac:dyDescent="0.3">
      <c r="B247" s="3" t="str">
        <f>IFERROR(IF(A247&lt;&gt;"",VLOOKUP(Alunos!A247,Exame!A3:D250,4, FALSE),""), "")</f>
        <v/>
      </c>
      <c r="C247" s="3" t="str">
        <f>IF(A247&lt;&gt;"", SUMIF(B1,"&lt;&gt;",B247),"")</f>
        <v/>
      </c>
      <c r="D247" s="3" t="str">
        <f>IF(AND(A247&lt;&gt;"",C247&lt;&gt;""),ROUND(C247,0),"")</f>
        <v/>
      </c>
    </row>
    <row r="248" spans="2:4" x14ac:dyDescent="0.3">
      <c r="B248" s="3" t="str">
        <f>IFERROR(IF(A248&lt;&gt;"",VLOOKUP(Alunos!A248,Exame!A3:D250,4, FALSE),""), "")</f>
        <v/>
      </c>
      <c r="C248" s="3" t="str">
        <f>IF(A248&lt;&gt;"", SUMIF(B1,"&lt;&gt;",B248),"")</f>
        <v/>
      </c>
      <c r="D248" s="3" t="str">
        <f>IF(AND(A248&lt;&gt;"",C248&lt;&gt;""),ROUND(C248,0),"")</f>
        <v/>
      </c>
    </row>
    <row r="249" spans="2:4" x14ac:dyDescent="0.3">
      <c r="B249" s="3" t="str">
        <f>IFERROR(IF(A249&lt;&gt;"",VLOOKUP(Alunos!A249,Exame!A3:D250,4, FALSE),""), "")</f>
        <v/>
      </c>
      <c r="C249" s="3" t="str">
        <f>IF(A249&lt;&gt;"", SUMIF(B1,"&lt;&gt;",B249),"")</f>
        <v/>
      </c>
      <c r="D249" s="3" t="str">
        <f>IF(AND(A249&lt;&gt;"",C249&lt;&gt;""),ROUND(C249,0),"")</f>
        <v/>
      </c>
    </row>
    <row r="250" spans="2:4" x14ac:dyDescent="0.3">
      <c r="B250" s="3" t="str">
        <f>IFERROR(IF(A250&lt;&gt;"",VLOOKUP(Alunos!A250,Exame!A3:D250,4, FALSE),""), "")</f>
        <v/>
      </c>
      <c r="C250" s="3" t="str">
        <f>IF(A250&lt;&gt;"", SUMIF(B1,"&lt;&gt;",B250),"")</f>
        <v/>
      </c>
      <c r="D250" s="3" t="str">
        <f>IF(AND(A250&lt;&gt;"",C250&lt;&gt;""),ROUND(C250,0),"")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4092-673B-48E3-9044-1A304797CED7}">
  <sheetPr codeName="Folha57"/>
  <dimension ref="A1:ZZ250"/>
  <sheetViews>
    <sheetView workbookViewId="0"/>
  </sheetViews>
  <sheetFormatPr defaultRowHeight="14.4" x14ac:dyDescent="0.3"/>
  <cols>
    <col min="1" max="1" width="35.77734375" style="3" customWidth="1"/>
    <col min="2" max="2" width="3" style="3" bestFit="1" customWidth="1"/>
    <col min="3" max="3" width="5.109375" style="3" bestFit="1" customWidth="1"/>
    <col min="4" max="4" width="14.88671875" style="3" bestFit="1" customWidth="1"/>
    <col min="5" max="702" width="8.88671875" style="3"/>
  </cols>
  <sheetData>
    <row r="1" spans="1:4" x14ac:dyDescent="0.3">
      <c r="B1" s="11">
        <v>12</v>
      </c>
      <c r="C1" s="11">
        <v>12</v>
      </c>
      <c r="D1" s="11">
        <v>12</v>
      </c>
    </row>
    <row r="2" spans="1:4" x14ac:dyDescent="0.3">
      <c r="A2" s="9" t="s">
        <v>8</v>
      </c>
      <c r="B2" s="9" t="s">
        <v>21</v>
      </c>
      <c r="C2" s="9" t="s">
        <v>9</v>
      </c>
      <c r="D2" s="9" t="s">
        <v>10</v>
      </c>
    </row>
    <row r="3" spans="1:4" x14ac:dyDescent="0.3">
      <c r="A3" s="3" t="str">
        <f>IF(Alunos!A3&lt;&gt;"",Alunos!A3,"")</f>
        <v/>
      </c>
      <c r="C3" s="3" t="str">
        <f>IF(A3&lt;&gt;"",SUM(B3),"")</f>
        <v/>
      </c>
      <c r="D3" s="3" t="str">
        <f>IF(A3&lt;&gt;"",(Exame!D1*Exame!C3)/Exame!C1, "")</f>
        <v/>
      </c>
    </row>
    <row r="4" spans="1:4" x14ac:dyDescent="0.3">
      <c r="A4" s="3" t="str">
        <f>IF(Alunos!A4&lt;&gt;"",Alunos!A4,"")</f>
        <v/>
      </c>
      <c r="C4" s="3" t="str">
        <f>IF(A4&lt;&gt;"",SUM(B4),"")</f>
        <v/>
      </c>
      <c r="D4" s="3" t="str">
        <f>IF(A4&lt;&gt;"",(Exame!D1*Exame!C4)/Exame!C1, "")</f>
        <v/>
      </c>
    </row>
    <row r="5" spans="1:4" x14ac:dyDescent="0.3">
      <c r="A5" s="3" t="str">
        <f>IF(Alunos!A5&lt;&gt;"",Alunos!A5,"")</f>
        <v/>
      </c>
      <c r="C5" s="3" t="str">
        <f>IF(A5&lt;&gt;"",SUM(B5),"")</f>
        <v/>
      </c>
      <c r="D5" s="3" t="str">
        <f>IF(A5&lt;&gt;"",(Exame!D1*Exame!C5)/Exame!C1, "")</f>
        <v/>
      </c>
    </row>
    <row r="6" spans="1:4" x14ac:dyDescent="0.3">
      <c r="A6" s="3" t="str">
        <f>IF(Alunos!A6&lt;&gt;"",Alunos!A6,"")</f>
        <v/>
      </c>
      <c r="C6" s="3" t="str">
        <f>IF(A6&lt;&gt;"",SUM(B6),"")</f>
        <v/>
      </c>
      <c r="D6" s="3" t="str">
        <f>IF(A6&lt;&gt;"",(Exame!D1*Exame!C6)/Exame!C1, "")</f>
        <v/>
      </c>
    </row>
    <row r="7" spans="1:4" x14ac:dyDescent="0.3">
      <c r="A7" s="3" t="str">
        <f>IF(Alunos!A7&lt;&gt;"",Alunos!A7,"")</f>
        <v/>
      </c>
      <c r="C7" s="3" t="str">
        <f>IF(A7&lt;&gt;"",SUM(B7),"")</f>
        <v/>
      </c>
      <c r="D7" s="3" t="str">
        <f>IF(A7&lt;&gt;"",(Exame!D1*Exame!C7)/Exame!C1, "")</f>
        <v/>
      </c>
    </row>
    <row r="8" spans="1:4" x14ac:dyDescent="0.3">
      <c r="A8" s="3" t="str">
        <f>IF(Alunos!A8&lt;&gt;"",Alunos!A8,"")</f>
        <v/>
      </c>
      <c r="C8" s="3" t="str">
        <f>IF(A8&lt;&gt;"",SUM(B8),"")</f>
        <v/>
      </c>
      <c r="D8" s="3" t="str">
        <f>IF(A8&lt;&gt;"",(Exame!D1*Exame!C8)/Exame!C1, "")</f>
        <v/>
      </c>
    </row>
    <row r="9" spans="1:4" x14ac:dyDescent="0.3">
      <c r="A9" s="3" t="str">
        <f>IF(Alunos!A9&lt;&gt;"",Alunos!A9,"")</f>
        <v/>
      </c>
      <c r="C9" s="3" t="str">
        <f>IF(A9&lt;&gt;"",SUM(B9),"")</f>
        <v/>
      </c>
      <c r="D9" s="3" t="str">
        <f>IF(A9&lt;&gt;"",(Exame!D1*Exame!C9)/Exame!C1, "")</f>
        <v/>
      </c>
    </row>
    <row r="10" spans="1:4" x14ac:dyDescent="0.3">
      <c r="A10" s="3" t="str">
        <f>IF(Alunos!A10&lt;&gt;"",Alunos!A10,"")</f>
        <v/>
      </c>
      <c r="C10" s="3" t="str">
        <f>IF(A10&lt;&gt;"",SUM(B10),"")</f>
        <v/>
      </c>
      <c r="D10" s="3" t="str">
        <f>IF(A10&lt;&gt;"",(Exame!D1*Exame!C10)/Exame!C1, "")</f>
        <v/>
      </c>
    </row>
    <row r="11" spans="1:4" x14ac:dyDescent="0.3">
      <c r="A11" s="3" t="str">
        <f>IF(Alunos!A11&lt;&gt;"",Alunos!A11,"")</f>
        <v/>
      </c>
      <c r="C11" s="3" t="str">
        <f>IF(A11&lt;&gt;"",SUM(B11),"")</f>
        <v/>
      </c>
      <c r="D11" s="3" t="str">
        <f>IF(A11&lt;&gt;"",(Exame!D1*Exame!C11)/Exame!C1, "")</f>
        <v/>
      </c>
    </row>
    <row r="12" spans="1:4" x14ac:dyDescent="0.3">
      <c r="A12" s="3" t="str">
        <f>IF(Alunos!A12&lt;&gt;"",Alunos!A12,"")</f>
        <v/>
      </c>
      <c r="C12" s="3" t="str">
        <f>IF(A12&lt;&gt;"",SUM(B12),"")</f>
        <v/>
      </c>
      <c r="D12" s="3" t="str">
        <f>IF(A12&lt;&gt;"",(Exame!D1*Exame!C12)/Exame!C1, "")</f>
        <v/>
      </c>
    </row>
    <row r="13" spans="1:4" x14ac:dyDescent="0.3">
      <c r="A13" s="3" t="str">
        <f>IF(Alunos!A13&lt;&gt;"",Alunos!A13,"")</f>
        <v/>
      </c>
      <c r="C13" s="3" t="str">
        <f>IF(A13&lt;&gt;"",SUM(B13),"")</f>
        <v/>
      </c>
      <c r="D13" s="3" t="str">
        <f>IF(A13&lt;&gt;"",(Exame!D1*Exame!C13)/Exame!C1, "")</f>
        <v/>
      </c>
    </row>
    <row r="14" spans="1:4" x14ac:dyDescent="0.3">
      <c r="A14" s="3" t="str">
        <f>IF(Alunos!A14&lt;&gt;"",Alunos!A14,"")</f>
        <v/>
      </c>
      <c r="C14" s="3" t="str">
        <f>IF(A14&lt;&gt;"",SUM(B14),"")</f>
        <v/>
      </c>
      <c r="D14" s="3" t="str">
        <f>IF(A14&lt;&gt;"",(Exame!D1*Exame!C14)/Exame!C1, "")</f>
        <v/>
      </c>
    </row>
    <row r="15" spans="1:4" x14ac:dyDescent="0.3">
      <c r="A15" s="3" t="str">
        <f>IF(Alunos!A15&lt;&gt;"",Alunos!A15,"")</f>
        <v/>
      </c>
      <c r="C15" s="3" t="str">
        <f>IF(A15&lt;&gt;"",SUM(B15),"")</f>
        <v/>
      </c>
      <c r="D15" s="3" t="str">
        <f>IF(A15&lt;&gt;"",(Exame!D1*Exame!C15)/Exame!C1, "")</f>
        <v/>
      </c>
    </row>
    <row r="16" spans="1:4" x14ac:dyDescent="0.3">
      <c r="A16" s="3" t="str">
        <f>IF(Alunos!A16&lt;&gt;"",Alunos!A16,"")</f>
        <v/>
      </c>
      <c r="C16" s="3" t="str">
        <f>IF(A16&lt;&gt;"",SUM(B16),"")</f>
        <v/>
      </c>
      <c r="D16" s="3" t="str">
        <f>IF(A16&lt;&gt;"",(Exame!D1*Exame!C16)/Exame!C1, "")</f>
        <v/>
      </c>
    </row>
    <row r="17" spans="1:4" x14ac:dyDescent="0.3">
      <c r="A17" s="3" t="str">
        <f>IF(Alunos!A17&lt;&gt;"",Alunos!A17,"")</f>
        <v/>
      </c>
      <c r="C17" s="3" t="str">
        <f>IF(A17&lt;&gt;"",SUM(B17),"")</f>
        <v/>
      </c>
      <c r="D17" s="3" t="str">
        <f>IF(A17&lt;&gt;"",(Exame!D1*Exame!C17)/Exame!C1, "")</f>
        <v/>
      </c>
    </row>
    <row r="18" spans="1:4" x14ac:dyDescent="0.3">
      <c r="A18" s="3" t="str">
        <f>IF(Alunos!A18&lt;&gt;"",Alunos!A18,"")</f>
        <v/>
      </c>
      <c r="C18" s="3" t="str">
        <f>IF(A18&lt;&gt;"",SUM(B18),"")</f>
        <v/>
      </c>
      <c r="D18" s="3" t="str">
        <f>IF(A18&lt;&gt;"",(Exame!D1*Exame!C18)/Exame!C1, "")</f>
        <v/>
      </c>
    </row>
    <row r="19" spans="1:4" x14ac:dyDescent="0.3">
      <c r="A19" s="3" t="str">
        <f>IF(Alunos!A19&lt;&gt;"",Alunos!A19,"")</f>
        <v/>
      </c>
      <c r="C19" s="3" t="str">
        <f>IF(A19&lt;&gt;"",SUM(B19),"")</f>
        <v/>
      </c>
      <c r="D19" s="3" t="str">
        <f>IF(A19&lt;&gt;"",(Exame!D1*Exame!C19)/Exame!C1, "")</f>
        <v/>
      </c>
    </row>
    <row r="20" spans="1:4" x14ac:dyDescent="0.3">
      <c r="A20" s="3" t="str">
        <f>IF(Alunos!A20&lt;&gt;"",Alunos!A20,"")</f>
        <v/>
      </c>
      <c r="C20" s="3" t="str">
        <f>IF(A20&lt;&gt;"",SUM(B20),"")</f>
        <v/>
      </c>
      <c r="D20" s="3" t="str">
        <f>IF(A20&lt;&gt;"",(Exame!D1*Exame!C20)/Exame!C1, "")</f>
        <v/>
      </c>
    </row>
    <row r="21" spans="1:4" x14ac:dyDescent="0.3">
      <c r="A21" s="3" t="str">
        <f>IF(Alunos!A21&lt;&gt;"",Alunos!A21,"")</f>
        <v/>
      </c>
      <c r="C21" s="3" t="str">
        <f>IF(A21&lt;&gt;"",SUM(B21),"")</f>
        <v/>
      </c>
      <c r="D21" s="3" t="str">
        <f>IF(A21&lt;&gt;"",(Exame!D1*Exame!C21)/Exame!C1, "")</f>
        <v/>
      </c>
    </row>
    <row r="22" spans="1:4" x14ac:dyDescent="0.3">
      <c r="A22" s="3" t="str">
        <f>IF(Alunos!A22&lt;&gt;"",Alunos!A22,"")</f>
        <v/>
      </c>
      <c r="C22" s="3" t="str">
        <f>IF(A22&lt;&gt;"",SUM(B22),"")</f>
        <v/>
      </c>
      <c r="D22" s="3" t="str">
        <f>IF(A22&lt;&gt;"",(Exame!D1*Exame!C22)/Exame!C1, "")</f>
        <v/>
      </c>
    </row>
    <row r="23" spans="1:4" x14ac:dyDescent="0.3">
      <c r="A23" s="3" t="str">
        <f>IF(Alunos!A23&lt;&gt;"",Alunos!A23,"")</f>
        <v/>
      </c>
      <c r="C23" s="3" t="str">
        <f>IF(A23&lt;&gt;"",SUM(B23),"")</f>
        <v/>
      </c>
      <c r="D23" s="3" t="str">
        <f>IF(A23&lt;&gt;"",(Exame!D1*Exame!C23)/Exame!C1, "")</f>
        <v/>
      </c>
    </row>
    <row r="24" spans="1:4" x14ac:dyDescent="0.3">
      <c r="A24" s="3" t="str">
        <f>IF(Alunos!A24&lt;&gt;"",Alunos!A24,"")</f>
        <v/>
      </c>
      <c r="C24" s="3" t="str">
        <f>IF(A24&lt;&gt;"",SUM(B24),"")</f>
        <v/>
      </c>
      <c r="D24" s="3" t="str">
        <f>IF(A24&lt;&gt;"",(Exame!D1*Exame!C24)/Exame!C1, "")</f>
        <v/>
      </c>
    </row>
    <row r="25" spans="1:4" x14ac:dyDescent="0.3">
      <c r="A25" s="3" t="str">
        <f>IF(Alunos!A25&lt;&gt;"",Alunos!A25,"")</f>
        <v/>
      </c>
      <c r="C25" s="3" t="str">
        <f>IF(A25&lt;&gt;"",SUM(B25),"")</f>
        <v/>
      </c>
      <c r="D25" s="3" t="str">
        <f>IF(A25&lt;&gt;"",(Exame!D1*Exame!C25)/Exame!C1, "")</f>
        <v/>
      </c>
    </row>
    <row r="26" spans="1:4" x14ac:dyDescent="0.3">
      <c r="A26" s="3" t="str">
        <f>IF(Alunos!A26&lt;&gt;"",Alunos!A26,"")</f>
        <v/>
      </c>
      <c r="C26" s="3" t="str">
        <f>IF(A26&lt;&gt;"",SUM(B26),"")</f>
        <v/>
      </c>
      <c r="D26" s="3" t="str">
        <f>IF(A26&lt;&gt;"",(Exame!D1*Exame!C26)/Exame!C1, "")</f>
        <v/>
      </c>
    </row>
    <row r="27" spans="1:4" x14ac:dyDescent="0.3">
      <c r="A27" s="3" t="str">
        <f>IF(Alunos!A27&lt;&gt;"",Alunos!A27,"")</f>
        <v/>
      </c>
      <c r="C27" s="3" t="str">
        <f>IF(A27&lt;&gt;"",SUM(B27),"")</f>
        <v/>
      </c>
      <c r="D27" s="3" t="str">
        <f>IF(A27&lt;&gt;"",(Exame!D1*Exame!C27)/Exame!C1, "")</f>
        <v/>
      </c>
    </row>
    <row r="28" spans="1:4" x14ac:dyDescent="0.3">
      <c r="A28" s="3" t="str">
        <f>IF(Alunos!A28&lt;&gt;"",Alunos!A28,"")</f>
        <v/>
      </c>
      <c r="C28" s="3" t="str">
        <f>IF(A28&lt;&gt;"",SUM(B28),"")</f>
        <v/>
      </c>
      <c r="D28" s="3" t="str">
        <f>IF(A28&lt;&gt;"",(Exame!D1*Exame!C28)/Exame!C1, "")</f>
        <v/>
      </c>
    </row>
    <row r="29" spans="1:4" x14ac:dyDescent="0.3">
      <c r="A29" s="3" t="str">
        <f>IF(Alunos!A29&lt;&gt;"",Alunos!A29,"")</f>
        <v/>
      </c>
      <c r="C29" s="3" t="str">
        <f>IF(A29&lt;&gt;"",SUM(B29),"")</f>
        <v/>
      </c>
      <c r="D29" s="3" t="str">
        <f>IF(A29&lt;&gt;"",(Exame!D1*Exame!C29)/Exame!C1, "")</f>
        <v/>
      </c>
    </row>
    <row r="30" spans="1:4" x14ac:dyDescent="0.3">
      <c r="A30" s="3" t="str">
        <f>IF(Alunos!A30&lt;&gt;"",Alunos!A30,"")</f>
        <v/>
      </c>
      <c r="C30" s="3" t="str">
        <f>IF(A30&lt;&gt;"",SUM(B30),"")</f>
        <v/>
      </c>
      <c r="D30" s="3" t="str">
        <f>IF(A30&lt;&gt;"",(Exame!D1*Exame!C30)/Exame!C1, "")</f>
        <v/>
      </c>
    </row>
    <row r="31" spans="1:4" x14ac:dyDescent="0.3">
      <c r="A31" s="3" t="str">
        <f>IF(Alunos!A31&lt;&gt;"",Alunos!A31,"")</f>
        <v/>
      </c>
      <c r="C31" s="3" t="str">
        <f>IF(A31&lt;&gt;"",SUM(B31),"")</f>
        <v/>
      </c>
      <c r="D31" s="3" t="str">
        <f>IF(A31&lt;&gt;"",(Exame!D1*Exame!C31)/Exame!C1, "")</f>
        <v/>
      </c>
    </row>
    <row r="32" spans="1:4" x14ac:dyDescent="0.3">
      <c r="A32" s="3" t="str">
        <f>IF(Alunos!A32&lt;&gt;"",Alunos!A32,"")</f>
        <v/>
      </c>
      <c r="C32" s="3" t="str">
        <f>IF(A32&lt;&gt;"",SUM(B32),"")</f>
        <v/>
      </c>
      <c r="D32" s="3" t="str">
        <f>IF(A32&lt;&gt;"",(Exame!D1*Exame!C32)/Exame!C1, "")</f>
        <v/>
      </c>
    </row>
    <row r="33" spans="1:4" x14ac:dyDescent="0.3">
      <c r="A33" s="3" t="str">
        <f>IF(Alunos!A33&lt;&gt;"",Alunos!A33,"")</f>
        <v/>
      </c>
      <c r="C33" s="3" t="str">
        <f>IF(A33&lt;&gt;"",SUM(B33),"")</f>
        <v/>
      </c>
      <c r="D33" s="3" t="str">
        <f>IF(A33&lt;&gt;"",(Exame!D1*Exame!C33)/Exame!C1, "")</f>
        <v/>
      </c>
    </row>
    <row r="34" spans="1:4" x14ac:dyDescent="0.3">
      <c r="A34" s="3" t="str">
        <f>IF(Alunos!A34&lt;&gt;"",Alunos!A34,"")</f>
        <v/>
      </c>
      <c r="C34" s="3" t="str">
        <f>IF(A34&lt;&gt;"",SUM(B34),"")</f>
        <v/>
      </c>
      <c r="D34" s="3" t="str">
        <f>IF(A34&lt;&gt;"",(Exame!D1*Exame!C34)/Exame!C1, "")</f>
        <v/>
      </c>
    </row>
    <row r="35" spans="1:4" x14ac:dyDescent="0.3">
      <c r="A35" s="3" t="str">
        <f>IF(Alunos!A35&lt;&gt;"",Alunos!A35,"")</f>
        <v/>
      </c>
      <c r="C35" s="3" t="str">
        <f>IF(A35&lt;&gt;"",SUM(B35),"")</f>
        <v/>
      </c>
      <c r="D35" s="3" t="str">
        <f>IF(A35&lt;&gt;"",(Exame!D1*Exame!C35)/Exame!C1, "")</f>
        <v/>
      </c>
    </row>
    <row r="36" spans="1:4" x14ac:dyDescent="0.3">
      <c r="A36" s="3" t="str">
        <f>IF(Alunos!A36&lt;&gt;"",Alunos!A36,"")</f>
        <v/>
      </c>
      <c r="C36" s="3" t="str">
        <f>IF(A36&lt;&gt;"",SUM(B36),"")</f>
        <v/>
      </c>
      <c r="D36" s="3" t="str">
        <f>IF(A36&lt;&gt;"",(Exame!D1*Exame!C36)/Exame!C1, "")</f>
        <v/>
      </c>
    </row>
    <row r="37" spans="1:4" x14ac:dyDescent="0.3">
      <c r="A37" s="3" t="str">
        <f>IF(Alunos!A37&lt;&gt;"",Alunos!A37,"")</f>
        <v/>
      </c>
      <c r="C37" s="3" t="str">
        <f>IF(A37&lt;&gt;"",SUM(B37),"")</f>
        <v/>
      </c>
      <c r="D37" s="3" t="str">
        <f>IF(A37&lt;&gt;"",(Exame!D1*Exame!C37)/Exame!C1, "")</f>
        <v/>
      </c>
    </row>
    <row r="38" spans="1:4" x14ac:dyDescent="0.3">
      <c r="A38" s="3" t="str">
        <f>IF(Alunos!A38&lt;&gt;"",Alunos!A38,"")</f>
        <v/>
      </c>
      <c r="C38" s="3" t="str">
        <f>IF(A38&lt;&gt;"",SUM(B38),"")</f>
        <v/>
      </c>
      <c r="D38" s="3" t="str">
        <f>IF(A38&lt;&gt;"",(Exame!D1*Exame!C38)/Exame!C1, "")</f>
        <v/>
      </c>
    </row>
    <row r="39" spans="1:4" x14ac:dyDescent="0.3">
      <c r="A39" s="3" t="str">
        <f>IF(Alunos!A39&lt;&gt;"",Alunos!A39,"")</f>
        <v/>
      </c>
      <c r="C39" s="3" t="str">
        <f>IF(A39&lt;&gt;"",SUM(B39),"")</f>
        <v/>
      </c>
      <c r="D39" s="3" t="str">
        <f>IF(A39&lt;&gt;"",(Exame!D1*Exame!C39)/Exame!C1, "")</f>
        <v/>
      </c>
    </row>
    <row r="40" spans="1:4" x14ac:dyDescent="0.3">
      <c r="A40" s="3" t="str">
        <f>IF(Alunos!A40&lt;&gt;"",Alunos!A40,"")</f>
        <v/>
      </c>
      <c r="C40" s="3" t="str">
        <f>IF(A40&lt;&gt;"",SUM(B40),"")</f>
        <v/>
      </c>
      <c r="D40" s="3" t="str">
        <f>IF(A40&lt;&gt;"",(Exame!D1*Exame!C40)/Exame!C1, "")</f>
        <v/>
      </c>
    </row>
    <row r="41" spans="1:4" x14ac:dyDescent="0.3">
      <c r="A41" s="3" t="str">
        <f>IF(Alunos!A41&lt;&gt;"",Alunos!A41,"")</f>
        <v/>
      </c>
      <c r="C41" s="3" t="str">
        <f>IF(A41&lt;&gt;"",SUM(B41),"")</f>
        <v/>
      </c>
      <c r="D41" s="3" t="str">
        <f>IF(A41&lt;&gt;"",(Exame!D1*Exame!C41)/Exame!C1, "")</f>
        <v/>
      </c>
    </row>
    <row r="42" spans="1:4" x14ac:dyDescent="0.3">
      <c r="A42" s="3" t="str">
        <f>IF(Alunos!A42&lt;&gt;"",Alunos!A42,"")</f>
        <v/>
      </c>
      <c r="C42" s="3" t="str">
        <f>IF(A42&lt;&gt;"",SUM(B42),"")</f>
        <v/>
      </c>
      <c r="D42" s="3" t="str">
        <f>IF(A42&lt;&gt;"",(Exame!D1*Exame!C42)/Exame!C1, "")</f>
        <v/>
      </c>
    </row>
    <row r="43" spans="1:4" x14ac:dyDescent="0.3">
      <c r="A43" s="3" t="str">
        <f>IF(Alunos!A43&lt;&gt;"",Alunos!A43,"")</f>
        <v/>
      </c>
      <c r="C43" s="3" t="str">
        <f>IF(A43&lt;&gt;"",SUM(B43),"")</f>
        <v/>
      </c>
      <c r="D43" s="3" t="str">
        <f>IF(A43&lt;&gt;"",(Exame!D1*Exame!C43)/Exame!C1, "")</f>
        <v/>
      </c>
    </row>
    <row r="44" spans="1:4" x14ac:dyDescent="0.3">
      <c r="A44" s="3" t="str">
        <f>IF(Alunos!A44&lt;&gt;"",Alunos!A44,"")</f>
        <v/>
      </c>
      <c r="C44" s="3" t="str">
        <f>IF(A44&lt;&gt;"",SUM(B44),"")</f>
        <v/>
      </c>
      <c r="D44" s="3" t="str">
        <f>IF(A44&lt;&gt;"",(Exame!D1*Exame!C44)/Exame!C1, "")</f>
        <v/>
      </c>
    </row>
    <row r="45" spans="1:4" x14ac:dyDescent="0.3">
      <c r="A45" s="3" t="str">
        <f>IF(Alunos!A45&lt;&gt;"",Alunos!A45,"")</f>
        <v/>
      </c>
      <c r="C45" s="3" t="str">
        <f>IF(A45&lt;&gt;"",SUM(B45),"")</f>
        <v/>
      </c>
      <c r="D45" s="3" t="str">
        <f>IF(A45&lt;&gt;"",(Exame!D1*Exame!C45)/Exame!C1, "")</f>
        <v/>
      </c>
    </row>
    <row r="46" spans="1:4" x14ac:dyDescent="0.3">
      <c r="A46" s="3" t="str">
        <f>IF(Alunos!A46&lt;&gt;"",Alunos!A46,"")</f>
        <v/>
      </c>
      <c r="C46" s="3" t="str">
        <f>IF(A46&lt;&gt;"",SUM(B46),"")</f>
        <v/>
      </c>
      <c r="D46" s="3" t="str">
        <f>IF(A46&lt;&gt;"",(Exame!D1*Exame!C46)/Exame!C1, "")</f>
        <v/>
      </c>
    </row>
    <row r="47" spans="1:4" x14ac:dyDescent="0.3">
      <c r="A47" s="3" t="str">
        <f>IF(Alunos!A47&lt;&gt;"",Alunos!A47,"")</f>
        <v/>
      </c>
      <c r="C47" s="3" t="str">
        <f>IF(A47&lt;&gt;"",SUM(B47),"")</f>
        <v/>
      </c>
      <c r="D47" s="3" t="str">
        <f>IF(A47&lt;&gt;"",(Exame!D1*Exame!C47)/Exame!C1, "")</f>
        <v/>
      </c>
    </row>
    <row r="48" spans="1:4" x14ac:dyDescent="0.3">
      <c r="A48" s="3" t="str">
        <f>IF(Alunos!A48&lt;&gt;"",Alunos!A48,"")</f>
        <v/>
      </c>
      <c r="C48" s="3" t="str">
        <f>IF(A48&lt;&gt;"",SUM(B48),"")</f>
        <v/>
      </c>
      <c r="D48" s="3" t="str">
        <f>IF(A48&lt;&gt;"",(Exame!D1*Exame!C48)/Exame!C1, "")</f>
        <v/>
      </c>
    </row>
    <row r="49" spans="1:4" x14ac:dyDescent="0.3">
      <c r="A49" s="3" t="str">
        <f>IF(Alunos!A49&lt;&gt;"",Alunos!A49,"")</f>
        <v/>
      </c>
      <c r="C49" s="3" t="str">
        <f>IF(A49&lt;&gt;"",SUM(B49),"")</f>
        <v/>
      </c>
      <c r="D49" s="3" t="str">
        <f>IF(A49&lt;&gt;"",(Exame!D1*Exame!C49)/Exame!C1, "")</f>
        <v/>
      </c>
    </row>
    <row r="50" spans="1:4" x14ac:dyDescent="0.3">
      <c r="A50" s="3" t="str">
        <f>IF(Alunos!A50&lt;&gt;"",Alunos!A50,"")</f>
        <v/>
      </c>
      <c r="C50" s="3" t="str">
        <f>IF(A50&lt;&gt;"",SUM(B50),"")</f>
        <v/>
      </c>
      <c r="D50" s="3" t="str">
        <f>IF(A50&lt;&gt;"",(Exame!D1*Exame!C50)/Exame!C1, "")</f>
        <v/>
      </c>
    </row>
    <row r="51" spans="1:4" x14ac:dyDescent="0.3">
      <c r="A51" s="3" t="str">
        <f>IF(Alunos!A51&lt;&gt;"",Alunos!A51,"")</f>
        <v/>
      </c>
      <c r="C51" s="3" t="str">
        <f>IF(A51&lt;&gt;"",SUM(B51),"")</f>
        <v/>
      </c>
      <c r="D51" s="3" t="str">
        <f>IF(A51&lt;&gt;"",(Exame!D1*Exame!C51)/Exame!C1, "")</f>
        <v/>
      </c>
    </row>
    <row r="52" spans="1:4" x14ac:dyDescent="0.3">
      <c r="A52" s="3" t="str">
        <f>IF(Alunos!A52&lt;&gt;"",Alunos!A52,"")</f>
        <v/>
      </c>
      <c r="C52" s="3" t="str">
        <f>IF(A52&lt;&gt;"",SUM(B52),"")</f>
        <v/>
      </c>
      <c r="D52" s="3" t="str">
        <f>IF(A52&lt;&gt;"",(Exame!D1*Exame!C52)/Exame!C1, "")</f>
        <v/>
      </c>
    </row>
    <row r="53" spans="1:4" x14ac:dyDescent="0.3">
      <c r="A53" s="3" t="str">
        <f>IF(Alunos!A53&lt;&gt;"",Alunos!A53,"")</f>
        <v/>
      </c>
      <c r="C53" s="3" t="str">
        <f>IF(A53&lt;&gt;"",SUM(B53),"")</f>
        <v/>
      </c>
      <c r="D53" s="3" t="str">
        <f>IF(A53&lt;&gt;"",(Exame!D1*Exame!C53)/Exame!C1, "")</f>
        <v/>
      </c>
    </row>
    <row r="54" spans="1:4" x14ac:dyDescent="0.3">
      <c r="A54" s="3" t="str">
        <f>IF(Alunos!A54&lt;&gt;"",Alunos!A54,"")</f>
        <v/>
      </c>
      <c r="C54" s="3" t="str">
        <f>IF(A54&lt;&gt;"",SUM(B54),"")</f>
        <v/>
      </c>
      <c r="D54" s="3" t="str">
        <f>IF(A54&lt;&gt;"",(Exame!D1*Exame!C54)/Exame!C1, "")</f>
        <v/>
      </c>
    </row>
    <row r="55" spans="1:4" x14ac:dyDescent="0.3">
      <c r="A55" s="3" t="str">
        <f>IF(Alunos!A55&lt;&gt;"",Alunos!A55,"")</f>
        <v/>
      </c>
      <c r="C55" s="3" t="str">
        <f>IF(A55&lt;&gt;"",SUM(B55),"")</f>
        <v/>
      </c>
      <c r="D55" s="3" t="str">
        <f>IF(A55&lt;&gt;"",(Exame!D1*Exame!C55)/Exame!C1, "")</f>
        <v/>
      </c>
    </row>
    <row r="56" spans="1:4" x14ac:dyDescent="0.3">
      <c r="A56" s="3" t="str">
        <f>IF(Alunos!A56&lt;&gt;"",Alunos!A56,"")</f>
        <v/>
      </c>
      <c r="C56" s="3" t="str">
        <f>IF(A56&lt;&gt;"",SUM(B56),"")</f>
        <v/>
      </c>
      <c r="D56" s="3" t="str">
        <f>IF(A56&lt;&gt;"",(Exame!D1*Exame!C56)/Exame!C1, "")</f>
        <v/>
      </c>
    </row>
    <row r="57" spans="1:4" x14ac:dyDescent="0.3">
      <c r="A57" s="3" t="str">
        <f>IF(Alunos!A57&lt;&gt;"",Alunos!A57,"")</f>
        <v/>
      </c>
      <c r="C57" s="3" t="str">
        <f>IF(A57&lt;&gt;"",SUM(B57),"")</f>
        <v/>
      </c>
      <c r="D57" s="3" t="str">
        <f>IF(A57&lt;&gt;"",(Exame!D1*Exame!C57)/Exame!C1, "")</f>
        <v/>
      </c>
    </row>
    <row r="58" spans="1:4" x14ac:dyDescent="0.3">
      <c r="A58" s="3" t="str">
        <f>IF(Alunos!A58&lt;&gt;"",Alunos!A58,"")</f>
        <v/>
      </c>
      <c r="C58" s="3" t="str">
        <f>IF(A58&lt;&gt;"",SUM(B58),"")</f>
        <v/>
      </c>
      <c r="D58" s="3" t="str">
        <f>IF(A58&lt;&gt;"",(Exame!D1*Exame!C58)/Exame!C1, "")</f>
        <v/>
      </c>
    </row>
    <row r="59" spans="1:4" x14ac:dyDescent="0.3">
      <c r="A59" s="3" t="str">
        <f>IF(Alunos!A59&lt;&gt;"",Alunos!A59,"")</f>
        <v/>
      </c>
      <c r="C59" s="3" t="str">
        <f>IF(A59&lt;&gt;"",SUM(B59),"")</f>
        <v/>
      </c>
      <c r="D59" s="3" t="str">
        <f>IF(A59&lt;&gt;"",(Exame!D1*Exame!C59)/Exame!C1, "")</f>
        <v/>
      </c>
    </row>
    <row r="60" spans="1:4" x14ac:dyDescent="0.3">
      <c r="A60" s="3" t="str">
        <f>IF(Alunos!A60&lt;&gt;"",Alunos!A60,"")</f>
        <v/>
      </c>
      <c r="C60" s="3" t="str">
        <f>IF(A60&lt;&gt;"",SUM(B60),"")</f>
        <v/>
      </c>
      <c r="D60" s="3" t="str">
        <f>IF(A60&lt;&gt;"",(Exame!D1*Exame!C60)/Exame!C1, "")</f>
        <v/>
      </c>
    </row>
    <row r="61" spans="1:4" x14ac:dyDescent="0.3">
      <c r="A61" s="3" t="str">
        <f>IF(Alunos!A61&lt;&gt;"",Alunos!A61,"")</f>
        <v/>
      </c>
      <c r="C61" s="3" t="str">
        <f>IF(A61&lt;&gt;"",SUM(B61),"")</f>
        <v/>
      </c>
      <c r="D61" s="3" t="str">
        <f>IF(A61&lt;&gt;"",(Exame!D1*Exame!C61)/Exame!C1, "")</f>
        <v/>
      </c>
    </row>
    <row r="62" spans="1:4" x14ac:dyDescent="0.3">
      <c r="A62" s="3" t="str">
        <f>IF(Alunos!A62&lt;&gt;"",Alunos!A62,"")</f>
        <v/>
      </c>
      <c r="C62" s="3" t="str">
        <f>IF(A62&lt;&gt;"",SUM(B62),"")</f>
        <v/>
      </c>
      <c r="D62" s="3" t="str">
        <f>IF(A62&lt;&gt;"",(Exame!D1*Exame!C62)/Exame!C1, "")</f>
        <v/>
      </c>
    </row>
    <row r="63" spans="1:4" x14ac:dyDescent="0.3">
      <c r="A63" s="3" t="str">
        <f>IF(Alunos!A63&lt;&gt;"",Alunos!A63,"")</f>
        <v/>
      </c>
      <c r="C63" s="3" t="str">
        <f>IF(A63&lt;&gt;"",SUM(B63),"")</f>
        <v/>
      </c>
      <c r="D63" s="3" t="str">
        <f>IF(A63&lt;&gt;"",(Exame!D1*Exame!C63)/Exame!C1, "")</f>
        <v/>
      </c>
    </row>
    <row r="64" spans="1:4" x14ac:dyDescent="0.3">
      <c r="A64" s="3" t="str">
        <f>IF(Alunos!A64&lt;&gt;"",Alunos!A64,"")</f>
        <v/>
      </c>
      <c r="C64" s="3" t="str">
        <f>IF(A64&lt;&gt;"",SUM(B64),"")</f>
        <v/>
      </c>
      <c r="D64" s="3" t="str">
        <f>IF(A64&lt;&gt;"",(Exame!D1*Exame!C64)/Exame!C1, "")</f>
        <v/>
      </c>
    </row>
    <row r="65" spans="1:4" x14ac:dyDescent="0.3">
      <c r="A65" s="3" t="str">
        <f>IF(Alunos!A65&lt;&gt;"",Alunos!A65,"")</f>
        <v/>
      </c>
      <c r="C65" s="3" t="str">
        <f>IF(A65&lt;&gt;"",SUM(B65),"")</f>
        <v/>
      </c>
      <c r="D65" s="3" t="str">
        <f>IF(A65&lt;&gt;"",(Exame!D1*Exame!C65)/Exame!C1, "")</f>
        <v/>
      </c>
    </row>
    <row r="66" spans="1:4" x14ac:dyDescent="0.3">
      <c r="A66" s="3" t="str">
        <f>IF(Alunos!A66&lt;&gt;"",Alunos!A66,"")</f>
        <v/>
      </c>
      <c r="C66" s="3" t="str">
        <f>IF(A66&lt;&gt;"",SUM(B66),"")</f>
        <v/>
      </c>
      <c r="D66" s="3" t="str">
        <f>IF(A66&lt;&gt;"",(Exame!D1*Exame!C66)/Exame!C1, "")</f>
        <v/>
      </c>
    </row>
    <row r="67" spans="1:4" x14ac:dyDescent="0.3">
      <c r="A67" s="3" t="str">
        <f>IF(Alunos!A67&lt;&gt;"",Alunos!A67,"")</f>
        <v/>
      </c>
      <c r="C67" s="3" t="str">
        <f>IF(A67&lt;&gt;"",SUM(B67),"")</f>
        <v/>
      </c>
      <c r="D67" s="3" t="str">
        <f>IF(A67&lt;&gt;"",(Exame!D1*Exame!C67)/Exame!C1, "")</f>
        <v/>
      </c>
    </row>
    <row r="68" spans="1:4" x14ac:dyDescent="0.3">
      <c r="A68" s="3" t="str">
        <f>IF(Alunos!A68&lt;&gt;"",Alunos!A68,"")</f>
        <v/>
      </c>
      <c r="C68" s="3" t="str">
        <f>IF(A68&lt;&gt;"",SUM(B68),"")</f>
        <v/>
      </c>
      <c r="D68" s="3" t="str">
        <f>IF(A68&lt;&gt;"",(Exame!D1*Exame!C68)/Exame!C1, "")</f>
        <v/>
      </c>
    </row>
    <row r="69" spans="1:4" x14ac:dyDescent="0.3">
      <c r="A69" s="3" t="str">
        <f>IF(Alunos!A69&lt;&gt;"",Alunos!A69,"")</f>
        <v/>
      </c>
      <c r="C69" s="3" t="str">
        <f>IF(A69&lt;&gt;"",SUM(B69),"")</f>
        <v/>
      </c>
      <c r="D69" s="3" t="str">
        <f>IF(A69&lt;&gt;"",(Exame!D1*Exame!C69)/Exame!C1, "")</f>
        <v/>
      </c>
    </row>
    <row r="70" spans="1:4" x14ac:dyDescent="0.3">
      <c r="A70" s="3" t="str">
        <f>IF(Alunos!A70&lt;&gt;"",Alunos!A70,"")</f>
        <v/>
      </c>
      <c r="C70" s="3" t="str">
        <f>IF(A70&lt;&gt;"",SUM(B70),"")</f>
        <v/>
      </c>
      <c r="D70" s="3" t="str">
        <f>IF(A70&lt;&gt;"",(Exame!D1*Exame!C70)/Exame!C1, "")</f>
        <v/>
      </c>
    </row>
    <row r="71" spans="1:4" x14ac:dyDescent="0.3">
      <c r="A71" s="3" t="str">
        <f>IF(Alunos!A71&lt;&gt;"",Alunos!A71,"")</f>
        <v/>
      </c>
      <c r="C71" s="3" t="str">
        <f>IF(A71&lt;&gt;"",SUM(B71),"")</f>
        <v/>
      </c>
      <c r="D71" s="3" t="str">
        <f>IF(A71&lt;&gt;"",(Exame!D1*Exame!C71)/Exame!C1, "")</f>
        <v/>
      </c>
    </row>
    <row r="72" spans="1:4" x14ac:dyDescent="0.3">
      <c r="A72" s="3" t="str">
        <f>IF(Alunos!A72&lt;&gt;"",Alunos!A72,"")</f>
        <v/>
      </c>
      <c r="C72" s="3" t="str">
        <f>IF(A72&lt;&gt;"",SUM(B72),"")</f>
        <v/>
      </c>
      <c r="D72" s="3" t="str">
        <f>IF(A72&lt;&gt;"",(Exame!D1*Exame!C72)/Exame!C1, "")</f>
        <v/>
      </c>
    </row>
    <row r="73" spans="1:4" x14ac:dyDescent="0.3">
      <c r="A73" s="3" t="str">
        <f>IF(Alunos!A73&lt;&gt;"",Alunos!A73,"")</f>
        <v/>
      </c>
      <c r="C73" s="3" t="str">
        <f>IF(A73&lt;&gt;"",SUM(B73),"")</f>
        <v/>
      </c>
      <c r="D73" s="3" t="str">
        <f>IF(A73&lt;&gt;"",(Exame!D1*Exame!C73)/Exame!C1, "")</f>
        <v/>
      </c>
    </row>
    <row r="74" spans="1:4" x14ac:dyDescent="0.3">
      <c r="A74" s="3" t="str">
        <f>IF(Alunos!A74&lt;&gt;"",Alunos!A74,"")</f>
        <v/>
      </c>
      <c r="C74" s="3" t="str">
        <f>IF(A74&lt;&gt;"",SUM(B74),"")</f>
        <v/>
      </c>
      <c r="D74" s="3" t="str">
        <f>IF(A74&lt;&gt;"",(Exame!D1*Exame!C74)/Exame!C1, "")</f>
        <v/>
      </c>
    </row>
    <row r="75" spans="1:4" x14ac:dyDescent="0.3">
      <c r="A75" s="3" t="str">
        <f>IF(Alunos!A75&lt;&gt;"",Alunos!A75,"")</f>
        <v/>
      </c>
      <c r="C75" s="3" t="str">
        <f>IF(A75&lt;&gt;"",SUM(B75),"")</f>
        <v/>
      </c>
      <c r="D75" s="3" t="str">
        <f>IF(A75&lt;&gt;"",(Exame!D1*Exame!C75)/Exame!C1, "")</f>
        <v/>
      </c>
    </row>
    <row r="76" spans="1:4" x14ac:dyDescent="0.3">
      <c r="A76" s="3" t="str">
        <f>IF(Alunos!A76&lt;&gt;"",Alunos!A76,"")</f>
        <v/>
      </c>
      <c r="C76" s="3" t="str">
        <f>IF(A76&lt;&gt;"",SUM(B76),"")</f>
        <v/>
      </c>
      <c r="D76" s="3" t="str">
        <f>IF(A76&lt;&gt;"",(Exame!D1*Exame!C76)/Exame!C1, "")</f>
        <v/>
      </c>
    </row>
    <row r="77" spans="1:4" x14ac:dyDescent="0.3">
      <c r="A77" s="3" t="str">
        <f>IF(Alunos!A77&lt;&gt;"",Alunos!A77,"")</f>
        <v/>
      </c>
      <c r="C77" s="3" t="str">
        <f>IF(A77&lt;&gt;"",SUM(B77),"")</f>
        <v/>
      </c>
      <c r="D77" s="3" t="str">
        <f>IF(A77&lt;&gt;"",(Exame!D1*Exame!C77)/Exame!C1, "")</f>
        <v/>
      </c>
    </row>
    <row r="78" spans="1:4" x14ac:dyDescent="0.3">
      <c r="A78" s="3" t="str">
        <f>IF(Alunos!A78&lt;&gt;"",Alunos!A78,"")</f>
        <v/>
      </c>
      <c r="C78" s="3" t="str">
        <f>IF(A78&lt;&gt;"",SUM(B78),"")</f>
        <v/>
      </c>
      <c r="D78" s="3" t="str">
        <f>IF(A78&lt;&gt;"",(Exame!D1*Exame!C78)/Exame!C1, "")</f>
        <v/>
      </c>
    </row>
    <row r="79" spans="1:4" x14ac:dyDescent="0.3">
      <c r="A79" s="3" t="str">
        <f>IF(Alunos!A79&lt;&gt;"",Alunos!A79,"")</f>
        <v/>
      </c>
      <c r="C79" s="3" t="str">
        <f>IF(A79&lt;&gt;"",SUM(B79),"")</f>
        <v/>
      </c>
      <c r="D79" s="3" t="str">
        <f>IF(A79&lt;&gt;"",(Exame!D1*Exame!C79)/Exame!C1, "")</f>
        <v/>
      </c>
    </row>
    <row r="80" spans="1:4" x14ac:dyDescent="0.3">
      <c r="A80" s="3" t="str">
        <f>IF(Alunos!A80&lt;&gt;"",Alunos!A80,"")</f>
        <v/>
      </c>
      <c r="C80" s="3" t="str">
        <f>IF(A80&lt;&gt;"",SUM(B80),"")</f>
        <v/>
      </c>
      <c r="D80" s="3" t="str">
        <f>IF(A80&lt;&gt;"",(Exame!D1*Exame!C80)/Exame!C1, "")</f>
        <v/>
      </c>
    </row>
    <row r="81" spans="1:4" x14ac:dyDescent="0.3">
      <c r="A81" s="3" t="str">
        <f>IF(Alunos!A81&lt;&gt;"",Alunos!A81,"")</f>
        <v/>
      </c>
      <c r="C81" s="3" t="str">
        <f>IF(A81&lt;&gt;"",SUM(B81),"")</f>
        <v/>
      </c>
      <c r="D81" s="3" t="str">
        <f>IF(A81&lt;&gt;"",(Exame!D1*Exame!C81)/Exame!C1, "")</f>
        <v/>
      </c>
    </row>
    <row r="82" spans="1:4" x14ac:dyDescent="0.3">
      <c r="A82" s="3" t="str">
        <f>IF(Alunos!A82&lt;&gt;"",Alunos!A82,"")</f>
        <v/>
      </c>
      <c r="C82" s="3" t="str">
        <f>IF(A82&lt;&gt;"",SUM(B82),"")</f>
        <v/>
      </c>
      <c r="D82" s="3" t="str">
        <f>IF(A82&lt;&gt;"",(Exame!D1*Exame!C82)/Exame!C1, "")</f>
        <v/>
      </c>
    </row>
    <row r="83" spans="1:4" x14ac:dyDescent="0.3">
      <c r="A83" s="3" t="str">
        <f>IF(Alunos!A83&lt;&gt;"",Alunos!A83,"")</f>
        <v/>
      </c>
      <c r="C83" s="3" t="str">
        <f>IF(A83&lt;&gt;"",SUM(B83),"")</f>
        <v/>
      </c>
      <c r="D83" s="3" t="str">
        <f>IF(A83&lt;&gt;"",(Exame!D1*Exame!C83)/Exame!C1, "")</f>
        <v/>
      </c>
    </row>
    <row r="84" spans="1:4" x14ac:dyDescent="0.3">
      <c r="A84" s="3" t="str">
        <f>IF(Alunos!A84&lt;&gt;"",Alunos!A84,"")</f>
        <v/>
      </c>
      <c r="C84" s="3" t="str">
        <f>IF(A84&lt;&gt;"",SUM(B84),"")</f>
        <v/>
      </c>
      <c r="D84" s="3" t="str">
        <f>IF(A84&lt;&gt;"",(Exame!D1*Exame!C84)/Exame!C1, "")</f>
        <v/>
      </c>
    </row>
    <row r="85" spans="1:4" x14ac:dyDescent="0.3">
      <c r="A85" s="3" t="str">
        <f>IF(Alunos!A85&lt;&gt;"",Alunos!A85,"")</f>
        <v/>
      </c>
      <c r="C85" s="3" t="str">
        <f>IF(A85&lt;&gt;"",SUM(B85),"")</f>
        <v/>
      </c>
      <c r="D85" s="3" t="str">
        <f>IF(A85&lt;&gt;"",(Exame!D1*Exame!C85)/Exame!C1, "")</f>
        <v/>
      </c>
    </row>
    <row r="86" spans="1:4" x14ac:dyDescent="0.3">
      <c r="A86" s="3" t="str">
        <f>IF(Alunos!A86&lt;&gt;"",Alunos!A86,"")</f>
        <v/>
      </c>
      <c r="C86" s="3" t="str">
        <f>IF(A86&lt;&gt;"",SUM(B86),"")</f>
        <v/>
      </c>
      <c r="D86" s="3" t="str">
        <f>IF(A86&lt;&gt;"",(Exame!D1*Exame!C86)/Exame!C1, "")</f>
        <v/>
      </c>
    </row>
    <row r="87" spans="1:4" x14ac:dyDescent="0.3">
      <c r="A87" s="3" t="str">
        <f>IF(Alunos!A87&lt;&gt;"",Alunos!A87,"")</f>
        <v/>
      </c>
      <c r="C87" s="3" t="str">
        <f>IF(A87&lt;&gt;"",SUM(B87),"")</f>
        <v/>
      </c>
      <c r="D87" s="3" t="str">
        <f>IF(A87&lt;&gt;"",(Exame!D1*Exame!C87)/Exame!C1, "")</f>
        <v/>
      </c>
    </row>
    <row r="88" spans="1:4" x14ac:dyDescent="0.3">
      <c r="A88" s="3" t="str">
        <f>IF(Alunos!A88&lt;&gt;"",Alunos!A88,"")</f>
        <v/>
      </c>
      <c r="C88" s="3" t="str">
        <f>IF(A88&lt;&gt;"",SUM(B88),"")</f>
        <v/>
      </c>
      <c r="D88" s="3" t="str">
        <f>IF(A88&lt;&gt;"",(Exame!D1*Exame!C88)/Exame!C1, "")</f>
        <v/>
      </c>
    </row>
    <row r="89" spans="1:4" x14ac:dyDescent="0.3">
      <c r="A89" s="3" t="str">
        <f>IF(Alunos!A89&lt;&gt;"",Alunos!A89,"")</f>
        <v/>
      </c>
      <c r="C89" s="3" t="str">
        <f>IF(A89&lt;&gt;"",SUM(B89),"")</f>
        <v/>
      </c>
      <c r="D89" s="3" t="str">
        <f>IF(A89&lt;&gt;"",(Exame!D1*Exame!C89)/Exame!C1, "")</f>
        <v/>
      </c>
    </row>
    <row r="90" spans="1:4" x14ac:dyDescent="0.3">
      <c r="A90" s="3" t="str">
        <f>IF(Alunos!A90&lt;&gt;"",Alunos!A90,"")</f>
        <v/>
      </c>
      <c r="C90" s="3" t="str">
        <f>IF(A90&lt;&gt;"",SUM(B90),"")</f>
        <v/>
      </c>
      <c r="D90" s="3" t="str">
        <f>IF(A90&lt;&gt;"",(Exame!D1*Exame!C90)/Exame!C1, "")</f>
        <v/>
      </c>
    </row>
    <row r="91" spans="1:4" x14ac:dyDescent="0.3">
      <c r="A91" s="3" t="str">
        <f>IF(Alunos!A91&lt;&gt;"",Alunos!A91,"")</f>
        <v/>
      </c>
      <c r="C91" s="3" t="str">
        <f>IF(A91&lt;&gt;"",SUM(B91),"")</f>
        <v/>
      </c>
      <c r="D91" s="3" t="str">
        <f>IF(A91&lt;&gt;"",(Exame!D1*Exame!C91)/Exame!C1, "")</f>
        <v/>
      </c>
    </row>
    <row r="92" spans="1:4" x14ac:dyDescent="0.3">
      <c r="A92" s="3" t="str">
        <f>IF(Alunos!A92&lt;&gt;"",Alunos!A92,"")</f>
        <v/>
      </c>
      <c r="C92" s="3" t="str">
        <f>IF(A92&lt;&gt;"",SUM(B92),"")</f>
        <v/>
      </c>
      <c r="D92" s="3" t="str">
        <f>IF(A92&lt;&gt;"",(Exame!D1*Exame!C92)/Exame!C1, "")</f>
        <v/>
      </c>
    </row>
    <row r="93" spans="1:4" x14ac:dyDescent="0.3">
      <c r="A93" s="3" t="str">
        <f>IF(Alunos!A93&lt;&gt;"",Alunos!A93,"")</f>
        <v/>
      </c>
      <c r="C93" s="3" t="str">
        <f>IF(A93&lt;&gt;"",SUM(B93),"")</f>
        <v/>
      </c>
      <c r="D93" s="3" t="str">
        <f>IF(A93&lt;&gt;"",(Exame!D1*Exame!C93)/Exame!C1, "")</f>
        <v/>
      </c>
    </row>
    <row r="94" spans="1:4" x14ac:dyDescent="0.3">
      <c r="A94" s="3" t="str">
        <f>IF(Alunos!A94&lt;&gt;"",Alunos!A94,"")</f>
        <v/>
      </c>
      <c r="C94" s="3" t="str">
        <f>IF(A94&lt;&gt;"",SUM(B94),"")</f>
        <v/>
      </c>
      <c r="D94" s="3" t="str">
        <f>IF(A94&lt;&gt;"",(Exame!D1*Exame!C94)/Exame!C1, "")</f>
        <v/>
      </c>
    </row>
    <row r="95" spans="1:4" x14ac:dyDescent="0.3">
      <c r="A95" s="3" t="str">
        <f>IF(Alunos!A95&lt;&gt;"",Alunos!A95,"")</f>
        <v/>
      </c>
      <c r="C95" s="3" t="str">
        <f>IF(A95&lt;&gt;"",SUM(B95),"")</f>
        <v/>
      </c>
      <c r="D95" s="3" t="str">
        <f>IF(A95&lt;&gt;"",(Exame!D1*Exame!C95)/Exame!C1, "")</f>
        <v/>
      </c>
    </row>
    <row r="96" spans="1:4" x14ac:dyDescent="0.3">
      <c r="A96" s="3" t="str">
        <f>IF(Alunos!A96&lt;&gt;"",Alunos!A96,"")</f>
        <v/>
      </c>
      <c r="C96" s="3" t="str">
        <f>IF(A96&lt;&gt;"",SUM(B96),"")</f>
        <v/>
      </c>
      <c r="D96" s="3" t="str">
        <f>IF(A96&lt;&gt;"",(Exame!D1*Exame!C96)/Exame!C1, "")</f>
        <v/>
      </c>
    </row>
    <row r="97" spans="1:4" x14ac:dyDescent="0.3">
      <c r="A97" s="3" t="str">
        <f>IF(Alunos!A97&lt;&gt;"",Alunos!A97,"")</f>
        <v/>
      </c>
      <c r="C97" s="3" t="str">
        <f>IF(A97&lt;&gt;"",SUM(B97),"")</f>
        <v/>
      </c>
      <c r="D97" s="3" t="str">
        <f>IF(A97&lt;&gt;"",(Exame!D1*Exame!C97)/Exame!C1, "")</f>
        <v/>
      </c>
    </row>
    <row r="98" spans="1:4" x14ac:dyDescent="0.3">
      <c r="A98" s="3" t="str">
        <f>IF(Alunos!A98&lt;&gt;"",Alunos!A98,"")</f>
        <v/>
      </c>
      <c r="C98" s="3" t="str">
        <f>IF(A98&lt;&gt;"",SUM(B98),"")</f>
        <v/>
      </c>
      <c r="D98" s="3" t="str">
        <f>IF(A98&lt;&gt;"",(Exame!D1*Exame!C98)/Exame!C1, "")</f>
        <v/>
      </c>
    </row>
    <row r="99" spans="1:4" x14ac:dyDescent="0.3">
      <c r="A99" s="3" t="str">
        <f>IF(Alunos!A99&lt;&gt;"",Alunos!A99,"")</f>
        <v/>
      </c>
      <c r="C99" s="3" t="str">
        <f>IF(A99&lt;&gt;"",SUM(B99),"")</f>
        <v/>
      </c>
      <c r="D99" s="3" t="str">
        <f>IF(A99&lt;&gt;"",(Exame!D1*Exame!C99)/Exame!C1, "")</f>
        <v/>
      </c>
    </row>
    <row r="100" spans="1:4" x14ac:dyDescent="0.3">
      <c r="A100" s="3" t="str">
        <f>IF(Alunos!A100&lt;&gt;"",Alunos!A100,"")</f>
        <v/>
      </c>
      <c r="C100" s="3" t="str">
        <f>IF(A100&lt;&gt;"",SUM(B100),"")</f>
        <v/>
      </c>
      <c r="D100" s="3" t="str">
        <f>IF(A100&lt;&gt;"",(Exame!D1*Exame!C100)/Exame!C1, "")</f>
        <v/>
      </c>
    </row>
    <row r="101" spans="1:4" x14ac:dyDescent="0.3">
      <c r="A101" s="3" t="str">
        <f>IF(Alunos!A101&lt;&gt;"",Alunos!A101,"")</f>
        <v/>
      </c>
      <c r="C101" s="3" t="str">
        <f>IF(A101&lt;&gt;"",SUM(B101),"")</f>
        <v/>
      </c>
      <c r="D101" s="3" t="str">
        <f>IF(A101&lt;&gt;"",(Exame!D1*Exame!C101)/Exame!C1, "")</f>
        <v/>
      </c>
    </row>
    <row r="102" spans="1:4" x14ac:dyDescent="0.3">
      <c r="A102" s="3" t="str">
        <f>IF(Alunos!A102&lt;&gt;"",Alunos!A102,"")</f>
        <v/>
      </c>
      <c r="C102" s="3" t="str">
        <f>IF(A102&lt;&gt;"",SUM(B102),"")</f>
        <v/>
      </c>
      <c r="D102" s="3" t="str">
        <f>IF(A102&lt;&gt;"",(Exame!D1*Exame!C102)/Exame!C1, "")</f>
        <v/>
      </c>
    </row>
    <row r="103" spans="1:4" x14ac:dyDescent="0.3">
      <c r="A103" s="3" t="str">
        <f>IF(Alunos!A103&lt;&gt;"",Alunos!A103,"")</f>
        <v/>
      </c>
      <c r="C103" s="3" t="str">
        <f>IF(A103&lt;&gt;"",SUM(B103),"")</f>
        <v/>
      </c>
      <c r="D103" s="3" t="str">
        <f>IF(A103&lt;&gt;"",(Exame!D1*Exame!C103)/Exame!C1, "")</f>
        <v/>
      </c>
    </row>
    <row r="104" spans="1:4" x14ac:dyDescent="0.3">
      <c r="A104" s="3" t="str">
        <f>IF(Alunos!A104&lt;&gt;"",Alunos!A104,"")</f>
        <v/>
      </c>
      <c r="C104" s="3" t="str">
        <f>IF(A104&lt;&gt;"",SUM(B104),"")</f>
        <v/>
      </c>
      <c r="D104" s="3" t="str">
        <f>IF(A104&lt;&gt;"",(Exame!D1*Exame!C104)/Exame!C1, "")</f>
        <v/>
      </c>
    </row>
    <row r="105" spans="1:4" x14ac:dyDescent="0.3">
      <c r="A105" s="3" t="str">
        <f>IF(Alunos!A105&lt;&gt;"",Alunos!A105,"")</f>
        <v/>
      </c>
      <c r="C105" s="3" t="str">
        <f>IF(A105&lt;&gt;"",SUM(B105),"")</f>
        <v/>
      </c>
      <c r="D105" s="3" t="str">
        <f>IF(A105&lt;&gt;"",(Exame!D1*Exame!C105)/Exame!C1, "")</f>
        <v/>
      </c>
    </row>
    <row r="106" spans="1:4" x14ac:dyDescent="0.3">
      <c r="A106" s="3" t="str">
        <f>IF(Alunos!A106&lt;&gt;"",Alunos!A106,"")</f>
        <v/>
      </c>
      <c r="C106" s="3" t="str">
        <f>IF(A106&lt;&gt;"",SUM(B106),"")</f>
        <v/>
      </c>
      <c r="D106" s="3" t="str">
        <f>IF(A106&lt;&gt;"",(Exame!D1*Exame!C106)/Exame!C1, "")</f>
        <v/>
      </c>
    </row>
    <row r="107" spans="1:4" x14ac:dyDescent="0.3">
      <c r="A107" s="3" t="str">
        <f>IF(Alunos!A107&lt;&gt;"",Alunos!A107,"")</f>
        <v/>
      </c>
      <c r="C107" s="3" t="str">
        <f>IF(A107&lt;&gt;"",SUM(B107),"")</f>
        <v/>
      </c>
      <c r="D107" s="3" t="str">
        <f>IF(A107&lt;&gt;"",(Exame!D1*Exame!C107)/Exame!C1, "")</f>
        <v/>
      </c>
    </row>
    <row r="108" spans="1:4" x14ac:dyDescent="0.3">
      <c r="A108" s="3" t="str">
        <f>IF(Alunos!A108&lt;&gt;"",Alunos!A108,"")</f>
        <v/>
      </c>
      <c r="C108" s="3" t="str">
        <f>IF(A108&lt;&gt;"",SUM(B108),"")</f>
        <v/>
      </c>
      <c r="D108" s="3" t="str">
        <f>IF(A108&lt;&gt;"",(Exame!D1*Exame!C108)/Exame!C1, "")</f>
        <v/>
      </c>
    </row>
    <row r="109" spans="1:4" x14ac:dyDescent="0.3">
      <c r="A109" s="3" t="str">
        <f>IF(Alunos!A109&lt;&gt;"",Alunos!A109,"")</f>
        <v/>
      </c>
      <c r="C109" s="3" t="str">
        <f>IF(A109&lt;&gt;"",SUM(B109),"")</f>
        <v/>
      </c>
      <c r="D109" s="3" t="str">
        <f>IF(A109&lt;&gt;"",(Exame!D1*Exame!C109)/Exame!C1, "")</f>
        <v/>
      </c>
    </row>
    <row r="110" spans="1:4" x14ac:dyDescent="0.3">
      <c r="A110" s="3" t="str">
        <f>IF(Alunos!A110&lt;&gt;"",Alunos!A110,"")</f>
        <v/>
      </c>
      <c r="C110" s="3" t="str">
        <f>IF(A110&lt;&gt;"",SUM(B110),"")</f>
        <v/>
      </c>
      <c r="D110" s="3" t="str">
        <f>IF(A110&lt;&gt;"",(Exame!D1*Exame!C110)/Exame!C1, "")</f>
        <v/>
      </c>
    </row>
    <row r="111" spans="1:4" x14ac:dyDescent="0.3">
      <c r="A111" s="3" t="str">
        <f>IF(Alunos!A111&lt;&gt;"",Alunos!A111,"")</f>
        <v/>
      </c>
      <c r="C111" s="3" t="str">
        <f>IF(A111&lt;&gt;"",SUM(B111),"")</f>
        <v/>
      </c>
      <c r="D111" s="3" t="str">
        <f>IF(A111&lt;&gt;"",(Exame!D1*Exame!C111)/Exame!C1, "")</f>
        <v/>
      </c>
    </row>
    <row r="112" spans="1:4" x14ac:dyDescent="0.3">
      <c r="A112" s="3" t="str">
        <f>IF(Alunos!A112&lt;&gt;"",Alunos!A112,"")</f>
        <v/>
      </c>
      <c r="C112" s="3" t="str">
        <f>IF(A112&lt;&gt;"",SUM(B112),"")</f>
        <v/>
      </c>
      <c r="D112" s="3" t="str">
        <f>IF(A112&lt;&gt;"",(Exame!D1*Exame!C112)/Exame!C1, "")</f>
        <v/>
      </c>
    </row>
    <row r="113" spans="1:4" x14ac:dyDescent="0.3">
      <c r="A113" s="3" t="str">
        <f>IF(Alunos!A113&lt;&gt;"",Alunos!A113,"")</f>
        <v/>
      </c>
      <c r="C113" s="3" t="str">
        <f>IF(A113&lt;&gt;"",SUM(B113),"")</f>
        <v/>
      </c>
      <c r="D113" s="3" t="str">
        <f>IF(A113&lt;&gt;"",(Exame!D1*Exame!C113)/Exame!C1, "")</f>
        <v/>
      </c>
    </row>
    <row r="114" spans="1:4" x14ac:dyDescent="0.3">
      <c r="A114" s="3" t="str">
        <f>IF(Alunos!A114&lt;&gt;"",Alunos!A114,"")</f>
        <v/>
      </c>
      <c r="C114" s="3" t="str">
        <f>IF(A114&lt;&gt;"",SUM(B114),"")</f>
        <v/>
      </c>
      <c r="D114" s="3" t="str">
        <f>IF(A114&lt;&gt;"",(Exame!D1*Exame!C114)/Exame!C1, "")</f>
        <v/>
      </c>
    </row>
    <row r="115" spans="1:4" x14ac:dyDescent="0.3">
      <c r="A115" s="3" t="str">
        <f>IF(Alunos!A115&lt;&gt;"",Alunos!A115,"")</f>
        <v/>
      </c>
      <c r="C115" s="3" t="str">
        <f>IF(A115&lt;&gt;"",SUM(B115),"")</f>
        <v/>
      </c>
      <c r="D115" s="3" t="str">
        <f>IF(A115&lt;&gt;"",(Exame!D1*Exame!C115)/Exame!C1, "")</f>
        <v/>
      </c>
    </row>
    <row r="116" spans="1:4" x14ac:dyDescent="0.3">
      <c r="A116" s="3" t="str">
        <f>IF(Alunos!A116&lt;&gt;"",Alunos!A116,"")</f>
        <v/>
      </c>
      <c r="C116" s="3" t="str">
        <f>IF(A116&lt;&gt;"",SUM(B116),"")</f>
        <v/>
      </c>
      <c r="D116" s="3" t="str">
        <f>IF(A116&lt;&gt;"",(Exame!D1*Exame!C116)/Exame!C1, "")</f>
        <v/>
      </c>
    </row>
    <row r="117" spans="1:4" x14ac:dyDescent="0.3">
      <c r="A117" s="3" t="str">
        <f>IF(Alunos!A117&lt;&gt;"",Alunos!A117,"")</f>
        <v/>
      </c>
      <c r="C117" s="3" t="str">
        <f>IF(A117&lt;&gt;"",SUM(B117),"")</f>
        <v/>
      </c>
      <c r="D117" s="3" t="str">
        <f>IF(A117&lt;&gt;"",(Exame!D1*Exame!C117)/Exame!C1, "")</f>
        <v/>
      </c>
    </row>
    <row r="118" spans="1:4" x14ac:dyDescent="0.3">
      <c r="A118" s="3" t="str">
        <f>IF(Alunos!A118&lt;&gt;"",Alunos!A118,"")</f>
        <v/>
      </c>
      <c r="C118" s="3" t="str">
        <f>IF(A118&lt;&gt;"",SUM(B118),"")</f>
        <v/>
      </c>
      <c r="D118" s="3" t="str">
        <f>IF(A118&lt;&gt;"",(Exame!D1*Exame!C118)/Exame!C1, "")</f>
        <v/>
      </c>
    </row>
    <row r="119" spans="1:4" x14ac:dyDescent="0.3">
      <c r="A119" s="3" t="str">
        <f>IF(Alunos!A119&lt;&gt;"",Alunos!A119,"")</f>
        <v/>
      </c>
      <c r="C119" s="3" t="str">
        <f>IF(A119&lt;&gt;"",SUM(B119),"")</f>
        <v/>
      </c>
      <c r="D119" s="3" t="str">
        <f>IF(A119&lt;&gt;"",(Exame!D1*Exame!C119)/Exame!C1, "")</f>
        <v/>
      </c>
    </row>
    <row r="120" spans="1:4" x14ac:dyDescent="0.3">
      <c r="A120" s="3" t="str">
        <f>IF(Alunos!A120&lt;&gt;"",Alunos!A120,"")</f>
        <v/>
      </c>
      <c r="C120" s="3" t="str">
        <f>IF(A120&lt;&gt;"",SUM(B120),"")</f>
        <v/>
      </c>
      <c r="D120" s="3" t="str">
        <f>IF(A120&lt;&gt;"",(Exame!D1*Exame!C120)/Exame!C1, "")</f>
        <v/>
      </c>
    </row>
    <row r="121" spans="1:4" x14ac:dyDescent="0.3">
      <c r="A121" s="3" t="str">
        <f>IF(Alunos!A121&lt;&gt;"",Alunos!A121,"")</f>
        <v/>
      </c>
      <c r="C121" s="3" t="str">
        <f>IF(A121&lt;&gt;"",SUM(B121),"")</f>
        <v/>
      </c>
      <c r="D121" s="3" t="str">
        <f>IF(A121&lt;&gt;"",(Exame!D1*Exame!C121)/Exame!C1, "")</f>
        <v/>
      </c>
    </row>
    <row r="122" spans="1:4" x14ac:dyDescent="0.3">
      <c r="A122" s="3" t="str">
        <f>IF(Alunos!A122&lt;&gt;"",Alunos!A122,"")</f>
        <v/>
      </c>
      <c r="C122" s="3" t="str">
        <f>IF(A122&lt;&gt;"",SUM(B122),"")</f>
        <v/>
      </c>
      <c r="D122" s="3" t="str">
        <f>IF(A122&lt;&gt;"",(Exame!D1*Exame!C122)/Exame!C1, "")</f>
        <v/>
      </c>
    </row>
    <row r="123" spans="1:4" x14ac:dyDescent="0.3">
      <c r="A123" s="3" t="str">
        <f>IF(Alunos!A123&lt;&gt;"",Alunos!A123,"")</f>
        <v/>
      </c>
      <c r="C123" s="3" t="str">
        <f>IF(A123&lt;&gt;"",SUM(B123),"")</f>
        <v/>
      </c>
      <c r="D123" s="3" t="str">
        <f>IF(A123&lt;&gt;"",(Exame!D1*Exame!C123)/Exame!C1, "")</f>
        <v/>
      </c>
    </row>
    <row r="124" spans="1:4" x14ac:dyDescent="0.3">
      <c r="A124" s="3" t="str">
        <f>IF(Alunos!A124&lt;&gt;"",Alunos!A124,"")</f>
        <v/>
      </c>
      <c r="C124" s="3" t="str">
        <f>IF(A124&lt;&gt;"",SUM(B124),"")</f>
        <v/>
      </c>
      <c r="D124" s="3" t="str">
        <f>IF(A124&lt;&gt;"",(Exame!D1*Exame!C124)/Exame!C1, "")</f>
        <v/>
      </c>
    </row>
    <row r="125" spans="1:4" x14ac:dyDescent="0.3">
      <c r="A125" s="3" t="str">
        <f>IF(Alunos!A125&lt;&gt;"",Alunos!A125,"")</f>
        <v/>
      </c>
      <c r="C125" s="3" t="str">
        <f>IF(A125&lt;&gt;"",SUM(B125),"")</f>
        <v/>
      </c>
      <c r="D125" s="3" t="str">
        <f>IF(A125&lt;&gt;"",(Exame!D1*Exame!C125)/Exame!C1, "")</f>
        <v/>
      </c>
    </row>
    <row r="126" spans="1:4" x14ac:dyDescent="0.3">
      <c r="A126" s="3" t="str">
        <f>IF(Alunos!A126&lt;&gt;"",Alunos!A126,"")</f>
        <v/>
      </c>
      <c r="C126" s="3" t="str">
        <f>IF(A126&lt;&gt;"",SUM(B126),"")</f>
        <v/>
      </c>
      <c r="D126" s="3" t="str">
        <f>IF(A126&lt;&gt;"",(Exame!D1*Exame!C126)/Exame!C1, "")</f>
        <v/>
      </c>
    </row>
    <row r="127" spans="1:4" x14ac:dyDescent="0.3">
      <c r="A127" s="3" t="str">
        <f>IF(Alunos!A127&lt;&gt;"",Alunos!A127,"")</f>
        <v/>
      </c>
      <c r="C127" s="3" t="str">
        <f>IF(A127&lt;&gt;"",SUM(B127),"")</f>
        <v/>
      </c>
      <c r="D127" s="3" t="str">
        <f>IF(A127&lt;&gt;"",(Exame!D1*Exame!C127)/Exame!C1, "")</f>
        <v/>
      </c>
    </row>
    <row r="128" spans="1:4" x14ac:dyDescent="0.3">
      <c r="A128" s="3" t="str">
        <f>IF(Alunos!A128&lt;&gt;"",Alunos!A128,"")</f>
        <v/>
      </c>
      <c r="C128" s="3" t="str">
        <f>IF(A128&lt;&gt;"",SUM(B128),"")</f>
        <v/>
      </c>
      <c r="D128" s="3" t="str">
        <f>IF(A128&lt;&gt;"",(Exame!D1*Exame!C128)/Exame!C1, "")</f>
        <v/>
      </c>
    </row>
    <row r="129" spans="1:4" x14ac:dyDescent="0.3">
      <c r="A129" s="3" t="str">
        <f>IF(Alunos!A129&lt;&gt;"",Alunos!A129,"")</f>
        <v/>
      </c>
      <c r="C129" s="3" t="str">
        <f>IF(A129&lt;&gt;"",SUM(B129),"")</f>
        <v/>
      </c>
      <c r="D129" s="3" t="str">
        <f>IF(A129&lt;&gt;"",(Exame!D1*Exame!C129)/Exame!C1, "")</f>
        <v/>
      </c>
    </row>
    <row r="130" spans="1:4" x14ac:dyDescent="0.3">
      <c r="A130" s="3" t="str">
        <f>IF(Alunos!A130&lt;&gt;"",Alunos!A130,"")</f>
        <v/>
      </c>
      <c r="C130" s="3" t="str">
        <f>IF(A130&lt;&gt;"",SUM(B130),"")</f>
        <v/>
      </c>
      <c r="D130" s="3" t="str">
        <f>IF(A130&lt;&gt;"",(Exame!D1*Exame!C130)/Exame!C1, "")</f>
        <v/>
      </c>
    </row>
    <row r="131" spans="1:4" x14ac:dyDescent="0.3">
      <c r="A131" s="3" t="str">
        <f>IF(Alunos!A131&lt;&gt;"",Alunos!A131,"")</f>
        <v/>
      </c>
      <c r="C131" s="3" t="str">
        <f>IF(A131&lt;&gt;"",SUM(B131),"")</f>
        <v/>
      </c>
      <c r="D131" s="3" t="str">
        <f>IF(A131&lt;&gt;"",(Exame!D1*Exame!C131)/Exame!C1, "")</f>
        <v/>
      </c>
    </row>
    <row r="132" spans="1:4" x14ac:dyDescent="0.3">
      <c r="A132" s="3" t="str">
        <f>IF(Alunos!A132&lt;&gt;"",Alunos!A132,"")</f>
        <v/>
      </c>
      <c r="C132" s="3" t="str">
        <f>IF(A132&lt;&gt;"",SUM(B132),"")</f>
        <v/>
      </c>
      <c r="D132" s="3" t="str">
        <f>IF(A132&lt;&gt;"",(Exame!D1*Exame!C132)/Exame!C1, "")</f>
        <v/>
      </c>
    </row>
    <row r="133" spans="1:4" x14ac:dyDescent="0.3">
      <c r="A133" s="3" t="str">
        <f>IF(Alunos!A133&lt;&gt;"",Alunos!A133,"")</f>
        <v/>
      </c>
      <c r="C133" s="3" t="str">
        <f>IF(A133&lt;&gt;"",SUM(B133),"")</f>
        <v/>
      </c>
      <c r="D133" s="3" t="str">
        <f>IF(A133&lt;&gt;"",(Exame!D1*Exame!C133)/Exame!C1, "")</f>
        <v/>
      </c>
    </row>
    <row r="134" spans="1:4" x14ac:dyDescent="0.3">
      <c r="A134" s="3" t="str">
        <f>IF(Alunos!A134&lt;&gt;"",Alunos!A134,"")</f>
        <v/>
      </c>
      <c r="C134" s="3" t="str">
        <f>IF(A134&lt;&gt;"",SUM(B134),"")</f>
        <v/>
      </c>
      <c r="D134" s="3" t="str">
        <f>IF(A134&lt;&gt;"",(Exame!D1*Exame!C134)/Exame!C1, "")</f>
        <v/>
      </c>
    </row>
    <row r="135" spans="1:4" x14ac:dyDescent="0.3">
      <c r="A135" s="3" t="str">
        <f>IF(Alunos!A135&lt;&gt;"",Alunos!A135,"")</f>
        <v/>
      </c>
      <c r="C135" s="3" t="str">
        <f>IF(A135&lt;&gt;"",SUM(B135),"")</f>
        <v/>
      </c>
      <c r="D135" s="3" t="str">
        <f>IF(A135&lt;&gt;"",(Exame!D1*Exame!C135)/Exame!C1, "")</f>
        <v/>
      </c>
    </row>
    <row r="136" spans="1:4" x14ac:dyDescent="0.3">
      <c r="A136" s="3" t="str">
        <f>IF(Alunos!A136&lt;&gt;"",Alunos!A136,"")</f>
        <v/>
      </c>
      <c r="C136" s="3" t="str">
        <f>IF(A136&lt;&gt;"",SUM(B136),"")</f>
        <v/>
      </c>
      <c r="D136" s="3" t="str">
        <f>IF(A136&lt;&gt;"",(Exame!D1*Exame!C136)/Exame!C1, "")</f>
        <v/>
      </c>
    </row>
    <row r="137" spans="1:4" x14ac:dyDescent="0.3">
      <c r="A137" s="3" t="str">
        <f>IF(Alunos!A137&lt;&gt;"",Alunos!A137,"")</f>
        <v/>
      </c>
      <c r="C137" s="3" t="str">
        <f>IF(A137&lt;&gt;"",SUM(B137),"")</f>
        <v/>
      </c>
      <c r="D137" s="3" t="str">
        <f>IF(A137&lt;&gt;"",(Exame!D1*Exame!C137)/Exame!C1, "")</f>
        <v/>
      </c>
    </row>
    <row r="138" spans="1:4" x14ac:dyDescent="0.3">
      <c r="A138" s="3" t="str">
        <f>IF(Alunos!A138&lt;&gt;"",Alunos!A138,"")</f>
        <v/>
      </c>
      <c r="C138" s="3" t="str">
        <f>IF(A138&lt;&gt;"",SUM(B138),"")</f>
        <v/>
      </c>
      <c r="D138" s="3" t="str">
        <f>IF(A138&lt;&gt;"",(Exame!D1*Exame!C138)/Exame!C1, "")</f>
        <v/>
      </c>
    </row>
    <row r="139" spans="1:4" x14ac:dyDescent="0.3">
      <c r="A139" s="3" t="str">
        <f>IF(Alunos!A139&lt;&gt;"",Alunos!A139,"")</f>
        <v/>
      </c>
      <c r="C139" s="3" t="str">
        <f>IF(A139&lt;&gt;"",SUM(B139),"")</f>
        <v/>
      </c>
      <c r="D139" s="3" t="str">
        <f>IF(A139&lt;&gt;"",(Exame!D1*Exame!C139)/Exame!C1, "")</f>
        <v/>
      </c>
    </row>
    <row r="140" spans="1:4" x14ac:dyDescent="0.3">
      <c r="A140" s="3" t="str">
        <f>IF(Alunos!A140&lt;&gt;"",Alunos!A140,"")</f>
        <v/>
      </c>
      <c r="C140" s="3" t="str">
        <f>IF(A140&lt;&gt;"",SUM(B140),"")</f>
        <v/>
      </c>
      <c r="D140" s="3" t="str">
        <f>IF(A140&lt;&gt;"",(Exame!D1*Exame!C140)/Exame!C1, "")</f>
        <v/>
      </c>
    </row>
    <row r="141" spans="1:4" x14ac:dyDescent="0.3">
      <c r="A141" s="3" t="str">
        <f>IF(Alunos!A141&lt;&gt;"",Alunos!A141,"")</f>
        <v/>
      </c>
      <c r="C141" s="3" t="str">
        <f>IF(A141&lt;&gt;"",SUM(B141),"")</f>
        <v/>
      </c>
      <c r="D141" s="3" t="str">
        <f>IF(A141&lt;&gt;"",(Exame!D1*Exame!C141)/Exame!C1, "")</f>
        <v/>
      </c>
    </row>
    <row r="142" spans="1:4" x14ac:dyDescent="0.3">
      <c r="A142" s="3" t="str">
        <f>IF(Alunos!A142&lt;&gt;"",Alunos!A142,"")</f>
        <v/>
      </c>
      <c r="C142" s="3" t="str">
        <f>IF(A142&lt;&gt;"",SUM(B142),"")</f>
        <v/>
      </c>
      <c r="D142" s="3" t="str">
        <f>IF(A142&lt;&gt;"",(Exame!D1*Exame!C142)/Exame!C1, "")</f>
        <v/>
      </c>
    </row>
    <row r="143" spans="1:4" x14ac:dyDescent="0.3">
      <c r="A143" s="3" t="str">
        <f>IF(Alunos!A143&lt;&gt;"",Alunos!A143,"")</f>
        <v/>
      </c>
      <c r="C143" s="3" t="str">
        <f>IF(A143&lt;&gt;"",SUM(B143),"")</f>
        <v/>
      </c>
      <c r="D143" s="3" t="str">
        <f>IF(A143&lt;&gt;"",(Exame!D1*Exame!C143)/Exame!C1, "")</f>
        <v/>
      </c>
    </row>
    <row r="144" spans="1:4" x14ac:dyDescent="0.3">
      <c r="A144" s="3" t="str">
        <f>IF(Alunos!A144&lt;&gt;"",Alunos!A144,"")</f>
        <v/>
      </c>
      <c r="C144" s="3" t="str">
        <f>IF(A144&lt;&gt;"",SUM(B144),"")</f>
        <v/>
      </c>
      <c r="D144" s="3" t="str">
        <f>IF(A144&lt;&gt;"",(Exame!D1*Exame!C144)/Exame!C1, "")</f>
        <v/>
      </c>
    </row>
    <row r="145" spans="1:4" x14ac:dyDescent="0.3">
      <c r="A145" s="3" t="str">
        <f>IF(Alunos!A145&lt;&gt;"",Alunos!A145,"")</f>
        <v/>
      </c>
      <c r="C145" s="3" t="str">
        <f>IF(A145&lt;&gt;"",SUM(B145),"")</f>
        <v/>
      </c>
      <c r="D145" s="3" t="str">
        <f>IF(A145&lt;&gt;"",(Exame!D1*Exame!C145)/Exame!C1, "")</f>
        <v/>
      </c>
    </row>
    <row r="146" spans="1:4" x14ac:dyDescent="0.3">
      <c r="A146" s="3" t="str">
        <f>IF(Alunos!A146&lt;&gt;"",Alunos!A146,"")</f>
        <v/>
      </c>
      <c r="C146" s="3" t="str">
        <f>IF(A146&lt;&gt;"",SUM(B146),"")</f>
        <v/>
      </c>
      <c r="D146" s="3" t="str">
        <f>IF(A146&lt;&gt;"",(Exame!D1*Exame!C146)/Exame!C1, "")</f>
        <v/>
      </c>
    </row>
    <row r="147" spans="1:4" x14ac:dyDescent="0.3">
      <c r="A147" s="3" t="str">
        <f>IF(Alunos!A147&lt;&gt;"",Alunos!A147,"")</f>
        <v/>
      </c>
      <c r="C147" s="3" t="str">
        <f>IF(A147&lt;&gt;"",SUM(B147),"")</f>
        <v/>
      </c>
      <c r="D147" s="3" t="str">
        <f>IF(A147&lt;&gt;"",(Exame!D1*Exame!C147)/Exame!C1, "")</f>
        <v/>
      </c>
    </row>
    <row r="148" spans="1:4" x14ac:dyDescent="0.3">
      <c r="A148" s="3" t="str">
        <f>IF(Alunos!A148&lt;&gt;"",Alunos!A148,"")</f>
        <v/>
      </c>
      <c r="C148" s="3" t="str">
        <f>IF(A148&lt;&gt;"",SUM(B148),"")</f>
        <v/>
      </c>
      <c r="D148" s="3" t="str">
        <f>IF(A148&lt;&gt;"",(Exame!D1*Exame!C148)/Exame!C1, "")</f>
        <v/>
      </c>
    </row>
    <row r="149" spans="1:4" x14ac:dyDescent="0.3">
      <c r="A149" s="3" t="str">
        <f>IF(Alunos!A149&lt;&gt;"",Alunos!A149,"")</f>
        <v/>
      </c>
      <c r="C149" s="3" t="str">
        <f>IF(A149&lt;&gt;"",SUM(B149),"")</f>
        <v/>
      </c>
      <c r="D149" s="3" t="str">
        <f>IF(A149&lt;&gt;"",(Exame!D1*Exame!C149)/Exame!C1, "")</f>
        <v/>
      </c>
    </row>
    <row r="150" spans="1:4" x14ac:dyDescent="0.3">
      <c r="A150" s="3" t="str">
        <f>IF(Alunos!A150&lt;&gt;"",Alunos!A150,"")</f>
        <v/>
      </c>
      <c r="C150" s="3" t="str">
        <f>IF(A150&lt;&gt;"",SUM(B150),"")</f>
        <v/>
      </c>
      <c r="D150" s="3" t="str">
        <f>IF(A150&lt;&gt;"",(Exame!D1*Exame!C150)/Exame!C1, "")</f>
        <v/>
      </c>
    </row>
    <row r="151" spans="1:4" x14ac:dyDescent="0.3">
      <c r="A151" s="3" t="str">
        <f>IF(Alunos!A151&lt;&gt;"",Alunos!A151,"")</f>
        <v/>
      </c>
      <c r="C151" s="3" t="str">
        <f>IF(A151&lt;&gt;"",SUM(B151),"")</f>
        <v/>
      </c>
      <c r="D151" s="3" t="str">
        <f>IF(A151&lt;&gt;"",(Exame!D1*Exame!C151)/Exame!C1, "")</f>
        <v/>
      </c>
    </row>
    <row r="152" spans="1:4" x14ac:dyDescent="0.3">
      <c r="A152" s="3" t="str">
        <f>IF(Alunos!A152&lt;&gt;"",Alunos!A152,"")</f>
        <v/>
      </c>
      <c r="C152" s="3" t="str">
        <f>IF(A152&lt;&gt;"",SUM(B152),"")</f>
        <v/>
      </c>
      <c r="D152" s="3" t="str">
        <f>IF(A152&lt;&gt;"",(Exame!D1*Exame!C152)/Exame!C1, "")</f>
        <v/>
      </c>
    </row>
    <row r="153" spans="1:4" x14ac:dyDescent="0.3">
      <c r="A153" s="3" t="str">
        <f>IF(Alunos!A153&lt;&gt;"",Alunos!A153,"")</f>
        <v/>
      </c>
      <c r="C153" s="3" t="str">
        <f>IF(A153&lt;&gt;"",SUM(B153),"")</f>
        <v/>
      </c>
      <c r="D153" s="3" t="str">
        <f>IF(A153&lt;&gt;"",(Exame!D1*Exame!C153)/Exame!C1, "")</f>
        <v/>
      </c>
    </row>
    <row r="154" spans="1:4" x14ac:dyDescent="0.3">
      <c r="A154" s="3" t="str">
        <f>IF(Alunos!A154&lt;&gt;"",Alunos!A154,"")</f>
        <v/>
      </c>
      <c r="C154" s="3" t="str">
        <f>IF(A154&lt;&gt;"",SUM(B154),"")</f>
        <v/>
      </c>
      <c r="D154" s="3" t="str">
        <f>IF(A154&lt;&gt;"",(Exame!D1*Exame!C154)/Exame!C1, "")</f>
        <v/>
      </c>
    </row>
    <row r="155" spans="1:4" x14ac:dyDescent="0.3">
      <c r="A155" s="3" t="str">
        <f>IF(Alunos!A155&lt;&gt;"",Alunos!A155,"")</f>
        <v/>
      </c>
      <c r="C155" s="3" t="str">
        <f>IF(A155&lt;&gt;"",SUM(B155),"")</f>
        <v/>
      </c>
      <c r="D155" s="3" t="str">
        <f>IF(A155&lt;&gt;"",(Exame!D1*Exame!C155)/Exame!C1, "")</f>
        <v/>
      </c>
    </row>
    <row r="156" spans="1:4" x14ac:dyDescent="0.3">
      <c r="A156" s="3" t="str">
        <f>IF(Alunos!A156&lt;&gt;"",Alunos!A156,"")</f>
        <v/>
      </c>
      <c r="C156" s="3" t="str">
        <f>IF(A156&lt;&gt;"",SUM(B156),"")</f>
        <v/>
      </c>
      <c r="D156" s="3" t="str">
        <f>IF(A156&lt;&gt;"",(Exame!D1*Exame!C156)/Exame!C1, "")</f>
        <v/>
      </c>
    </row>
    <row r="157" spans="1:4" x14ac:dyDescent="0.3">
      <c r="A157" s="3" t="str">
        <f>IF(Alunos!A157&lt;&gt;"",Alunos!A157,"")</f>
        <v/>
      </c>
      <c r="C157" s="3" t="str">
        <f>IF(A157&lt;&gt;"",SUM(B157),"")</f>
        <v/>
      </c>
      <c r="D157" s="3" t="str">
        <f>IF(A157&lt;&gt;"",(Exame!D1*Exame!C157)/Exame!C1, "")</f>
        <v/>
      </c>
    </row>
    <row r="158" spans="1:4" x14ac:dyDescent="0.3">
      <c r="A158" s="3" t="str">
        <f>IF(Alunos!A158&lt;&gt;"",Alunos!A158,"")</f>
        <v/>
      </c>
      <c r="C158" s="3" t="str">
        <f>IF(A158&lt;&gt;"",SUM(B158),"")</f>
        <v/>
      </c>
      <c r="D158" s="3" t="str">
        <f>IF(A158&lt;&gt;"",(Exame!D1*Exame!C158)/Exame!C1, "")</f>
        <v/>
      </c>
    </row>
    <row r="159" spans="1:4" x14ac:dyDescent="0.3">
      <c r="A159" s="3" t="str">
        <f>IF(Alunos!A159&lt;&gt;"",Alunos!A159,"")</f>
        <v/>
      </c>
      <c r="C159" s="3" t="str">
        <f>IF(A159&lt;&gt;"",SUM(B159),"")</f>
        <v/>
      </c>
      <c r="D159" s="3" t="str">
        <f>IF(A159&lt;&gt;"",(Exame!D1*Exame!C159)/Exame!C1, "")</f>
        <v/>
      </c>
    </row>
    <row r="160" spans="1:4" x14ac:dyDescent="0.3">
      <c r="A160" s="3" t="str">
        <f>IF(Alunos!A160&lt;&gt;"",Alunos!A160,"")</f>
        <v/>
      </c>
      <c r="C160" s="3" t="str">
        <f>IF(A160&lt;&gt;"",SUM(B160),"")</f>
        <v/>
      </c>
      <c r="D160" s="3" t="str">
        <f>IF(A160&lt;&gt;"",(Exame!D1*Exame!C160)/Exame!C1, "")</f>
        <v/>
      </c>
    </row>
    <row r="161" spans="1:4" x14ac:dyDescent="0.3">
      <c r="A161" s="3" t="str">
        <f>IF(Alunos!A161&lt;&gt;"",Alunos!A161,"")</f>
        <v/>
      </c>
      <c r="C161" s="3" t="str">
        <f>IF(A161&lt;&gt;"",SUM(B161),"")</f>
        <v/>
      </c>
      <c r="D161" s="3" t="str">
        <f>IF(A161&lt;&gt;"",(Exame!D1*Exame!C161)/Exame!C1, "")</f>
        <v/>
      </c>
    </row>
    <row r="162" spans="1:4" x14ac:dyDescent="0.3">
      <c r="A162" s="3" t="str">
        <f>IF(Alunos!A162&lt;&gt;"",Alunos!A162,"")</f>
        <v/>
      </c>
      <c r="C162" s="3" t="str">
        <f>IF(A162&lt;&gt;"",SUM(B162),"")</f>
        <v/>
      </c>
      <c r="D162" s="3" t="str">
        <f>IF(A162&lt;&gt;"",(Exame!D1*Exame!C162)/Exame!C1, "")</f>
        <v/>
      </c>
    </row>
    <row r="163" spans="1:4" x14ac:dyDescent="0.3">
      <c r="A163" s="3" t="str">
        <f>IF(Alunos!A163&lt;&gt;"",Alunos!A163,"")</f>
        <v/>
      </c>
      <c r="C163" s="3" t="str">
        <f>IF(A163&lt;&gt;"",SUM(B163),"")</f>
        <v/>
      </c>
      <c r="D163" s="3" t="str">
        <f>IF(A163&lt;&gt;"",(Exame!D1*Exame!C163)/Exame!C1, "")</f>
        <v/>
      </c>
    </row>
    <row r="164" spans="1:4" x14ac:dyDescent="0.3">
      <c r="A164" s="3" t="str">
        <f>IF(Alunos!A164&lt;&gt;"",Alunos!A164,"")</f>
        <v/>
      </c>
      <c r="C164" s="3" t="str">
        <f>IF(A164&lt;&gt;"",SUM(B164),"")</f>
        <v/>
      </c>
      <c r="D164" s="3" t="str">
        <f>IF(A164&lt;&gt;"",(Exame!D1*Exame!C164)/Exame!C1, "")</f>
        <v/>
      </c>
    </row>
    <row r="165" spans="1:4" x14ac:dyDescent="0.3">
      <c r="A165" s="3" t="str">
        <f>IF(Alunos!A165&lt;&gt;"",Alunos!A165,"")</f>
        <v/>
      </c>
      <c r="C165" s="3" t="str">
        <f>IF(A165&lt;&gt;"",SUM(B165),"")</f>
        <v/>
      </c>
      <c r="D165" s="3" t="str">
        <f>IF(A165&lt;&gt;"",(Exame!D1*Exame!C165)/Exame!C1, "")</f>
        <v/>
      </c>
    </row>
    <row r="166" spans="1:4" x14ac:dyDescent="0.3">
      <c r="A166" s="3" t="str">
        <f>IF(Alunos!A166&lt;&gt;"",Alunos!A166,"")</f>
        <v/>
      </c>
      <c r="C166" s="3" t="str">
        <f>IF(A166&lt;&gt;"",SUM(B166),"")</f>
        <v/>
      </c>
      <c r="D166" s="3" t="str">
        <f>IF(A166&lt;&gt;"",(Exame!D1*Exame!C166)/Exame!C1, "")</f>
        <v/>
      </c>
    </row>
    <row r="167" spans="1:4" x14ac:dyDescent="0.3">
      <c r="A167" s="3" t="str">
        <f>IF(Alunos!A167&lt;&gt;"",Alunos!A167,"")</f>
        <v/>
      </c>
      <c r="C167" s="3" t="str">
        <f>IF(A167&lt;&gt;"",SUM(B167),"")</f>
        <v/>
      </c>
      <c r="D167" s="3" t="str">
        <f>IF(A167&lt;&gt;"",(Exame!D1*Exame!C167)/Exame!C1, "")</f>
        <v/>
      </c>
    </row>
    <row r="168" spans="1:4" x14ac:dyDescent="0.3">
      <c r="A168" s="3" t="str">
        <f>IF(Alunos!A168&lt;&gt;"",Alunos!A168,"")</f>
        <v/>
      </c>
      <c r="C168" s="3" t="str">
        <f>IF(A168&lt;&gt;"",SUM(B168),"")</f>
        <v/>
      </c>
      <c r="D168" s="3" t="str">
        <f>IF(A168&lt;&gt;"",(Exame!D1*Exame!C168)/Exame!C1, "")</f>
        <v/>
      </c>
    </row>
    <row r="169" spans="1:4" x14ac:dyDescent="0.3">
      <c r="A169" s="3" t="str">
        <f>IF(Alunos!A169&lt;&gt;"",Alunos!A169,"")</f>
        <v/>
      </c>
      <c r="C169" s="3" t="str">
        <f>IF(A169&lt;&gt;"",SUM(B169),"")</f>
        <v/>
      </c>
      <c r="D169" s="3" t="str">
        <f>IF(A169&lt;&gt;"",(Exame!D1*Exame!C169)/Exame!C1, "")</f>
        <v/>
      </c>
    </row>
    <row r="170" spans="1:4" x14ac:dyDescent="0.3">
      <c r="A170" s="3" t="str">
        <f>IF(Alunos!A170&lt;&gt;"",Alunos!A170,"")</f>
        <v/>
      </c>
      <c r="C170" s="3" t="str">
        <f>IF(A170&lt;&gt;"",SUM(B170),"")</f>
        <v/>
      </c>
      <c r="D170" s="3" t="str">
        <f>IF(A170&lt;&gt;"",(Exame!D1*Exame!C170)/Exame!C1, "")</f>
        <v/>
      </c>
    </row>
    <row r="171" spans="1:4" x14ac:dyDescent="0.3">
      <c r="A171" s="3" t="str">
        <f>IF(Alunos!A171&lt;&gt;"",Alunos!A171,"")</f>
        <v/>
      </c>
      <c r="C171" s="3" t="str">
        <f>IF(A171&lt;&gt;"",SUM(B171),"")</f>
        <v/>
      </c>
      <c r="D171" s="3" t="str">
        <f>IF(A171&lt;&gt;"",(Exame!D1*Exame!C171)/Exame!C1, "")</f>
        <v/>
      </c>
    </row>
    <row r="172" spans="1:4" x14ac:dyDescent="0.3">
      <c r="A172" s="3" t="str">
        <f>IF(Alunos!A172&lt;&gt;"",Alunos!A172,"")</f>
        <v/>
      </c>
      <c r="C172" s="3" t="str">
        <f>IF(A172&lt;&gt;"",SUM(B172),"")</f>
        <v/>
      </c>
      <c r="D172" s="3" t="str">
        <f>IF(A172&lt;&gt;"",(Exame!D1*Exame!C172)/Exame!C1, "")</f>
        <v/>
      </c>
    </row>
    <row r="173" spans="1:4" x14ac:dyDescent="0.3">
      <c r="A173" s="3" t="str">
        <f>IF(Alunos!A173&lt;&gt;"",Alunos!A173,"")</f>
        <v/>
      </c>
      <c r="C173" s="3" t="str">
        <f>IF(A173&lt;&gt;"",SUM(B173),"")</f>
        <v/>
      </c>
      <c r="D173" s="3" t="str">
        <f>IF(A173&lt;&gt;"",(Exame!D1*Exame!C173)/Exame!C1, "")</f>
        <v/>
      </c>
    </row>
    <row r="174" spans="1:4" x14ac:dyDescent="0.3">
      <c r="A174" s="3" t="str">
        <f>IF(Alunos!A174&lt;&gt;"",Alunos!A174,"")</f>
        <v/>
      </c>
      <c r="C174" s="3" t="str">
        <f>IF(A174&lt;&gt;"",SUM(B174),"")</f>
        <v/>
      </c>
      <c r="D174" s="3" t="str">
        <f>IF(A174&lt;&gt;"",(Exame!D1*Exame!C174)/Exame!C1, "")</f>
        <v/>
      </c>
    </row>
    <row r="175" spans="1:4" x14ac:dyDescent="0.3">
      <c r="A175" s="3" t="str">
        <f>IF(Alunos!A175&lt;&gt;"",Alunos!A175,"")</f>
        <v/>
      </c>
      <c r="C175" s="3" t="str">
        <f>IF(A175&lt;&gt;"",SUM(B175),"")</f>
        <v/>
      </c>
      <c r="D175" s="3" t="str">
        <f>IF(A175&lt;&gt;"",(Exame!D1*Exame!C175)/Exame!C1, "")</f>
        <v/>
      </c>
    </row>
    <row r="176" spans="1:4" x14ac:dyDescent="0.3">
      <c r="A176" s="3" t="str">
        <f>IF(Alunos!A176&lt;&gt;"",Alunos!A176,"")</f>
        <v/>
      </c>
      <c r="C176" s="3" t="str">
        <f>IF(A176&lt;&gt;"",SUM(B176),"")</f>
        <v/>
      </c>
      <c r="D176" s="3" t="str">
        <f>IF(A176&lt;&gt;"",(Exame!D1*Exame!C176)/Exame!C1, "")</f>
        <v/>
      </c>
    </row>
    <row r="177" spans="1:4" x14ac:dyDescent="0.3">
      <c r="A177" s="3" t="str">
        <f>IF(Alunos!A177&lt;&gt;"",Alunos!A177,"")</f>
        <v/>
      </c>
      <c r="C177" s="3" t="str">
        <f>IF(A177&lt;&gt;"",SUM(B177),"")</f>
        <v/>
      </c>
      <c r="D177" s="3" t="str">
        <f>IF(A177&lt;&gt;"",(Exame!D1*Exame!C177)/Exame!C1, "")</f>
        <v/>
      </c>
    </row>
    <row r="178" spans="1:4" x14ac:dyDescent="0.3">
      <c r="A178" s="3" t="str">
        <f>IF(Alunos!A178&lt;&gt;"",Alunos!A178,"")</f>
        <v/>
      </c>
      <c r="C178" s="3" t="str">
        <f>IF(A178&lt;&gt;"",SUM(B178),"")</f>
        <v/>
      </c>
      <c r="D178" s="3" t="str">
        <f>IF(A178&lt;&gt;"",(Exame!D1*Exame!C178)/Exame!C1, "")</f>
        <v/>
      </c>
    </row>
    <row r="179" spans="1:4" x14ac:dyDescent="0.3">
      <c r="A179" s="3" t="str">
        <f>IF(Alunos!A179&lt;&gt;"",Alunos!A179,"")</f>
        <v/>
      </c>
      <c r="C179" s="3" t="str">
        <f>IF(A179&lt;&gt;"",SUM(B179),"")</f>
        <v/>
      </c>
      <c r="D179" s="3" t="str">
        <f>IF(A179&lt;&gt;"",(Exame!D1*Exame!C179)/Exame!C1, "")</f>
        <v/>
      </c>
    </row>
    <row r="180" spans="1:4" x14ac:dyDescent="0.3">
      <c r="A180" s="3" t="str">
        <f>IF(Alunos!A180&lt;&gt;"",Alunos!A180,"")</f>
        <v/>
      </c>
      <c r="C180" s="3" t="str">
        <f>IF(A180&lt;&gt;"",SUM(B180),"")</f>
        <v/>
      </c>
      <c r="D180" s="3" t="str">
        <f>IF(A180&lt;&gt;"",(Exame!D1*Exame!C180)/Exame!C1, "")</f>
        <v/>
      </c>
    </row>
    <row r="181" spans="1:4" x14ac:dyDescent="0.3">
      <c r="A181" s="3" t="str">
        <f>IF(Alunos!A181&lt;&gt;"",Alunos!A181,"")</f>
        <v/>
      </c>
      <c r="C181" s="3" t="str">
        <f>IF(A181&lt;&gt;"",SUM(B181),"")</f>
        <v/>
      </c>
      <c r="D181" s="3" t="str">
        <f>IF(A181&lt;&gt;"",(Exame!D1*Exame!C181)/Exame!C1, "")</f>
        <v/>
      </c>
    </row>
    <row r="182" spans="1:4" x14ac:dyDescent="0.3">
      <c r="A182" s="3" t="str">
        <f>IF(Alunos!A182&lt;&gt;"",Alunos!A182,"")</f>
        <v/>
      </c>
      <c r="C182" s="3" t="str">
        <f>IF(A182&lt;&gt;"",SUM(B182),"")</f>
        <v/>
      </c>
      <c r="D182" s="3" t="str">
        <f>IF(A182&lt;&gt;"",(Exame!D1*Exame!C182)/Exame!C1, "")</f>
        <v/>
      </c>
    </row>
    <row r="183" spans="1:4" x14ac:dyDescent="0.3">
      <c r="A183" s="3" t="str">
        <f>IF(Alunos!A183&lt;&gt;"",Alunos!A183,"")</f>
        <v/>
      </c>
      <c r="C183" s="3" t="str">
        <f>IF(A183&lt;&gt;"",SUM(B183),"")</f>
        <v/>
      </c>
      <c r="D183" s="3" t="str">
        <f>IF(A183&lt;&gt;"",(Exame!D1*Exame!C183)/Exame!C1, "")</f>
        <v/>
      </c>
    </row>
    <row r="184" spans="1:4" x14ac:dyDescent="0.3">
      <c r="A184" s="3" t="str">
        <f>IF(Alunos!A184&lt;&gt;"",Alunos!A184,"")</f>
        <v/>
      </c>
      <c r="C184" s="3" t="str">
        <f>IF(A184&lt;&gt;"",SUM(B184),"")</f>
        <v/>
      </c>
      <c r="D184" s="3" t="str">
        <f>IF(A184&lt;&gt;"",(Exame!D1*Exame!C184)/Exame!C1, "")</f>
        <v/>
      </c>
    </row>
    <row r="185" spans="1:4" x14ac:dyDescent="0.3">
      <c r="A185" s="3" t="str">
        <f>IF(Alunos!A185&lt;&gt;"",Alunos!A185,"")</f>
        <v/>
      </c>
      <c r="C185" s="3" t="str">
        <f>IF(A185&lt;&gt;"",SUM(B185),"")</f>
        <v/>
      </c>
      <c r="D185" s="3" t="str">
        <f>IF(A185&lt;&gt;"",(Exame!D1*Exame!C185)/Exame!C1, "")</f>
        <v/>
      </c>
    </row>
    <row r="186" spans="1:4" x14ac:dyDescent="0.3">
      <c r="A186" s="3" t="str">
        <f>IF(Alunos!A186&lt;&gt;"",Alunos!A186,"")</f>
        <v/>
      </c>
      <c r="C186" s="3" t="str">
        <f>IF(A186&lt;&gt;"",SUM(B186),"")</f>
        <v/>
      </c>
      <c r="D186" s="3" t="str">
        <f>IF(A186&lt;&gt;"",(Exame!D1*Exame!C186)/Exame!C1, "")</f>
        <v/>
      </c>
    </row>
    <row r="187" spans="1:4" x14ac:dyDescent="0.3">
      <c r="A187" s="3" t="str">
        <f>IF(Alunos!A187&lt;&gt;"",Alunos!A187,"")</f>
        <v/>
      </c>
      <c r="C187" s="3" t="str">
        <f>IF(A187&lt;&gt;"",SUM(B187),"")</f>
        <v/>
      </c>
      <c r="D187" s="3" t="str">
        <f>IF(A187&lt;&gt;"",(Exame!D1*Exame!C187)/Exame!C1, "")</f>
        <v/>
      </c>
    </row>
    <row r="188" spans="1:4" x14ac:dyDescent="0.3">
      <c r="A188" s="3" t="str">
        <f>IF(Alunos!A188&lt;&gt;"",Alunos!A188,"")</f>
        <v/>
      </c>
      <c r="C188" s="3" t="str">
        <f>IF(A188&lt;&gt;"",SUM(B188),"")</f>
        <v/>
      </c>
      <c r="D188" s="3" t="str">
        <f>IF(A188&lt;&gt;"",(Exame!D1*Exame!C188)/Exame!C1, "")</f>
        <v/>
      </c>
    </row>
    <row r="189" spans="1:4" x14ac:dyDescent="0.3">
      <c r="A189" s="3" t="str">
        <f>IF(Alunos!A189&lt;&gt;"",Alunos!A189,"")</f>
        <v/>
      </c>
      <c r="C189" s="3" t="str">
        <f>IF(A189&lt;&gt;"",SUM(B189),"")</f>
        <v/>
      </c>
      <c r="D189" s="3" t="str">
        <f>IF(A189&lt;&gt;"",(Exame!D1*Exame!C189)/Exame!C1, "")</f>
        <v/>
      </c>
    </row>
    <row r="190" spans="1:4" x14ac:dyDescent="0.3">
      <c r="A190" s="3" t="str">
        <f>IF(Alunos!A190&lt;&gt;"",Alunos!A190,"")</f>
        <v/>
      </c>
      <c r="C190" s="3" t="str">
        <f>IF(A190&lt;&gt;"",SUM(B190),"")</f>
        <v/>
      </c>
      <c r="D190" s="3" t="str">
        <f>IF(A190&lt;&gt;"",(Exame!D1*Exame!C190)/Exame!C1, "")</f>
        <v/>
      </c>
    </row>
    <row r="191" spans="1:4" x14ac:dyDescent="0.3">
      <c r="A191" s="3" t="str">
        <f>IF(Alunos!A191&lt;&gt;"",Alunos!A191,"")</f>
        <v/>
      </c>
      <c r="C191" s="3" t="str">
        <f>IF(A191&lt;&gt;"",SUM(B191),"")</f>
        <v/>
      </c>
      <c r="D191" s="3" t="str">
        <f>IF(A191&lt;&gt;"",(Exame!D1*Exame!C191)/Exame!C1, "")</f>
        <v/>
      </c>
    </row>
    <row r="192" spans="1:4" x14ac:dyDescent="0.3">
      <c r="A192" s="3" t="str">
        <f>IF(Alunos!A192&lt;&gt;"",Alunos!A192,"")</f>
        <v/>
      </c>
      <c r="C192" s="3" t="str">
        <f>IF(A192&lt;&gt;"",SUM(B192),"")</f>
        <v/>
      </c>
      <c r="D192" s="3" t="str">
        <f>IF(A192&lt;&gt;"",(Exame!D1*Exame!C192)/Exame!C1, "")</f>
        <v/>
      </c>
    </row>
    <row r="193" spans="1:4" x14ac:dyDescent="0.3">
      <c r="A193" s="3" t="str">
        <f>IF(Alunos!A193&lt;&gt;"",Alunos!A193,"")</f>
        <v/>
      </c>
      <c r="C193" s="3" t="str">
        <f>IF(A193&lt;&gt;"",SUM(B193),"")</f>
        <v/>
      </c>
      <c r="D193" s="3" t="str">
        <f>IF(A193&lt;&gt;"",(Exame!D1*Exame!C193)/Exame!C1, "")</f>
        <v/>
      </c>
    </row>
    <row r="194" spans="1:4" x14ac:dyDescent="0.3">
      <c r="A194" s="3" t="str">
        <f>IF(Alunos!A194&lt;&gt;"",Alunos!A194,"")</f>
        <v/>
      </c>
      <c r="C194" s="3" t="str">
        <f>IF(A194&lt;&gt;"",SUM(B194),"")</f>
        <v/>
      </c>
      <c r="D194" s="3" t="str">
        <f>IF(A194&lt;&gt;"",(Exame!D1*Exame!C194)/Exame!C1, "")</f>
        <v/>
      </c>
    </row>
    <row r="195" spans="1:4" x14ac:dyDescent="0.3">
      <c r="A195" s="3" t="str">
        <f>IF(Alunos!A195&lt;&gt;"",Alunos!A195,"")</f>
        <v/>
      </c>
      <c r="C195" s="3" t="str">
        <f>IF(A195&lt;&gt;"",SUM(B195),"")</f>
        <v/>
      </c>
      <c r="D195" s="3" t="str">
        <f>IF(A195&lt;&gt;"",(Exame!D1*Exame!C195)/Exame!C1, "")</f>
        <v/>
      </c>
    </row>
    <row r="196" spans="1:4" x14ac:dyDescent="0.3">
      <c r="A196" s="3" t="str">
        <f>IF(Alunos!A196&lt;&gt;"",Alunos!A196,"")</f>
        <v/>
      </c>
      <c r="C196" s="3" t="str">
        <f>IF(A196&lt;&gt;"",SUM(B196),"")</f>
        <v/>
      </c>
      <c r="D196" s="3" t="str">
        <f>IF(A196&lt;&gt;"",(Exame!D1*Exame!C196)/Exame!C1, "")</f>
        <v/>
      </c>
    </row>
    <row r="197" spans="1:4" x14ac:dyDescent="0.3">
      <c r="A197" s="3" t="str">
        <f>IF(Alunos!A197&lt;&gt;"",Alunos!A197,"")</f>
        <v/>
      </c>
      <c r="C197" s="3" t="str">
        <f>IF(A197&lt;&gt;"",SUM(B197),"")</f>
        <v/>
      </c>
      <c r="D197" s="3" t="str">
        <f>IF(A197&lt;&gt;"",(Exame!D1*Exame!C197)/Exame!C1, "")</f>
        <v/>
      </c>
    </row>
    <row r="198" spans="1:4" x14ac:dyDescent="0.3">
      <c r="A198" s="3" t="str">
        <f>IF(Alunos!A198&lt;&gt;"",Alunos!A198,"")</f>
        <v/>
      </c>
      <c r="C198" s="3" t="str">
        <f>IF(A198&lt;&gt;"",SUM(B198),"")</f>
        <v/>
      </c>
      <c r="D198" s="3" t="str">
        <f>IF(A198&lt;&gt;"",(Exame!D1*Exame!C198)/Exame!C1, "")</f>
        <v/>
      </c>
    </row>
    <row r="199" spans="1:4" x14ac:dyDescent="0.3">
      <c r="A199" s="3" t="str">
        <f>IF(Alunos!A199&lt;&gt;"",Alunos!A199,"")</f>
        <v/>
      </c>
      <c r="C199" s="3" t="str">
        <f>IF(A199&lt;&gt;"",SUM(B199),"")</f>
        <v/>
      </c>
      <c r="D199" s="3" t="str">
        <f>IF(A199&lt;&gt;"",(Exame!D1*Exame!C199)/Exame!C1, "")</f>
        <v/>
      </c>
    </row>
    <row r="200" spans="1:4" x14ac:dyDescent="0.3">
      <c r="A200" s="3" t="str">
        <f>IF(Alunos!A200&lt;&gt;"",Alunos!A200,"")</f>
        <v/>
      </c>
      <c r="C200" s="3" t="str">
        <f>IF(A200&lt;&gt;"",SUM(B200),"")</f>
        <v/>
      </c>
      <c r="D200" s="3" t="str">
        <f>IF(A200&lt;&gt;"",(Exame!D1*Exame!C200)/Exame!C1, "")</f>
        <v/>
      </c>
    </row>
    <row r="201" spans="1:4" x14ac:dyDescent="0.3">
      <c r="A201" s="3" t="str">
        <f>IF(Alunos!A201&lt;&gt;"",Alunos!A201,"")</f>
        <v/>
      </c>
      <c r="C201" s="3" t="str">
        <f>IF(A201&lt;&gt;"",SUM(B201),"")</f>
        <v/>
      </c>
      <c r="D201" s="3" t="str">
        <f>IF(A201&lt;&gt;"",(Exame!D1*Exame!C201)/Exame!C1, "")</f>
        <v/>
      </c>
    </row>
    <row r="202" spans="1:4" x14ac:dyDescent="0.3">
      <c r="A202" s="3" t="str">
        <f>IF(Alunos!A202&lt;&gt;"",Alunos!A202,"")</f>
        <v/>
      </c>
      <c r="C202" s="3" t="str">
        <f>IF(A202&lt;&gt;"",SUM(B202),"")</f>
        <v/>
      </c>
      <c r="D202" s="3" t="str">
        <f>IF(A202&lt;&gt;"",(Exame!D1*Exame!C202)/Exame!C1, "")</f>
        <v/>
      </c>
    </row>
    <row r="203" spans="1:4" x14ac:dyDescent="0.3">
      <c r="A203" s="3" t="str">
        <f>IF(Alunos!A203&lt;&gt;"",Alunos!A203,"")</f>
        <v/>
      </c>
      <c r="C203" s="3" t="str">
        <f>IF(A203&lt;&gt;"",SUM(B203),"")</f>
        <v/>
      </c>
      <c r="D203" s="3" t="str">
        <f>IF(A203&lt;&gt;"",(Exame!D1*Exame!C203)/Exame!C1, "")</f>
        <v/>
      </c>
    </row>
    <row r="204" spans="1:4" x14ac:dyDescent="0.3">
      <c r="A204" s="3" t="str">
        <f>IF(Alunos!A204&lt;&gt;"",Alunos!A204,"")</f>
        <v/>
      </c>
      <c r="C204" s="3" t="str">
        <f>IF(A204&lt;&gt;"",SUM(B204),"")</f>
        <v/>
      </c>
      <c r="D204" s="3" t="str">
        <f>IF(A204&lt;&gt;"",(Exame!D1*Exame!C204)/Exame!C1, "")</f>
        <v/>
      </c>
    </row>
    <row r="205" spans="1:4" x14ac:dyDescent="0.3">
      <c r="A205" s="3" t="str">
        <f>IF(Alunos!A205&lt;&gt;"",Alunos!A205,"")</f>
        <v/>
      </c>
      <c r="C205" s="3" t="str">
        <f>IF(A205&lt;&gt;"",SUM(B205),"")</f>
        <v/>
      </c>
      <c r="D205" s="3" t="str">
        <f>IF(A205&lt;&gt;"",(Exame!D1*Exame!C205)/Exame!C1, "")</f>
        <v/>
      </c>
    </row>
    <row r="206" spans="1:4" x14ac:dyDescent="0.3">
      <c r="A206" s="3" t="str">
        <f>IF(Alunos!A206&lt;&gt;"",Alunos!A206,"")</f>
        <v/>
      </c>
      <c r="C206" s="3" t="str">
        <f>IF(A206&lt;&gt;"",SUM(B206),"")</f>
        <v/>
      </c>
      <c r="D206" s="3" t="str">
        <f>IF(A206&lt;&gt;"",(Exame!D1*Exame!C206)/Exame!C1, "")</f>
        <v/>
      </c>
    </row>
    <row r="207" spans="1:4" x14ac:dyDescent="0.3">
      <c r="A207" s="3" t="str">
        <f>IF(Alunos!A207&lt;&gt;"",Alunos!A207,"")</f>
        <v/>
      </c>
      <c r="C207" s="3" t="str">
        <f>IF(A207&lt;&gt;"",SUM(B207),"")</f>
        <v/>
      </c>
      <c r="D207" s="3" t="str">
        <f>IF(A207&lt;&gt;"",(Exame!D1*Exame!C207)/Exame!C1, "")</f>
        <v/>
      </c>
    </row>
    <row r="208" spans="1:4" x14ac:dyDescent="0.3">
      <c r="A208" s="3" t="str">
        <f>IF(Alunos!A208&lt;&gt;"",Alunos!A208,"")</f>
        <v/>
      </c>
      <c r="C208" s="3" t="str">
        <f>IF(A208&lt;&gt;"",SUM(B208),"")</f>
        <v/>
      </c>
      <c r="D208" s="3" t="str">
        <f>IF(A208&lt;&gt;"",(Exame!D1*Exame!C208)/Exame!C1, "")</f>
        <v/>
      </c>
    </row>
    <row r="209" spans="1:4" x14ac:dyDescent="0.3">
      <c r="A209" s="3" t="str">
        <f>IF(Alunos!A209&lt;&gt;"",Alunos!A209,"")</f>
        <v/>
      </c>
      <c r="C209" s="3" t="str">
        <f>IF(A209&lt;&gt;"",SUM(B209),"")</f>
        <v/>
      </c>
      <c r="D209" s="3" t="str">
        <f>IF(A209&lt;&gt;"",(Exame!D1*Exame!C209)/Exame!C1, "")</f>
        <v/>
      </c>
    </row>
    <row r="210" spans="1:4" x14ac:dyDescent="0.3">
      <c r="A210" s="3" t="str">
        <f>IF(Alunos!A210&lt;&gt;"",Alunos!A210,"")</f>
        <v/>
      </c>
      <c r="C210" s="3" t="str">
        <f>IF(A210&lt;&gt;"",SUM(B210),"")</f>
        <v/>
      </c>
      <c r="D210" s="3" t="str">
        <f>IF(A210&lt;&gt;"",(Exame!D1*Exame!C210)/Exame!C1, "")</f>
        <v/>
      </c>
    </row>
    <row r="211" spans="1:4" x14ac:dyDescent="0.3">
      <c r="A211" s="3" t="str">
        <f>IF(Alunos!A211&lt;&gt;"",Alunos!A211,"")</f>
        <v/>
      </c>
      <c r="C211" s="3" t="str">
        <f>IF(A211&lt;&gt;"",SUM(B211),"")</f>
        <v/>
      </c>
      <c r="D211" s="3" t="str">
        <f>IF(A211&lt;&gt;"",(Exame!D1*Exame!C211)/Exame!C1, "")</f>
        <v/>
      </c>
    </row>
    <row r="212" spans="1:4" x14ac:dyDescent="0.3">
      <c r="A212" s="3" t="str">
        <f>IF(Alunos!A212&lt;&gt;"",Alunos!A212,"")</f>
        <v/>
      </c>
      <c r="C212" s="3" t="str">
        <f>IF(A212&lt;&gt;"",SUM(B212),"")</f>
        <v/>
      </c>
      <c r="D212" s="3" t="str">
        <f>IF(A212&lt;&gt;"",(Exame!D1*Exame!C212)/Exame!C1, "")</f>
        <v/>
      </c>
    </row>
    <row r="213" spans="1:4" x14ac:dyDescent="0.3">
      <c r="A213" s="3" t="str">
        <f>IF(Alunos!A213&lt;&gt;"",Alunos!A213,"")</f>
        <v/>
      </c>
      <c r="C213" s="3" t="str">
        <f>IF(A213&lt;&gt;"",SUM(B213),"")</f>
        <v/>
      </c>
      <c r="D213" s="3" t="str">
        <f>IF(A213&lt;&gt;"",(Exame!D1*Exame!C213)/Exame!C1, "")</f>
        <v/>
      </c>
    </row>
    <row r="214" spans="1:4" x14ac:dyDescent="0.3">
      <c r="A214" s="3" t="str">
        <f>IF(Alunos!A214&lt;&gt;"",Alunos!A214,"")</f>
        <v/>
      </c>
      <c r="C214" s="3" t="str">
        <f>IF(A214&lt;&gt;"",SUM(B214),"")</f>
        <v/>
      </c>
      <c r="D214" s="3" t="str">
        <f>IF(A214&lt;&gt;"",(Exame!D1*Exame!C214)/Exame!C1, "")</f>
        <v/>
      </c>
    </row>
    <row r="215" spans="1:4" x14ac:dyDescent="0.3">
      <c r="A215" s="3" t="str">
        <f>IF(Alunos!A215&lt;&gt;"",Alunos!A215,"")</f>
        <v/>
      </c>
      <c r="C215" s="3" t="str">
        <f>IF(A215&lt;&gt;"",SUM(B215),"")</f>
        <v/>
      </c>
      <c r="D215" s="3" t="str">
        <f>IF(A215&lt;&gt;"",(Exame!D1*Exame!C215)/Exame!C1, "")</f>
        <v/>
      </c>
    </row>
    <row r="216" spans="1:4" x14ac:dyDescent="0.3">
      <c r="A216" s="3" t="str">
        <f>IF(Alunos!A216&lt;&gt;"",Alunos!A216,"")</f>
        <v/>
      </c>
      <c r="C216" s="3" t="str">
        <f>IF(A216&lt;&gt;"",SUM(B216),"")</f>
        <v/>
      </c>
      <c r="D216" s="3" t="str">
        <f>IF(A216&lt;&gt;"",(Exame!D1*Exame!C216)/Exame!C1, "")</f>
        <v/>
      </c>
    </row>
    <row r="217" spans="1:4" x14ac:dyDescent="0.3">
      <c r="A217" s="3" t="str">
        <f>IF(Alunos!A217&lt;&gt;"",Alunos!A217,"")</f>
        <v/>
      </c>
      <c r="C217" s="3" t="str">
        <f>IF(A217&lt;&gt;"",SUM(B217),"")</f>
        <v/>
      </c>
      <c r="D217" s="3" t="str">
        <f>IF(A217&lt;&gt;"",(Exame!D1*Exame!C217)/Exame!C1, "")</f>
        <v/>
      </c>
    </row>
    <row r="218" spans="1:4" x14ac:dyDescent="0.3">
      <c r="A218" s="3" t="str">
        <f>IF(Alunos!A218&lt;&gt;"",Alunos!A218,"")</f>
        <v/>
      </c>
      <c r="C218" s="3" t="str">
        <f>IF(A218&lt;&gt;"",SUM(B218),"")</f>
        <v/>
      </c>
      <c r="D218" s="3" t="str">
        <f>IF(A218&lt;&gt;"",(Exame!D1*Exame!C218)/Exame!C1, "")</f>
        <v/>
      </c>
    </row>
    <row r="219" spans="1:4" x14ac:dyDescent="0.3">
      <c r="A219" s="3" t="str">
        <f>IF(Alunos!A219&lt;&gt;"",Alunos!A219,"")</f>
        <v/>
      </c>
      <c r="C219" s="3" t="str">
        <f>IF(A219&lt;&gt;"",SUM(B219),"")</f>
        <v/>
      </c>
      <c r="D219" s="3" t="str">
        <f>IF(A219&lt;&gt;"",(Exame!D1*Exame!C219)/Exame!C1, "")</f>
        <v/>
      </c>
    </row>
    <row r="220" spans="1:4" x14ac:dyDescent="0.3">
      <c r="A220" s="3" t="str">
        <f>IF(Alunos!A220&lt;&gt;"",Alunos!A220,"")</f>
        <v/>
      </c>
      <c r="C220" s="3" t="str">
        <f>IF(A220&lt;&gt;"",SUM(B220),"")</f>
        <v/>
      </c>
      <c r="D220" s="3" t="str">
        <f>IF(A220&lt;&gt;"",(Exame!D1*Exame!C220)/Exame!C1, "")</f>
        <v/>
      </c>
    </row>
    <row r="221" spans="1:4" x14ac:dyDescent="0.3">
      <c r="A221" s="3" t="str">
        <f>IF(Alunos!A221&lt;&gt;"",Alunos!A221,"")</f>
        <v/>
      </c>
      <c r="C221" s="3" t="str">
        <f>IF(A221&lt;&gt;"",SUM(B221),"")</f>
        <v/>
      </c>
      <c r="D221" s="3" t="str">
        <f>IF(A221&lt;&gt;"",(Exame!D1*Exame!C221)/Exame!C1, "")</f>
        <v/>
      </c>
    </row>
    <row r="222" spans="1:4" x14ac:dyDescent="0.3">
      <c r="A222" s="3" t="str">
        <f>IF(Alunos!A222&lt;&gt;"",Alunos!A222,"")</f>
        <v/>
      </c>
      <c r="C222" s="3" t="str">
        <f>IF(A222&lt;&gt;"",SUM(B222),"")</f>
        <v/>
      </c>
      <c r="D222" s="3" t="str">
        <f>IF(A222&lt;&gt;"",(Exame!D1*Exame!C222)/Exame!C1, "")</f>
        <v/>
      </c>
    </row>
    <row r="223" spans="1:4" x14ac:dyDescent="0.3">
      <c r="A223" s="3" t="str">
        <f>IF(Alunos!A223&lt;&gt;"",Alunos!A223,"")</f>
        <v/>
      </c>
      <c r="C223" s="3" t="str">
        <f>IF(A223&lt;&gt;"",SUM(B223),"")</f>
        <v/>
      </c>
      <c r="D223" s="3" t="str">
        <f>IF(A223&lt;&gt;"",(Exame!D1*Exame!C223)/Exame!C1, "")</f>
        <v/>
      </c>
    </row>
    <row r="224" spans="1:4" x14ac:dyDescent="0.3">
      <c r="A224" s="3" t="str">
        <f>IF(Alunos!A224&lt;&gt;"",Alunos!A224,"")</f>
        <v/>
      </c>
      <c r="C224" s="3" t="str">
        <f>IF(A224&lt;&gt;"",SUM(B224),"")</f>
        <v/>
      </c>
      <c r="D224" s="3" t="str">
        <f>IF(A224&lt;&gt;"",(Exame!D1*Exame!C224)/Exame!C1, "")</f>
        <v/>
      </c>
    </row>
    <row r="225" spans="1:4" x14ac:dyDescent="0.3">
      <c r="A225" s="3" t="str">
        <f>IF(Alunos!A225&lt;&gt;"",Alunos!A225,"")</f>
        <v/>
      </c>
      <c r="C225" s="3" t="str">
        <f>IF(A225&lt;&gt;"",SUM(B225),"")</f>
        <v/>
      </c>
      <c r="D225" s="3" t="str">
        <f>IF(A225&lt;&gt;"",(Exame!D1*Exame!C225)/Exame!C1, "")</f>
        <v/>
      </c>
    </row>
    <row r="226" spans="1:4" x14ac:dyDescent="0.3">
      <c r="A226" s="3" t="str">
        <f>IF(Alunos!A226&lt;&gt;"",Alunos!A226,"")</f>
        <v/>
      </c>
      <c r="C226" s="3" t="str">
        <f>IF(A226&lt;&gt;"",SUM(B226),"")</f>
        <v/>
      </c>
      <c r="D226" s="3" t="str">
        <f>IF(A226&lt;&gt;"",(Exame!D1*Exame!C226)/Exame!C1, "")</f>
        <v/>
      </c>
    </row>
    <row r="227" spans="1:4" x14ac:dyDescent="0.3">
      <c r="A227" s="3" t="str">
        <f>IF(Alunos!A227&lt;&gt;"",Alunos!A227,"")</f>
        <v/>
      </c>
      <c r="C227" s="3" t="str">
        <f>IF(A227&lt;&gt;"",SUM(B227),"")</f>
        <v/>
      </c>
      <c r="D227" s="3" t="str">
        <f>IF(A227&lt;&gt;"",(Exame!D1*Exame!C227)/Exame!C1, "")</f>
        <v/>
      </c>
    </row>
    <row r="228" spans="1:4" x14ac:dyDescent="0.3">
      <c r="A228" s="3" t="str">
        <f>IF(Alunos!A228&lt;&gt;"",Alunos!A228,"")</f>
        <v/>
      </c>
      <c r="C228" s="3" t="str">
        <f>IF(A228&lt;&gt;"",SUM(B228),"")</f>
        <v/>
      </c>
      <c r="D228" s="3" t="str">
        <f>IF(A228&lt;&gt;"",(Exame!D1*Exame!C228)/Exame!C1, "")</f>
        <v/>
      </c>
    </row>
    <row r="229" spans="1:4" x14ac:dyDescent="0.3">
      <c r="A229" s="3" t="str">
        <f>IF(Alunos!A229&lt;&gt;"",Alunos!A229,"")</f>
        <v/>
      </c>
      <c r="C229" s="3" t="str">
        <f>IF(A229&lt;&gt;"",SUM(B229),"")</f>
        <v/>
      </c>
      <c r="D229" s="3" t="str">
        <f>IF(A229&lt;&gt;"",(Exame!D1*Exame!C229)/Exame!C1, "")</f>
        <v/>
      </c>
    </row>
    <row r="230" spans="1:4" x14ac:dyDescent="0.3">
      <c r="A230" s="3" t="str">
        <f>IF(Alunos!A230&lt;&gt;"",Alunos!A230,"")</f>
        <v/>
      </c>
      <c r="C230" s="3" t="str">
        <f>IF(A230&lt;&gt;"",SUM(B230),"")</f>
        <v/>
      </c>
      <c r="D230" s="3" t="str">
        <f>IF(A230&lt;&gt;"",(Exame!D1*Exame!C230)/Exame!C1, "")</f>
        <v/>
      </c>
    </row>
    <row r="231" spans="1:4" x14ac:dyDescent="0.3">
      <c r="A231" s="3" t="str">
        <f>IF(Alunos!A231&lt;&gt;"",Alunos!A231,"")</f>
        <v/>
      </c>
      <c r="C231" s="3" t="str">
        <f>IF(A231&lt;&gt;"",SUM(B231),"")</f>
        <v/>
      </c>
      <c r="D231" s="3" t="str">
        <f>IF(A231&lt;&gt;"",(Exame!D1*Exame!C231)/Exame!C1, "")</f>
        <v/>
      </c>
    </row>
    <row r="232" spans="1:4" x14ac:dyDescent="0.3">
      <c r="A232" s="3" t="str">
        <f>IF(Alunos!A232&lt;&gt;"",Alunos!A232,"")</f>
        <v/>
      </c>
      <c r="C232" s="3" t="str">
        <f>IF(A232&lt;&gt;"",SUM(B232),"")</f>
        <v/>
      </c>
      <c r="D232" s="3" t="str">
        <f>IF(A232&lt;&gt;"",(Exame!D1*Exame!C232)/Exame!C1, "")</f>
        <v/>
      </c>
    </row>
    <row r="233" spans="1:4" x14ac:dyDescent="0.3">
      <c r="A233" s="3" t="str">
        <f>IF(Alunos!A233&lt;&gt;"",Alunos!A233,"")</f>
        <v/>
      </c>
      <c r="C233" s="3" t="str">
        <f>IF(A233&lt;&gt;"",SUM(B233),"")</f>
        <v/>
      </c>
      <c r="D233" s="3" t="str">
        <f>IF(A233&lt;&gt;"",(Exame!D1*Exame!C233)/Exame!C1, "")</f>
        <v/>
      </c>
    </row>
    <row r="234" spans="1:4" x14ac:dyDescent="0.3">
      <c r="A234" s="3" t="str">
        <f>IF(Alunos!A234&lt;&gt;"",Alunos!A234,"")</f>
        <v/>
      </c>
      <c r="C234" s="3" t="str">
        <f>IF(A234&lt;&gt;"",SUM(B234),"")</f>
        <v/>
      </c>
      <c r="D234" s="3" t="str">
        <f>IF(A234&lt;&gt;"",(Exame!D1*Exame!C234)/Exame!C1, "")</f>
        <v/>
      </c>
    </row>
    <row r="235" spans="1:4" x14ac:dyDescent="0.3">
      <c r="A235" s="3" t="str">
        <f>IF(Alunos!A235&lt;&gt;"",Alunos!A235,"")</f>
        <v/>
      </c>
      <c r="C235" s="3" t="str">
        <f>IF(A235&lt;&gt;"",SUM(B235),"")</f>
        <v/>
      </c>
      <c r="D235" s="3" t="str">
        <f>IF(A235&lt;&gt;"",(Exame!D1*Exame!C235)/Exame!C1, "")</f>
        <v/>
      </c>
    </row>
    <row r="236" spans="1:4" x14ac:dyDescent="0.3">
      <c r="A236" s="3" t="str">
        <f>IF(Alunos!A236&lt;&gt;"",Alunos!A236,"")</f>
        <v/>
      </c>
      <c r="C236" s="3" t="str">
        <f>IF(A236&lt;&gt;"",SUM(B236),"")</f>
        <v/>
      </c>
      <c r="D236" s="3" t="str">
        <f>IF(A236&lt;&gt;"",(Exame!D1*Exame!C236)/Exame!C1, "")</f>
        <v/>
      </c>
    </row>
    <row r="237" spans="1:4" x14ac:dyDescent="0.3">
      <c r="A237" s="3" t="str">
        <f>IF(Alunos!A237&lt;&gt;"",Alunos!A237,"")</f>
        <v/>
      </c>
      <c r="C237" s="3" t="str">
        <f>IF(A237&lt;&gt;"",SUM(B237),"")</f>
        <v/>
      </c>
      <c r="D237" s="3" t="str">
        <f>IF(A237&lt;&gt;"",(Exame!D1*Exame!C237)/Exame!C1, "")</f>
        <v/>
      </c>
    </row>
    <row r="238" spans="1:4" x14ac:dyDescent="0.3">
      <c r="A238" s="3" t="str">
        <f>IF(Alunos!A238&lt;&gt;"",Alunos!A238,"")</f>
        <v/>
      </c>
      <c r="C238" s="3" t="str">
        <f>IF(A238&lt;&gt;"",SUM(B238),"")</f>
        <v/>
      </c>
      <c r="D238" s="3" t="str">
        <f>IF(A238&lt;&gt;"",(Exame!D1*Exame!C238)/Exame!C1, "")</f>
        <v/>
      </c>
    </row>
    <row r="239" spans="1:4" x14ac:dyDescent="0.3">
      <c r="A239" s="3" t="str">
        <f>IF(Alunos!A239&lt;&gt;"",Alunos!A239,"")</f>
        <v/>
      </c>
      <c r="C239" s="3" t="str">
        <f>IF(A239&lt;&gt;"",SUM(B239),"")</f>
        <v/>
      </c>
      <c r="D239" s="3" t="str">
        <f>IF(A239&lt;&gt;"",(Exame!D1*Exame!C239)/Exame!C1, "")</f>
        <v/>
      </c>
    </row>
    <row r="240" spans="1:4" x14ac:dyDescent="0.3">
      <c r="A240" s="3" t="str">
        <f>IF(Alunos!A240&lt;&gt;"",Alunos!A240,"")</f>
        <v/>
      </c>
      <c r="C240" s="3" t="str">
        <f>IF(A240&lt;&gt;"",SUM(B240),"")</f>
        <v/>
      </c>
      <c r="D240" s="3" t="str">
        <f>IF(A240&lt;&gt;"",(Exame!D1*Exame!C240)/Exame!C1, "")</f>
        <v/>
      </c>
    </row>
    <row r="241" spans="1:4" x14ac:dyDescent="0.3">
      <c r="A241" s="3" t="str">
        <f>IF(Alunos!A241&lt;&gt;"",Alunos!A241,"")</f>
        <v/>
      </c>
      <c r="C241" s="3" t="str">
        <f>IF(A241&lt;&gt;"",SUM(B241),"")</f>
        <v/>
      </c>
      <c r="D241" s="3" t="str">
        <f>IF(A241&lt;&gt;"",(Exame!D1*Exame!C241)/Exame!C1, "")</f>
        <v/>
      </c>
    </row>
    <row r="242" spans="1:4" x14ac:dyDescent="0.3">
      <c r="A242" s="3" t="str">
        <f>IF(Alunos!A242&lt;&gt;"",Alunos!A242,"")</f>
        <v/>
      </c>
      <c r="C242" s="3" t="str">
        <f>IF(A242&lt;&gt;"",SUM(B242),"")</f>
        <v/>
      </c>
      <c r="D242" s="3" t="str">
        <f>IF(A242&lt;&gt;"",(Exame!D1*Exame!C242)/Exame!C1, "")</f>
        <v/>
      </c>
    </row>
    <row r="243" spans="1:4" x14ac:dyDescent="0.3">
      <c r="A243" s="3" t="str">
        <f>IF(Alunos!A243&lt;&gt;"",Alunos!A243,"")</f>
        <v/>
      </c>
      <c r="C243" s="3" t="str">
        <f>IF(A243&lt;&gt;"",SUM(B243),"")</f>
        <v/>
      </c>
      <c r="D243" s="3" t="str">
        <f>IF(A243&lt;&gt;"",(Exame!D1*Exame!C243)/Exame!C1, "")</f>
        <v/>
      </c>
    </row>
    <row r="244" spans="1:4" x14ac:dyDescent="0.3">
      <c r="A244" s="3" t="str">
        <f>IF(Alunos!A244&lt;&gt;"",Alunos!A244,"")</f>
        <v/>
      </c>
      <c r="C244" s="3" t="str">
        <f>IF(A244&lt;&gt;"",SUM(B244),"")</f>
        <v/>
      </c>
      <c r="D244" s="3" t="str">
        <f>IF(A244&lt;&gt;"",(Exame!D1*Exame!C244)/Exame!C1, "")</f>
        <v/>
      </c>
    </row>
    <row r="245" spans="1:4" x14ac:dyDescent="0.3">
      <c r="A245" s="3" t="str">
        <f>IF(Alunos!A245&lt;&gt;"",Alunos!A245,"")</f>
        <v/>
      </c>
      <c r="C245" s="3" t="str">
        <f>IF(A245&lt;&gt;"",SUM(B245),"")</f>
        <v/>
      </c>
      <c r="D245" s="3" t="str">
        <f>IF(A245&lt;&gt;"",(Exame!D1*Exame!C245)/Exame!C1, "")</f>
        <v/>
      </c>
    </row>
    <row r="246" spans="1:4" x14ac:dyDescent="0.3">
      <c r="A246" s="3" t="str">
        <f>IF(Alunos!A246&lt;&gt;"",Alunos!A246,"")</f>
        <v/>
      </c>
      <c r="C246" s="3" t="str">
        <f>IF(A246&lt;&gt;"",SUM(B246),"")</f>
        <v/>
      </c>
      <c r="D246" s="3" t="str">
        <f>IF(A246&lt;&gt;"",(Exame!D1*Exame!C246)/Exame!C1, "")</f>
        <v/>
      </c>
    </row>
    <row r="247" spans="1:4" x14ac:dyDescent="0.3">
      <c r="A247" s="3" t="str">
        <f>IF(Alunos!A247&lt;&gt;"",Alunos!A247,"")</f>
        <v/>
      </c>
      <c r="C247" s="3" t="str">
        <f>IF(A247&lt;&gt;"",SUM(B247),"")</f>
        <v/>
      </c>
      <c r="D247" s="3" t="str">
        <f>IF(A247&lt;&gt;"",(Exame!D1*Exame!C247)/Exame!C1, "")</f>
        <v/>
      </c>
    </row>
    <row r="248" spans="1:4" x14ac:dyDescent="0.3">
      <c r="A248" s="3" t="str">
        <f>IF(Alunos!A248&lt;&gt;"",Alunos!A248,"")</f>
        <v/>
      </c>
      <c r="C248" s="3" t="str">
        <f>IF(A248&lt;&gt;"",SUM(B248),"")</f>
        <v/>
      </c>
      <c r="D248" s="3" t="str">
        <f>IF(A248&lt;&gt;"",(Exame!D1*Exame!C248)/Exame!C1, "")</f>
        <v/>
      </c>
    </row>
    <row r="249" spans="1:4" x14ac:dyDescent="0.3">
      <c r="A249" s="3" t="str">
        <f>IF(Alunos!A249&lt;&gt;"",Alunos!A249,"")</f>
        <v/>
      </c>
      <c r="C249" s="3" t="str">
        <f>IF(A249&lt;&gt;"",SUM(B249),"")</f>
        <v/>
      </c>
      <c r="D249" s="3" t="str">
        <f>IF(A249&lt;&gt;"",(Exame!D1*Exame!C249)/Exame!C1, "")</f>
        <v/>
      </c>
    </row>
    <row r="250" spans="1:4" x14ac:dyDescent="0.3">
      <c r="A250" s="3" t="str">
        <f>IF(Alunos!A250&lt;&gt;"",Alunos!A250,"")</f>
        <v/>
      </c>
      <c r="C250" s="3" t="str">
        <f>IF(A250&lt;&gt;"",SUM(B250),"")</f>
        <v/>
      </c>
      <c r="D250" s="3" t="str">
        <f>IF(A250&lt;&gt;"",(Exame!D1*Exame!C250)/Exame!C1, "")</f>
        <v/>
      </c>
    </row>
  </sheetData>
  <conditionalFormatting sqref="B3">
    <cfRule type="cellIs" dxfId="247" priority="1" stopIfTrue="1" operator="greaterThan">
      <formula>12</formula>
    </cfRule>
  </conditionalFormatting>
  <conditionalFormatting sqref="B4">
    <cfRule type="cellIs" dxfId="246" priority="2" stopIfTrue="1" operator="greaterThan">
      <formula>12</formula>
    </cfRule>
  </conditionalFormatting>
  <conditionalFormatting sqref="B5">
    <cfRule type="cellIs" dxfId="245" priority="3" stopIfTrue="1" operator="greaterThan">
      <formula>12</formula>
    </cfRule>
  </conditionalFormatting>
  <conditionalFormatting sqref="B6">
    <cfRule type="cellIs" dxfId="244" priority="4" stopIfTrue="1" operator="greaterThan">
      <formula>12</formula>
    </cfRule>
  </conditionalFormatting>
  <conditionalFormatting sqref="B7">
    <cfRule type="cellIs" dxfId="243" priority="5" stopIfTrue="1" operator="greaterThan">
      <formula>12</formula>
    </cfRule>
  </conditionalFormatting>
  <conditionalFormatting sqref="B8">
    <cfRule type="cellIs" dxfId="242" priority="6" stopIfTrue="1" operator="greaterThan">
      <formula>12</formula>
    </cfRule>
  </conditionalFormatting>
  <conditionalFormatting sqref="B9">
    <cfRule type="cellIs" dxfId="241" priority="7" stopIfTrue="1" operator="greaterThan">
      <formula>12</formula>
    </cfRule>
  </conditionalFormatting>
  <conditionalFormatting sqref="B10">
    <cfRule type="cellIs" dxfId="240" priority="8" stopIfTrue="1" operator="greaterThan">
      <formula>12</formula>
    </cfRule>
  </conditionalFormatting>
  <conditionalFormatting sqref="B11">
    <cfRule type="cellIs" dxfId="239" priority="9" stopIfTrue="1" operator="greaterThan">
      <formula>12</formula>
    </cfRule>
  </conditionalFormatting>
  <conditionalFormatting sqref="B12">
    <cfRule type="cellIs" dxfId="238" priority="10" stopIfTrue="1" operator="greaterThan">
      <formula>12</formula>
    </cfRule>
  </conditionalFormatting>
  <conditionalFormatting sqref="B13">
    <cfRule type="cellIs" dxfId="237" priority="11" stopIfTrue="1" operator="greaterThan">
      <formula>12</formula>
    </cfRule>
  </conditionalFormatting>
  <conditionalFormatting sqref="B14">
    <cfRule type="cellIs" dxfId="236" priority="12" stopIfTrue="1" operator="greaterThan">
      <formula>12</formula>
    </cfRule>
  </conditionalFormatting>
  <conditionalFormatting sqref="B15">
    <cfRule type="cellIs" dxfId="235" priority="13" stopIfTrue="1" operator="greaterThan">
      <formula>12</formula>
    </cfRule>
  </conditionalFormatting>
  <conditionalFormatting sqref="B16">
    <cfRule type="cellIs" dxfId="234" priority="14" stopIfTrue="1" operator="greaterThan">
      <formula>12</formula>
    </cfRule>
  </conditionalFormatting>
  <conditionalFormatting sqref="B17">
    <cfRule type="cellIs" dxfId="233" priority="15" stopIfTrue="1" operator="greaterThan">
      <formula>12</formula>
    </cfRule>
  </conditionalFormatting>
  <conditionalFormatting sqref="B18">
    <cfRule type="cellIs" dxfId="232" priority="16" stopIfTrue="1" operator="greaterThan">
      <formula>12</formula>
    </cfRule>
  </conditionalFormatting>
  <conditionalFormatting sqref="B19">
    <cfRule type="cellIs" dxfId="231" priority="17" stopIfTrue="1" operator="greaterThan">
      <formula>12</formula>
    </cfRule>
  </conditionalFormatting>
  <conditionalFormatting sqref="B20">
    <cfRule type="cellIs" dxfId="230" priority="18" stopIfTrue="1" operator="greaterThan">
      <formula>12</formula>
    </cfRule>
  </conditionalFormatting>
  <conditionalFormatting sqref="B21">
    <cfRule type="cellIs" dxfId="229" priority="19" stopIfTrue="1" operator="greaterThan">
      <formula>12</formula>
    </cfRule>
  </conditionalFormatting>
  <conditionalFormatting sqref="B22">
    <cfRule type="cellIs" dxfId="228" priority="20" stopIfTrue="1" operator="greaterThan">
      <formula>12</formula>
    </cfRule>
  </conditionalFormatting>
  <conditionalFormatting sqref="B23">
    <cfRule type="cellIs" dxfId="227" priority="21" stopIfTrue="1" operator="greaterThan">
      <formula>12</formula>
    </cfRule>
  </conditionalFormatting>
  <conditionalFormatting sqref="B24">
    <cfRule type="cellIs" dxfId="226" priority="22" stopIfTrue="1" operator="greaterThan">
      <formula>12</formula>
    </cfRule>
  </conditionalFormatting>
  <conditionalFormatting sqref="B25">
    <cfRule type="cellIs" dxfId="225" priority="23" stopIfTrue="1" operator="greaterThan">
      <formula>12</formula>
    </cfRule>
  </conditionalFormatting>
  <conditionalFormatting sqref="B26">
    <cfRule type="cellIs" dxfId="224" priority="24" stopIfTrue="1" operator="greaterThan">
      <formula>12</formula>
    </cfRule>
  </conditionalFormatting>
  <conditionalFormatting sqref="B27">
    <cfRule type="cellIs" dxfId="223" priority="25" stopIfTrue="1" operator="greaterThan">
      <formula>12</formula>
    </cfRule>
  </conditionalFormatting>
  <conditionalFormatting sqref="B28">
    <cfRule type="cellIs" dxfId="222" priority="26" stopIfTrue="1" operator="greaterThan">
      <formula>12</formula>
    </cfRule>
  </conditionalFormatting>
  <conditionalFormatting sqref="B29">
    <cfRule type="cellIs" dxfId="221" priority="27" stopIfTrue="1" operator="greaterThan">
      <formula>12</formula>
    </cfRule>
  </conditionalFormatting>
  <conditionalFormatting sqref="B30">
    <cfRule type="cellIs" dxfId="220" priority="28" stopIfTrue="1" operator="greaterThan">
      <formula>12</formula>
    </cfRule>
  </conditionalFormatting>
  <conditionalFormatting sqref="B31">
    <cfRule type="cellIs" dxfId="219" priority="29" stopIfTrue="1" operator="greaterThan">
      <formula>12</formula>
    </cfRule>
  </conditionalFormatting>
  <conditionalFormatting sqref="B32">
    <cfRule type="cellIs" dxfId="218" priority="30" stopIfTrue="1" operator="greaterThan">
      <formula>12</formula>
    </cfRule>
  </conditionalFormatting>
  <conditionalFormatting sqref="B33">
    <cfRule type="cellIs" dxfId="217" priority="31" stopIfTrue="1" operator="greaterThan">
      <formula>12</formula>
    </cfRule>
  </conditionalFormatting>
  <conditionalFormatting sqref="B34">
    <cfRule type="cellIs" dxfId="216" priority="32" stopIfTrue="1" operator="greaterThan">
      <formula>12</formula>
    </cfRule>
  </conditionalFormatting>
  <conditionalFormatting sqref="B35">
    <cfRule type="cellIs" dxfId="215" priority="33" stopIfTrue="1" operator="greaterThan">
      <formula>12</formula>
    </cfRule>
  </conditionalFormatting>
  <conditionalFormatting sqref="B36">
    <cfRule type="cellIs" dxfId="214" priority="34" stopIfTrue="1" operator="greaterThan">
      <formula>12</formula>
    </cfRule>
  </conditionalFormatting>
  <conditionalFormatting sqref="B37">
    <cfRule type="cellIs" dxfId="213" priority="35" stopIfTrue="1" operator="greaterThan">
      <formula>12</formula>
    </cfRule>
  </conditionalFormatting>
  <conditionalFormatting sqref="B38">
    <cfRule type="cellIs" dxfId="212" priority="36" stopIfTrue="1" operator="greaterThan">
      <formula>12</formula>
    </cfRule>
  </conditionalFormatting>
  <conditionalFormatting sqref="B39">
    <cfRule type="cellIs" dxfId="211" priority="37" stopIfTrue="1" operator="greaterThan">
      <formula>12</formula>
    </cfRule>
  </conditionalFormatting>
  <conditionalFormatting sqref="B40">
    <cfRule type="cellIs" dxfId="210" priority="38" stopIfTrue="1" operator="greaterThan">
      <formula>12</formula>
    </cfRule>
  </conditionalFormatting>
  <conditionalFormatting sqref="B41">
    <cfRule type="cellIs" dxfId="209" priority="39" stopIfTrue="1" operator="greaterThan">
      <formula>12</formula>
    </cfRule>
  </conditionalFormatting>
  <conditionalFormatting sqref="B42">
    <cfRule type="cellIs" dxfId="208" priority="40" stopIfTrue="1" operator="greaterThan">
      <formula>12</formula>
    </cfRule>
  </conditionalFormatting>
  <conditionalFormatting sqref="B43">
    <cfRule type="cellIs" dxfId="207" priority="41" stopIfTrue="1" operator="greaterThan">
      <formula>12</formula>
    </cfRule>
  </conditionalFormatting>
  <conditionalFormatting sqref="B44">
    <cfRule type="cellIs" dxfId="206" priority="42" stopIfTrue="1" operator="greaterThan">
      <formula>12</formula>
    </cfRule>
  </conditionalFormatting>
  <conditionalFormatting sqref="B45">
    <cfRule type="cellIs" dxfId="205" priority="43" stopIfTrue="1" operator="greaterThan">
      <formula>12</formula>
    </cfRule>
  </conditionalFormatting>
  <conditionalFormatting sqref="B46">
    <cfRule type="cellIs" dxfId="204" priority="44" stopIfTrue="1" operator="greaterThan">
      <formula>12</formula>
    </cfRule>
  </conditionalFormatting>
  <conditionalFormatting sqref="B47">
    <cfRule type="cellIs" dxfId="203" priority="45" stopIfTrue="1" operator="greaterThan">
      <formula>12</formula>
    </cfRule>
  </conditionalFormatting>
  <conditionalFormatting sqref="B48">
    <cfRule type="cellIs" dxfId="202" priority="46" stopIfTrue="1" operator="greaterThan">
      <formula>12</formula>
    </cfRule>
  </conditionalFormatting>
  <conditionalFormatting sqref="B49">
    <cfRule type="cellIs" dxfId="201" priority="47" stopIfTrue="1" operator="greaterThan">
      <formula>12</formula>
    </cfRule>
  </conditionalFormatting>
  <conditionalFormatting sqref="B50">
    <cfRule type="cellIs" dxfId="200" priority="48" stopIfTrue="1" operator="greaterThan">
      <formula>12</formula>
    </cfRule>
  </conditionalFormatting>
  <conditionalFormatting sqref="B51">
    <cfRule type="cellIs" dxfId="199" priority="49" stopIfTrue="1" operator="greaterThan">
      <formula>12</formula>
    </cfRule>
  </conditionalFormatting>
  <conditionalFormatting sqref="B52">
    <cfRule type="cellIs" dxfId="198" priority="50" stopIfTrue="1" operator="greaterThan">
      <formula>12</formula>
    </cfRule>
  </conditionalFormatting>
  <conditionalFormatting sqref="B53">
    <cfRule type="cellIs" dxfId="197" priority="51" stopIfTrue="1" operator="greaterThan">
      <formula>12</formula>
    </cfRule>
  </conditionalFormatting>
  <conditionalFormatting sqref="B54">
    <cfRule type="cellIs" dxfId="196" priority="52" stopIfTrue="1" operator="greaterThan">
      <formula>12</formula>
    </cfRule>
  </conditionalFormatting>
  <conditionalFormatting sqref="B55">
    <cfRule type="cellIs" dxfId="195" priority="53" stopIfTrue="1" operator="greaterThan">
      <formula>12</formula>
    </cfRule>
  </conditionalFormatting>
  <conditionalFormatting sqref="B56">
    <cfRule type="cellIs" dxfId="194" priority="54" stopIfTrue="1" operator="greaterThan">
      <formula>12</formula>
    </cfRule>
  </conditionalFormatting>
  <conditionalFormatting sqref="B57">
    <cfRule type="cellIs" dxfId="193" priority="55" stopIfTrue="1" operator="greaterThan">
      <formula>12</formula>
    </cfRule>
  </conditionalFormatting>
  <conditionalFormatting sqref="B58">
    <cfRule type="cellIs" dxfId="192" priority="56" stopIfTrue="1" operator="greaterThan">
      <formula>12</formula>
    </cfRule>
  </conditionalFormatting>
  <conditionalFormatting sqref="B59">
    <cfRule type="cellIs" dxfId="191" priority="57" stopIfTrue="1" operator="greaterThan">
      <formula>12</formula>
    </cfRule>
  </conditionalFormatting>
  <conditionalFormatting sqref="B60">
    <cfRule type="cellIs" dxfId="190" priority="58" stopIfTrue="1" operator="greaterThan">
      <formula>12</formula>
    </cfRule>
  </conditionalFormatting>
  <conditionalFormatting sqref="B61">
    <cfRule type="cellIs" dxfId="189" priority="59" stopIfTrue="1" operator="greaterThan">
      <formula>12</formula>
    </cfRule>
  </conditionalFormatting>
  <conditionalFormatting sqref="B62">
    <cfRule type="cellIs" dxfId="188" priority="60" stopIfTrue="1" operator="greaterThan">
      <formula>12</formula>
    </cfRule>
  </conditionalFormatting>
  <conditionalFormatting sqref="B63">
    <cfRule type="cellIs" dxfId="187" priority="61" stopIfTrue="1" operator="greaterThan">
      <formula>12</formula>
    </cfRule>
  </conditionalFormatting>
  <conditionalFormatting sqref="B64">
    <cfRule type="cellIs" dxfId="186" priority="62" stopIfTrue="1" operator="greaterThan">
      <formula>12</formula>
    </cfRule>
  </conditionalFormatting>
  <conditionalFormatting sqref="B65">
    <cfRule type="cellIs" dxfId="185" priority="63" stopIfTrue="1" operator="greaterThan">
      <formula>12</formula>
    </cfRule>
  </conditionalFormatting>
  <conditionalFormatting sqref="B66">
    <cfRule type="cellIs" dxfId="184" priority="64" stopIfTrue="1" operator="greaterThan">
      <formula>12</formula>
    </cfRule>
  </conditionalFormatting>
  <conditionalFormatting sqref="B67">
    <cfRule type="cellIs" dxfId="183" priority="65" stopIfTrue="1" operator="greaterThan">
      <formula>12</formula>
    </cfRule>
  </conditionalFormatting>
  <conditionalFormatting sqref="B68">
    <cfRule type="cellIs" dxfId="182" priority="66" stopIfTrue="1" operator="greaterThan">
      <formula>12</formula>
    </cfRule>
  </conditionalFormatting>
  <conditionalFormatting sqref="B69">
    <cfRule type="cellIs" dxfId="181" priority="67" stopIfTrue="1" operator="greaterThan">
      <formula>12</formula>
    </cfRule>
  </conditionalFormatting>
  <conditionalFormatting sqref="B70">
    <cfRule type="cellIs" dxfId="180" priority="68" stopIfTrue="1" operator="greaterThan">
      <formula>12</formula>
    </cfRule>
  </conditionalFormatting>
  <conditionalFormatting sqref="B71">
    <cfRule type="cellIs" dxfId="179" priority="69" stopIfTrue="1" operator="greaterThan">
      <formula>12</formula>
    </cfRule>
  </conditionalFormatting>
  <conditionalFormatting sqref="B72">
    <cfRule type="cellIs" dxfId="178" priority="70" stopIfTrue="1" operator="greaterThan">
      <formula>12</formula>
    </cfRule>
  </conditionalFormatting>
  <conditionalFormatting sqref="B73">
    <cfRule type="cellIs" dxfId="177" priority="71" stopIfTrue="1" operator="greaterThan">
      <formula>12</formula>
    </cfRule>
  </conditionalFormatting>
  <conditionalFormatting sqref="B74">
    <cfRule type="cellIs" dxfId="176" priority="72" stopIfTrue="1" operator="greaterThan">
      <formula>12</formula>
    </cfRule>
  </conditionalFormatting>
  <conditionalFormatting sqref="B75">
    <cfRule type="cellIs" dxfId="175" priority="73" stopIfTrue="1" operator="greaterThan">
      <formula>12</formula>
    </cfRule>
  </conditionalFormatting>
  <conditionalFormatting sqref="B76">
    <cfRule type="cellIs" dxfId="174" priority="74" stopIfTrue="1" operator="greaterThan">
      <formula>12</formula>
    </cfRule>
  </conditionalFormatting>
  <conditionalFormatting sqref="B77">
    <cfRule type="cellIs" dxfId="173" priority="75" stopIfTrue="1" operator="greaterThan">
      <formula>12</formula>
    </cfRule>
  </conditionalFormatting>
  <conditionalFormatting sqref="B78">
    <cfRule type="cellIs" dxfId="172" priority="76" stopIfTrue="1" operator="greaterThan">
      <formula>12</formula>
    </cfRule>
  </conditionalFormatting>
  <conditionalFormatting sqref="B79">
    <cfRule type="cellIs" dxfId="171" priority="77" stopIfTrue="1" operator="greaterThan">
      <formula>12</formula>
    </cfRule>
  </conditionalFormatting>
  <conditionalFormatting sqref="B80">
    <cfRule type="cellIs" dxfId="170" priority="78" stopIfTrue="1" operator="greaterThan">
      <formula>12</formula>
    </cfRule>
  </conditionalFormatting>
  <conditionalFormatting sqref="B81">
    <cfRule type="cellIs" dxfId="169" priority="79" stopIfTrue="1" operator="greaterThan">
      <formula>12</formula>
    </cfRule>
  </conditionalFormatting>
  <conditionalFormatting sqref="B82">
    <cfRule type="cellIs" dxfId="168" priority="80" stopIfTrue="1" operator="greaterThan">
      <formula>12</formula>
    </cfRule>
  </conditionalFormatting>
  <conditionalFormatting sqref="B83">
    <cfRule type="cellIs" dxfId="167" priority="81" stopIfTrue="1" operator="greaterThan">
      <formula>12</formula>
    </cfRule>
  </conditionalFormatting>
  <conditionalFormatting sqref="B84">
    <cfRule type="cellIs" dxfId="166" priority="82" stopIfTrue="1" operator="greaterThan">
      <formula>12</formula>
    </cfRule>
  </conditionalFormatting>
  <conditionalFormatting sqref="B85">
    <cfRule type="cellIs" dxfId="165" priority="83" stopIfTrue="1" operator="greaterThan">
      <formula>12</formula>
    </cfRule>
  </conditionalFormatting>
  <conditionalFormatting sqref="B86">
    <cfRule type="cellIs" dxfId="164" priority="84" stopIfTrue="1" operator="greaterThan">
      <formula>12</formula>
    </cfRule>
  </conditionalFormatting>
  <conditionalFormatting sqref="B87">
    <cfRule type="cellIs" dxfId="163" priority="85" stopIfTrue="1" operator="greaterThan">
      <formula>12</formula>
    </cfRule>
  </conditionalFormatting>
  <conditionalFormatting sqref="B88">
    <cfRule type="cellIs" dxfId="162" priority="86" stopIfTrue="1" operator="greaterThan">
      <formula>12</formula>
    </cfRule>
  </conditionalFormatting>
  <conditionalFormatting sqref="B89">
    <cfRule type="cellIs" dxfId="161" priority="87" stopIfTrue="1" operator="greaterThan">
      <formula>12</formula>
    </cfRule>
  </conditionalFormatting>
  <conditionalFormatting sqref="B90">
    <cfRule type="cellIs" dxfId="160" priority="88" stopIfTrue="1" operator="greaterThan">
      <formula>12</formula>
    </cfRule>
  </conditionalFormatting>
  <conditionalFormatting sqref="B91">
    <cfRule type="cellIs" dxfId="159" priority="89" stopIfTrue="1" operator="greaterThan">
      <formula>12</formula>
    </cfRule>
  </conditionalFormatting>
  <conditionalFormatting sqref="B92">
    <cfRule type="cellIs" dxfId="158" priority="90" stopIfTrue="1" operator="greaterThan">
      <formula>12</formula>
    </cfRule>
  </conditionalFormatting>
  <conditionalFormatting sqref="B93">
    <cfRule type="cellIs" dxfId="157" priority="91" stopIfTrue="1" operator="greaterThan">
      <formula>12</formula>
    </cfRule>
  </conditionalFormatting>
  <conditionalFormatting sqref="B94">
    <cfRule type="cellIs" dxfId="156" priority="92" stopIfTrue="1" operator="greaterThan">
      <formula>12</formula>
    </cfRule>
  </conditionalFormatting>
  <conditionalFormatting sqref="B95">
    <cfRule type="cellIs" dxfId="155" priority="93" stopIfTrue="1" operator="greaterThan">
      <formula>12</formula>
    </cfRule>
  </conditionalFormatting>
  <conditionalFormatting sqref="B96">
    <cfRule type="cellIs" dxfId="154" priority="94" stopIfTrue="1" operator="greaterThan">
      <formula>12</formula>
    </cfRule>
  </conditionalFormatting>
  <conditionalFormatting sqref="B97">
    <cfRule type="cellIs" dxfId="153" priority="95" stopIfTrue="1" operator="greaterThan">
      <formula>12</formula>
    </cfRule>
  </conditionalFormatting>
  <conditionalFormatting sqref="B98">
    <cfRule type="cellIs" dxfId="152" priority="96" stopIfTrue="1" operator="greaterThan">
      <formula>12</formula>
    </cfRule>
  </conditionalFormatting>
  <conditionalFormatting sqref="B99">
    <cfRule type="cellIs" dxfId="151" priority="97" stopIfTrue="1" operator="greaterThan">
      <formula>12</formula>
    </cfRule>
  </conditionalFormatting>
  <conditionalFormatting sqref="B100">
    <cfRule type="cellIs" dxfId="150" priority="98" stopIfTrue="1" operator="greaterThan">
      <formula>12</formula>
    </cfRule>
  </conditionalFormatting>
  <conditionalFormatting sqref="B101">
    <cfRule type="cellIs" dxfId="149" priority="99" stopIfTrue="1" operator="greaterThan">
      <formula>12</formula>
    </cfRule>
  </conditionalFormatting>
  <conditionalFormatting sqref="B102">
    <cfRule type="cellIs" dxfId="148" priority="100" stopIfTrue="1" operator="greaterThan">
      <formula>12</formula>
    </cfRule>
  </conditionalFormatting>
  <conditionalFormatting sqref="B103">
    <cfRule type="cellIs" dxfId="147" priority="101" stopIfTrue="1" operator="greaterThan">
      <formula>12</formula>
    </cfRule>
  </conditionalFormatting>
  <conditionalFormatting sqref="B104">
    <cfRule type="cellIs" dxfId="146" priority="102" stopIfTrue="1" operator="greaterThan">
      <formula>12</formula>
    </cfRule>
  </conditionalFormatting>
  <conditionalFormatting sqref="B105">
    <cfRule type="cellIs" dxfId="145" priority="103" stopIfTrue="1" operator="greaterThan">
      <formula>12</formula>
    </cfRule>
  </conditionalFormatting>
  <conditionalFormatting sqref="B106">
    <cfRule type="cellIs" dxfId="144" priority="104" stopIfTrue="1" operator="greaterThan">
      <formula>12</formula>
    </cfRule>
  </conditionalFormatting>
  <conditionalFormatting sqref="B107">
    <cfRule type="cellIs" dxfId="143" priority="105" stopIfTrue="1" operator="greaterThan">
      <formula>12</formula>
    </cfRule>
  </conditionalFormatting>
  <conditionalFormatting sqref="B108">
    <cfRule type="cellIs" dxfId="142" priority="106" stopIfTrue="1" operator="greaterThan">
      <formula>12</formula>
    </cfRule>
  </conditionalFormatting>
  <conditionalFormatting sqref="B109">
    <cfRule type="cellIs" dxfId="141" priority="107" stopIfTrue="1" operator="greaterThan">
      <formula>12</formula>
    </cfRule>
  </conditionalFormatting>
  <conditionalFormatting sqref="B110">
    <cfRule type="cellIs" dxfId="140" priority="108" stopIfTrue="1" operator="greaterThan">
      <formula>12</formula>
    </cfRule>
  </conditionalFormatting>
  <conditionalFormatting sqref="B111">
    <cfRule type="cellIs" dxfId="139" priority="109" stopIfTrue="1" operator="greaterThan">
      <formula>12</formula>
    </cfRule>
  </conditionalFormatting>
  <conditionalFormatting sqref="B112">
    <cfRule type="cellIs" dxfId="138" priority="110" stopIfTrue="1" operator="greaterThan">
      <formula>12</formula>
    </cfRule>
  </conditionalFormatting>
  <conditionalFormatting sqref="B113">
    <cfRule type="cellIs" dxfId="137" priority="111" stopIfTrue="1" operator="greaterThan">
      <formula>12</formula>
    </cfRule>
  </conditionalFormatting>
  <conditionalFormatting sqref="B114">
    <cfRule type="cellIs" dxfId="136" priority="112" stopIfTrue="1" operator="greaterThan">
      <formula>12</formula>
    </cfRule>
  </conditionalFormatting>
  <conditionalFormatting sqref="B115">
    <cfRule type="cellIs" dxfId="135" priority="113" stopIfTrue="1" operator="greaterThan">
      <formula>12</formula>
    </cfRule>
  </conditionalFormatting>
  <conditionalFormatting sqref="B116">
    <cfRule type="cellIs" dxfId="134" priority="114" stopIfTrue="1" operator="greaterThan">
      <formula>12</formula>
    </cfRule>
  </conditionalFormatting>
  <conditionalFormatting sqref="B117">
    <cfRule type="cellIs" dxfId="133" priority="115" stopIfTrue="1" operator="greaterThan">
      <formula>12</formula>
    </cfRule>
  </conditionalFormatting>
  <conditionalFormatting sqref="B118">
    <cfRule type="cellIs" dxfId="132" priority="116" stopIfTrue="1" operator="greaterThan">
      <formula>12</formula>
    </cfRule>
  </conditionalFormatting>
  <conditionalFormatting sqref="B119">
    <cfRule type="cellIs" dxfId="131" priority="117" stopIfTrue="1" operator="greaterThan">
      <formula>12</formula>
    </cfRule>
  </conditionalFormatting>
  <conditionalFormatting sqref="B120">
    <cfRule type="cellIs" dxfId="130" priority="118" stopIfTrue="1" operator="greaterThan">
      <formula>12</formula>
    </cfRule>
  </conditionalFormatting>
  <conditionalFormatting sqref="B121">
    <cfRule type="cellIs" dxfId="129" priority="119" stopIfTrue="1" operator="greaterThan">
      <formula>12</formula>
    </cfRule>
  </conditionalFormatting>
  <conditionalFormatting sqref="B122">
    <cfRule type="cellIs" dxfId="128" priority="120" stopIfTrue="1" operator="greaterThan">
      <formula>12</formula>
    </cfRule>
  </conditionalFormatting>
  <conditionalFormatting sqref="B123">
    <cfRule type="cellIs" dxfId="127" priority="121" stopIfTrue="1" operator="greaterThan">
      <formula>12</formula>
    </cfRule>
  </conditionalFormatting>
  <conditionalFormatting sqref="B124">
    <cfRule type="cellIs" dxfId="126" priority="122" stopIfTrue="1" operator="greaterThan">
      <formula>12</formula>
    </cfRule>
  </conditionalFormatting>
  <conditionalFormatting sqref="B125">
    <cfRule type="cellIs" dxfId="125" priority="123" stopIfTrue="1" operator="greaterThan">
      <formula>12</formula>
    </cfRule>
  </conditionalFormatting>
  <conditionalFormatting sqref="B126">
    <cfRule type="cellIs" dxfId="124" priority="124" stopIfTrue="1" operator="greaterThan">
      <formula>12</formula>
    </cfRule>
  </conditionalFormatting>
  <conditionalFormatting sqref="B127">
    <cfRule type="cellIs" dxfId="123" priority="125" stopIfTrue="1" operator="greaterThan">
      <formula>12</formula>
    </cfRule>
  </conditionalFormatting>
  <conditionalFormatting sqref="B128">
    <cfRule type="cellIs" dxfId="122" priority="126" stopIfTrue="1" operator="greaterThan">
      <formula>12</formula>
    </cfRule>
  </conditionalFormatting>
  <conditionalFormatting sqref="B129">
    <cfRule type="cellIs" dxfId="121" priority="127" stopIfTrue="1" operator="greaterThan">
      <formula>12</formula>
    </cfRule>
  </conditionalFormatting>
  <conditionalFormatting sqref="B130">
    <cfRule type="cellIs" dxfId="120" priority="128" stopIfTrue="1" operator="greaterThan">
      <formula>12</formula>
    </cfRule>
  </conditionalFormatting>
  <conditionalFormatting sqref="B131">
    <cfRule type="cellIs" dxfId="119" priority="129" stopIfTrue="1" operator="greaterThan">
      <formula>12</formula>
    </cfRule>
  </conditionalFormatting>
  <conditionalFormatting sqref="B132">
    <cfRule type="cellIs" dxfId="118" priority="130" stopIfTrue="1" operator="greaterThan">
      <formula>12</formula>
    </cfRule>
  </conditionalFormatting>
  <conditionalFormatting sqref="B133">
    <cfRule type="cellIs" dxfId="117" priority="131" stopIfTrue="1" operator="greaterThan">
      <formula>12</formula>
    </cfRule>
  </conditionalFormatting>
  <conditionalFormatting sqref="B134">
    <cfRule type="cellIs" dxfId="116" priority="132" stopIfTrue="1" operator="greaterThan">
      <formula>12</formula>
    </cfRule>
  </conditionalFormatting>
  <conditionalFormatting sqref="B135">
    <cfRule type="cellIs" dxfId="115" priority="133" stopIfTrue="1" operator="greaterThan">
      <formula>12</formula>
    </cfRule>
  </conditionalFormatting>
  <conditionalFormatting sqref="B136">
    <cfRule type="cellIs" dxfId="114" priority="134" stopIfTrue="1" operator="greaterThan">
      <formula>12</formula>
    </cfRule>
  </conditionalFormatting>
  <conditionalFormatting sqref="B137">
    <cfRule type="cellIs" dxfId="113" priority="135" stopIfTrue="1" operator="greaterThan">
      <formula>12</formula>
    </cfRule>
  </conditionalFormatting>
  <conditionalFormatting sqref="B138">
    <cfRule type="cellIs" dxfId="112" priority="136" stopIfTrue="1" operator="greaterThan">
      <formula>12</formula>
    </cfRule>
  </conditionalFormatting>
  <conditionalFormatting sqref="B139">
    <cfRule type="cellIs" dxfId="111" priority="137" stopIfTrue="1" operator="greaterThan">
      <formula>12</formula>
    </cfRule>
  </conditionalFormatting>
  <conditionalFormatting sqref="B140">
    <cfRule type="cellIs" dxfId="110" priority="138" stopIfTrue="1" operator="greaterThan">
      <formula>12</formula>
    </cfRule>
  </conditionalFormatting>
  <conditionalFormatting sqref="B141">
    <cfRule type="cellIs" dxfId="109" priority="139" stopIfTrue="1" operator="greaterThan">
      <formula>12</formula>
    </cfRule>
  </conditionalFormatting>
  <conditionalFormatting sqref="B142">
    <cfRule type="cellIs" dxfId="108" priority="140" stopIfTrue="1" operator="greaterThan">
      <formula>12</formula>
    </cfRule>
  </conditionalFormatting>
  <conditionalFormatting sqref="B143">
    <cfRule type="cellIs" dxfId="107" priority="141" stopIfTrue="1" operator="greaterThan">
      <formula>12</formula>
    </cfRule>
  </conditionalFormatting>
  <conditionalFormatting sqref="B144">
    <cfRule type="cellIs" dxfId="106" priority="142" stopIfTrue="1" operator="greaterThan">
      <formula>12</formula>
    </cfRule>
  </conditionalFormatting>
  <conditionalFormatting sqref="B145">
    <cfRule type="cellIs" dxfId="105" priority="143" stopIfTrue="1" operator="greaterThan">
      <formula>12</formula>
    </cfRule>
  </conditionalFormatting>
  <conditionalFormatting sqref="B146">
    <cfRule type="cellIs" dxfId="104" priority="144" stopIfTrue="1" operator="greaterThan">
      <formula>12</formula>
    </cfRule>
  </conditionalFormatting>
  <conditionalFormatting sqref="B147">
    <cfRule type="cellIs" dxfId="103" priority="145" stopIfTrue="1" operator="greaterThan">
      <formula>12</formula>
    </cfRule>
  </conditionalFormatting>
  <conditionalFormatting sqref="B148">
    <cfRule type="cellIs" dxfId="102" priority="146" stopIfTrue="1" operator="greaterThan">
      <formula>12</formula>
    </cfRule>
  </conditionalFormatting>
  <conditionalFormatting sqref="B149">
    <cfRule type="cellIs" dxfId="101" priority="147" stopIfTrue="1" operator="greaterThan">
      <formula>12</formula>
    </cfRule>
  </conditionalFormatting>
  <conditionalFormatting sqref="B150">
    <cfRule type="cellIs" dxfId="100" priority="148" stopIfTrue="1" operator="greaterThan">
      <formula>12</formula>
    </cfRule>
  </conditionalFormatting>
  <conditionalFormatting sqref="B151">
    <cfRule type="cellIs" dxfId="99" priority="149" stopIfTrue="1" operator="greaterThan">
      <formula>12</formula>
    </cfRule>
  </conditionalFormatting>
  <conditionalFormatting sqref="B152">
    <cfRule type="cellIs" dxfId="98" priority="150" stopIfTrue="1" operator="greaterThan">
      <formula>12</formula>
    </cfRule>
  </conditionalFormatting>
  <conditionalFormatting sqref="B153">
    <cfRule type="cellIs" dxfId="97" priority="151" stopIfTrue="1" operator="greaterThan">
      <formula>12</formula>
    </cfRule>
  </conditionalFormatting>
  <conditionalFormatting sqref="B154">
    <cfRule type="cellIs" dxfId="96" priority="152" stopIfTrue="1" operator="greaterThan">
      <formula>12</formula>
    </cfRule>
  </conditionalFormatting>
  <conditionalFormatting sqref="B155">
    <cfRule type="cellIs" dxfId="95" priority="153" stopIfTrue="1" operator="greaterThan">
      <formula>12</formula>
    </cfRule>
  </conditionalFormatting>
  <conditionalFormatting sqref="B156">
    <cfRule type="cellIs" dxfId="94" priority="154" stopIfTrue="1" operator="greaterThan">
      <formula>12</formula>
    </cfRule>
  </conditionalFormatting>
  <conditionalFormatting sqref="B157">
    <cfRule type="cellIs" dxfId="93" priority="155" stopIfTrue="1" operator="greaterThan">
      <formula>12</formula>
    </cfRule>
  </conditionalFormatting>
  <conditionalFormatting sqref="B158">
    <cfRule type="cellIs" dxfId="92" priority="156" stopIfTrue="1" operator="greaterThan">
      <formula>12</formula>
    </cfRule>
  </conditionalFormatting>
  <conditionalFormatting sqref="B159">
    <cfRule type="cellIs" dxfId="91" priority="157" stopIfTrue="1" operator="greaterThan">
      <formula>12</formula>
    </cfRule>
  </conditionalFormatting>
  <conditionalFormatting sqref="B160">
    <cfRule type="cellIs" dxfId="90" priority="158" stopIfTrue="1" operator="greaterThan">
      <formula>12</formula>
    </cfRule>
  </conditionalFormatting>
  <conditionalFormatting sqref="B161">
    <cfRule type="cellIs" dxfId="89" priority="159" stopIfTrue="1" operator="greaterThan">
      <formula>12</formula>
    </cfRule>
  </conditionalFormatting>
  <conditionalFormatting sqref="B162">
    <cfRule type="cellIs" dxfId="88" priority="160" stopIfTrue="1" operator="greaterThan">
      <formula>12</formula>
    </cfRule>
  </conditionalFormatting>
  <conditionalFormatting sqref="B163">
    <cfRule type="cellIs" dxfId="87" priority="161" stopIfTrue="1" operator="greaterThan">
      <formula>12</formula>
    </cfRule>
  </conditionalFormatting>
  <conditionalFormatting sqref="B164">
    <cfRule type="cellIs" dxfId="86" priority="162" stopIfTrue="1" operator="greaterThan">
      <formula>12</formula>
    </cfRule>
  </conditionalFormatting>
  <conditionalFormatting sqref="B165">
    <cfRule type="cellIs" dxfId="85" priority="163" stopIfTrue="1" operator="greaterThan">
      <formula>12</formula>
    </cfRule>
  </conditionalFormatting>
  <conditionalFormatting sqref="B166">
    <cfRule type="cellIs" dxfId="84" priority="164" stopIfTrue="1" operator="greaterThan">
      <formula>12</formula>
    </cfRule>
  </conditionalFormatting>
  <conditionalFormatting sqref="B167">
    <cfRule type="cellIs" dxfId="83" priority="165" stopIfTrue="1" operator="greaterThan">
      <formula>12</formula>
    </cfRule>
  </conditionalFormatting>
  <conditionalFormatting sqref="B168">
    <cfRule type="cellIs" dxfId="82" priority="166" stopIfTrue="1" operator="greaterThan">
      <formula>12</formula>
    </cfRule>
  </conditionalFormatting>
  <conditionalFormatting sqref="B169">
    <cfRule type="cellIs" dxfId="81" priority="167" stopIfTrue="1" operator="greaterThan">
      <formula>12</formula>
    </cfRule>
  </conditionalFormatting>
  <conditionalFormatting sqref="B170">
    <cfRule type="cellIs" dxfId="80" priority="168" stopIfTrue="1" operator="greaterThan">
      <formula>12</formula>
    </cfRule>
  </conditionalFormatting>
  <conditionalFormatting sqref="B171">
    <cfRule type="cellIs" dxfId="79" priority="169" stopIfTrue="1" operator="greaterThan">
      <formula>12</formula>
    </cfRule>
  </conditionalFormatting>
  <conditionalFormatting sqref="B172">
    <cfRule type="cellIs" dxfId="78" priority="170" stopIfTrue="1" operator="greaterThan">
      <formula>12</formula>
    </cfRule>
  </conditionalFormatting>
  <conditionalFormatting sqref="B173">
    <cfRule type="cellIs" dxfId="77" priority="171" stopIfTrue="1" operator="greaterThan">
      <formula>12</formula>
    </cfRule>
  </conditionalFormatting>
  <conditionalFormatting sqref="B174">
    <cfRule type="cellIs" dxfId="76" priority="172" stopIfTrue="1" operator="greaterThan">
      <formula>12</formula>
    </cfRule>
  </conditionalFormatting>
  <conditionalFormatting sqref="B175">
    <cfRule type="cellIs" dxfId="75" priority="173" stopIfTrue="1" operator="greaterThan">
      <formula>12</formula>
    </cfRule>
  </conditionalFormatting>
  <conditionalFormatting sqref="B176">
    <cfRule type="cellIs" dxfId="74" priority="174" stopIfTrue="1" operator="greaterThan">
      <formula>12</formula>
    </cfRule>
  </conditionalFormatting>
  <conditionalFormatting sqref="B177">
    <cfRule type="cellIs" dxfId="73" priority="175" stopIfTrue="1" operator="greaterThan">
      <formula>12</formula>
    </cfRule>
  </conditionalFormatting>
  <conditionalFormatting sqref="B178">
    <cfRule type="cellIs" dxfId="72" priority="176" stopIfTrue="1" operator="greaterThan">
      <formula>12</formula>
    </cfRule>
  </conditionalFormatting>
  <conditionalFormatting sqref="B179">
    <cfRule type="cellIs" dxfId="71" priority="177" stopIfTrue="1" operator="greaterThan">
      <formula>12</formula>
    </cfRule>
  </conditionalFormatting>
  <conditionalFormatting sqref="B180">
    <cfRule type="cellIs" dxfId="70" priority="178" stopIfTrue="1" operator="greaterThan">
      <formula>12</formula>
    </cfRule>
  </conditionalFormatting>
  <conditionalFormatting sqref="B181">
    <cfRule type="cellIs" dxfId="69" priority="179" stopIfTrue="1" operator="greaterThan">
      <formula>12</formula>
    </cfRule>
  </conditionalFormatting>
  <conditionalFormatting sqref="B182">
    <cfRule type="cellIs" dxfId="68" priority="180" stopIfTrue="1" operator="greaterThan">
      <formula>12</formula>
    </cfRule>
  </conditionalFormatting>
  <conditionalFormatting sqref="B183">
    <cfRule type="cellIs" dxfId="67" priority="181" stopIfTrue="1" operator="greaterThan">
      <formula>12</formula>
    </cfRule>
  </conditionalFormatting>
  <conditionalFormatting sqref="B184">
    <cfRule type="cellIs" dxfId="66" priority="182" stopIfTrue="1" operator="greaterThan">
      <formula>12</formula>
    </cfRule>
  </conditionalFormatting>
  <conditionalFormatting sqref="B185">
    <cfRule type="cellIs" dxfId="65" priority="183" stopIfTrue="1" operator="greaterThan">
      <formula>12</formula>
    </cfRule>
  </conditionalFormatting>
  <conditionalFormatting sqref="B186">
    <cfRule type="cellIs" dxfId="64" priority="184" stopIfTrue="1" operator="greaterThan">
      <formula>12</formula>
    </cfRule>
  </conditionalFormatting>
  <conditionalFormatting sqref="B187">
    <cfRule type="cellIs" dxfId="63" priority="185" stopIfTrue="1" operator="greaterThan">
      <formula>12</formula>
    </cfRule>
  </conditionalFormatting>
  <conditionalFormatting sqref="B188">
    <cfRule type="cellIs" dxfId="62" priority="186" stopIfTrue="1" operator="greaterThan">
      <formula>12</formula>
    </cfRule>
  </conditionalFormatting>
  <conditionalFormatting sqref="B189">
    <cfRule type="cellIs" dxfId="61" priority="187" stopIfTrue="1" operator="greaterThan">
      <formula>12</formula>
    </cfRule>
  </conditionalFormatting>
  <conditionalFormatting sqref="B190">
    <cfRule type="cellIs" dxfId="60" priority="188" stopIfTrue="1" operator="greaterThan">
      <formula>12</formula>
    </cfRule>
  </conditionalFormatting>
  <conditionalFormatting sqref="B191">
    <cfRule type="cellIs" dxfId="59" priority="189" stopIfTrue="1" operator="greaterThan">
      <formula>12</formula>
    </cfRule>
  </conditionalFormatting>
  <conditionalFormatting sqref="B192">
    <cfRule type="cellIs" dxfId="58" priority="190" stopIfTrue="1" operator="greaterThan">
      <formula>12</formula>
    </cfRule>
  </conditionalFormatting>
  <conditionalFormatting sqref="B193">
    <cfRule type="cellIs" dxfId="57" priority="191" stopIfTrue="1" operator="greaterThan">
      <formula>12</formula>
    </cfRule>
  </conditionalFormatting>
  <conditionalFormatting sqref="B194">
    <cfRule type="cellIs" dxfId="56" priority="192" stopIfTrue="1" operator="greaterThan">
      <formula>12</formula>
    </cfRule>
  </conditionalFormatting>
  <conditionalFormatting sqref="B195">
    <cfRule type="cellIs" dxfId="55" priority="193" stopIfTrue="1" operator="greaterThan">
      <formula>12</formula>
    </cfRule>
  </conditionalFormatting>
  <conditionalFormatting sqref="B196">
    <cfRule type="cellIs" dxfId="54" priority="194" stopIfTrue="1" operator="greaterThan">
      <formula>12</formula>
    </cfRule>
  </conditionalFormatting>
  <conditionalFormatting sqref="B197">
    <cfRule type="cellIs" dxfId="53" priority="195" stopIfTrue="1" operator="greaterThan">
      <formula>12</formula>
    </cfRule>
  </conditionalFormatting>
  <conditionalFormatting sqref="B198">
    <cfRule type="cellIs" dxfId="52" priority="196" stopIfTrue="1" operator="greaterThan">
      <formula>12</formula>
    </cfRule>
  </conditionalFormatting>
  <conditionalFormatting sqref="B199">
    <cfRule type="cellIs" dxfId="51" priority="197" stopIfTrue="1" operator="greaterThan">
      <formula>12</formula>
    </cfRule>
  </conditionalFormatting>
  <conditionalFormatting sqref="B200">
    <cfRule type="cellIs" dxfId="50" priority="198" stopIfTrue="1" operator="greaterThan">
      <formula>12</formula>
    </cfRule>
  </conditionalFormatting>
  <conditionalFormatting sqref="B201">
    <cfRule type="cellIs" dxfId="49" priority="199" stopIfTrue="1" operator="greaterThan">
      <formula>12</formula>
    </cfRule>
  </conditionalFormatting>
  <conditionalFormatting sqref="B202">
    <cfRule type="cellIs" dxfId="48" priority="200" stopIfTrue="1" operator="greaterThan">
      <formula>12</formula>
    </cfRule>
  </conditionalFormatting>
  <conditionalFormatting sqref="B203">
    <cfRule type="cellIs" dxfId="47" priority="201" stopIfTrue="1" operator="greaterThan">
      <formula>12</formula>
    </cfRule>
  </conditionalFormatting>
  <conditionalFormatting sqref="B204">
    <cfRule type="cellIs" dxfId="46" priority="202" stopIfTrue="1" operator="greaterThan">
      <formula>12</formula>
    </cfRule>
  </conditionalFormatting>
  <conditionalFormatting sqref="B205">
    <cfRule type="cellIs" dxfId="45" priority="203" stopIfTrue="1" operator="greaterThan">
      <formula>12</formula>
    </cfRule>
  </conditionalFormatting>
  <conditionalFormatting sqref="B206">
    <cfRule type="cellIs" dxfId="44" priority="204" stopIfTrue="1" operator="greaterThan">
      <formula>12</formula>
    </cfRule>
  </conditionalFormatting>
  <conditionalFormatting sqref="B207">
    <cfRule type="cellIs" dxfId="43" priority="205" stopIfTrue="1" operator="greaterThan">
      <formula>12</formula>
    </cfRule>
  </conditionalFormatting>
  <conditionalFormatting sqref="B208">
    <cfRule type="cellIs" dxfId="42" priority="206" stopIfTrue="1" operator="greaterThan">
      <formula>12</formula>
    </cfRule>
  </conditionalFormatting>
  <conditionalFormatting sqref="B209">
    <cfRule type="cellIs" dxfId="41" priority="207" stopIfTrue="1" operator="greaterThan">
      <formula>12</formula>
    </cfRule>
  </conditionalFormatting>
  <conditionalFormatting sqref="B210">
    <cfRule type="cellIs" dxfId="40" priority="208" stopIfTrue="1" operator="greaterThan">
      <formula>12</formula>
    </cfRule>
  </conditionalFormatting>
  <conditionalFormatting sqref="B211">
    <cfRule type="cellIs" dxfId="39" priority="209" stopIfTrue="1" operator="greaterThan">
      <formula>12</formula>
    </cfRule>
  </conditionalFormatting>
  <conditionalFormatting sqref="B212">
    <cfRule type="cellIs" dxfId="38" priority="210" stopIfTrue="1" operator="greaterThan">
      <formula>12</formula>
    </cfRule>
  </conditionalFormatting>
  <conditionalFormatting sqref="B213">
    <cfRule type="cellIs" dxfId="37" priority="211" stopIfTrue="1" operator="greaterThan">
      <formula>12</formula>
    </cfRule>
  </conditionalFormatting>
  <conditionalFormatting sqref="B214">
    <cfRule type="cellIs" dxfId="36" priority="212" stopIfTrue="1" operator="greaterThan">
      <formula>12</formula>
    </cfRule>
  </conditionalFormatting>
  <conditionalFormatting sqref="B215">
    <cfRule type="cellIs" dxfId="35" priority="213" stopIfTrue="1" operator="greaterThan">
      <formula>12</formula>
    </cfRule>
  </conditionalFormatting>
  <conditionalFormatting sqref="B216">
    <cfRule type="cellIs" dxfId="34" priority="214" stopIfTrue="1" operator="greaterThan">
      <formula>12</formula>
    </cfRule>
  </conditionalFormatting>
  <conditionalFormatting sqref="B217">
    <cfRule type="cellIs" dxfId="33" priority="215" stopIfTrue="1" operator="greaterThan">
      <formula>12</formula>
    </cfRule>
  </conditionalFormatting>
  <conditionalFormatting sqref="B218">
    <cfRule type="cellIs" dxfId="32" priority="216" stopIfTrue="1" operator="greaterThan">
      <formula>12</formula>
    </cfRule>
  </conditionalFormatting>
  <conditionalFormatting sqref="B219">
    <cfRule type="cellIs" dxfId="31" priority="217" stopIfTrue="1" operator="greaterThan">
      <formula>12</formula>
    </cfRule>
  </conditionalFormatting>
  <conditionalFormatting sqref="B220">
    <cfRule type="cellIs" dxfId="30" priority="218" stopIfTrue="1" operator="greaterThan">
      <formula>12</formula>
    </cfRule>
  </conditionalFormatting>
  <conditionalFormatting sqref="B221">
    <cfRule type="cellIs" dxfId="29" priority="219" stopIfTrue="1" operator="greaterThan">
      <formula>12</formula>
    </cfRule>
  </conditionalFormatting>
  <conditionalFormatting sqref="B222">
    <cfRule type="cellIs" dxfId="28" priority="220" stopIfTrue="1" operator="greaterThan">
      <formula>12</formula>
    </cfRule>
  </conditionalFormatting>
  <conditionalFormatting sqref="B223">
    <cfRule type="cellIs" dxfId="27" priority="221" stopIfTrue="1" operator="greaterThan">
      <formula>12</formula>
    </cfRule>
  </conditionalFormatting>
  <conditionalFormatting sqref="B224">
    <cfRule type="cellIs" dxfId="26" priority="222" stopIfTrue="1" operator="greaterThan">
      <formula>12</formula>
    </cfRule>
  </conditionalFormatting>
  <conditionalFormatting sqref="B225">
    <cfRule type="cellIs" dxfId="25" priority="223" stopIfTrue="1" operator="greaterThan">
      <formula>12</formula>
    </cfRule>
  </conditionalFormatting>
  <conditionalFormatting sqref="B226">
    <cfRule type="cellIs" dxfId="24" priority="224" stopIfTrue="1" operator="greaterThan">
      <formula>12</formula>
    </cfRule>
  </conditionalFormatting>
  <conditionalFormatting sqref="B227">
    <cfRule type="cellIs" dxfId="23" priority="225" stopIfTrue="1" operator="greaterThan">
      <formula>12</formula>
    </cfRule>
  </conditionalFormatting>
  <conditionalFormatting sqref="B228">
    <cfRule type="cellIs" dxfId="22" priority="226" stopIfTrue="1" operator="greaterThan">
      <formula>12</formula>
    </cfRule>
  </conditionalFormatting>
  <conditionalFormatting sqref="B229">
    <cfRule type="cellIs" dxfId="21" priority="227" stopIfTrue="1" operator="greaterThan">
      <formula>12</formula>
    </cfRule>
  </conditionalFormatting>
  <conditionalFormatting sqref="B230">
    <cfRule type="cellIs" dxfId="20" priority="228" stopIfTrue="1" operator="greaterThan">
      <formula>12</formula>
    </cfRule>
  </conditionalFormatting>
  <conditionalFormatting sqref="B231">
    <cfRule type="cellIs" dxfId="19" priority="229" stopIfTrue="1" operator="greaterThan">
      <formula>12</formula>
    </cfRule>
  </conditionalFormatting>
  <conditionalFormatting sqref="B232">
    <cfRule type="cellIs" dxfId="18" priority="230" stopIfTrue="1" operator="greaterThan">
      <formula>12</formula>
    </cfRule>
  </conditionalFormatting>
  <conditionalFormatting sqref="B233">
    <cfRule type="cellIs" dxfId="17" priority="231" stopIfTrue="1" operator="greaterThan">
      <formula>12</formula>
    </cfRule>
  </conditionalFormatting>
  <conditionalFormatting sqref="B234">
    <cfRule type="cellIs" dxfId="16" priority="232" stopIfTrue="1" operator="greaterThan">
      <formula>12</formula>
    </cfRule>
  </conditionalFormatting>
  <conditionalFormatting sqref="B235">
    <cfRule type="cellIs" dxfId="15" priority="233" stopIfTrue="1" operator="greaterThan">
      <formula>12</formula>
    </cfRule>
  </conditionalFormatting>
  <conditionalFormatting sqref="B236">
    <cfRule type="cellIs" dxfId="14" priority="234" stopIfTrue="1" operator="greaterThan">
      <formula>12</formula>
    </cfRule>
  </conditionalFormatting>
  <conditionalFormatting sqref="B237">
    <cfRule type="cellIs" dxfId="13" priority="235" stopIfTrue="1" operator="greaterThan">
      <formula>12</formula>
    </cfRule>
  </conditionalFormatting>
  <conditionalFormatting sqref="B238">
    <cfRule type="cellIs" dxfId="12" priority="236" stopIfTrue="1" operator="greaterThan">
      <formula>12</formula>
    </cfRule>
  </conditionalFormatting>
  <conditionalFormatting sqref="B239">
    <cfRule type="cellIs" dxfId="11" priority="237" stopIfTrue="1" operator="greaterThan">
      <formula>12</formula>
    </cfRule>
  </conditionalFormatting>
  <conditionalFormatting sqref="B240">
    <cfRule type="cellIs" dxfId="10" priority="238" stopIfTrue="1" operator="greaterThan">
      <formula>12</formula>
    </cfRule>
  </conditionalFormatting>
  <conditionalFormatting sqref="B241">
    <cfRule type="cellIs" dxfId="9" priority="239" stopIfTrue="1" operator="greaterThan">
      <formula>12</formula>
    </cfRule>
  </conditionalFormatting>
  <conditionalFormatting sqref="B242">
    <cfRule type="cellIs" dxfId="8" priority="240" stopIfTrue="1" operator="greaterThan">
      <formula>12</formula>
    </cfRule>
  </conditionalFormatting>
  <conditionalFormatting sqref="B243">
    <cfRule type="cellIs" dxfId="7" priority="241" stopIfTrue="1" operator="greaterThan">
      <formula>12</formula>
    </cfRule>
  </conditionalFormatting>
  <conditionalFormatting sqref="B244">
    <cfRule type="cellIs" dxfId="6" priority="242" stopIfTrue="1" operator="greaterThan">
      <formula>12</formula>
    </cfRule>
  </conditionalFormatting>
  <conditionalFormatting sqref="B245">
    <cfRule type="cellIs" dxfId="5" priority="243" stopIfTrue="1" operator="greaterThan">
      <formula>12</formula>
    </cfRule>
  </conditionalFormatting>
  <conditionalFormatting sqref="B246">
    <cfRule type="cellIs" dxfId="4" priority="244" stopIfTrue="1" operator="greaterThan">
      <formula>12</formula>
    </cfRule>
  </conditionalFormatting>
  <conditionalFormatting sqref="B247">
    <cfRule type="cellIs" dxfId="3" priority="245" stopIfTrue="1" operator="greaterThan">
      <formula>12</formula>
    </cfRule>
  </conditionalFormatting>
  <conditionalFormatting sqref="B248">
    <cfRule type="cellIs" dxfId="2" priority="246" stopIfTrue="1" operator="greaterThan">
      <formula>12</formula>
    </cfRule>
  </conditionalFormatting>
  <conditionalFormatting sqref="B249">
    <cfRule type="cellIs" dxfId="1" priority="247" stopIfTrue="1" operator="greaterThan">
      <formula>12</formula>
    </cfRule>
  </conditionalFormatting>
  <conditionalFormatting sqref="B250">
    <cfRule type="cellIs" dxfId="0" priority="248" stopIfTrue="1" operator="greaterThan">
      <formula>12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E14C-8668-4082-A3A1-14A8AD09A7CE}">
  <sheetPr codeName="Folha56"/>
  <dimension ref="A2:ZZ250"/>
  <sheetViews>
    <sheetView workbookViewId="0"/>
  </sheetViews>
  <sheetFormatPr defaultRowHeight="14.4" x14ac:dyDescent="0.3"/>
  <cols>
    <col min="1" max="1" width="35.77734375" style="3" customWidth="1"/>
    <col min="2" max="702" width="8.88671875" style="3"/>
  </cols>
  <sheetData>
    <row r="2" spans="1:1" x14ac:dyDescent="0.3">
      <c r="A2" s="9" t="s">
        <v>8</v>
      </c>
    </row>
    <row r="3" spans="1:1" x14ac:dyDescent="0.3">
      <c r="A3" s="3" t="str">
        <f>IF(Alunos!A3&lt;&gt;"",Alunos!A3,"")</f>
        <v/>
      </c>
    </row>
    <row r="4" spans="1:1" x14ac:dyDescent="0.3">
      <c r="A4" s="3" t="str">
        <f>IF(Alunos!A4&lt;&gt;"",Alunos!A4,"")</f>
        <v/>
      </c>
    </row>
    <row r="5" spans="1:1" x14ac:dyDescent="0.3">
      <c r="A5" s="3" t="str">
        <f>IF(Alunos!A5&lt;&gt;"",Alunos!A5,"")</f>
        <v/>
      </c>
    </row>
    <row r="6" spans="1:1" x14ac:dyDescent="0.3">
      <c r="A6" s="3" t="str">
        <f>IF(Alunos!A6&lt;&gt;"",Alunos!A6,"")</f>
        <v/>
      </c>
    </row>
    <row r="7" spans="1:1" x14ac:dyDescent="0.3">
      <c r="A7" s="3" t="str">
        <f>IF(Alunos!A7&lt;&gt;"",Alunos!A7,"")</f>
        <v/>
      </c>
    </row>
    <row r="8" spans="1:1" x14ac:dyDescent="0.3">
      <c r="A8" s="3" t="str">
        <f>IF(Alunos!A8&lt;&gt;"",Alunos!A8,"")</f>
        <v/>
      </c>
    </row>
    <row r="9" spans="1:1" x14ac:dyDescent="0.3">
      <c r="A9" s="3" t="str">
        <f>IF(Alunos!A9&lt;&gt;"",Alunos!A9,"")</f>
        <v/>
      </c>
    </row>
    <row r="10" spans="1:1" x14ac:dyDescent="0.3">
      <c r="A10" s="3" t="str">
        <f>IF(Alunos!A10&lt;&gt;"",Alunos!A10,"")</f>
        <v/>
      </c>
    </row>
    <row r="11" spans="1:1" x14ac:dyDescent="0.3">
      <c r="A11" s="3" t="str">
        <f>IF(Alunos!A11&lt;&gt;"",Alunos!A11,"")</f>
        <v/>
      </c>
    </row>
    <row r="12" spans="1:1" x14ac:dyDescent="0.3">
      <c r="A12" s="3" t="str">
        <f>IF(Alunos!A12&lt;&gt;"",Alunos!A12,"")</f>
        <v/>
      </c>
    </row>
    <row r="13" spans="1:1" x14ac:dyDescent="0.3">
      <c r="A13" s="3" t="str">
        <f>IF(Alunos!A13&lt;&gt;"",Alunos!A13,"")</f>
        <v/>
      </c>
    </row>
    <row r="14" spans="1:1" x14ac:dyDescent="0.3">
      <c r="A14" s="3" t="str">
        <f>IF(Alunos!A14&lt;&gt;"",Alunos!A14,"")</f>
        <v/>
      </c>
    </row>
    <row r="15" spans="1:1" x14ac:dyDescent="0.3">
      <c r="A15" s="3" t="str">
        <f>IF(Alunos!A15&lt;&gt;"",Alunos!A15,"")</f>
        <v/>
      </c>
    </row>
    <row r="16" spans="1:1" x14ac:dyDescent="0.3">
      <c r="A16" s="3" t="str">
        <f>IF(Alunos!A16&lt;&gt;"",Alunos!A16,"")</f>
        <v/>
      </c>
    </row>
    <row r="17" spans="1:1" x14ac:dyDescent="0.3">
      <c r="A17" s="3" t="str">
        <f>IF(Alunos!A17&lt;&gt;"",Alunos!A17,"")</f>
        <v/>
      </c>
    </row>
    <row r="18" spans="1:1" x14ac:dyDescent="0.3">
      <c r="A18" s="3" t="str">
        <f>IF(Alunos!A18&lt;&gt;"",Alunos!A18,"")</f>
        <v/>
      </c>
    </row>
    <row r="19" spans="1:1" x14ac:dyDescent="0.3">
      <c r="A19" s="3" t="str">
        <f>IF(Alunos!A19&lt;&gt;"",Alunos!A19,"")</f>
        <v/>
      </c>
    </row>
    <row r="20" spans="1:1" x14ac:dyDescent="0.3">
      <c r="A20" s="3" t="str">
        <f>IF(Alunos!A20&lt;&gt;"",Alunos!A20,"")</f>
        <v/>
      </c>
    </row>
    <row r="21" spans="1:1" x14ac:dyDescent="0.3">
      <c r="A21" s="3" t="str">
        <f>IF(Alunos!A21&lt;&gt;"",Alunos!A21,"")</f>
        <v/>
      </c>
    </row>
    <row r="22" spans="1:1" x14ac:dyDescent="0.3">
      <c r="A22" s="3" t="str">
        <f>IF(Alunos!A22&lt;&gt;"",Alunos!A22,"")</f>
        <v/>
      </c>
    </row>
    <row r="23" spans="1:1" x14ac:dyDescent="0.3">
      <c r="A23" s="3" t="str">
        <f>IF(Alunos!A23&lt;&gt;"",Alunos!A23,"")</f>
        <v/>
      </c>
    </row>
    <row r="24" spans="1:1" x14ac:dyDescent="0.3">
      <c r="A24" s="3" t="str">
        <f>IF(Alunos!A24&lt;&gt;"",Alunos!A24,"")</f>
        <v/>
      </c>
    </row>
    <row r="25" spans="1:1" x14ac:dyDescent="0.3">
      <c r="A25" s="3" t="str">
        <f>IF(Alunos!A25&lt;&gt;"",Alunos!A25,"")</f>
        <v/>
      </c>
    </row>
    <row r="26" spans="1:1" x14ac:dyDescent="0.3">
      <c r="A26" s="3" t="str">
        <f>IF(Alunos!A26&lt;&gt;"",Alunos!A26,"")</f>
        <v/>
      </c>
    </row>
    <row r="27" spans="1:1" x14ac:dyDescent="0.3">
      <c r="A27" s="3" t="str">
        <f>IF(Alunos!A27&lt;&gt;"",Alunos!A27,"")</f>
        <v/>
      </c>
    </row>
    <row r="28" spans="1:1" x14ac:dyDescent="0.3">
      <c r="A28" s="3" t="str">
        <f>IF(Alunos!A28&lt;&gt;"",Alunos!A28,"")</f>
        <v/>
      </c>
    </row>
    <row r="29" spans="1:1" x14ac:dyDescent="0.3">
      <c r="A29" s="3" t="str">
        <f>IF(Alunos!A29&lt;&gt;"",Alunos!A29,"")</f>
        <v/>
      </c>
    </row>
    <row r="30" spans="1:1" x14ac:dyDescent="0.3">
      <c r="A30" s="3" t="str">
        <f>IF(Alunos!A30&lt;&gt;"",Alunos!A30,"")</f>
        <v/>
      </c>
    </row>
    <row r="31" spans="1:1" x14ac:dyDescent="0.3">
      <c r="A31" s="3" t="str">
        <f>IF(Alunos!A31&lt;&gt;"",Alunos!A31,"")</f>
        <v/>
      </c>
    </row>
    <row r="32" spans="1:1" x14ac:dyDescent="0.3">
      <c r="A32" s="3" t="str">
        <f>IF(Alunos!A32&lt;&gt;"",Alunos!A32,"")</f>
        <v/>
      </c>
    </row>
    <row r="33" spans="1:1" x14ac:dyDescent="0.3">
      <c r="A33" s="3" t="str">
        <f>IF(Alunos!A33&lt;&gt;"",Alunos!A33,"")</f>
        <v/>
      </c>
    </row>
    <row r="34" spans="1:1" x14ac:dyDescent="0.3">
      <c r="A34" s="3" t="str">
        <f>IF(Alunos!A34&lt;&gt;"",Alunos!A34,"")</f>
        <v/>
      </c>
    </row>
    <row r="35" spans="1:1" x14ac:dyDescent="0.3">
      <c r="A35" s="3" t="str">
        <f>IF(Alunos!A35&lt;&gt;"",Alunos!A35,"")</f>
        <v/>
      </c>
    </row>
    <row r="36" spans="1:1" x14ac:dyDescent="0.3">
      <c r="A36" s="3" t="str">
        <f>IF(Alunos!A36&lt;&gt;"",Alunos!A36,"")</f>
        <v/>
      </c>
    </row>
    <row r="37" spans="1:1" x14ac:dyDescent="0.3">
      <c r="A37" s="3" t="str">
        <f>IF(Alunos!A37&lt;&gt;"",Alunos!A37,"")</f>
        <v/>
      </c>
    </row>
    <row r="38" spans="1:1" x14ac:dyDescent="0.3">
      <c r="A38" s="3" t="str">
        <f>IF(Alunos!A38&lt;&gt;"",Alunos!A38,"")</f>
        <v/>
      </c>
    </row>
    <row r="39" spans="1:1" x14ac:dyDescent="0.3">
      <c r="A39" s="3" t="str">
        <f>IF(Alunos!A39&lt;&gt;"",Alunos!A39,"")</f>
        <v/>
      </c>
    </row>
    <row r="40" spans="1:1" x14ac:dyDescent="0.3">
      <c r="A40" s="3" t="str">
        <f>IF(Alunos!A40&lt;&gt;"",Alunos!A40,"")</f>
        <v/>
      </c>
    </row>
    <row r="41" spans="1:1" x14ac:dyDescent="0.3">
      <c r="A41" s="3" t="str">
        <f>IF(Alunos!A41&lt;&gt;"",Alunos!A41,"")</f>
        <v/>
      </c>
    </row>
    <row r="42" spans="1:1" x14ac:dyDescent="0.3">
      <c r="A42" s="3" t="str">
        <f>IF(Alunos!A42&lt;&gt;"",Alunos!A42,"")</f>
        <v/>
      </c>
    </row>
    <row r="43" spans="1:1" x14ac:dyDescent="0.3">
      <c r="A43" s="3" t="str">
        <f>IF(Alunos!A43&lt;&gt;"",Alunos!A43,"")</f>
        <v/>
      </c>
    </row>
    <row r="44" spans="1:1" x14ac:dyDescent="0.3">
      <c r="A44" s="3" t="str">
        <f>IF(Alunos!A44&lt;&gt;"",Alunos!A44,"")</f>
        <v/>
      </c>
    </row>
    <row r="45" spans="1:1" x14ac:dyDescent="0.3">
      <c r="A45" s="3" t="str">
        <f>IF(Alunos!A45&lt;&gt;"",Alunos!A45,"")</f>
        <v/>
      </c>
    </row>
    <row r="46" spans="1:1" x14ac:dyDescent="0.3">
      <c r="A46" s="3" t="str">
        <f>IF(Alunos!A46&lt;&gt;"",Alunos!A46,"")</f>
        <v/>
      </c>
    </row>
    <row r="47" spans="1:1" x14ac:dyDescent="0.3">
      <c r="A47" s="3" t="str">
        <f>IF(Alunos!A47&lt;&gt;"",Alunos!A47,"")</f>
        <v/>
      </c>
    </row>
    <row r="48" spans="1:1" x14ac:dyDescent="0.3">
      <c r="A48" s="3" t="str">
        <f>IF(Alunos!A48&lt;&gt;"",Alunos!A48,"")</f>
        <v/>
      </c>
    </row>
    <row r="49" spans="1:1" x14ac:dyDescent="0.3">
      <c r="A49" s="3" t="str">
        <f>IF(Alunos!A49&lt;&gt;"",Alunos!A49,"")</f>
        <v/>
      </c>
    </row>
    <row r="50" spans="1:1" x14ac:dyDescent="0.3">
      <c r="A50" s="3" t="str">
        <f>IF(Alunos!A50&lt;&gt;"",Alunos!A50,"")</f>
        <v/>
      </c>
    </row>
    <row r="51" spans="1:1" x14ac:dyDescent="0.3">
      <c r="A51" s="3" t="str">
        <f>IF(Alunos!A51&lt;&gt;"",Alunos!A51,"")</f>
        <v/>
      </c>
    </row>
    <row r="52" spans="1:1" x14ac:dyDescent="0.3">
      <c r="A52" s="3" t="str">
        <f>IF(Alunos!A52&lt;&gt;"",Alunos!A52,"")</f>
        <v/>
      </c>
    </row>
    <row r="53" spans="1:1" x14ac:dyDescent="0.3">
      <c r="A53" s="3" t="str">
        <f>IF(Alunos!A53&lt;&gt;"",Alunos!A53,"")</f>
        <v/>
      </c>
    </row>
    <row r="54" spans="1:1" x14ac:dyDescent="0.3">
      <c r="A54" s="3" t="str">
        <f>IF(Alunos!A54&lt;&gt;"",Alunos!A54,"")</f>
        <v/>
      </c>
    </row>
    <row r="55" spans="1:1" x14ac:dyDescent="0.3">
      <c r="A55" s="3" t="str">
        <f>IF(Alunos!A55&lt;&gt;"",Alunos!A55,"")</f>
        <v/>
      </c>
    </row>
    <row r="56" spans="1:1" x14ac:dyDescent="0.3">
      <c r="A56" s="3" t="str">
        <f>IF(Alunos!A56&lt;&gt;"",Alunos!A56,"")</f>
        <v/>
      </c>
    </row>
    <row r="57" spans="1:1" x14ac:dyDescent="0.3">
      <c r="A57" s="3" t="str">
        <f>IF(Alunos!A57&lt;&gt;"",Alunos!A57,"")</f>
        <v/>
      </c>
    </row>
    <row r="58" spans="1:1" x14ac:dyDescent="0.3">
      <c r="A58" s="3" t="str">
        <f>IF(Alunos!A58&lt;&gt;"",Alunos!A58,"")</f>
        <v/>
      </c>
    </row>
    <row r="59" spans="1:1" x14ac:dyDescent="0.3">
      <c r="A59" s="3" t="str">
        <f>IF(Alunos!A59&lt;&gt;"",Alunos!A59,"")</f>
        <v/>
      </c>
    </row>
    <row r="60" spans="1:1" x14ac:dyDescent="0.3">
      <c r="A60" s="3" t="str">
        <f>IF(Alunos!A60&lt;&gt;"",Alunos!A60,"")</f>
        <v/>
      </c>
    </row>
    <row r="61" spans="1:1" x14ac:dyDescent="0.3">
      <c r="A61" s="3" t="str">
        <f>IF(Alunos!A61&lt;&gt;"",Alunos!A61,"")</f>
        <v/>
      </c>
    </row>
    <row r="62" spans="1:1" x14ac:dyDescent="0.3">
      <c r="A62" s="3" t="str">
        <f>IF(Alunos!A62&lt;&gt;"",Alunos!A62,"")</f>
        <v/>
      </c>
    </row>
    <row r="63" spans="1:1" x14ac:dyDescent="0.3">
      <c r="A63" s="3" t="str">
        <f>IF(Alunos!A63&lt;&gt;"",Alunos!A63,"")</f>
        <v/>
      </c>
    </row>
    <row r="64" spans="1:1" x14ac:dyDescent="0.3">
      <c r="A64" s="3" t="str">
        <f>IF(Alunos!A64&lt;&gt;"",Alunos!A64,"")</f>
        <v/>
      </c>
    </row>
    <row r="65" spans="1:1" x14ac:dyDescent="0.3">
      <c r="A65" s="3" t="str">
        <f>IF(Alunos!A65&lt;&gt;"",Alunos!A65,"")</f>
        <v/>
      </c>
    </row>
    <row r="66" spans="1:1" x14ac:dyDescent="0.3">
      <c r="A66" s="3" t="str">
        <f>IF(Alunos!A66&lt;&gt;"",Alunos!A66,"")</f>
        <v/>
      </c>
    </row>
    <row r="67" spans="1:1" x14ac:dyDescent="0.3">
      <c r="A67" s="3" t="str">
        <f>IF(Alunos!A67&lt;&gt;"",Alunos!A67,"")</f>
        <v/>
      </c>
    </row>
    <row r="68" spans="1:1" x14ac:dyDescent="0.3">
      <c r="A68" s="3" t="str">
        <f>IF(Alunos!A68&lt;&gt;"",Alunos!A68,"")</f>
        <v/>
      </c>
    </row>
    <row r="69" spans="1:1" x14ac:dyDescent="0.3">
      <c r="A69" s="3" t="str">
        <f>IF(Alunos!A69&lt;&gt;"",Alunos!A69,"")</f>
        <v/>
      </c>
    </row>
    <row r="70" spans="1:1" x14ac:dyDescent="0.3">
      <c r="A70" s="3" t="str">
        <f>IF(Alunos!A70&lt;&gt;"",Alunos!A70,"")</f>
        <v/>
      </c>
    </row>
    <row r="71" spans="1:1" x14ac:dyDescent="0.3">
      <c r="A71" s="3" t="str">
        <f>IF(Alunos!A71&lt;&gt;"",Alunos!A71,"")</f>
        <v/>
      </c>
    </row>
    <row r="72" spans="1:1" x14ac:dyDescent="0.3">
      <c r="A72" s="3" t="str">
        <f>IF(Alunos!A72&lt;&gt;"",Alunos!A72,"")</f>
        <v/>
      </c>
    </row>
    <row r="73" spans="1:1" x14ac:dyDescent="0.3">
      <c r="A73" s="3" t="str">
        <f>IF(Alunos!A73&lt;&gt;"",Alunos!A73,"")</f>
        <v/>
      </c>
    </row>
    <row r="74" spans="1:1" x14ac:dyDescent="0.3">
      <c r="A74" s="3" t="str">
        <f>IF(Alunos!A74&lt;&gt;"",Alunos!A74,"")</f>
        <v/>
      </c>
    </row>
    <row r="75" spans="1:1" x14ac:dyDescent="0.3">
      <c r="A75" s="3" t="str">
        <f>IF(Alunos!A75&lt;&gt;"",Alunos!A75,"")</f>
        <v/>
      </c>
    </row>
    <row r="76" spans="1:1" x14ac:dyDescent="0.3">
      <c r="A76" s="3" t="str">
        <f>IF(Alunos!A76&lt;&gt;"",Alunos!A76,"")</f>
        <v/>
      </c>
    </row>
    <row r="77" spans="1:1" x14ac:dyDescent="0.3">
      <c r="A77" s="3" t="str">
        <f>IF(Alunos!A77&lt;&gt;"",Alunos!A77,"")</f>
        <v/>
      </c>
    </row>
    <row r="78" spans="1:1" x14ac:dyDescent="0.3">
      <c r="A78" s="3" t="str">
        <f>IF(Alunos!A78&lt;&gt;"",Alunos!A78,"")</f>
        <v/>
      </c>
    </row>
    <row r="79" spans="1:1" x14ac:dyDescent="0.3">
      <c r="A79" s="3" t="str">
        <f>IF(Alunos!A79&lt;&gt;"",Alunos!A79,"")</f>
        <v/>
      </c>
    </row>
    <row r="80" spans="1:1" x14ac:dyDescent="0.3">
      <c r="A80" s="3" t="str">
        <f>IF(Alunos!A80&lt;&gt;"",Alunos!A80,"")</f>
        <v/>
      </c>
    </row>
    <row r="81" spans="1:1" x14ac:dyDescent="0.3">
      <c r="A81" s="3" t="str">
        <f>IF(Alunos!A81&lt;&gt;"",Alunos!A81,"")</f>
        <v/>
      </c>
    </row>
    <row r="82" spans="1:1" x14ac:dyDescent="0.3">
      <c r="A82" s="3" t="str">
        <f>IF(Alunos!A82&lt;&gt;"",Alunos!A82,"")</f>
        <v/>
      </c>
    </row>
    <row r="83" spans="1:1" x14ac:dyDescent="0.3">
      <c r="A83" s="3" t="str">
        <f>IF(Alunos!A83&lt;&gt;"",Alunos!A83,"")</f>
        <v/>
      </c>
    </row>
    <row r="84" spans="1:1" x14ac:dyDescent="0.3">
      <c r="A84" s="3" t="str">
        <f>IF(Alunos!A84&lt;&gt;"",Alunos!A84,"")</f>
        <v/>
      </c>
    </row>
    <row r="85" spans="1:1" x14ac:dyDescent="0.3">
      <c r="A85" s="3" t="str">
        <f>IF(Alunos!A85&lt;&gt;"",Alunos!A85,"")</f>
        <v/>
      </c>
    </row>
    <row r="86" spans="1:1" x14ac:dyDescent="0.3">
      <c r="A86" s="3" t="str">
        <f>IF(Alunos!A86&lt;&gt;"",Alunos!A86,"")</f>
        <v/>
      </c>
    </row>
    <row r="87" spans="1:1" x14ac:dyDescent="0.3">
      <c r="A87" s="3" t="str">
        <f>IF(Alunos!A87&lt;&gt;"",Alunos!A87,"")</f>
        <v/>
      </c>
    </row>
    <row r="88" spans="1:1" x14ac:dyDescent="0.3">
      <c r="A88" s="3" t="str">
        <f>IF(Alunos!A88&lt;&gt;"",Alunos!A88,"")</f>
        <v/>
      </c>
    </row>
    <row r="89" spans="1:1" x14ac:dyDescent="0.3">
      <c r="A89" s="3" t="str">
        <f>IF(Alunos!A89&lt;&gt;"",Alunos!A89,"")</f>
        <v/>
      </c>
    </row>
    <row r="90" spans="1:1" x14ac:dyDescent="0.3">
      <c r="A90" s="3" t="str">
        <f>IF(Alunos!A90&lt;&gt;"",Alunos!A90,"")</f>
        <v/>
      </c>
    </row>
    <row r="91" spans="1:1" x14ac:dyDescent="0.3">
      <c r="A91" s="3" t="str">
        <f>IF(Alunos!A91&lt;&gt;"",Alunos!A91,"")</f>
        <v/>
      </c>
    </row>
    <row r="92" spans="1:1" x14ac:dyDescent="0.3">
      <c r="A92" s="3" t="str">
        <f>IF(Alunos!A92&lt;&gt;"",Alunos!A92,"")</f>
        <v/>
      </c>
    </row>
    <row r="93" spans="1:1" x14ac:dyDescent="0.3">
      <c r="A93" s="3" t="str">
        <f>IF(Alunos!A93&lt;&gt;"",Alunos!A93,"")</f>
        <v/>
      </c>
    </row>
    <row r="94" spans="1:1" x14ac:dyDescent="0.3">
      <c r="A94" s="3" t="str">
        <f>IF(Alunos!A94&lt;&gt;"",Alunos!A94,"")</f>
        <v/>
      </c>
    </row>
    <row r="95" spans="1:1" x14ac:dyDescent="0.3">
      <c r="A95" s="3" t="str">
        <f>IF(Alunos!A95&lt;&gt;"",Alunos!A95,"")</f>
        <v/>
      </c>
    </row>
    <row r="96" spans="1:1" x14ac:dyDescent="0.3">
      <c r="A96" s="3" t="str">
        <f>IF(Alunos!A96&lt;&gt;"",Alunos!A96,"")</f>
        <v/>
      </c>
    </row>
    <row r="97" spans="1:1" x14ac:dyDescent="0.3">
      <c r="A97" s="3" t="str">
        <f>IF(Alunos!A97&lt;&gt;"",Alunos!A97,"")</f>
        <v/>
      </c>
    </row>
    <row r="98" spans="1:1" x14ac:dyDescent="0.3">
      <c r="A98" s="3" t="str">
        <f>IF(Alunos!A98&lt;&gt;"",Alunos!A98,"")</f>
        <v/>
      </c>
    </row>
    <row r="99" spans="1:1" x14ac:dyDescent="0.3">
      <c r="A99" s="3" t="str">
        <f>IF(Alunos!A99&lt;&gt;"",Alunos!A99,"")</f>
        <v/>
      </c>
    </row>
    <row r="100" spans="1:1" x14ac:dyDescent="0.3">
      <c r="A100" s="3" t="str">
        <f>IF(Alunos!A100&lt;&gt;"",Alunos!A100,"")</f>
        <v/>
      </c>
    </row>
    <row r="101" spans="1:1" x14ac:dyDescent="0.3">
      <c r="A101" s="3" t="str">
        <f>IF(Alunos!A101&lt;&gt;"",Alunos!A101,"")</f>
        <v/>
      </c>
    </row>
    <row r="102" spans="1:1" x14ac:dyDescent="0.3">
      <c r="A102" s="3" t="str">
        <f>IF(Alunos!A102&lt;&gt;"",Alunos!A102,"")</f>
        <v/>
      </c>
    </row>
    <row r="103" spans="1:1" x14ac:dyDescent="0.3">
      <c r="A103" s="3" t="str">
        <f>IF(Alunos!A103&lt;&gt;"",Alunos!A103,"")</f>
        <v/>
      </c>
    </row>
    <row r="104" spans="1:1" x14ac:dyDescent="0.3">
      <c r="A104" s="3" t="str">
        <f>IF(Alunos!A104&lt;&gt;"",Alunos!A104,"")</f>
        <v/>
      </c>
    </row>
    <row r="105" spans="1:1" x14ac:dyDescent="0.3">
      <c r="A105" s="3" t="str">
        <f>IF(Alunos!A105&lt;&gt;"",Alunos!A105,"")</f>
        <v/>
      </c>
    </row>
    <row r="106" spans="1:1" x14ac:dyDescent="0.3">
      <c r="A106" s="3" t="str">
        <f>IF(Alunos!A106&lt;&gt;"",Alunos!A106,"")</f>
        <v/>
      </c>
    </row>
    <row r="107" spans="1:1" x14ac:dyDescent="0.3">
      <c r="A107" s="3" t="str">
        <f>IF(Alunos!A107&lt;&gt;"",Alunos!A107,"")</f>
        <v/>
      </c>
    </row>
    <row r="108" spans="1:1" x14ac:dyDescent="0.3">
      <c r="A108" s="3" t="str">
        <f>IF(Alunos!A108&lt;&gt;"",Alunos!A108,"")</f>
        <v/>
      </c>
    </row>
    <row r="109" spans="1:1" x14ac:dyDescent="0.3">
      <c r="A109" s="3" t="str">
        <f>IF(Alunos!A109&lt;&gt;"",Alunos!A109,"")</f>
        <v/>
      </c>
    </row>
    <row r="110" spans="1:1" x14ac:dyDescent="0.3">
      <c r="A110" s="3" t="str">
        <f>IF(Alunos!A110&lt;&gt;"",Alunos!A110,"")</f>
        <v/>
      </c>
    </row>
    <row r="111" spans="1:1" x14ac:dyDescent="0.3">
      <c r="A111" s="3" t="str">
        <f>IF(Alunos!A111&lt;&gt;"",Alunos!A111,"")</f>
        <v/>
      </c>
    </row>
    <row r="112" spans="1:1" x14ac:dyDescent="0.3">
      <c r="A112" s="3" t="str">
        <f>IF(Alunos!A112&lt;&gt;"",Alunos!A112,"")</f>
        <v/>
      </c>
    </row>
    <row r="113" spans="1:1" x14ac:dyDescent="0.3">
      <c r="A113" s="3" t="str">
        <f>IF(Alunos!A113&lt;&gt;"",Alunos!A113,"")</f>
        <v/>
      </c>
    </row>
    <row r="114" spans="1:1" x14ac:dyDescent="0.3">
      <c r="A114" s="3" t="str">
        <f>IF(Alunos!A114&lt;&gt;"",Alunos!A114,"")</f>
        <v/>
      </c>
    </row>
    <row r="115" spans="1:1" x14ac:dyDescent="0.3">
      <c r="A115" s="3" t="str">
        <f>IF(Alunos!A115&lt;&gt;"",Alunos!A115,"")</f>
        <v/>
      </c>
    </row>
    <row r="116" spans="1:1" x14ac:dyDescent="0.3">
      <c r="A116" s="3" t="str">
        <f>IF(Alunos!A116&lt;&gt;"",Alunos!A116,"")</f>
        <v/>
      </c>
    </row>
    <row r="117" spans="1:1" x14ac:dyDescent="0.3">
      <c r="A117" s="3" t="str">
        <f>IF(Alunos!A117&lt;&gt;"",Alunos!A117,"")</f>
        <v/>
      </c>
    </row>
    <row r="118" spans="1:1" x14ac:dyDescent="0.3">
      <c r="A118" s="3" t="str">
        <f>IF(Alunos!A118&lt;&gt;"",Alunos!A118,"")</f>
        <v/>
      </c>
    </row>
    <row r="119" spans="1:1" x14ac:dyDescent="0.3">
      <c r="A119" s="3" t="str">
        <f>IF(Alunos!A119&lt;&gt;"",Alunos!A119,"")</f>
        <v/>
      </c>
    </row>
    <row r="120" spans="1:1" x14ac:dyDescent="0.3">
      <c r="A120" s="3" t="str">
        <f>IF(Alunos!A120&lt;&gt;"",Alunos!A120,"")</f>
        <v/>
      </c>
    </row>
    <row r="121" spans="1:1" x14ac:dyDescent="0.3">
      <c r="A121" s="3" t="str">
        <f>IF(Alunos!A121&lt;&gt;"",Alunos!A121,"")</f>
        <v/>
      </c>
    </row>
    <row r="122" spans="1:1" x14ac:dyDescent="0.3">
      <c r="A122" s="3" t="str">
        <f>IF(Alunos!A122&lt;&gt;"",Alunos!A122,"")</f>
        <v/>
      </c>
    </row>
    <row r="123" spans="1:1" x14ac:dyDescent="0.3">
      <c r="A123" s="3" t="str">
        <f>IF(Alunos!A123&lt;&gt;"",Alunos!A123,"")</f>
        <v/>
      </c>
    </row>
    <row r="124" spans="1:1" x14ac:dyDescent="0.3">
      <c r="A124" s="3" t="str">
        <f>IF(Alunos!A124&lt;&gt;"",Alunos!A124,"")</f>
        <v/>
      </c>
    </row>
    <row r="125" spans="1:1" x14ac:dyDescent="0.3">
      <c r="A125" s="3" t="str">
        <f>IF(Alunos!A125&lt;&gt;"",Alunos!A125,"")</f>
        <v/>
      </c>
    </row>
    <row r="126" spans="1:1" x14ac:dyDescent="0.3">
      <c r="A126" s="3" t="str">
        <f>IF(Alunos!A126&lt;&gt;"",Alunos!A126,"")</f>
        <v/>
      </c>
    </row>
    <row r="127" spans="1:1" x14ac:dyDescent="0.3">
      <c r="A127" s="3" t="str">
        <f>IF(Alunos!A127&lt;&gt;"",Alunos!A127,"")</f>
        <v/>
      </c>
    </row>
    <row r="128" spans="1:1" x14ac:dyDescent="0.3">
      <c r="A128" s="3" t="str">
        <f>IF(Alunos!A128&lt;&gt;"",Alunos!A128,"")</f>
        <v/>
      </c>
    </row>
    <row r="129" spans="1:1" x14ac:dyDescent="0.3">
      <c r="A129" s="3" t="str">
        <f>IF(Alunos!A129&lt;&gt;"",Alunos!A129,"")</f>
        <v/>
      </c>
    </row>
    <row r="130" spans="1:1" x14ac:dyDescent="0.3">
      <c r="A130" s="3" t="str">
        <f>IF(Alunos!A130&lt;&gt;"",Alunos!A130,"")</f>
        <v/>
      </c>
    </row>
    <row r="131" spans="1:1" x14ac:dyDescent="0.3">
      <c r="A131" s="3" t="str">
        <f>IF(Alunos!A131&lt;&gt;"",Alunos!A131,"")</f>
        <v/>
      </c>
    </row>
    <row r="132" spans="1:1" x14ac:dyDescent="0.3">
      <c r="A132" s="3" t="str">
        <f>IF(Alunos!A132&lt;&gt;"",Alunos!A132,"")</f>
        <v/>
      </c>
    </row>
    <row r="133" spans="1:1" x14ac:dyDescent="0.3">
      <c r="A133" s="3" t="str">
        <f>IF(Alunos!A133&lt;&gt;"",Alunos!A133,"")</f>
        <v/>
      </c>
    </row>
    <row r="134" spans="1:1" x14ac:dyDescent="0.3">
      <c r="A134" s="3" t="str">
        <f>IF(Alunos!A134&lt;&gt;"",Alunos!A134,"")</f>
        <v/>
      </c>
    </row>
    <row r="135" spans="1:1" x14ac:dyDescent="0.3">
      <c r="A135" s="3" t="str">
        <f>IF(Alunos!A135&lt;&gt;"",Alunos!A135,"")</f>
        <v/>
      </c>
    </row>
    <row r="136" spans="1:1" x14ac:dyDescent="0.3">
      <c r="A136" s="3" t="str">
        <f>IF(Alunos!A136&lt;&gt;"",Alunos!A136,"")</f>
        <v/>
      </c>
    </row>
    <row r="137" spans="1:1" x14ac:dyDescent="0.3">
      <c r="A137" s="3" t="str">
        <f>IF(Alunos!A137&lt;&gt;"",Alunos!A137,"")</f>
        <v/>
      </c>
    </row>
    <row r="138" spans="1:1" x14ac:dyDescent="0.3">
      <c r="A138" s="3" t="str">
        <f>IF(Alunos!A138&lt;&gt;"",Alunos!A138,"")</f>
        <v/>
      </c>
    </row>
    <row r="139" spans="1:1" x14ac:dyDescent="0.3">
      <c r="A139" s="3" t="str">
        <f>IF(Alunos!A139&lt;&gt;"",Alunos!A139,"")</f>
        <v/>
      </c>
    </row>
    <row r="140" spans="1:1" x14ac:dyDescent="0.3">
      <c r="A140" s="3" t="str">
        <f>IF(Alunos!A140&lt;&gt;"",Alunos!A140,"")</f>
        <v/>
      </c>
    </row>
    <row r="141" spans="1:1" x14ac:dyDescent="0.3">
      <c r="A141" s="3" t="str">
        <f>IF(Alunos!A141&lt;&gt;"",Alunos!A141,"")</f>
        <v/>
      </c>
    </row>
    <row r="142" spans="1:1" x14ac:dyDescent="0.3">
      <c r="A142" s="3" t="str">
        <f>IF(Alunos!A142&lt;&gt;"",Alunos!A142,"")</f>
        <v/>
      </c>
    </row>
    <row r="143" spans="1:1" x14ac:dyDescent="0.3">
      <c r="A143" s="3" t="str">
        <f>IF(Alunos!A143&lt;&gt;"",Alunos!A143,"")</f>
        <v/>
      </c>
    </row>
    <row r="144" spans="1:1" x14ac:dyDescent="0.3">
      <c r="A144" s="3" t="str">
        <f>IF(Alunos!A144&lt;&gt;"",Alunos!A144,"")</f>
        <v/>
      </c>
    </row>
    <row r="145" spans="1:1" x14ac:dyDescent="0.3">
      <c r="A145" s="3" t="str">
        <f>IF(Alunos!A145&lt;&gt;"",Alunos!A145,"")</f>
        <v/>
      </c>
    </row>
    <row r="146" spans="1:1" x14ac:dyDescent="0.3">
      <c r="A146" s="3" t="str">
        <f>IF(Alunos!A146&lt;&gt;"",Alunos!A146,"")</f>
        <v/>
      </c>
    </row>
    <row r="147" spans="1:1" x14ac:dyDescent="0.3">
      <c r="A147" s="3" t="str">
        <f>IF(Alunos!A147&lt;&gt;"",Alunos!A147,"")</f>
        <v/>
      </c>
    </row>
    <row r="148" spans="1:1" x14ac:dyDescent="0.3">
      <c r="A148" s="3" t="str">
        <f>IF(Alunos!A148&lt;&gt;"",Alunos!A148,"")</f>
        <v/>
      </c>
    </row>
    <row r="149" spans="1:1" x14ac:dyDescent="0.3">
      <c r="A149" s="3" t="str">
        <f>IF(Alunos!A149&lt;&gt;"",Alunos!A149,"")</f>
        <v/>
      </c>
    </row>
    <row r="150" spans="1:1" x14ac:dyDescent="0.3">
      <c r="A150" s="3" t="str">
        <f>IF(Alunos!A150&lt;&gt;"",Alunos!A150,"")</f>
        <v/>
      </c>
    </row>
    <row r="151" spans="1:1" x14ac:dyDescent="0.3">
      <c r="A151" s="3" t="str">
        <f>IF(Alunos!A151&lt;&gt;"",Alunos!A151,"")</f>
        <v/>
      </c>
    </row>
    <row r="152" spans="1:1" x14ac:dyDescent="0.3">
      <c r="A152" s="3" t="str">
        <f>IF(Alunos!A152&lt;&gt;"",Alunos!A152,"")</f>
        <v/>
      </c>
    </row>
    <row r="153" spans="1:1" x14ac:dyDescent="0.3">
      <c r="A153" s="3" t="str">
        <f>IF(Alunos!A153&lt;&gt;"",Alunos!A153,"")</f>
        <v/>
      </c>
    </row>
    <row r="154" spans="1:1" x14ac:dyDescent="0.3">
      <c r="A154" s="3" t="str">
        <f>IF(Alunos!A154&lt;&gt;"",Alunos!A154,"")</f>
        <v/>
      </c>
    </row>
    <row r="155" spans="1:1" x14ac:dyDescent="0.3">
      <c r="A155" s="3" t="str">
        <f>IF(Alunos!A155&lt;&gt;"",Alunos!A155,"")</f>
        <v/>
      </c>
    </row>
    <row r="156" spans="1:1" x14ac:dyDescent="0.3">
      <c r="A156" s="3" t="str">
        <f>IF(Alunos!A156&lt;&gt;"",Alunos!A156,"")</f>
        <v/>
      </c>
    </row>
    <row r="157" spans="1:1" x14ac:dyDescent="0.3">
      <c r="A157" s="3" t="str">
        <f>IF(Alunos!A157&lt;&gt;"",Alunos!A157,"")</f>
        <v/>
      </c>
    </row>
    <row r="158" spans="1:1" x14ac:dyDescent="0.3">
      <c r="A158" s="3" t="str">
        <f>IF(Alunos!A158&lt;&gt;"",Alunos!A158,"")</f>
        <v/>
      </c>
    </row>
    <row r="159" spans="1:1" x14ac:dyDescent="0.3">
      <c r="A159" s="3" t="str">
        <f>IF(Alunos!A159&lt;&gt;"",Alunos!A159,"")</f>
        <v/>
      </c>
    </row>
    <row r="160" spans="1:1" x14ac:dyDescent="0.3">
      <c r="A160" s="3" t="str">
        <f>IF(Alunos!A160&lt;&gt;"",Alunos!A160,"")</f>
        <v/>
      </c>
    </row>
    <row r="161" spans="1:1" x14ac:dyDescent="0.3">
      <c r="A161" s="3" t="str">
        <f>IF(Alunos!A161&lt;&gt;"",Alunos!A161,"")</f>
        <v/>
      </c>
    </row>
    <row r="162" spans="1:1" x14ac:dyDescent="0.3">
      <c r="A162" s="3" t="str">
        <f>IF(Alunos!A162&lt;&gt;"",Alunos!A162,"")</f>
        <v/>
      </c>
    </row>
    <row r="163" spans="1:1" x14ac:dyDescent="0.3">
      <c r="A163" s="3" t="str">
        <f>IF(Alunos!A163&lt;&gt;"",Alunos!A163,"")</f>
        <v/>
      </c>
    </row>
    <row r="164" spans="1:1" x14ac:dyDescent="0.3">
      <c r="A164" s="3" t="str">
        <f>IF(Alunos!A164&lt;&gt;"",Alunos!A164,"")</f>
        <v/>
      </c>
    </row>
    <row r="165" spans="1:1" x14ac:dyDescent="0.3">
      <c r="A165" s="3" t="str">
        <f>IF(Alunos!A165&lt;&gt;"",Alunos!A165,"")</f>
        <v/>
      </c>
    </row>
    <row r="166" spans="1:1" x14ac:dyDescent="0.3">
      <c r="A166" s="3" t="str">
        <f>IF(Alunos!A166&lt;&gt;"",Alunos!A166,"")</f>
        <v/>
      </c>
    </row>
    <row r="167" spans="1:1" x14ac:dyDescent="0.3">
      <c r="A167" s="3" t="str">
        <f>IF(Alunos!A167&lt;&gt;"",Alunos!A167,"")</f>
        <v/>
      </c>
    </row>
    <row r="168" spans="1:1" x14ac:dyDescent="0.3">
      <c r="A168" s="3" t="str">
        <f>IF(Alunos!A168&lt;&gt;"",Alunos!A168,"")</f>
        <v/>
      </c>
    </row>
    <row r="169" spans="1:1" x14ac:dyDescent="0.3">
      <c r="A169" s="3" t="str">
        <f>IF(Alunos!A169&lt;&gt;"",Alunos!A169,"")</f>
        <v/>
      </c>
    </row>
    <row r="170" spans="1:1" x14ac:dyDescent="0.3">
      <c r="A170" s="3" t="str">
        <f>IF(Alunos!A170&lt;&gt;"",Alunos!A170,"")</f>
        <v/>
      </c>
    </row>
    <row r="171" spans="1:1" x14ac:dyDescent="0.3">
      <c r="A171" s="3" t="str">
        <f>IF(Alunos!A171&lt;&gt;"",Alunos!A171,"")</f>
        <v/>
      </c>
    </row>
    <row r="172" spans="1:1" x14ac:dyDescent="0.3">
      <c r="A172" s="3" t="str">
        <f>IF(Alunos!A172&lt;&gt;"",Alunos!A172,"")</f>
        <v/>
      </c>
    </row>
    <row r="173" spans="1:1" x14ac:dyDescent="0.3">
      <c r="A173" s="3" t="str">
        <f>IF(Alunos!A173&lt;&gt;"",Alunos!A173,"")</f>
        <v/>
      </c>
    </row>
    <row r="174" spans="1:1" x14ac:dyDescent="0.3">
      <c r="A174" s="3" t="str">
        <f>IF(Alunos!A174&lt;&gt;"",Alunos!A174,"")</f>
        <v/>
      </c>
    </row>
    <row r="175" spans="1:1" x14ac:dyDescent="0.3">
      <c r="A175" s="3" t="str">
        <f>IF(Alunos!A175&lt;&gt;"",Alunos!A175,"")</f>
        <v/>
      </c>
    </row>
    <row r="176" spans="1:1" x14ac:dyDescent="0.3">
      <c r="A176" s="3" t="str">
        <f>IF(Alunos!A176&lt;&gt;"",Alunos!A176,"")</f>
        <v/>
      </c>
    </row>
    <row r="177" spans="1:1" x14ac:dyDescent="0.3">
      <c r="A177" s="3" t="str">
        <f>IF(Alunos!A177&lt;&gt;"",Alunos!A177,"")</f>
        <v/>
      </c>
    </row>
    <row r="178" spans="1:1" x14ac:dyDescent="0.3">
      <c r="A178" s="3" t="str">
        <f>IF(Alunos!A178&lt;&gt;"",Alunos!A178,"")</f>
        <v/>
      </c>
    </row>
    <row r="179" spans="1:1" x14ac:dyDescent="0.3">
      <c r="A179" s="3" t="str">
        <f>IF(Alunos!A179&lt;&gt;"",Alunos!A179,"")</f>
        <v/>
      </c>
    </row>
    <row r="180" spans="1:1" x14ac:dyDescent="0.3">
      <c r="A180" s="3" t="str">
        <f>IF(Alunos!A180&lt;&gt;"",Alunos!A180,"")</f>
        <v/>
      </c>
    </row>
    <row r="181" spans="1:1" x14ac:dyDescent="0.3">
      <c r="A181" s="3" t="str">
        <f>IF(Alunos!A181&lt;&gt;"",Alunos!A181,"")</f>
        <v/>
      </c>
    </row>
    <row r="182" spans="1:1" x14ac:dyDescent="0.3">
      <c r="A182" s="3" t="str">
        <f>IF(Alunos!A182&lt;&gt;"",Alunos!A182,"")</f>
        <v/>
      </c>
    </row>
    <row r="183" spans="1:1" x14ac:dyDescent="0.3">
      <c r="A183" s="3" t="str">
        <f>IF(Alunos!A183&lt;&gt;"",Alunos!A183,"")</f>
        <v/>
      </c>
    </row>
    <row r="184" spans="1:1" x14ac:dyDescent="0.3">
      <c r="A184" s="3" t="str">
        <f>IF(Alunos!A184&lt;&gt;"",Alunos!A184,"")</f>
        <v/>
      </c>
    </row>
    <row r="185" spans="1:1" x14ac:dyDescent="0.3">
      <c r="A185" s="3" t="str">
        <f>IF(Alunos!A185&lt;&gt;"",Alunos!A185,"")</f>
        <v/>
      </c>
    </row>
    <row r="186" spans="1:1" x14ac:dyDescent="0.3">
      <c r="A186" s="3" t="str">
        <f>IF(Alunos!A186&lt;&gt;"",Alunos!A186,"")</f>
        <v/>
      </c>
    </row>
    <row r="187" spans="1:1" x14ac:dyDescent="0.3">
      <c r="A187" s="3" t="str">
        <f>IF(Alunos!A187&lt;&gt;"",Alunos!A187,"")</f>
        <v/>
      </c>
    </row>
    <row r="188" spans="1:1" x14ac:dyDescent="0.3">
      <c r="A188" s="3" t="str">
        <f>IF(Alunos!A188&lt;&gt;"",Alunos!A188,"")</f>
        <v/>
      </c>
    </row>
    <row r="189" spans="1:1" x14ac:dyDescent="0.3">
      <c r="A189" s="3" t="str">
        <f>IF(Alunos!A189&lt;&gt;"",Alunos!A189,"")</f>
        <v/>
      </c>
    </row>
    <row r="190" spans="1:1" x14ac:dyDescent="0.3">
      <c r="A190" s="3" t="str">
        <f>IF(Alunos!A190&lt;&gt;"",Alunos!A190,"")</f>
        <v/>
      </c>
    </row>
    <row r="191" spans="1:1" x14ac:dyDescent="0.3">
      <c r="A191" s="3" t="str">
        <f>IF(Alunos!A191&lt;&gt;"",Alunos!A191,"")</f>
        <v/>
      </c>
    </row>
    <row r="192" spans="1:1" x14ac:dyDescent="0.3">
      <c r="A192" s="3" t="str">
        <f>IF(Alunos!A192&lt;&gt;"",Alunos!A192,"")</f>
        <v/>
      </c>
    </row>
    <row r="193" spans="1:1" x14ac:dyDescent="0.3">
      <c r="A193" s="3" t="str">
        <f>IF(Alunos!A193&lt;&gt;"",Alunos!A193,"")</f>
        <v/>
      </c>
    </row>
    <row r="194" spans="1:1" x14ac:dyDescent="0.3">
      <c r="A194" s="3" t="str">
        <f>IF(Alunos!A194&lt;&gt;"",Alunos!A194,"")</f>
        <v/>
      </c>
    </row>
    <row r="195" spans="1:1" x14ac:dyDescent="0.3">
      <c r="A195" s="3" t="str">
        <f>IF(Alunos!A195&lt;&gt;"",Alunos!A195,"")</f>
        <v/>
      </c>
    </row>
    <row r="196" spans="1:1" x14ac:dyDescent="0.3">
      <c r="A196" s="3" t="str">
        <f>IF(Alunos!A196&lt;&gt;"",Alunos!A196,"")</f>
        <v/>
      </c>
    </row>
    <row r="197" spans="1:1" x14ac:dyDescent="0.3">
      <c r="A197" s="3" t="str">
        <f>IF(Alunos!A197&lt;&gt;"",Alunos!A197,"")</f>
        <v/>
      </c>
    </row>
    <row r="198" spans="1:1" x14ac:dyDescent="0.3">
      <c r="A198" s="3" t="str">
        <f>IF(Alunos!A198&lt;&gt;"",Alunos!A198,"")</f>
        <v/>
      </c>
    </row>
    <row r="199" spans="1:1" x14ac:dyDescent="0.3">
      <c r="A199" s="3" t="str">
        <f>IF(Alunos!A199&lt;&gt;"",Alunos!A199,"")</f>
        <v/>
      </c>
    </row>
    <row r="200" spans="1:1" x14ac:dyDescent="0.3">
      <c r="A200" s="3" t="str">
        <f>IF(Alunos!A200&lt;&gt;"",Alunos!A200,"")</f>
        <v/>
      </c>
    </row>
    <row r="201" spans="1:1" x14ac:dyDescent="0.3">
      <c r="A201" s="3" t="str">
        <f>IF(Alunos!A201&lt;&gt;"",Alunos!A201,"")</f>
        <v/>
      </c>
    </row>
    <row r="202" spans="1:1" x14ac:dyDescent="0.3">
      <c r="A202" s="3" t="str">
        <f>IF(Alunos!A202&lt;&gt;"",Alunos!A202,"")</f>
        <v/>
      </c>
    </row>
    <row r="203" spans="1:1" x14ac:dyDescent="0.3">
      <c r="A203" s="3" t="str">
        <f>IF(Alunos!A203&lt;&gt;"",Alunos!A203,"")</f>
        <v/>
      </c>
    </row>
    <row r="204" spans="1:1" x14ac:dyDescent="0.3">
      <c r="A204" s="3" t="str">
        <f>IF(Alunos!A204&lt;&gt;"",Alunos!A204,"")</f>
        <v/>
      </c>
    </row>
    <row r="205" spans="1:1" x14ac:dyDescent="0.3">
      <c r="A205" s="3" t="str">
        <f>IF(Alunos!A205&lt;&gt;"",Alunos!A205,"")</f>
        <v/>
      </c>
    </row>
    <row r="206" spans="1:1" x14ac:dyDescent="0.3">
      <c r="A206" s="3" t="str">
        <f>IF(Alunos!A206&lt;&gt;"",Alunos!A206,"")</f>
        <v/>
      </c>
    </row>
    <row r="207" spans="1:1" x14ac:dyDescent="0.3">
      <c r="A207" s="3" t="str">
        <f>IF(Alunos!A207&lt;&gt;"",Alunos!A207,"")</f>
        <v/>
      </c>
    </row>
    <row r="208" spans="1:1" x14ac:dyDescent="0.3">
      <c r="A208" s="3" t="str">
        <f>IF(Alunos!A208&lt;&gt;"",Alunos!A208,"")</f>
        <v/>
      </c>
    </row>
    <row r="209" spans="1:1" x14ac:dyDescent="0.3">
      <c r="A209" s="3" t="str">
        <f>IF(Alunos!A209&lt;&gt;"",Alunos!A209,"")</f>
        <v/>
      </c>
    </row>
    <row r="210" spans="1:1" x14ac:dyDescent="0.3">
      <c r="A210" s="3" t="str">
        <f>IF(Alunos!A210&lt;&gt;"",Alunos!A210,"")</f>
        <v/>
      </c>
    </row>
    <row r="211" spans="1:1" x14ac:dyDescent="0.3">
      <c r="A211" s="3" t="str">
        <f>IF(Alunos!A211&lt;&gt;"",Alunos!A211,"")</f>
        <v/>
      </c>
    </row>
    <row r="212" spans="1:1" x14ac:dyDescent="0.3">
      <c r="A212" s="3" t="str">
        <f>IF(Alunos!A212&lt;&gt;"",Alunos!A212,"")</f>
        <v/>
      </c>
    </row>
    <row r="213" spans="1:1" x14ac:dyDescent="0.3">
      <c r="A213" s="3" t="str">
        <f>IF(Alunos!A213&lt;&gt;"",Alunos!A213,"")</f>
        <v/>
      </c>
    </row>
    <row r="214" spans="1:1" x14ac:dyDescent="0.3">
      <c r="A214" s="3" t="str">
        <f>IF(Alunos!A214&lt;&gt;"",Alunos!A214,"")</f>
        <v/>
      </c>
    </row>
    <row r="215" spans="1:1" x14ac:dyDescent="0.3">
      <c r="A215" s="3" t="str">
        <f>IF(Alunos!A215&lt;&gt;"",Alunos!A215,"")</f>
        <v/>
      </c>
    </row>
    <row r="216" spans="1:1" x14ac:dyDescent="0.3">
      <c r="A216" s="3" t="str">
        <f>IF(Alunos!A216&lt;&gt;"",Alunos!A216,"")</f>
        <v/>
      </c>
    </row>
    <row r="217" spans="1:1" x14ac:dyDescent="0.3">
      <c r="A217" s="3" t="str">
        <f>IF(Alunos!A217&lt;&gt;"",Alunos!A217,"")</f>
        <v/>
      </c>
    </row>
    <row r="218" spans="1:1" x14ac:dyDescent="0.3">
      <c r="A218" s="3" t="str">
        <f>IF(Alunos!A218&lt;&gt;"",Alunos!A218,"")</f>
        <v/>
      </c>
    </row>
    <row r="219" spans="1:1" x14ac:dyDescent="0.3">
      <c r="A219" s="3" t="str">
        <f>IF(Alunos!A219&lt;&gt;"",Alunos!A219,"")</f>
        <v/>
      </c>
    </row>
    <row r="220" spans="1:1" x14ac:dyDescent="0.3">
      <c r="A220" s="3" t="str">
        <f>IF(Alunos!A220&lt;&gt;"",Alunos!A220,"")</f>
        <v/>
      </c>
    </row>
    <row r="221" spans="1:1" x14ac:dyDescent="0.3">
      <c r="A221" s="3" t="str">
        <f>IF(Alunos!A221&lt;&gt;"",Alunos!A221,"")</f>
        <v/>
      </c>
    </row>
    <row r="222" spans="1:1" x14ac:dyDescent="0.3">
      <c r="A222" s="3" t="str">
        <f>IF(Alunos!A222&lt;&gt;"",Alunos!A222,"")</f>
        <v/>
      </c>
    </row>
    <row r="223" spans="1:1" x14ac:dyDescent="0.3">
      <c r="A223" s="3" t="str">
        <f>IF(Alunos!A223&lt;&gt;"",Alunos!A223,"")</f>
        <v/>
      </c>
    </row>
    <row r="224" spans="1:1" x14ac:dyDescent="0.3">
      <c r="A224" s="3" t="str">
        <f>IF(Alunos!A224&lt;&gt;"",Alunos!A224,"")</f>
        <v/>
      </c>
    </row>
    <row r="225" spans="1:1" x14ac:dyDescent="0.3">
      <c r="A225" s="3" t="str">
        <f>IF(Alunos!A225&lt;&gt;"",Alunos!A225,"")</f>
        <v/>
      </c>
    </row>
    <row r="226" spans="1:1" x14ac:dyDescent="0.3">
      <c r="A226" s="3" t="str">
        <f>IF(Alunos!A226&lt;&gt;"",Alunos!A226,"")</f>
        <v/>
      </c>
    </row>
    <row r="227" spans="1:1" x14ac:dyDescent="0.3">
      <c r="A227" s="3" t="str">
        <f>IF(Alunos!A227&lt;&gt;"",Alunos!A227,"")</f>
        <v/>
      </c>
    </row>
    <row r="228" spans="1:1" x14ac:dyDescent="0.3">
      <c r="A228" s="3" t="str">
        <f>IF(Alunos!A228&lt;&gt;"",Alunos!A228,"")</f>
        <v/>
      </c>
    </row>
    <row r="229" spans="1:1" x14ac:dyDescent="0.3">
      <c r="A229" s="3" t="str">
        <f>IF(Alunos!A229&lt;&gt;"",Alunos!A229,"")</f>
        <v/>
      </c>
    </row>
    <row r="230" spans="1:1" x14ac:dyDescent="0.3">
      <c r="A230" s="3" t="str">
        <f>IF(Alunos!A230&lt;&gt;"",Alunos!A230,"")</f>
        <v/>
      </c>
    </row>
    <row r="231" spans="1:1" x14ac:dyDescent="0.3">
      <c r="A231" s="3" t="str">
        <f>IF(Alunos!A231&lt;&gt;"",Alunos!A231,"")</f>
        <v/>
      </c>
    </row>
    <row r="232" spans="1:1" x14ac:dyDescent="0.3">
      <c r="A232" s="3" t="str">
        <f>IF(Alunos!A232&lt;&gt;"",Alunos!A232,"")</f>
        <v/>
      </c>
    </row>
    <row r="233" spans="1:1" x14ac:dyDescent="0.3">
      <c r="A233" s="3" t="str">
        <f>IF(Alunos!A233&lt;&gt;"",Alunos!A233,"")</f>
        <v/>
      </c>
    </row>
    <row r="234" spans="1:1" x14ac:dyDescent="0.3">
      <c r="A234" s="3" t="str">
        <f>IF(Alunos!A234&lt;&gt;"",Alunos!A234,"")</f>
        <v/>
      </c>
    </row>
    <row r="235" spans="1:1" x14ac:dyDescent="0.3">
      <c r="A235" s="3" t="str">
        <f>IF(Alunos!A235&lt;&gt;"",Alunos!A235,"")</f>
        <v/>
      </c>
    </row>
    <row r="236" spans="1:1" x14ac:dyDescent="0.3">
      <c r="A236" s="3" t="str">
        <f>IF(Alunos!A236&lt;&gt;"",Alunos!A236,"")</f>
        <v/>
      </c>
    </row>
    <row r="237" spans="1:1" x14ac:dyDescent="0.3">
      <c r="A237" s="3" t="str">
        <f>IF(Alunos!A237&lt;&gt;"",Alunos!A237,"")</f>
        <v/>
      </c>
    </row>
    <row r="238" spans="1:1" x14ac:dyDescent="0.3">
      <c r="A238" s="3" t="str">
        <f>IF(Alunos!A238&lt;&gt;"",Alunos!A238,"")</f>
        <v/>
      </c>
    </row>
    <row r="239" spans="1:1" x14ac:dyDescent="0.3">
      <c r="A239" s="3" t="str">
        <f>IF(Alunos!A239&lt;&gt;"",Alunos!A239,"")</f>
        <v/>
      </c>
    </row>
    <row r="240" spans="1:1" x14ac:dyDescent="0.3">
      <c r="A240" s="3" t="str">
        <f>IF(Alunos!A240&lt;&gt;"",Alunos!A240,"")</f>
        <v/>
      </c>
    </row>
    <row r="241" spans="1:1" x14ac:dyDescent="0.3">
      <c r="A241" s="3" t="str">
        <f>IF(Alunos!A241&lt;&gt;"",Alunos!A241,"")</f>
        <v/>
      </c>
    </row>
    <row r="242" spans="1:1" x14ac:dyDescent="0.3">
      <c r="A242" s="3" t="str">
        <f>IF(Alunos!A242&lt;&gt;"",Alunos!A242,"")</f>
        <v/>
      </c>
    </row>
    <row r="243" spans="1:1" x14ac:dyDescent="0.3">
      <c r="A243" s="3" t="str">
        <f>IF(Alunos!A243&lt;&gt;"",Alunos!A243,"")</f>
        <v/>
      </c>
    </row>
    <row r="244" spans="1:1" x14ac:dyDescent="0.3">
      <c r="A244" s="3" t="str">
        <f>IF(Alunos!A244&lt;&gt;"",Alunos!A244,"")</f>
        <v/>
      </c>
    </row>
    <row r="245" spans="1:1" x14ac:dyDescent="0.3">
      <c r="A245" s="3" t="str">
        <f>IF(Alunos!A245&lt;&gt;"",Alunos!A245,"")</f>
        <v/>
      </c>
    </row>
    <row r="246" spans="1:1" x14ac:dyDescent="0.3">
      <c r="A246" s="3" t="str">
        <f>IF(Alunos!A246&lt;&gt;"",Alunos!A246,"")</f>
        <v/>
      </c>
    </row>
    <row r="247" spans="1:1" x14ac:dyDescent="0.3">
      <c r="A247" s="3" t="str">
        <f>IF(Alunos!A247&lt;&gt;"",Alunos!A247,"")</f>
        <v/>
      </c>
    </row>
    <row r="248" spans="1:1" x14ac:dyDescent="0.3">
      <c r="A248" s="3" t="str">
        <f>IF(Alunos!A248&lt;&gt;"",Alunos!A248,"")</f>
        <v/>
      </c>
    </row>
    <row r="249" spans="1:1" x14ac:dyDescent="0.3">
      <c r="A249" s="3" t="str">
        <f>IF(Alunos!A249&lt;&gt;"",Alunos!A249,"")</f>
        <v/>
      </c>
    </row>
    <row r="250" spans="1:1" x14ac:dyDescent="0.3">
      <c r="A250" s="3" t="str">
        <f>IF(Alunos!A250&lt;&gt;"",Alunos!A250,"")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A8A60-B0EB-4ED6-A286-4560E66BAE4A}">
  <sheetPr codeName="Folha55"/>
  <dimension ref="A2:P18"/>
  <sheetViews>
    <sheetView workbookViewId="0">
      <selection activeCell="G22" sqref="G22"/>
    </sheetView>
  </sheetViews>
  <sheetFormatPr defaultRowHeight="14.4" x14ac:dyDescent="0.3"/>
  <cols>
    <col min="1" max="1" width="25.109375" customWidth="1"/>
    <col min="4" max="5" width="17" customWidth="1"/>
    <col min="9" max="16" width="8.88671875" style="3"/>
  </cols>
  <sheetData>
    <row r="2" spans="1:5" x14ac:dyDescent="0.3">
      <c r="A2" s="8" t="s">
        <v>12</v>
      </c>
      <c r="B2" s="10">
        <f>Auxiliar!B2</f>
        <v>0</v>
      </c>
      <c r="D2" s="8" t="s">
        <v>9</v>
      </c>
      <c r="E2" s="8" t="s">
        <v>20</v>
      </c>
    </row>
    <row r="3" spans="1:5" x14ac:dyDescent="0.3">
      <c r="A3" s="8" t="s">
        <v>13</v>
      </c>
      <c r="B3" s="10">
        <f>COUNTIF(Alunos!D3:D250, "&gt;=6 " )</f>
        <v>0</v>
      </c>
      <c r="D3" s="10">
        <v>0</v>
      </c>
      <c r="E3" s="1">
        <f>COUNTIF(Alunos!D3:D250, "=0 " )</f>
        <v>0</v>
      </c>
    </row>
    <row r="4" spans="1:5" x14ac:dyDescent="0.3">
      <c r="A4" s="8" t="s">
        <v>14</v>
      </c>
      <c r="B4" s="10">
        <f>COUNTIF(Alunos!D3:D250, "&lt;6 " )</f>
        <v>0</v>
      </c>
      <c r="D4" s="10">
        <v>1</v>
      </c>
      <c r="E4" s="1">
        <f>COUNTIF(Alunos!D3:D250, "=1 " )</f>
        <v>0</v>
      </c>
    </row>
    <row r="5" spans="1:5" x14ac:dyDescent="0.3">
      <c r="A5" s="8" t="s">
        <v>15</v>
      </c>
      <c r="B5" s="10" t="e">
        <f>B3/B2</f>
        <v>#DIV/0!</v>
      </c>
      <c r="D5" s="10">
        <v>2</v>
      </c>
      <c r="E5" s="1">
        <f>COUNTIF(Alunos!D3:D250, "=2 " )</f>
        <v>0</v>
      </c>
    </row>
    <row r="6" spans="1:5" x14ac:dyDescent="0.3">
      <c r="A6" s="8" t="s">
        <v>16</v>
      </c>
      <c r="B6" s="10" t="e">
        <f>B4/B2</f>
        <v>#DIV/0!</v>
      </c>
      <c r="D6" s="10">
        <v>3</v>
      </c>
      <c r="E6" s="1">
        <f>COUNTIF(Alunos!D3:D250, "=3 " )</f>
        <v>0</v>
      </c>
    </row>
    <row r="7" spans="1:5" x14ac:dyDescent="0.3">
      <c r="A7" s="8" t="s">
        <v>17</v>
      </c>
      <c r="B7" s="10" t="e">
        <f>SUM(Alunos!D3:D250)/B2</f>
        <v>#DIV/0!</v>
      </c>
      <c r="D7" s="10">
        <v>4</v>
      </c>
      <c r="E7" s="1">
        <f>COUNTIF(Alunos!D3:D250, "=4 " )</f>
        <v>0</v>
      </c>
    </row>
    <row r="8" spans="1:5" x14ac:dyDescent="0.3">
      <c r="A8" s="8" t="s">
        <v>18</v>
      </c>
      <c r="B8" s="10">
        <f>MAX(Alunos!D3:D250)</f>
        <v>0</v>
      </c>
      <c r="D8" s="10">
        <v>5</v>
      </c>
      <c r="E8" s="1">
        <f>COUNTIF(Alunos!D3:D250, "=5 " )</f>
        <v>0</v>
      </c>
    </row>
    <row r="9" spans="1:5" x14ac:dyDescent="0.3">
      <c r="A9" s="8" t="s">
        <v>19</v>
      </c>
      <c r="B9" s="10">
        <f>MIN(Alunos!D3:D250)</f>
        <v>0</v>
      </c>
      <c r="D9" s="10">
        <v>6</v>
      </c>
      <c r="E9" s="1">
        <f>COUNTIF(Alunos!D3:D250, "=6 " )</f>
        <v>0</v>
      </c>
    </row>
    <row r="10" spans="1:5" x14ac:dyDescent="0.3">
      <c r="D10" s="10">
        <v>7</v>
      </c>
      <c r="E10" s="1">
        <f>COUNTIF(Alunos!D3:D250, "=7 " )</f>
        <v>0</v>
      </c>
    </row>
    <row r="11" spans="1:5" x14ac:dyDescent="0.3">
      <c r="D11" s="10">
        <v>8</v>
      </c>
      <c r="E11" s="1">
        <f>COUNTIF(Alunos!D3:D250, "=8 " )</f>
        <v>0</v>
      </c>
    </row>
    <row r="12" spans="1:5" x14ac:dyDescent="0.3">
      <c r="D12" s="10">
        <v>9</v>
      </c>
      <c r="E12" s="1">
        <f>COUNTIF(Alunos!D3:D250, "=9 " )</f>
        <v>0</v>
      </c>
    </row>
    <row r="13" spans="1:5" x14ac:dyDescent="0.3">
      <c r="D13" s="10">
        <v>10</v>
      </c>
      <c r="E13" s="1">
        <f>COUNTIF(Alunos!D3:D250, "=10 " )</f>
        <v>0</v>
      </c>
    </row>
    <row r="14" spans="1:5" x14ac:dyDescent="0.3">
      <c r="D14" s="10">
        <v>11</v>
      </c>
      <c r="E14" s="1">
        <f>COUNTIF(Alunos!D3:D250, "=11 " )</f>
        <v>0</v>
      </c>
    </row>
    <row r="15" spans="1:5" x14ac:dyDescent="0.3">
      <c r="D15" s="10">
        <v>12</v>
      </c>
      <c r="E15" s="1">
        <f>COUNTIF(Alunos!D3:D250, "=12 " )</f>
        <v>0</v>
      </c>
    </row>
    <row r="18" spans="9:16" x14ac:dyDescent="0.3">
      <c r="I18" s="14" t="s">
        <v>22</v>
      </c>
      <c r="J18" s="14"/>
      <c r="K18" s="14"/>
      <c r="L18" s="14"/>
      <c r="M18" s="14"/>
      <c r="N18" s="14"/>
      <c r="O18" s="14"/>
      <c r="P18" s="14"/>
    </row>
  </sheetData>
  <mergeCells count="1">
    <mergeCell ref="I18:P1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0BA9-E4D4-4C61-B981-AD1B41D386AB}">
  <sheetPr codeName="Folha54"/>
  <dimension ref="A1:ZZ12"/>
  <sheetViews>
    <sheetView workbookViewId="0"/>
  </sheetViews>
  <sheetFormatPr defaultRowHeight="14.4" x14ac:dyDescent="0.3"/>
  <cols>
    <col min="1" max="1" width="13.88671875" style="3" bestFit="1" customWidth="1"/>
    <col min="2" max="2" width="16" style="3" bestFit="1" customWidth="1"/>
    <col min="3" max="3" width="12" style="3" bestFit="1" customWidth="1"/>
    <col min="4" max="4" width="11.88671875" style="3" bestFit="1" customWidth="1"/>
    <col min="5" max="5" width="14.109375" style="3" bestFit="1" customWidth="1"/>
    <col min="6" max="702" width="8.88671875" style="3"/>
  </cols>
  <sheetData>
    <row r="1" spans="1:5" x14ac:dyDescent="0.3">
      <c r="D1" s="4"/>
    </row>
    <row r="2" spans="1:5" x14ac:dyDescent="0.3">
      <c r="A2" s="9" t="s">
        <v>0</v>
      </c>
      <c r="B2" s="2">
        <f>COUNTA(Alunos!A:A)-1</f>
        <v>0</v>
      </c>
      <c r="D2" s="5"/>
    </row>
    <row r="3" spans="1:5" x14ac:dyDescent="0.3">
      <c r="A3" s="9" t="s">
        <v>1</v>
      </c>
      <c r="B3" s="2">
        <v>0</v>
      </c>
      <c r="D3" s="6"/>
    </row>
    <row r="4" spans="1:5" x14ac:dyDescent="0.3">
      <c r="D4" s="7"/>
    </row>
    <row r="10" spans="1:5" x14ac:dyDescent="0.3">
      <c r="A10" s="4" t="s">
        <v>2</v>
      </c>
      <c r="B10" s="5" t="s">
        <v>3</v>
      </c>
      <c r="C10" s="5" t="s">
        <v>4</v>
      </c>
      <c r="D10" s="5" t="s">
        <v>5</v>
      </c>
      <c r="E10" s="5" t="s">
        <v>6</v>
      </c>
    </row>
    <row r="11" spans="1:5" x14ac:dyDescent="0.3">
      <c r="A11" s="6" t="s">
        <v>7</v>
      </c>
      <c r="B11" s="6">
        <v>12</v>
      </c>
      <c r="C11" s="6"/>
      <c r="D11" s="6">
        <v>1</v>
      </c>
      <c r="E11" s="6"/>
    </row>
    <row r="12" spans="1:5" x14ac:dyDescent="0.3">
      <c r="A12" s="7" t="s">
        <v>21</v>
      </c>
      <c r="E12" s="7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Criar</vt:lpstr>
      <vt:lpstr>Alunos</vt:lpstr>
      <vt:lpstr>Exame</vt:lpstr>
      <vt:lpstr>Agrupamentos</vt:lpstr>
      <vt:lpstr>Síntese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ralux</cp:lastModifiedBy>
  <dcterms:created xsi:type="dcterms:W3CDTF">2020-03-21T16:39:50Z</dcterms:created>
  <dcterms:modified xsi:type="dcterms:W3CDTF">2020-04-13T13:58:03Z</dcterms:modified>
</cp:coreProperties>
</file>